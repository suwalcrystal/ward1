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OFFICE\Nagarpalika\SHANKHARAPUR NAGARPALIKA\yojana\082083\"/>
    </mc:Choice>
  </mc:AlternateContent>
  <bookViews>
    <workbookView xWindow="0" yWindow="0" windowWidth="20490" windowHeight="7755"/>
  </bookViews>
  <sheets>
    <sheet name="HDPEPip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MC3" hidden="1">#REF!</definedName>
    <definedName name="___MC3" hidden="1">#REF!</definedName>
    <definedName name="__FRT18" hidden="1">[1]FRT!#REF!</definedName>
    <definedName name="__FRT2" hidden="1">[1]FRT!$K$87</definedName>
    <definedName name="__FRT20" hidden="1">[2]FRT!$K$333</definedName>
    <definedName name="__FRT3" hidden="1">[2]FRT!#REF!</definedName>
    <definedName name="__FRT4" hidden="1">[2]FRT!$K$169</definedName>
    <definedName name="__FRT5" hidden="1">'[3]FRT 1'!#REF!</definedName>
    <definedName name="__FRT6" hidden="1">[2]FRT!$K$87</definedName>
    <definedName name="__FRT9" hidden="1">[2]FRT!$K$251</definedName>
    <definedName name="__MC3" hidden="1">#REF!</definedName>
    <definedName name="_Fill" hidden="1">#REF!</definedName>
    <definedName name="_FRT18" hidden="1">[1]FRT!#REF!</definedName>
    <definedName name="_FRT2" hidden="1">[1]FRT!$K$87</definedName>
    <definedName name="_FRT20" hidden="1">[2]FRT!$K$333</definedName>
    <definedName name="_FRT3" hidden="1">[2]FRT!#REF!</definedName>
    <definedName name="_FRT4" hidden="1">[2]FRT!$K$169</definedName>
    <definedName name="_FRT5" hidden="1">'[3]FRT 1'!#REF!</definedName>
    <definedName name="_FRT6" hidden="1">[2]FRT!$K$87</definedName>
    <definedName name="_FRT9" hidden="1">[2]FRT!$K$251</definedName>
    <definedName name="_Key2" hidden="1">#REF!</definedName>
    <definedName name="_MC3" hidden="1">#REF!</definedName>
    <definedName name="_mh70" hidden="1">[4]DRates!#REF!</definedName>
    <definedName name="_Order1" hidden="1">0</definedName>
    <definedName name="_Order2" hidden="1">0</definedName>
    <definedName name="_PWt2" hidden="1">[5]PipeList!$I$118</definedName>
    <definedName name="_PWt3" hidden="1">[5]PipeList!$K$118</definedName>
    <definedName name="_PWt4" hidden="1">[5]PipeList!$M$118</definedName>
    <definedName name="_PWt5" hidden="1">[5]PipeList!$O$118</definedName>
    <definedName name="_PWt6" hidden="1">[5]PipeList!$Q$118</definedName>
    <definedName name="_RCT10" hidden="1">[2]RCT!$K$286</definedName>
    <definedName name="_RCT25" hidden="1">#REF!</definedName>
    <definedName name="_RCT50" hidden="1">[2]RCT!$K$98</definedName>
    <definedName name="_rDC2" hidden="1">[6]PipeDesign!$W$144:$W$155</definedName>
    <definedName name="_rPD2" hidden="1">[6]PipeDesign!$A$142:$AA$155</definedName>
    <definedName name="_rPL2" hidden="1">[6]PipeLineWork!$A$74:$R$139</definedName>
    <definedName name="_Sort" hidden="1">#REF!</definedName>
    <definedName name="aaaaa" hidden="1">[4]DRates!#REF!</definedName>
    <definedName name="Airlift" hidden="1">[2]MatCol!$T$90</definedName>
    <definedName name="AlPnt" hidden="1">[4]DRates!#REF!</definedName>
    <definedName name="anscount" hidden="1">1</definedName>
    <definedName name="bamboo" hidden="1">[2]MatCol!$U$64</definedName>
    <definedName name="Barbed" hidden="1">[2]MatCol!$U$36</definedName>
    <definedName name="Brick" hidden="1">[4]DRates!#REF!</definedName>
    <definedName name="budhabare" hidden="1">#REF!</definedName>
    <definedName name="CGIS26" hidden="1">[2]MatCol!$U$39</definedName>
    <definedName name="Chief" hidden="1">[7]Data!#REF!</definedName>
    <definedName name="D_C" hidden="1">#REF!</definedName>
    <definedName name="District" hidden="1">[7]Data!#REF!</definedName>
    <definedName name="DLCost2" hidden="1">[5]PipeLineWork!$O$139</definedName>
    <definedName name="DLCost3" hidden="1">[5]PipeLineWork!$O$205</definedName>
    <definedName name="DLCost4" hidden="1">[5]PipeLineWork!$O$271</definedName>
    <definedName name="DLCost5" hidden="1">[5]PipeLineWork!$O$337</definedName>
    <definedName name="DLCost6" hidden="1">[5]PipeLineWork!$O$403</definedName>
    <definedName name="EWcostDL2" hidden="1">[5]PipeLineWork!$O$75</definedName>
    <definedName name="EWcostDL3" hidden="1">[5]PipeLineWork!$O$141</definedName>
    <definedName name="EWcostDL4" hidden="1">[5]PipeLineWork!$O$207</definedName>
    <definedName name="EWcostDL5" hidden="1">[5]PipeLineWork!$O$273</definedName>
    <definedName name="EWcostDL6" hidden="1">[5]PipeLineWork!$O$339</definedName>
    <definedName name="FFFF" hidden="1">[8]PipeDesign!$D$25:$D$26</definedName>
    <definedName name="fffff" hidden="1">[4]DRates!#REF!</definedName>
    <definedName name="FY" hidden="1">[7]Data!#REF!</definedName>
    <definedName name="GIPS28" hidden="1">[2]MatCol!$U$40</definedName>
    <definedName name="ISA40x6" hidden="1">[4]DRates!#REF!</definedName>
    <definedName name="ItemsE" hidden="1">'[9]CONTROL PANEL'!$C$51:$C$118</definedName>
    <definedName name="ItmsPre" hidden="1">'[9]CONTROL PANEL'!$C$51:$C$63</definedName>
    <definedName name="Jhook" hidden="1">[4]DRates!#REF!</definedName>
    <definedName name="LenDL2" hidden="1">[6]PipeDesign!$D$149</definedName>
    <definedName name="LenTL2" hidden="1">[6]PipeDesign!$D$143</definedName>
    <definedName name="limcount" hidden="1">1</definedName>
    <definedName name="LocalHardwood" hidden="1">[2]MatCol!$U$62</definedName>
    <definedName name="LocalSoftwood" hidden="1">[2]MatCol!$U$63</definedName>
    <definedName name="MSangle" hidden="1">[2]MatCol!$U$37</definedName>
    <definedName name="ntbt" hidden="1">[4]DRates!#REF!</definedName>
    <definedName name="OPCi" hidden="1">[4]DRates!#REF!</definedName>
    <definedName name="PCost2" hidden="1">[5]PipeList!$I$119</definedName>
    <definedName name="PCost3" hidden="1">[5]PipeList!$K$119</definedName>
    <definedName name="PCost4" hidden="1">[5]PipeList!$M$119</definedName>
    <definedName name="PCost5" hidden="1">[5]PipeList!$O$119</definedName>
    <definedName name="PCost6" hidden="1">[5]PipeList!$Q$119</definedName>
    <definedName name="PLen2" hidden="1">[5]PipeList!$I$117</definedName>
    <definedName name="PLen3" hidden="1">[5]PipeList!$K$117</definedName>
    <definedName name="PLen4" hidden="1">[5]PipeList!$M$117</definedName>
    <definedName name="PLen5" hidden="1">[5]PipeList!$O$117</definedName>
    <definedName name="PLen6" hidden="1">[5]PipeList!$Q$117</definedName>
    <definedName name="_xlnm.Print_Area" localSheetId="0">HDPEPipe!$A$1:$N$28</definedName>
    <definedName name="rBdgtHd" hidden="1">'[9]CONTROL PANEL'!$C$20:$C$45</definedName>
    <definedName name="rDBSD2" hidden="1">[5]PipeDesign!$A$37:$AA$43</definedName>
    <definedName name="rDBSD3" hidden="1">[5]PipeDesign!$A$51:$AA$56</definedName>
    <definedName name="rDBSD4" hidden="1">[5]PipeDesign!$A$61:$AA$77</definedName>
    <definedName name="rDBSD5" hidden="1">[5]PipeDesign!$A$83:$AA$93</definedName>
    <definedName name="rDBSD6" hidden="1">[5]PipeDesign!$A$100:$AA$128</definedName>
    <definedName name="rDBST2" hidden="1">[5]PipeDesign!$A$34:$AA$36</definedName>
    <definedName name="rDBST3" hidden="1">[5]PipeDesign!$A$45:$AA$50</definedName>
    <definedName name="rDBST4" hidden="1">[5]PipeDesign!$A$58:$AA$60</definedName>
    <definedName name="rDBST5" hidden="1">[5]PipeDesign!$A$79:$AA$82</definedName>
    <definedName name="rDBST6" hidden="1">[5]PipeDesign!$A$95:$AA$99</definedName>
    <definedName name="rDCDL2" hidden="1">[5]PipeDesign!$M$38:$M$43</definedName>
    <definedName name="rDCDL3" hidden="1">[5]PipeDesign!$M$52:$M$56</definedName>
    <definedName name="rDCDL4" hidden="1">[5]PipeDesign!$M$62:$M$77</definedName>
    <definedName name="rDCDL5" hidden="1">[5]PipeDesign!$M$84:$M$93</definedName>
    <definedName name="rDCDL6" hidden="1">[5]PipeDesign!$M$101:$M$128</definedName>
    <definedName name="rDCTL2" hidden="1">[5]PipeDesign!$M$35:$M$36</definedName>
    <definedName name="rDCTL3" hidden="1">[5]PipeDesign!$M$46:$M$50</definedName>
    <definedName name="rDCTL4" hidden="1">[5]PipeDesign!$M$59:$M$60</definedName>
    <definedName name="rDCTL5" hidden="1">[5]PipeDesign!$M$80:$M$82</definedName>
    <definedName name="rDCTL6" hidden="1">[5]PipeDesign!$M$96:$M$99</definedName>
    <definedName name="rDistr" hidden="1">'[9]CONTROL PANEL'!$C$357:$C$431</definedName>
    <definedName name="rDJnt2" hidden="1">[6]PipeLineWork!$C$103:$C$138</definedName>
    <definedName name="rDJnt3" hidden="1">[2]pipeline!#REF!</definedName>
    <definedName name="rDJnt4" hidden="1">[2]pipeline!#REF!</definedName>
    <definedName name="rDJnt5" hidden="1">[2]pipeline!#REF!</definedName>
    <definedName name="rDJnt6" hidden="1">[2]pipeline!#REF!</definedName>
    <definedName name="RedOx" hidden="1">[4]DRates!#REF!</definedName>
    <definedName name="rFRT18" hidden="1">[1]FRT!#REF!</definedName>
    <definedName name="rFRT3" hidden="1">[2]FRT!#REF!</definedName>
    <definedName name="rLDL2" hidden="1">[5]PipeDesign!$D$38:$D$43</definedName>
    <definedName name="rLDL3" hidden="1">[5]PipeDesign!$D$52:$D$56</definedName>
    <definedName name="rLDL4" hidden="1">[5]PipeDesign!$D$62:$D$77</definedName>
    <definedName name="rLDL5" hidden="1">[5]PipeDesign!$D$84:$D$93</definedName>
    <definedName name="rLDL6" hidden="1">[5]PipeDesign!$D$101:$D$128</definedName>
    <definedName name="rLTL2" hidden="1">[5]PipeDesign!$D$35:$D$36</definedName>
    <definedName name="rLTL3" hidden="1">[5]PipeDesign!$D$46:$D$50</definedName>
    <definedName name="rLTL4" hidden="1">[5]PipeDesign!$D$59:$D$60</definedName>
    <definedName name="rLTL5" hidden="1">[5]PipeDesign!$D$80:$D$82</definedName>
    <definedName name="rLTL6" hidden="1">[5]PipeDesign!$D$96:$D$99</definedName>
    <definedName name="rNodRLB2" hidden="1">[6]PipeDesign!$B$144:$AA$155</definedName>
    <definedName name="rNodRLC2" hidden="1">[6]PipeDesign!$C$144:$AA$155</definedName>
    <definedName name="rNodRLX2" hidden="1">[6]PipeDesign!$B$144:$B$155</definedName>
    <definedName name="rPrD2" hidden="1">[6]ProfileData!$B$44:$B$49</definedName>
    <definedName name="rPrDtB2" hidden="1">[6]ProfileData!$B$45:$G$49</definedName>
    <definedName name="rPrDtC2" hidden="1">[6]ProfileData!$C$45:$G$49</definedName>
    <definedName name="rPrjList1" hidden="1">[7]Data!#REF!</definedName>
    <definedName name="rPrjList11" hidden="1">[7]Data!#REF!</definedName>
    <definedName name="rRCT25" hidden="1">#REF!</definedName>
    <definedName name="rSchLen2" hidden="1">[6]PipeDesign!$D$144:$D$155</definedName>
    <definedName name="rSec2" hidden="1">[6]PipeDesign!$A$144:$A$155</definedName>
    <definedName name="rSeg2" hidden="1">[6]ProfileData!$A$45:$A$49</definedName>
    <definedName name="Salwood" hidden="1">[2]MatCol!$U$28</definedName>
    <definedName name="SbSys0102" hidden="1">'[6]Dmand 1'!$A$15:$P$23</definedName>
    <definedName name="SchLen2" hidden="1">[6]PipeDesign!$D$142</definedName>
    <definedName name="sencount" hidden="1">1</definedName>
    <definedName name="SMcriteria" hidden="1">[10]Data!#REF!</definedName>
    <definedName name="ssss" hidden="1">[4]DRates!#REF!</definedName>
    <definedName name="ssssss" hidden="1">[4]DRates!#REF!</definedName>
    <definedName name="sssssss" hidden="1">[4]DRates!#REF!</definedName>
    <definedName name="StatRem" hidden="1">[7]Data!#REF!</definedName>
    <definedName name="TLCost2" hidden="1">[5]PipeLineWork!$I$139</definedName>
    <definedName name="TLCost3" hidden="1">[5]PipeLineWork!$I$205</definedName>
    <definedName name="TLCost4" hidden="1">[5]PipeLineWork!$I$271</definedName>
    <definedName name="TLCost5" hidden="1">[5]PipeLineWork!$I$337</definedName>
    <definedName name="TLCost6" hidden="1">[5]PipeLineWork!$I$403</definedName>
    <definedName name="W_110" hidden="1">SUM([11]PipeList!S1048520:S1048560)</definedName>
    <definedName name="W16_32" hidden="1">SUM([11]PipeList!S2:S6)</definedName>
    <definedName name="W40_90" hidden="1">SUM([11]PipeList!S1048562:S1048576)</definedName>
    <definedName name="Wfit" hidden="1">'[12]Fittings-Summary'!XEZ313</definedName>
    <definedName name="Wgip" hidden="1">[11]PipeList!S44</definedName>
    <definedName name="Wucp" hidden="1">[11]PipeList!S57</definedName>
    <definedName name="wwwwww" hidden="1">[4]DRates!#REF!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1" l="1"/>
  <c r="I27" i="1"/>
  <c r="K27" i="1" s="1"/>
  <c r="H27" i="1"/>
  <c r="D27" i="1"/>
  <c r="E27" i="1" s="1"/>
  <c r="N26" i="1"/>
  <c r="I26" i="1"/>
  <c r="K26" i="1" s="1"/>
  <c r="H26" i="1"/>
  <c r="D26" i="1"/>
  <c r="E26" i="1" s="1"/>
  <c r="M25" i="1"/>
  <c r="N25" i="1" s="1"/>
  <c r="J25" i="1"/>
  <c r="K25" i="1" s="1"/>
  <c r="G25" i="1"/>
  <c r="H25" i="1" s="1"/>
  <c r="D25" i="1"/>
  <c r="E25" i="1" s="1"/>
  <c r="M24" i="1"/>
  <c r="N24" i="1" s="1"/>
  <c r="J24" i="1"/>
  <c r="K24" i="1" s="1"/>
  <c r="G24" i="1"/>
  <c r="H24" i="1" s="1"/>
  <c r="D24" i="1"/>
  <c r="E24" i="1" s="1"/>
  <c r="M23" i="1"/>
  <c r="N23" i="1" s="1"/>
  <c r="J23" i="1"/>
  <c r="K23" i="1" s="1"/>
  <c r="G23" i="1"/>
  <c r="H23" i="1" s="1"/>
  <c r="D23" i="1"/>
  <c r="E23" i="1" s="1"/>
  <c r="M22" i="1"/>
  <c r="N22" i="1" s="1"/>
  <c r="J22" i="1"/>
  <c r="K22" i="1" s="1"/>
  <c r="G22" i="1"/>
  <c r="H22" i="1" s="1"/>
  <c r="D22" i="1"/>
  <c r="E22" i="1" s="1"/>
  <c r="M21" i="1"/>
  <c r="N21" i="1" s="1"/>
  <c r="J21" i="1"/>
  <c r="K21" i="1" s="1"/>
  <c r="G21" i="1"/>
  <c r="H21" i="1" s="1"/>
  <c r="D21" i="1"/>
  <c r="E21" i="1" s="1"/>
  <c r="M20" i="1"/>
  <c r="N20" i="1" s="1"/>
  <c r="J20" i="1"/>
  <c r="K20" i="1" s="1"/>
  <c r="G20" i="1"/>
  <c r="H20" i="1" s="1"/>
  <c r="D20" i="1"/>
  <c r="E20" i="1" s="1"/>
  <c r="M19" i="1"/>
  <c r="N19" i="1" s="1"/>
  <c r="J19" i="1"/>
  <c r="K19" i="1" s="1"/>
  <c r="G19" i="1"/>
  <c r="H19" i="1" s="1"/>
  <c r="D19" i="1"/>
  <c r="E19" i="1" s="1"/>
  <c r="M18" i="1"/>
  <c r="N18" i="1" s="1"/>
  <c r="J18" i="1"/>
  <c r="K18" i="1" s="1"/>
  <c r="G18" i="1"/>
  <c r="H18" i="1" s="1"/>
  <c r="D18" i="1"/>
  <c r="E18" i="1" s="1"/>
  <c r="M17" i="1"/>
  <c r="N17" i="1" s="1"/>
  <c r="J17" i="1"/>
  <c r="K17" i="1" s="1"/>
  <c r="G17" i="1"/>
  <c r="H17" i="1" s="1"/>
  <c r="D17" i="1"/>
  <c r="E17" i="1" s="1"/>
  <c r="M16" i="1"/>
  <c r="N16" i="1" s="1"/>
  <c r="J16" i="1"/>
  <c r="K16" i="1" s="1"/>
  <c r="G16" i="1"/>
  <c r="H16" i="1" s="1"/>
  <c r="D16" i="1"/>
  <c r="E16" i="1" s="1"/>
  <c r="M15" i="1"/>
  <c r="N15" i="1" s="1"/>
  <c r="J15" i="1"/>
  <c r="K15" i="1" s="1"/>
  <c r="G15" i="1"/>
  <c r="H15" i="1" s="1"/>
  <c r="D15" i="1"/>
  <c r="E15" i="1" s="1"/>
  <c r="M14" i="1"/>
  <c r="N14" i="1" s="1"/>
  <c r="J14" i="1"/>
  <c r="K14" i="1" s="1"/>
  <c r="G14" i="1"/>
  <c r="H14" i="1" s="1"/>
  <c r="D14" i="1"/>
  <c r="E14" i="1" s="1"/>
  <c r="M13" i="1"/>
  <c r="N13" i="1" s="1"/>
  <c r="J13" i="1"/>
  <c r="K13" i="1" s="1"/>
  <c r="G13" i="1"/>
  <c r="H13" i="1" s="1"/>
  <c r="D13" i="1"/>
  <c r="E13" i="1" s="1"/>
  <c r="M12" i="1"/>
  <c r="N12" i="1" s="1"/>
  <c r="J12" i="1"/>
  <c r="K12" i="1" s="1"/>
  <c r="G12" i="1"/>
  <c r="H12" i="1" s="1"/>
  <c r="D12" i="1"/>
  <c r="E12" i="1" s="1"/>
  <c r="M11" i="1"/>
  <c r="N11" i="1" s="1"/>
  <c r="J11" i="1"/>
  <c r="K11" i="1" s="1"/>
  <c r="G11" i="1"/>
  <c r="H11" i="1" s="1"/>
  <c r="M10" i="1"/>
  <c r="N10" i="1" s="1"/>
  <c r="J10" i="1"/>
  <c r="K10" i="1" s="1"/>
  <c r="G10" i="1"/>
  <c r="H10" i="1" s="1"/>
  <c r="M9" i="1"/>
  <c r="N9" i="1" s="1"/>
  <c r="J9" i="1"/>
  <c r="K9" i="1" s="1"/>
  <c r="M8" i="1"/>
  <c r="N8" i="1" s="1"/>
</calcChain>
</file>

<file path=xl/sharedStrings.xml><?xml version="1.0" encoding="utf-8"?>
<sst xmlns="http://schemas.openxmlformats.org/spreadsheetml/2006/main" count="188" uniqueCount="65">
  <si>
    <t>Pipe Material</t>
  </si>
  <si>
    <t>PE 100</t>
  </si>
  <si>
    <t>When District Rate Available</t>
  </si>
  <si>
    <t>Diameter of pipe (mm)</t>
  </si>
  <si>
    <t>Size in inch</t>
  </si>
  <si>
    <t>Unit</t>
  </si>
  <si>
    <t>PN6</t>
  </si>
  <si>
    <t>PN10</t>
  </si>
  <si>
    <t>PN12.5</t>
  </si>
  <si>
    <t>PN16</t>
  </si>
  <si>
    <t>Equal Tee (PN10)</t>
  </si>
  <si>
    <t>0.5"</t>
  </si>
  <si>
    <t>m</t>
  </si>
  <si>
    <t>-</t>
  </si>
  <si>
    <t>0.75"</t>
  </si>
  <si>
    <t>1"</t>
  </si>
  <si>
    <t>1.25"</t>
  </si>
  <si>
    <t>1.5"</t>
  </si>
  <si>
    <t>2"</t>
  </si>
  <si>
    <t>2.5"</t>
  </si>
  <si>
    <t>3"</t>
  </si>
  <si>
    <t>4"</t>
  </si>
  <si>
    <t>4.5"</t>
  </si>
  <si>
    <t>5"</t>
  </si>
  <si>
    <t>6"</t>
  </si>
  <si>
    <t>7"</t>
  </si>
  <si>
    <t>8"</t>
  </si>
  <si>
    <t>9"</t>
  </si>
  <si>
    <t>10"</t>
  </si>
  <si>
    <t>11"</t>
  </si>
  <si>
    <t>12"</t>
  </si>
  <si>
    <t>14"</t>
  </si>
  <si>
    <t>16"</t>
  </si>
  <si>
    <t>18"</t>
  </si>
  <si>
    <t>20"</t>
  </si>
  <si>
    <t>District Rate Per Kg</t>
  </si>
  <si>
    <t>Rate per KG</t>
  </si>
  <si>
    <t>density</t>
  </si>
  <si>
    <t>Transportation</t>
  </si>
  <si>
    <t>Outer dia</t>
  </si>
  <si>
    <t>mm</t>
  </si>
  <si>
    <t>Wt</t>
  </si>
  <si>
    <t>Trans. Rate</t>
  </si>
  <si>
    <t>Total Rate</t>
  </si>
  <si>
    <t>Colour</t>
  </si>
  <si>
    <t>Green</t>
  </si>
  <si>
    <t>Yellow</t>
  </si>
  <si>
    <t>Purple</t>
  </si>
  <si>
    <t>White</t>
  </si>
  <si>
    <t>PVC Pipe</t>
  </si>
  <si>
    <t>pipes</t>
  </si>
  <si>
    <t>110mm 4kg/cm2</t>
  </si>
  <si>
    <t>rm</t>
  </si>
  <si>
    <t>75mm 4kg/cm2</t>
  </si>
  <si>
    <t>50mm 6kg/cm2</t>
  </si>
  <si>
    <t>UPVC</t>
  </si>
  <si>
    <t>Coupler</t>
  </si>
  <si>
    <t>Tee</t>
  </si>
  <si>
    <t>Clip</t>
  </si>
  <si>
    <t>Double Tee</t>
  </si>
  <si>
    <t>Vent Cowl</t>
  </si>
  <si>
    <t>Socket Plug</t>
  </si>
  <si>
    <t>HDPE DWC Pipes</t>
  </si>
  <si>
    <t>Diameter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</si>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</sst>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1" fillId="2" borderId="0" xfId="0" applyFont="1" applyFill="1"/>
    <xf numFmtId="9" fontId="3" fillId="3" borderId="0" xfId="0" applyNumberFormat="1" applyFont="1" applyFill="1"/>
    <xf numFmtId="0" fontId="1" fillId="0" borderId="3" xfId="0" applyFont="1" applyFill="1" applyBorder="1"/>
    <xf numFmtId="0" fontId="0" fillId="0" borderId="4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wrapText="1"/>
    </xf>
    <xf numFmtId="0" fontId="0" fillId="0" borderId="1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1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1" fillId="0" borderId="10" xfId="0" applyFont="1" applyFill="1" applyBorder="1"/>
    <xf numFmtId="0" fontId="1" fillId="0" borderId="1" xfId="0" applyFont="1" applyFill="1" applyBorder="1"/>
    <xf numFmtId="2" fontId="1" fillId="0" borderId="12" xfId="0" applyNumberFormat="1" applyFont="1" applyFill="1" applyBorder="1"/>
    <xf numFmtId="2" fontId="1" fillId="0" borderId="1" xfId="0" applyNumberFormat="1" applyFont="1" applyFill="1" applyBorder="1"/>
    <xf numFmtId="0" fontId="1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1" fillId="0" borderId="13" xfId="0" applyFont="1" applyFill="1" applyBorder="1"/>
    <xf numFmtId="2" fontId="1" fillId="0" borderId="15" xfId="0" applyNumberFormat="1" applyFont="1" applyFill="1" applyBorder="1"/>
    <xf numFmtId="2" fontId="1" fillId="0" borderId="16" xfId="0" applyNumberFormat="1" applyFont="1" applyFill="1" applyBorder="1"/>
    <xf numFmtId="0" fontId="1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1" fillId="0" borderId="17" xfId="0" applyFont="1" applyFill="1" applyBorder="1"/>
    <xf numFmtId="2" fontId="1" fillId="0" borderId="19" xfId="0" applyNumberFormat="1" applyFont="1" applyFill="1" applyBorder="1"/>
    <xf numFmtId="2" fontId="1" fillId="0" borderId="20" xfId="0" applyNumberFormat="1" applyFont="1" applyFill="1" applyBorder="1"/>
    <xf numFmtId="0" fontId="1" fillId="0" borderId="15" xfId="0" applyFont="1" applyFill="1" applyBorder="1"/>
    <xf numFmtId="0" fontId="3" fillId="0" borderId="0" xfId="0" applyFont="1" applyFill="1"/>
    <xf numFmtId="164" fontId="1" fillId="0" borderId="1" xfId="1" applyFont="1" applyFill="1" applyBorder="1" applyAlignment="1">
      <alignment horizontal="center"/>
    </xf>
    <xf numFmtId="43" fontId="1" fillId="0" borderId="1" xfId="1" applyNumberFormat="1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" xfId="0" applyFont="1" applyFill="1" applyBorder="1"/>
    <xf numFmtId="2" fontId="1" fillId="4" borderId="12" xfId="0" applyNumberFormat="1" applyFont="1" applyFill="1" applyBorder="1"/>
    <xf numFmtId="2" fontId="1" fillId="4" borderId="1" xfId="0" applyNumberFormat="1" applyFont="1" applyFill="1" applyBorder="1"/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068-69Work\Estimate-068-69\Khodpe%206566%20printed\Estimatekhodp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ang/Desktop/AK-Estimate-2072-7-1/Bhagbati%206,7/Design-Allekhola/Estim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f%20drive\Yojana-aayog\069-70\69-70Annual-program\western\New%20Karyakram\SASP_Quarter\All%20Files%20Data\rate%20analysi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f%20drive\Yojana-aayog\069-70\69-70Annual-program\western\New%20Karyakram\SASP_Quarter\All%20Files%20Data\DAM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Dilasaini-Rudreswor%20WSP\Desig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Admin\Estimates-Baitadi\Revised%20Haat\Developping\Desig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3%20KBKarki\Integrated%20Plan%20&amp;%20Progress-23%20June\DWSS%20Plan%20&amp;%20Progress\Exported%20Files\Tanah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f%20drive\Yojana-aayog\069-70\69-70Annual-program\western\New%20Karyakram\SASP_Quarter\All%20Files%20Data\Desig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3%20KBKarki\Integrated%20Plan%20&amp;%20Progress-23%20June\DWSS%20Plan%20&amp;%20Progress\Plan%20&amp;%20Progre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Annual%20prog\Copy%20of%20PLAN%20&amp;%20PROGRESS%20@%20WSSDO%2048-4-804%20,%2068-69new\Exported%20Files\Lamjung48&#8212;4&#8212;8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Users\morang\Desktop\AK-Estimate-2072-7-1\Bhagbati%206,7\Design-Allekhola\Desig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ropbox\GROUP%20WORK\RATE%20ANALYSIS\Users\morang\Desktop\AK-Estimate-2072-7-1\Bhagbati%206,7\Design-Allekhola\FITTIN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  <sheetName val="Esti 65_66 pump"/>
      <sheetName val="CostSummary"/>
      <sheetName val="Features"/>
      <sheetName val="Summary1"/>
      <sheetName val="Pipe line"/>
      <sheetName val="Pipe cost"/>
      <sheetName val="Fittings"/>
      <sheetName val="Tools"/>
      <sheetName val="SLTS"/>
      <sheetName val="Trainings"/>
      <sheetName val="Panera"/>
      <sheetName val="SprInt1"/>
      <sheetName val="SprInt2"/>
      <sheetName val="catchment"/>
      <sheetName val="StrInt1"/>
      <sheetName val="StrInt2"/>
      <sheetName val="StrInt3"/>
      <sheetName val="CCDCIC"/>
      <sheetName val="SedTank"/>
      <sheetName val="Eletro-mech (2)"/>
      <sheetName val="ConCh"/>
      <sheetName val="Pump support"/>
      <sheetName val="FER-SED"/>
      <sheetName val="FRT"/>
      <sheetName val="RCT"/>
      <sheetName val="PumpHouse"/>
      <sheetName val="BarSchedule"/>
      <sheetName val="Fence"/>
      <sheetName val="RCC VC"/>
      <sheetName val="Rcc DC,IC,BPC"/>
      <sheetName val="PBPC"/>
      <sheetName val="VCs"/>
      <sheetName val="Cabl-Des"/>
      <sheetName val="CabCros"/>
      <sheetName val="UnderCros"/>
      <sheetName val="Piprot"/>
      <sheetName val="Miscel"/>
      <sheetName val="Toilet"/>
      <sheetName val="MRT1"/>
      <sheetName val="PSP III"/>
      <sheetName val="PSP1"/>
      <sheetName val="PSP2"/>
      <sheetName val="VIP1"/>
      <sheetName val="VIP2"/>
      <sheetName val="VIP3"/>
      <sheetName val="DP Lat"/>
      <sheetName val="MRT"/>
      <sheetName val="Sheets"/>
      <sheetName val="HDP rate"/>
      <sheetName val="RtAn"/>
      <sheetName val="MatCol"/>
      <sheetName val="DRates"/>
      <sheetName val="Miscella"/>
      <sheetName val="Billpipeline"/>
      <sheetName val="work comp"/>
      <sheetName val="Eletro-mech"/>
      <sheetName val="BillSch1 (2)"/>
      <sheetName val="Agreement1"/>
      <sheetName val="work compsche1"/>
      <sheetName val="BillSch1"/>
      <sheetName val="work compsch4"/>
      <sheetName val="Agreement4(67_68)"/>
      <sheetName val="Agreement 2(67_68) "/>
      <sheetName val="BillSch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>
            <v>5.45</v>
          </cell>
        </row>
      </sheetData>
      <sheetData sheetId="20"/>
      <sheetData sheetId="21"/>
      <sheetData sheetId="22"/>
      <sheetData sheetId="23"/>
      <sheetData sheetId="24">
        <row r="87">
          <cell r="K87">
            <v>68574.948396035266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J9">
            <v>25</v>
          </cell>
        </row>
      </sheetData>
      <sheetData sheetId="49"/>
      <sheetData sheetId="50">
        <row r="1">
          <cell r="B1">
            <v>13</v>
          </cell>
        </row>
      </sheetData>
      <sheetData sheetId="51">
        <row r="31">
          <cell r="K31">
            <v>72.198125000000005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P-3"/>
      <sheetName val="CostSummary"/>
      <sheetName val="BLANK QNTT Sheet"/>
      <sheetName val="Trainings"/>
      <sheetName val="SLTS Budget Summary"/>
      <sheetName val="Intake Repairs"/>
      <sheetName val="Panera"/>
      <sheetName val="repairs of structures"/>
      <sheetName val="RT Repair"/>
      <sheetName val="SprInt1"/>
      <sheetName val="SprInt2"/>
      <sheetName val="Compound"/>
      <sheetName val="Pump House"/>
      <sheetName val="Sumpwell"/>
      <sheetName val="Electrical"/>
      <sheetName val="StrInt1"/>
      <sheetName val="StrInt2"/>
      <sheetName val="StrInt3"/>
      <sheetName val="Masonry CC,DC,IC,BPT"/>
      <sheetName val="SedTank"/>
      <sheetName val="ConCh"/>
      <sheetName val="FER-SED"/>
      <sheetName val="MRT"/>
      <sheetName val="FRT"/>
      <sheetName val="RCT"/>
      <sheetName val="BarSchedule"/>
      <sheetName val="Sheets"/>
      <sheetName val="Fence"/>
      <sheetName val="RCC VC"/>
      <sheetName val="Rcc CC,DC,IC,BPC"/>
      <sheetName val="PBPC"/>
      <sheetName val="VCs"/>
      <sheetName val="Cabl-Cross"/>
      <sheetName val="UnderCros"/>
      <sheetName val="Piprot"/>
      <sheetName val="Miscel"/>
      <sheetName val="PSP1"/>
      <sheetName val="HouseConection"/>
      <sheetName val="Operator House"/>
      <sheetName val="PSP2"/>
      <sheetName val="MRT-1"/>
      <sheetName val="PSP-4B"/>
      <sheetName val="PSP V"/>
      <sheetName val="VIP1"/>
      <sheetName val="VIP2"/>
      <sheetName val="VIP3"/>
      <sheetName val="DP Lat"/>
      <sheetName val="RtAn"/>
      <sheetName val="MatCol"/>
      <sheetName val="CCDCIC"/>
      <sheetName val="SteelForm"/>
      <sheetName val="Rcc DC,IC,BPC"/>
      <sheetName val="RCCRT1"/>
      <sheetName val="Bar1"/>
      <sheetName val="FRT 1"/>
      <sheetName val="MRT1"/>
      <sheetName val="RMT100"/>
      <sheetName val="RMT150"/>
      <sheetName val="Cabl-Des"/>
      <sheetName val="CabCros"/>
      <sheetName val="DRates"/>
      <sheetName val="ElectroMech"/>
      <sheetName val="Trainings work"/>
      <sheetName val="House connection"/>
      <sheetName val="Pipe supporter"/>
      <sheetName val="For filter media"/>
      <sheetName val="Rtna2"/>
      <sheetName val="Sump well"/>
      <sheetName val="Guard and pump house"/>
      <sheetName val="pipe cost"/>
      <sheetName val="Summary of Cost_TS"/>
      <sheetName val="BOQ Treatment plant"/>
      <sheetName val="Casing pipe"/>
      <sheetName val="Laying&amp;Jointing DL "/>
      <sheetName val="Procurement of pipe"/>
      <sheetName val="Summary of cost"/>
      <sheetName val="Silent feature "/>
      <sheetName val="Electrome"/>
      <sheetName val="ElectroMech (final)"/>
      <sheetName val="Hattidhunga pump"/>
      <sheetName val="Pumphouse"/>
      <sheetName val="Pump Capacity"/>
      <sheetName val="Sel of pump"/>
      <sheetName val="SUMM Final "/>
      <sheetName val="Salint-Feartures."/>
      <sheetName val="Appro."/>
      <sheetName val="Pipe"/>
      <sheetName val="HRF"/>
      <sheetName val="Sheet1"/>
      <sheetName val="Valve"/>
      <sheetName val="MRT (1)"/>
      <sheetName val="PSP III"/>
      <sheetName val="Estimate"/>
      <sheetName val="DisInfecChambr"/>
      <sheetName val="Operator House (2)"/>
      <sheetName val="SedTank-RCC8LPS"/>
      <sheetName val="LowWeirIntk1"/>
      <sheetName val="Cabl-Des (2)"/>
      <sheetName val="Fence (2)"/>
      <sheetName val="SUMM Final"/>
      <sheetName val="SW"/>
      <sheetName val="S Feature65_66"/>
      <sheetName val="Summary65_66"/>
      <sheetName val="Fitting"/>
      <sheetName val="Fitting (2)"/>
      <sheetName val="T&amp;P"/>
      <sheetName val="pipeline"/>
      <sheetName val="Electromechanical"/>
      <sheetName val="Eletro-mech"/>
      <sheetName val="PSP1SM"/>
      <sheetName val="PSPII"/>
      <sheetName val="MRT (1cum)"/>
      <sheetName val="MRT (2cum)"/>
      <sheetName val="Mason CC"/>
      <sheetName val="BPC)"/>
      <sheetName val="Toilet"/>
      <sheetName val="HDP Rate"/>
      <sheetName val="Agreement"/>
      <sheetName val="Workcomp"/>
      <sheetName val="Bill 67_68"/>
      <sheetName val="OfficeBldg-B (2)"/>
      <sheetName val="StrIntk4"/>
      <sheetName val="OfficeBldg-B1"/>
      <sheetName val="SSF"/>
      <sheetName val="Pump House-B"/>
      <sheetName val="Operator House-B"/>
      <sheetName val="Site Dev"/>
      <sheetName val="OfficeBldg-A"/>
      <sheetName val="Salient feature (2)"/>
      <sheetName val="Sump well (Tansen)"/>
      <sheetName val="Purcurement of pipe DL"/>
      <sheetName val="LnJ DL Sch2"/>
      <sheetName val="LnJ DL Sch4"/>
      <sheetName val="LnJ DL Sch5"/>
      <sheetName val="Summary DL"/>
      <sheetName val="Salient feature"/>
      <sheetName val="Junction Well"/>
      <sheetName val="data"/>
      <sheetName val="Casing Well"/>
      <sheetName val="FENC"/>
      <sheetName val="Pipeline works"/>
      <sheetName val="Protection block"/>
      <sheetName val="Pipe transportation"/>
      <sheetName val="Gabion Protection"/>
      <sheetName val="Latrine"/>
      <sheetName val="agrmt-2072-73"/>
      <sheetName val="1st bill"/>
      <sheetName val="BAR+GATE"/>
      <sheetName val="Sheet2"/>
      <sheetName val="Entry for Rates"/>
      <sheetName val="Rate-1"/>
      <sheetName val="MR"/>
      <sheetName val="sum cost_All"/>
      <sheetName val="Source"/>
      <sheetName val="Scheme(maidan)"/>
      <sheetName val="Electro-mech"/>
      <sheetName val="hmg-cc"/>
      <sheetName val="Weel-Protec"/>
      <sheetName val="Rates"/>
      <sheetName val="gi pipe weld"/>
      <sheetName val="stream intake"/>
      <sheetName val="int"/>
      <sheetName val="AIR-VLV"/>
      <sheetName val="pip-line Shasralinga (8)"/>
      <sheetName val="pip-line Raigaun Saurad (7)"/>
      <sheetName val="pip-line Finnikot (6)"/>
      <sheetName val="pip-line Chauuripaad (5)"/>
      <sheetName val="pip-line Maurada(4)"/>
      <sheetName val="pip-line Gagarmati(3)"/>
      <sheetName val="Pipeline CHIDIYAR"/>
      <sheetName val="pip-line"/>
      <sheetName val="Pipe Raigaun Shasralinga(8)"/>
      <sheetName val="Pipe Raigaun Sarad(7)"/>
      <sheetName val="Pipe Finnikot(6)"/>
      <sheetName val="Pipe Chaauripaad(5)"/>
      <sheetName val="Pipe Maurada (4)"/>
      <sheetName val="Pipe Gagarmati (3)"/>
      <sheetName val="pipe CHIDIYAR"/>
      <sheetName val="STR-CRS2"/>
      <sheetName val="DC_3 Ch"/>
      <sheetName val="FITINGS"/>
      <sheetName val="CC-DC"/>
      <sheetName val="vc-bpt"/>
      <sheetName val="Scheme1"/>
      <sheetName val="14 m3"/>
      <sheetName val="10 m3"/>
      <sheetName val="FittingsSummary (2)"/>
      <sheetName val="tools"/>
      <sheetName val="fe-Rt quant"/>
      <sheetName val="Module1"/>
      <sheetName val="9m3 rvt"/>
      <sheetName val="Analysis"/>
      <sheetName val="fittings"/>
      <sheetName val="Pipeline anildhar"/>
      <sheetName val="pipe anildhar"/>
      <sheetName val="10 m3 rvt"/>
      <sheetName val="T &amp; P"/>
      <sheetName val="update Rate"/>
      <sheetName val="Basi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3">
          <cell r="L63">
            <v>1</v>
          </cell>
        </row>
      </sheetData>
      <sheetData sheetId="18"/>
      <sheetData sheetId="19">
        <row r="3">
          <cell r="K3">
            <v>1</v>
          </cell>
        </row>
      </sheetData>
      <sheetData sheetId="20" refreshError="1"/>
      <sheetData sheetId="21">
        <row r="1">
          <cell r="B1">
            <v>15</v>
          </cell>
        </row>
      </sheetData>
      <sheetData sheetId="22" refreshError="1"/>
      <sheetData sheetId="23" refreshError="1">
        <row r="87">
          <cell r="K87">
            <v>172874.82028129447</v>
          </cell>
        </row>
        <row r="169">
          <cell r="K169">
            <v>80090.325608524057</v>
          </cell>
        </row>
        <row r="251">
          <cell r="K251">
            <v>119542.3171296511</v>
          </cell>
        </row>
        <row r="333">
          <cell r="K333">
            <v>177200.17749855685</v>
          </cell>
        </row>
      </sheetData>
      <sheetData sheetId="24" refreshError="1">
        <row r="98">
          <cell r="K98">
            <v>555520.14478992065</v>
          </cell>
        </row>
        <row r="286">
          <cell r="K286">
            <v>238779.83241328868</v>
          </cell>
        </row>
      </sheetData>
      <sheetData sheetId="25" refreshError="1"/>
      <sheetData sheetId="26">
        <row r="9">
          <cell r="J9">
            <v>10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B1">
            <v>13</v>
          </cell>
        </row>
      </sheetData>
      <sheetData sheetId="48" refreshError="1">
        <row r="6">
          <cell r="D6">
            <v>1.91</v>
          </cell>
        </row>
        <row r="28">
          <cell r="U28">
            <v>65416.6</v>
          </cell>
        </row>
        <row r="36">
          <cell r="U36">
            <v>93.936363636363637</v>
          </cell>
        </row>
        <row r="37">
          <cell r="U37">
            <v>93.936363636363637</v>
          </cell>
        </row>
        <row r="39">
          <cell r="U39">
            <v>6283.4181818181814</v>
          </cell>
        </row>
        <row r="40">
          <cell r="U40">
            <v>430.70363636363635</v>
          </cell>
        </row>
        <row r="62">
          <cell r="U62">
            <v>31500</v>
          </cell>
        </row>
        <row r="63">
          <cell r="U63">
            <v>24500</v>
          </cell>
        </row>
        <row r="64">
          <cell r="U64">
            <v>174</v>
          </cell>
        </row>
      </sheetData>
      <sheetData sheetId="49"/>
      <sheetData sheetId="50">
        <row r="41">
          <cell r="K41">
            <v>1731.6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Summary"/>
      <sheetName val="Trainings"/>
      <sheetName val="SprInt1"/>
      <sheetName val="SprInt2"/>
      <sheetName val="StrInt1"/>
      <sheetName val="StrInt2"/>
      <sheetName val="thadokhola"/>
      <sheetName val="Panera"/>
      <sheetName val="CCDCIC"/>
      <sheetName val="Sheet1"/>
      <sheetName val="FER-SED"/>
      <sheetName val="SedTank"/>
      <sheetName val="village con. baj"/>
      <sheetName val="village con. kunchal"/>
      <sheetName val="SteelForm"/>
      <sheetName val="RCC VC"/>
      <sheetName val="Rcc DC,IC,BPC"/>
      <sheetName val="PBPC"/>
      <sheetName val="VCs"/>
      <sheetName val="kunchal comparative"/>
      <sheetName val="Qt form baj"/>
      <sheetName val="kunchal qtform"/>
      <sheetName val="comp bajra"/>
      <sheetName val="agge bajra"/>
      <sheetName val="kunchal agge"/>
      <sheetName val="Kunchhal"/>
      <sheetName val="RCCRT1"/>
      <sheetName val="Bar1"/>
      <sheetName val="Sheets"/>
      <sheetName val="FRT 1"/>
      <sheetName val="MRT1"/>
      <sheetName val="RMT100"/>
      <sheetName val="RMT150"/>
      <sheetName val="Fence"/>
      <sheetName val="Cabl-Des"/>
      <sheetName val="CabCros"/>
      <sheetName val="UnderCros"/>
      <sheetName val="Piprot"/>
      <sheetName val="Miscel"/>
      <sheetName val="PSP1"/>
      <sheetName val="PSP2"/>
      <sheetName val="VIP1"/>
      <sheetName val="VIP2"/>
      <sheetName val="VIP3"/>
      <sheetName val="DP La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P &amp; GI Pipe (2)"/>
      <sheetName val="FER-5"/>
      <sheetName val="Summary of cost"/>
      <sheetName val="FRT-6M3"/>
      <sheetName val="Fittings"/>
      <sheetName val="HDP &amp; GI Pipe"/>
      <sheetName val="Barbed"/>
      <sheetName val="Valve Ch."/>
      <sheetName val="DRates"/>
      <sheetName val="Daman"/>
      <sheetName val="MatCol"/>
      <sheetName val="RtAn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heckList"/>
      <sheetName val="Dmand 7"/>
      <sheetName val="Dmand 6"/>
      <sheetName val="Dmand 5"/>
      <sheetName val="Dmand 4"/>
      <sheetName val="Dmand 3"/>
      <sheetName val="Dmand 2"/>
      <sheetName val="Dmand 1"/>
      <sheetName val="ProfileData"/>
      <sheetName val="PipeDesign"/>
      <sheetName val="PD-TMPLT"/>
      <sheetName val="PipeDesign (2)"/>
      <sheetName val="Plot"/>
      <sheetName val="FlowDiagram"/>
      <sheetName val="Profile"/>
      <sheetName val="PipeList"/>
      <sheetName val="PipeLineWork"/>
      <sheetName val="PFdata"/>
      <sheetName val="Features"/>
      <sheetName val="FitData"/>
      <sheetName val="Fittings"/>
      <sheetName val="T&amp;P"/>
      <sheetName val="Summary"/>
      <sheetName val="DrawingControl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0">
          <cell r="B10" t="str">
            <v>TRANSMISSION  LINE</v>
          </cell>
        </row>
        <row r="34">
          <cell r="B34" t="str">
            <v>TRANSMISSION  LINE</v>
          </cell>
          <cell r="D34">
            <v>0</v>
          </cell>
          <cell r="M34" t="str">
            <v>OD</v>
          </cell>
          <cell r="T34" t="str">
            <v>SOIL</v>
          </cell>
        </row>
        <row r="35">
          <cell r="A35">
            <v>1</v>
          </cell>
          <cell r="B35" t="str">
            <v>INT2</v>
          </cell>
          <cell r="C35" t="str">
            <v>p1</v>
          </cell>
          <cell r="F35">
            <v>1300</v>
          </cell>
          <cell r="G35">
            <v>1294</v>
          </cell>
          <cell r="H35">
            <v>1300</v>
          </cell>
          <cell r="I35">
            <v>1300</v>
          </cell>
          <cell r="J35">
            <v>6</v>
          </cell>
          <cell r="K35">
            <v>6</v>
          </cell>
          <cell r="L35">
            <v>6</v>
          </cell>
          <cell r="M35">
            <v>32</v>
          </cell>
          <cell r="N35">
            <v>6</v>
          </cell>
          <cell r="O35">
            <v>26.9</v>
          </cell>
          <cell r="P35">
            <v>0</v>
          </cell>
          <cell r="Q35">
            <v>6</v>
          </cell>
          <cell r="R35">
            <v>0</v>
          </cell>
          <cell r="S35">
            <v>1300</v>
          </cell>
          <cell r="W35" t="str">
            <v>326</v>
          </cell>
          <cell r="X35">
            <v>0.02</v>
          </cell>
          <cell r="Y35" t="e">
            <v>#DIV/0!</v>
          </cell>
          <cell r="Z35">
            <v>0.12</v>
          </cell>
          <cell r="AA35">
            <v>0</v>
          </cell>
        </row>
        <row r="37">
          <cell r="B37" t="str">
            <v>DISTRIBUTION  LINE</v>
          </cell>
          <cell r="D37">
            <v>1366</v>
          </cell>
          <cell r="M37" t="str">
            <v>OD</v>
          </cell>
          <cell r="T37" t="str">
            <v>SOIL</v>
          </cell>
        </row>
        <row r="38">
          <cell r="A38">
            <v>2</v>
          </cell>
          <cell r="B38" t="str">
            <v>INT2</v>
          </cell>
          <cell r="C38" t="str">
            <v>p1</v>
          </cell>
          <cell r="D38">
            <v>360</v>
          </cell>
          <cell r="E38">
            <v>0.5</v>
          </cell>
          <cell r="F38">
            <v>1300</v>
          </cell>
          <cell r="G38">
            <v>1294</v>
          </cell>
          <cell r="H38">
            <v>1300</v>
          </cell>
          <cell r="I38">
            <v>1300</v>
          </cell>
          <cell r="J38">
            <v>6</v>
          </cell>
          <cell r="K38">
            <v>6</v>
          </cell>
          <cell r="L38">
            <v>6</v>
          </cell>
          <cell r="M38">
            <v>50</v>
          </cell>
          <cell r="N38">
            <v>6</v>
          </cell>
          <cell r="O38">
            <v>42.2</v>
          </cell>
          <cell r="P38">
            <v>1.841</v>
          </cell>
          <cell r="Q38">
            <v>4.1589999999999998</v>
          </cell>
          <cell r="R38">
            <v>0.35733902897713232</v>
          </cell>
          <cell r="S38">
            <v>1298.1590000000001</v>
          </cell>
          <cell r="T38" t="str">
            <v>GBM</v>
          </cell>
          <cell r="W38" t="str">
            <v>506</v>
          </cell>
          <cell r="X38">
            <v>3.0143639911412543E-2</v>
          </cell>
          <cell r="Y38">
            <v>0.99985405752228251</v>
          </cell>
          <cell r="Z38">
            <v>0.1</v>
          </cell>
          <cell r="AA38">
            <v>11511.226734988537</v>
          </cell>
        </row>
        <row r="39">
          <cell r="A39">
            <v>3</v>
          </cell>
          <cell r="B39" t="str">
            <v>p1</v>
          </cell>
          <cell r="C39" t="str">
            <v>p2</v>
          </cell>
          <cell r="D39">
            <v>6</v>
          </cell>
          <cell r="E39">
            <v>0.4</v>
          </cell>
          <cell r="F39">
            <v>1294</v>
          </cell>
          <cell r="G39">
            <v>1294</v>
          </cell>
          <cell r="H39">
            <v>1300</v>
          </cell>
          <cell r="I39">
            <v>1298.1590000000001</v>
          </cell>
          <cell r="J39">
            <v>0</v>
          </cell>
          <cell r="K39">
            <v>6</v>
          </cell>
          <cell r="L39">
            <v>4.1590000000001055</v>
          </cell>
          <cell r="M39">
            <v>1.5</v>
          </cell>
          <cell r="N39" t="str">
            <v>MC</v>
          </cell>
          <cell r="O39">
            <v>38.1</v>
          </cell>
          <cell r="P39">
            <v>3.6999999999999998E-2</v>
          </cell>
          <cell r="Q39">
            <v>4.1220000000001056</v>
          </cell>
          <cell r="R39">
            <v>0.35070777212261495</v>
          </cell>
          <cell r="S39">
            <v>1298.1220000000001</v>
          </cell>
          <cell r="T39" t="str">
            <v>GBM</v>
          </cell>
          <cell r="V39" t="str">
            <v>CROSS</v>
          </cell>
          <cell r="W39" t="str">
            <v>1.5MC</v>
          </cell>
          <cell r="X39">
            <v>3.4508708494711528E-2</v>
          </cell>
          <cell r="Y39">
            <v>1.0000255697023794</v>
          </cell>
          <cell r="Z39">
            <v>1</v>
          </cell>
          <cell r="AA39">
            <v>10199.974135779868</v>
          </cell>
        </row>
        <row r="40">
          <cell r="A40">
            <v>4</v>
          </cell>
          <cell r="B40" t="str">
            <v>p2</v>
          </cell>
          <cell r="C40" t="str">
            <v>p3</v>
          </cell>
          <cell r="D40">
            <v>230</v>
          </cell>
          <cell r="E40">
            <v>0.4</v>
          </cell>
          <cell r="F40">
            <v>1294</v>
          </cell>
          <cell r="G40">
            <v>1290</v>
          </cell>
          <cell r="H40">
            <v>1300</v>
          </cell>
          <cell r="I40">
            <v>1298.1220000000001</v>
          </cell>
          <cell r="J40">
            <v>4</v>
          </cell>
          <cell r="K40">
            <v>10</v>
          </cell>
          <cell r="L40">
            <v>8.1220000000000709</v>
          </cell>
          <cell r="M40">
            <v>40</v>
          </cell>
          <cell r="N40">
            <v>6</v>
          </cell>
          <cell r="O40">
            <v>33.700000000000003</v>
          </cell>
          <cell r="P40">
            <v>2.3239999999999998</v>
          </cell>
          <cell r="Q40">
            <v>5.7980000000000711</v>
          </cell>
          <cell r="R40">
            <v>0.44826573192588554</v>
          </cell>
          <cell r="S40">
            <v>1295.798</v>
          </cell>
          <cell r="T40" t="str">
            <v>GBM</v>
          </cell>
          <cell r="W40" t="str">
            <v>406</v>
          </cell>
          <cell r="X40">
            <v>3.0230900558784586E-2</v>
          </cell>
          <cell r="Y40">
            <v>0.99992083386021735</v>
          </cell>
          <cell r="Z40">
            <v>0.1</v>
          </cell>
          <cell r="AA40">
            <v>11531.721500688811</v>
          </cell>
        </row>
        <row r="41">
          <cell r="A41">
            <v>5</v>
          </cell>
          <cell r="B41" t="str">
            <v>p3</v>
          </cell>
          <cell r="C41" t="str">
            <v>Tap1</v>
          </cell>
          <cell r="D41">
            <v>130</v>
          </cell>
          <cell r="E41">
            <v>0.4</v>
          </cell>
          <cell r="F41">
            <v>1290</v>
          </cell>
          <cell r="G41">
            <v>1275</v>
          </cell>
          <cell r="H41">
            <v>1300</v>
          </cell>
          <cell r="I41">
            <v>1295.798</v>
          </cell>
          <cell r="J41">
            <v>15</v>
          </cell>
          <cell r="K41">
            <v>25</v>
          </cell>
          <cell r="L41">
            <v>20.798000000000002</v>
          </cell>
          <cell r="M41">
            <v>32</v>
          </cell>
          <cell r="N41">
            <v>6</v>
          </cell>
          <cell r="O41">
            <v>26.9</v>
          </cell>
          <cell r="P41">
            <v>3.8490000000000002</v>
          </cell>
          <cell r="Q41">
            <v>16.949000000000002</v>
          </cell>
          <cell r="R41">
            <v>0.70354321953940546</v>
          </cell>
          <cell r="S41">
            <v>1291.9490000000001</v>
          </cell>
          <cell r="T41" t="str">
            <v>GBM</v>
          </cell>
          <cell r="W41" t="str">
            <v>326</v>
          </cell>
          <cell r="X41">
            <v>2.8703685541613316E-2</v>
          </cell>
          <cell r="Y41">
            <v>0.99907070350800242</v>
          </cell>
          <cell r="Z41">
            <v>0.1</v>
          </cell>
          <cell r="AA41">
            <v>14446.80351573283</v>
          </cell>
        </row>
        <row r="42">
          <cell r="A42">
            <v>6</v>
          </cell>
          <cell r="B42" t="str">
            <v>Tap1</v>
          </cell>
          <cell r="C42" t="str">
            <v>Tap2</v>
          </cell>
          <cell r="D42">
            <v>270</v>
          </cell>
          <cell r="E42">
            <v>0.2</v>
          </cell>
          <cell r="F42">
            <v>1275</v>
          </cell>
          <cell r="G42">
            <v>1245</v>
          </cell>
          <cell r="H42">
            <v>1300</v>
          </cell>
          <cell r="I42">
            <v>1291.9490000000001</v>
          </cell>
          <cell r="J42">
            <v>30</v>
          </cell>
          <cell r="K42">
            <v>55</v>
          </cell>
          <cell r="L42">
            <v>46.949000000000069</v>
          </cell>
          <cell r="M42">
            <v>25</v>
          </cell>
          <cell r="N42">
            <v>10</v>
          </cell>
          <cell r="O42">
            <v>18.899999999999999</v>
          </cell>
          <cell r="P42">
            <v>12.798999999999999</v>
          </cell>
          <cell r="Q42">
            <v>34.15000000000007</v>
          </cell>
          <cell r="R42">
            <v>0.71259330518589792</v>
          </cell>
          <cell r="S42">
            <v>1279.1500000000001</v>
          </cell>
          <cell r="T42" t="str">
            <v>GBM</v>
          </cell>
          <cell r="W42" t="str">
            <v>2510</v>
          </cell>
          <cell r="X42">
            <v>3.1469123395860638E-2</v>
          </cell>
          <cell r="Y42">
            <v>0.99993134305078357</v>
          </cell>
          <cell r="Z42">
            <v>0.1</v>
          </cell>
          <cell r="AA42">
            <v>10280.926311460662</v>
          </cell>
        </row>
        <row r="43">
          <cell r="A43">
            <v>7</v>
          </cell>
          <cell r="B43" t="str">
            <v>Tap2</v>
          </cell>
          <cell r="C43" t="str">
            <v>Tap 3</v>
          </cell>
          <cell r="D43">
            <v>100</v>
          </cell>
          <cell r="E43">
            <v>0.1</v>
          </cell>
          <cell r="F43">
            <v>1245</v>
          </cell>
          <cell r="G43">
            <v>1230</v>
          </cell>
          <cell r="H43">
            <v>1300</v>
          </cell>
          <cell r="I43">
            <v>1279.1500000000001</v>
          </cell>
          <cell r="J43">
            <v>15</v>
          </cell>
          <cell r="K43">
            <v>70</v>
          </cell>
          <cell r="L43">
            <v>49.150000000000091</v>
          </cell>
          <cell r="M43">
            <v>16</v>
          </cell>
          <cell r="N43">
            <v>10</v>
          </cell>
          <cell r="O43">
            <v>11.6</v>
          </cell>
          <cell r="P43">
            <v>14.510999999999999</v>
          </cell>
          <cell r="Q43">
            <v>34.639000000000095</v>
          </cell>
          <cell r="R43">
            <v>0.94584369257377576</v>
          </cell>
          <cell r="S43">
            <v>1264.6390000000001</v>
          </cell>
          <cell r="T43" t="str">
            <v>GBM</v>
          </cell>
          <cell r="W43" t="str">
            <v>1610</v>
          </cell>
          <cell r="X43">
            <v>3.3559988995374754E-2</v>
          </cell>
          <cell r="Y43">
            <v>0.99965805576564937</v>
          </cell>
          <cell r="Z43">
            <v>0.1</v>
          </cell>
          <cell r="AA43">
            <v>8375.4097968364877</v>
          </cell>
        </row>
        <row r="45">
          <cell r="A45">
            <v>8</v>
          </cell>
          <cell r="B45" t="str">
            <v>Tap1</v>
          </cell>
          <cell r="C45" t="str">
            <v>P01</v>
          </cell>
          <cell r="D45">
            <v>150</v>
          </cell>
          <cell r="E45">
            <v>0.1</v>
          </cell>
          <cell r="F45">
            <v>1275</v>
          </cell>
          <cell r="G45">
            <v>1260</v>
          </cell>
          <cell r="H45">
            <v>1300</v>
          </cell>
          <cell r="I45">
            <v>1291.9490000000001</v>
          </cell>
          <cell r="J45">
            <v>15</v>
          </cell>
          <cell r="K45">
            <v>40</v>
          </cell>
          <cell r="L45">
            <v>31.949000000000069</v>
          </cell>
          <cell r="M45">
            <v>20</v>
          </cell>
          <cell r="N45">
            <v>10</v>
          </cell>
          <cell r="O45">
            <v>14.9</v>
          </cell>
          <cell r="P45">
            <v>6.5910000000000002</v>
          </cell>
          <cell r="Q45">
            <v>25.358000000000068</v>
          </cell>
          <cell r="R45">
            <v>0.57327475011363127</v>
          </cell>
          <cell r="S45">
            <v>1285.3580000000002</v>
          </cell>
          <cell r="T45" t="str">
            <v>GBM</v>
          </cell>
          <cell r="W45" t="str">
            <v>2010</v>
          </cell>
          <cell r="X45">
            <v>3.5530707389303556E-2</v>
          </cell>
          <cell r="Y45">
            <v>1.0001401798865339</v>
          </cell>
          <cell r="Z45">
            <v>0.1</v>
          </cell>
          <cell r="AA45">
            <v>6520.4532646512262</v>
          </cell>
        </row>
        <row r="46">
          <cell r="A46">
            <v>9</v>
          </cell>
          <cell r="B46" t="str">
            <v>P01</v>
          </cell>
          <cell r="C46" t="str">
            <v>Tap5</v>
          </cell>
          <cell r="D46">
            <v>100</v>
          </cell>
          <cell r="E46">
            <v>0.1</v>
          </cell>
          <cell r="F46">
            <v>1260</v>
          </cell>
          <cell r="G46">
            <v>1255</v>
          </cell>
          <cell r="H46">
            <v>1300</v>
          </cell>
          <cell r="I46">
            <v>1285.3580000000002</v>
          </cell>
          <cell r="J46">
            <v>5</v>
          </cell>
          <cell r="K46">
            <v>45</v>
          </cell>
          <cell r="L46">
            <v>30.358000000000175</v>
          </cell>
          <cell r="M46">
            <v>20</v>
          </cell>
          <cell r="N46">
            <v>10</v>
          </cell>
          <cell r="O46">
            <v>14.9</v>
          </cell>
          <cell r="P46">
            <v>4.3940000000000001</v>
          </cell>
          <cell r="Q46">
            <v>25.964000000000176</v>
          </cell>
          <cell r="R46">
            <v>0.57327475011363127</v>
          </cell>
          <cell r="S46">
            <v>1280.9640000000002</v>
          </cell>
          <cell r="T46" t="str">
            <v>GBM</v>
          </cell>
          <cell r="W46" t="str">
            <v>2010</v>
          </cell>
          <cell r="X46">
            <v>3.5530707389303556E-2</v>
          </cell>
          <cell r="Y46">
            <v>1.0001401798865339</v>
          </cell>
          <cell r="Z46">
            <v>0.1</v>
          </cell>
          <cell r="AA46">
            <v>6520.4532646512262</v>
          </cell>
        </row>
        <row r="48">
          <cell r="A48">
            <v>10</v>
          </cell>
          <cell r="B48" t="str">
            <v>P1</v>
          </cell>
          <cell r="C48" t="str">
            <v>Tap4</v>
          </cell>
          <cell r="D48">
            <v>20</v>
          </cell>
          <cell r="E48">
            <v>0.1</v>
          </cell>
          <cell r="F48">
            <v>1294</v>
          </cell>
          <cell r="G48">
            <v>1293</v>
          </cell>
          <cell r="H48">
            <v>1300</v>
          </cell>
          <cell r="I48">
            <v>1298.1590000000001</v>
          </cell>
          <cell r="J48">
            <v>1</v>
          </cell>
          <cell r="K48">
            <v>7</v>
          </cell>
          <cell r="L48">
            <v>5.1590000000001055</v>
          </cell>
          <cell r="M48">
            <v>20</v>
          </cell>
          <cell r="N48">
            <v>10</v>
          </cell>
          <cell r="O48">
            <v>14.9</v>
          </cell>
          <cell r="P48">
            <v>0.879</v>
          </cell>
          <cell r="Q48">
            <v>4.2800000000001059</v>
          </cell>
          <cell r="R48">
            <v>0.57327475011363127</v>
          </cell>
          <cell r="S48">
            <v>1297.2800000000002</v>
          </cell>
          <cell r="T48" t="str">
            <v>GBM</v>
          </cell>
          <cell r="W48" t="str">
            <v>2010</v>
          </cell>
          <cell r="X48">
            <v>3.5530707389303556E-2</v>
          </cell>
          <cell r="Y48">
            <v>1.0001401798865339</v>
          </cell>
          <cell r="Z48">
            <v>0.1</v>
          </cell>
          <cell r="AA48">
            <v>6520.4532646512262</v>
          </cell>
        </row>
        <row r="50">
          <cell r="D50">
            <v>1340</v>
          </cell>
          <cell r="G50" t="str">
            <v>SCHEME NO:</v>
          </cell>
          <cell r="H50">
            <v>3</v>
          </cell>
          <cell r="I50" t="str">
            <v>Chuchailek</v>
          </cell>
        </row>
        <row r="51">
          <cell r="B51" t="str">
            <v>TRANSMISSION  LINE</v>
          </cell>
          <cell r="D51">
            <v>630</v>
          </cell>
          <cell r="M51" t="str">
            <v>OD</v>
          </cell>
          <cell r="T51" t="str">
            <v>SOIL</v>
          </cell>
        </row>
        <row r="52">
          <cell r="A52">
            <v>1</v>
          </cell>
          <cell r="B52" t="str">
            <v>INT3</v>
          </cell>
          <cell r="C52" t="str">
            <v>p1</v>
          </cell>
          <cell r="D52">
            <v>350</v>
          </cell>
          <cell r="E52">
            <v>7.0000000000000007E-2</v>
          </cell>
          <cell r="F52">
            <v>1610</v>
          </cell>
          <cell r="G52">
            <v>1600</v>
          </cell>
          <cell r="H52">
            <v>1610</v>
          </cell>
          <cell r="I52">
            <v>1610</v>
          </cell>
          <cell r="J52">
            <v>10</v>
          </cell>
          <cell r="K52">
            <v>10</v>
          </cell>
          <cell r="L52">
            <v>10</v>
          </cell>
          <cell r="M52">
            <v>32</v>
          </cell>
          <cell r="N52">
            <v>6</v>
          </cell>
          <cell r="O52">
            <v>26.9</v>
          </cell>
          <cell r="P52">
            <v>0.51200000000000001</v>
          </cell>
          <cell r="Q52">
            <v>9.4879999999999995</v>
          </cell>
          <cell r="R52">
            <v>0.12312006341939596</v>
          </cell>
          <cell r="S52">
            <v>1609.4880000000001</v>
          </cell>
          <cell r="T52" t="str">
            <v>GBM</v>
          </cell>
          <cell r="W52" t="str">
            <v>326</v>
          </cell>
          <cell r="X52">
            <v>4.6263705393973627E-2</v>
          </cell>
          <cell r="Y52">
            <v>0.99997828121422117</v>
          </cell>
          <cell r="Z52">
            <v>0.12</v>
          </cell>
          <cell r="AA52">
            <v>2528.1906152532451</v>
          </cell>
        </row>
        <row r="53">
          <cell r="A53">
            <v>2</v>
          </cell>
          <cell r="B53" t="str">
            <v>p1</v>
          </cell>
          <cell r="C53" t="str">
            <v>p2</v>
          </cell>
          <cell r="D53">
            <v>30</v>
          </cell>
          <cell r="E53">
            <v>7.0000000000000007E-2</v>
          </cell>
          <cell r="F53">
            <v>1600</v>
          </cell>
          <cell r="G53">
            <v>1600</v>
          </cell>
          <cell r="H53">
            <v>1610</v>
          </cell>
          <cell r="I53">
            <v>1609.4880000000001</v>
          </cell>
          <cell r="J53">
            <v>0</v>
          </cell>
          <cell r="K53">
            <v>10</v>
          </cell>
          <cell r="L53">
            <v>9.4880000000000564</v>
          </cell>
          <cell r="M53">
            <v>1</v>
          </cell>
          <cell r="N53" t="str">
            <v>MC</v>
          </cell>
          <cell r="O53">
            <v>25.4</v>
          </cell>
          <cell r="P53">
            <v>6.0999999999999999E-2</v>
          </cell>
          <cell r="Q53">
            <v>9.4270000000000564</v>
          </cell>
          <cell r="R53">
            <v>0.13809118527327965</v>
          </cell>
          <cell r="S53">
            <v>1609.4270000000001</v>
          </cell>
          <cell r="T53" t="str">
            <v>GBM</v>
          </cell>
          <cell r="U53" t="str">
            <v>R</v>
          </cell>
          <cell r="W53" t="str">
            <v>1MC</v>
          </cell>
          <cell r="X53">
            <v>4.8663646421640762E-2</v>
          </cell>
          <cell r="Y53">
            <v>0.99975174151544199</v>
          </cell>
          <cell r="Z53">
            <v>1.1000000000000001</v>
          </cell>
          <cell r="AA53">
            <v>2677.4932106422161</v>
          </cell>
        </row>
        <row r="54">
          <cell r="A54">
            <v>3</v>
          </cell>
          <cell r="B54" t="str">
            <v>p2</v>
          </cell>
          <cell r="C54" t="str">
            <v>p3</v>
          </cell>
          <cell r="D54">
            <v>100</v>
          </cell>
          <cell r="E54">
            <v>7.0000000000000007E-2</v>
          </cell>
          <cell r="F54">
            <v>1600</v>
          </cell>
          <cell r="G54">
            <v>1598</v>
          </cell>
          <cell r="H54">
            <v>1610</v>
          </cell>
          <cell r="I54">
            <v>1609.4270000000001</v>
          </cell>
          <cell r="J54">
            <v>2</v>
          </cell>
          <cell r="K54">
            <v>12</v>
          </cell>
          <cell r="L54">
            <v>11.427000000000135</v>
          </cell>
          <cell r="M54">
            <v>32</v>
          </cell>
          <cell r="N54">
            <v>6</v>
          </cell>
          <cell r="O54">
            <v>26.9</v>
          </cell>
          <cell r="P54">
            <v>0.14599999999999999</v>
          </cell>
          <cell r="Q54">
            <v>11.281000000000134</v>
          </cell>
          <cell r="R54">
            <v>0.12312006341939596</v>
          </cell>
          <cell r="S54">
            <v>1609.2810000000002</v>
          </cell>
          <cell r="T54" t="str">
            <v>GBM</v>
          </cell>
          <cell r="U54" t="str">
            <v>L</v>
          </cell>
          <cell r="W54" t="str">
            <v>326</v>
          </cell>
          <cell r="X54">
            <v>4.6328588804487661E-2</v>
          </cell>
          <cell r="Y54">
            <v>1.0008069267111681</v>
          </cell>
          <cell r="Z54">
            <v>0.12</v>
          </cell>
          <cell r="AA54">
            <v>2528.1906152532451</v>
          </cell>
        </row>
        <row r="55">
          <cell r="A55">
            <v>4</v>
          </cell>
          <cell r="B55" t="str">
            <v>p3</v>
          </cell>
          <cell r="C55" t="str">
            <v>RT3-1</v>
          </cell>
          <cell r="D55">
            <v>150</v>
          </cell>
          <cell r="E55">
            <v>7.0000000000000007E-2</v>
          </cell>
          <cell r="F55">
            <v>1598</v>
          </cell>
          <cell r="G55">
            <v>1595</v>
          </cell>
          <cell r="H55">
            <v>1610</v>
          </cell>
          <cell r="I55">
            <v>1609.2810000000002</v>
          </cell>
          <cell r="J55">
            <v>3</v>
          </cell>
          <cell r="K55">
            <v>15</v>
          </cell>
          <cell r="L55">
            <v>14.281000000000176</v>
          </cell>
          <cell r="M55">
            <v>32</v>
          </cell>
          <cell r="N55">
            <v>6</v>
          </cell>
          <cell r="O55">
            <v>26.9</v>
          </cell>
          <cell r="P55">
            <v>0.219</v>
          </cell>
          <cell r="Q55">
            <v>14.062000000000177</v>
          </cell>
          <cell r="R55">
            <v>0.12312006341939596</v>
          </cell>
          <cell r="S55">
            <v>1609.0620000000001</v>
          </cell>
          <cell r="T55" t="str">
            <v>GBM</v>
          </cell>
          <cell r="W55" t="str">
            <v>326</v>
          </cell>
          <cell r="X55">
            <v>4.6263743623744136E-2</v>
          </cell>
          <cell r="Y55">
            <v>0.99997876960343912</v>
          </cell>
          <cell r="Z55">
            <v>0.12</v>
          </cell>
          <cell r="AA55">
            <v>2528.1906152532451</v>
          </cell>
        </row>
        <row r="58">
          <cell r="A58">
            <v>5</v>
          </cell>
          <cell r="B58" t="str">
            <v>RT3-1</v>
          </cell>
          <cell r="C58" t="str">
            <v>Tap1</v>
          </cell>
          <cell r="D58">
            <v>30</v>
          </cell>
          <cell r="E58">
            <v>0.1</v>
          </cell>
          <cell r="F58">
            <v>1595</v>
          </cell>
          <cell r="G58">
            <v>1580</v>
          </cell>
          <cell r="H58">
            <v>1595</v>
          </cell>
          <cell r="I58">
            <v>1595</v>
          </cell>
          <cell r="J58">
            <v>15</v>
          </cell>
          <cell r="K58">
            <v>15</v>
          </cell>
          <cell r="L58">
            <v>15</v>
          </cell>
          <cell r="M58">
            <v>20</v>
          </cell>
          <cell r="N58">
            <v>10</v>
          </cell>
          <cell r="O58">
            <v>14.9</v>
          </cell>
          <cell r="P58">
            <v>1.3180000000000001</v>
          </cell>
          <cell r="Q58">
            <v>13.682</v>
          </cell>
          <cell r="R58">
            <v>0.57327475011363127</v>
          </cell>
          <cell r="S58">
            <v>1593.682</v>
          </cell>
          <cell r="T58" t="str">
            <v>GBM</v>
          </cell>
          <cell r="U58" t="str">
            <v>L</v>
          </cell>
          <cell r="W58" t="str">
            <v>2010</v>
          </cell>
          <cell r="X58">
            <v>3.5521363165356264E-2</v>
          </cell>
          <cell r="Y58">
            <v>0.99998888481952097</v>
          </cell>
          <cell r="Z58">
            <v>0.1</v>
          </cell>
          <cell r="AA58">
            <v>6520.4532646512262</v>
          </cell>
        </row>
        <row r="60">
          <cell r="A60">
            <v>6</v>
          </cell>
          <cell r="B60" t="str">
            <v>RT3-1</v>
          </cell>
          <cell r="C60" t="str">
            <v>Tap2</v>
          </cell>
          <cell r="D60">
            <v>400</v>
          </cell>
          <cell r="E60">
            <v>0.2</v>
          </cell>
          <cell r="F60">
            <v>1595</v>
          </cell>
          <cell r="G60">
            <v>1588</v>
          </cell>
          <cell r="H60">
            <v>1595</v>
          </cell>
          <cell r="I60">
            <v>1595</v>
          </cell>
          <cell r="J60">
            <v>7</v>
          </cell>
          <cell r="K60">
            <v>7</v>
          </cell>
          <cell r="L60">
            <v>7</v>
          </cell>
          <cell r="M60">
            <v>40</v>
          </cell>
          <cell r="N60">
            <v>6</v>
          </cell>
          <cell r="O60">
            <v>33.700000000000003</v>
          </cell>
          <cell r="P60">
            <v>1.2110000000000001</v>
          </cell>
          <cell r="Q60">
            <v>5.7889999999999997</v>
          </cell>
          <cell r="R60">
            <v>0.22413286596294277</v>
          </cell>
          <cell r="S60">
            <v>1593.789</v>
          </cell>
          <cell r="T60" t="str">
            <v>GBM</v>
          </cell>
          <cell r="W60" t="str">
            <v>406</v>
          </cell>
          <cell r="X60">
            <v>3.6234005177766662E-2</v>
          </cell>
          <cell r="Y60">
            <v>0.99964643718109192</v>
          </cell>
          <cell r="Z60">
            <v>0.1</v>
          </cell>
          <cell r="AA60">
            <v>5765.8607503444055</v>
          </cell>
        </row>
        <row r="61">
          <cell r="A61">
            <v>7</v>
          </cell>
          <cell r="B61" t="str">
            <v>Tap2</v>
          </cell>
          <cell r="C61" t="str">
            <v>Tap3</v>
          </cell>
          <cell r="D61">
            <v>280</v>
          </cell>
          <cell r="E61">
            <v>0.1</v>
          </cell>
          <cell r="F61">
            <v>1588</v>
          </cell>
          <cell r="G61">
            <v>1581</v>
          </cell>
          <cell r="H61">
            <v>1595</v>
          </cell>
          <cell r="I61">
            <v>1593.789</v>
          </cell>
          <cell r="J61">
            <v>7</v>
          </cell>
          <cell r="K61">
            <v>14</v>
          </cell>
          <cell r="L61">
            <v>12.788999999999987</v>
          </cell>
          <cell r="M61">
            <v>32</v>
          </cell>
          <cell r="N61">
            <v>6</v>
          </cell>
          <cell r="O61">
            <v>26.9</v>
          </cell>
          <cell r="P61">
            <v>0.749</v>
          </cell>
          <cell r="Q61">
            <v>12.039999999999987</v>
          </cell>
          <cell r="R61">
            <v>0.17588580488485137</v>
          </cell>
          <cell r="S61">
            <v>1593.04</v>
          </cell>
          <cell r="T61" t="str">
            <v>GBM</v>
          </cell>
          <cell r="U61" t="str">
            <v>R</v>
          </cell>
          <cell r="W61" t="str">
            <v>326</v>
          </cell>
          <cell r="X61">
            <v>4.1487012509955075E-2</v>
          </cell>
          <cell r="Y61">
            <v>0.99983809411592517</v>
          </cell>
          <cell r="Z61">
            <v>0.1</v>
          </cell>
          <cell r="AA61">
            <v>3611.7008789332076</v>
          </cell>
        </row>
        <row r="63">
          <cell r="D63">
            <v>1570</v>
          </cell>
          <cell r="G63" t="str">
            <v>SCHEME NO:</v>
          </cell>
          <cell r="H63">
            <v>4</v>
          </cell>
          <cell r="I63" t="str">
            <v>Mangroda</v>
          </cell>
        </row>
        <row r="64">
          <cell r="B64" t="str">
            <v>TRANSMISSION  LINE</v>
          </cell>
          <cell r="D64">
            <v>1000</v>
          </cell>
          <cell r="M64" t="str">
            <v>OD</v>
          </cell>
          <cell r="T64" t="str">
            <v>SOIL</v>
          </cell>
        </row>
        <row r="65">
          <cell r="A65">
            <v>1</v>
          </cell>
          <cell r="B65" t="str">
            <v>INT4-1</v>
          </cell>
          <cell r="C65" t="str">
            <v>S01</v>
          </cell>
          <cell r="D65">
            <v>250</v>
          </cell>
          <cell r="E65">
            <v>0.3</v>
          </cell>
          <cell r="F65">
            <v>842</v>
          </cell>
          <cell r="G65">
            <v>800</v>
          </cell>
          <cell r="H65">
            <v>842</v>
          </cell>
          <cell r="I65">
            <v>842</v>
          </cell>
          <cell r="J65">
            <v>42</v>
          </cell>
          <cell r="K65">
            <v>42</v>
          </cell>
          <cell r="L65">
            <v>42</v>
          </cell>
          <cell r="M65">
            <v>32</v>
          </cell>
          <cell r="N65">
            <v>6</v>
          </cell>
          <cell r="O65">
            <v>26.9</v>
          </cell>
          <cell r="P65">
            <v>4.4850000000000003</v>
          </cell>
          <cell r="Q65">
            <v>37.515000000000001</v>
          </cell>
          <cell r="R65">
            <v>0.52765741465455407</v>
          </cell>
          <cell r="S65">
            <v>837.51499999999999</v>
          </cell>
          <cell r="T65" t="str">
            <v>GBM</v>
          </cell>
          <cell r="W65" t="str">
            <v>326</v>
          </cell>
          <cell r="X65">
            <v>3.0913735664049185E-2</v>
          </cell>
          <cell r="Y65">
            <v>0.99945115938596452</v>
          </cell>
          <cell r="Z65">
            <v>0.12</v>
          </cell>
          <cell r="AA65">
            <v>10835.102636799622</v>
          </cell>
        </row>
        <row r="66">
          <cell r="A66">
            <v>2</v>
          </cell>
          <cell r="B66" t="str">
            <v>S01</v>
          </cell>
          <cell r="C66" t="str">
            <v>S02</v>
          </cell>
          <cell r="D66">
            <v>150</v>
          </cell>
          <cell r="E66">
            <v>0.3</v>
          </cell>
          <cell r="F66">
            <v>800</v>
          </cell>
          <cell r="G66">
            <v>782</v>
          </cell>
          <cell r="H66">
            <v>842</v>
          </cell>
          <cell r="I66">
            <v>837.51499999999999</v>
          </cell>
          <cell r="J66">
            <v>18</v>
          </cell>
          <cell r="K66">
            <v>60</v>
          </cell>
          <cell r="L66">
            <v>55.514999999999986</v>
          </cell>
          <cell r="M66">
            <v>32</v>
          </cell>
          <cell r="N66">
            <v>6</v>
          </cell>
          <cell r="O66">
            <v>26.9</v>
          </cell>
          <cell r="P66">
            <v>2.6909999999999998</v>
          </cell>
          <cell r="Q66">
            <v>52.823999999999984</v>
          </cell>
          <cell r="R66">
            <v>0.52765741465455407</v>
          </cell>
          <cell r="S66">
            <v>834.82399999999996</v>
          </cell>
          <cell r="T66" t="str">
            <v>GBM</v>
          </cell>
          <cell r="W66" t="str">
            <v>326</v>
          </cell>
          <cell r="X66">
            <v>3.0913735664049185E-2</v>
          </cell>
          <cell r="Y66">
            <v>0.99945115938596452</v>
          </cell>
          <cell r="Z66">
            <v>0.12</v>
          </cell>
          <cell r="AA66">
            <v>10835.102636799622</v>
          </cell>
        </row>
        <row r="67">
          <cell r="A67">
            <v>3</v>
          </cell>
          <cell r="B67" t="str">
            <v>S02</v>
          </cell>
          <cell r="C67" t="str">
            <v>INT4-2</v>
          </cell>
          <cell r="D67">
            <v>250</v>
          </cell>
          <cell r="E67">
            <v>0.3</v>
          </cell>
          <cell r="F67">
            <v>782</v>
          </cell>
          <cell r="G67">
            <v>742</v>
          </cell>
          <cell r="H67">
            <v>842</v>
          </cell>
          <cell r="I67">
            <v>834.82399999999996</v>
          </cell>
          <cell r="J67">
            <v>40</v>
          </cell>
          <cell r="K67">
            <v>100</v>
          </cell>
          <cell r="L67">
            <v>92.823999999999955</v>
          </cell>
          <cell r="M67">
            <v>32</v>
          </cell>
          <cell r="N67">
            <v>10</v>
          </cell>
          <cell r="O67">
            <v>24.1</v>
          </cell>
          <cell r="P67">
            <v>7.59</v>
          </cell>
          <cell r="Q67">
            <v>85.233999999999952</v>
          </cell>
          <cell r="R67">
            <v>0.65738913210547645</v>
          </cell>
          <cell r="S67">
            <v>827.23399999999992</v>
          </cell>
          <cell r="T67" t="str">
            <v>GBM</v>
          </cell>
          <cell r="W67" t="str">
            <v>3210</v>
          </cell>
          <cell r="X67">
            <v>3.0199856394135711E-2</v>
          </cell>
          <cell r="Y67">
            <v>0.99977126763842505</v>
          </cell>
          <cell r="Z67">
            <v>0.12</v>
          </cell>
          <cell r="AA67">
            <v>12093.952735680903</v>
          </cell>
        </row>
        <row r="68">
          <cell r="A68">
            <v>4</v>
          </cell>
          <cell r="B68" t="str">
            <v>INT4-2</v>
          </cell>
          <cell r="C68" t="str">
            <v>RT4-1</v>
          </cell>
          <cell r="D68">
            <v>350</v>
          </cell>
          <cell r="E68">
            <v>0.4</v>
          </cell>
          <cell r="F68">
            <v>742</v>
          </cell>
          <cell r="G68">
            <v>730</v>
          </cell>
          <cell r="H68">
            <v>742</v>
          </cell>
          <cell r="I68">
            <v>742</v>
          </cell>
          <cell r="J68">
            <v>12</v>
          </cell>
          <cell r="K68">
            <v>12</v>
          </cell>
          <cell r="L68">
            <v>12</v>
          </cell>
          <cell r="M68">
            <v>50</v>
          </cell>
          <cell r="N68">
            <v>4</v>
          </cell>
          <cell r="O68">
            <v>44.7</v>
          </cell>
          <cell r="P68">
            <v>0.92400000000000004</v>
          </cell>
          <cell r="Q68">
            <v>11.076000000000001</v>
          </cell>
          <cell r="R68">
            <v>0.25478877782828052</v>
          </cell>
          <cell r="S68">
            <v>741.07600000000002</v>
          </cell>
          <cell r="T68" t="str">
            <v>GBM</v>
          </cell>
          <cell r="W68" t="str">
            <v>504</v>
          </cell>
          <cell r="X68">
            <v>3.2421959420553398E-2</v>
          </cell>
          <cell r="Y68">
            <v>0.9996055387670818</v>
          </cell>
          <cell r="Z68">
            <v>0.12</v>
          </cell>
          <cell r="AA68">
            <v>8693.9376862016325</v>
          </cell>
        </row>
        <row r="70">
          <cell r="B70" t="str">
            <v>DISTRIBUTION  LINE</v>
          </cell>
          <cell r="D70">
            <v>570</v>
          </cell>
          <cell r="M70" t="str">
            <v>OD</v>
          </cell>
          <cell r="T70" t="str">
            <v>SOIL</v>
          </cell>
        </row>
        <row r="71">
          <cell r="A71">
            <v>5</v>
          </cell>
          <cell r="B71" t="str">
            <v>RT4-1</v>
          </cell>
          <cell r="C71" t="str">
            <v>p1</v>
          </cell>
          <cell r="D71">
            <v>20</v>
          </cell>
          <cell r="E71">
            <v>0.8</v>
          </cell>
          <cell r="F71">
            <v>730</v>
          </cell>
          <cell r="G71">
            <v>725</v>
          </cell>
          <cell r="H71">
            <v>730</v>
          </cell>
          <cell r="I71">
            <v>730</v>
          </cell>
          <cell r="J71">
            <v>5</v>
          </cell>
          <cell r="K71">
            <v>5</v>
          </cell>
          <cell r="L71">
            <v>5</v>
          </cell>
          <cell r="M71">
            <v>50</v>
          </cell>
          <cell r="N71">
            <v>4</v>
          </cell>
          <cell r="O71">
            <v>44.7</v>
          </cell>
          <cell r="P71">
            <v>0.17699999999999999</v>
          </cell>
          <cell r="Q71">
            <v>4.8230000000000004</v>
          </cell>
          <cell r="R71">
            <v>0.50957755565656104</v>
          </cell>
          <cell r="S71">
            <v>729.82299999999998</v>
          </cell>
          <cell r="T71" t="str">
            <v>GBM</v>
          </cell>
          <cell r="W71" t="str">
            <v>504</v>
          </cell>
          <cell r="X71">
            <v>2.7230800967844502E-2</v>
          </cell>
          <cell r="Y71">
            <v>0.9997019633918649</v>
          </cell>
          <cell r="Z71">
            <v>0.1</v>
          </cell>
          <cell r="AA71">
            <v>17387.875372403265</v>
          </cell>
        </row>
        <row r="72">
          <cell r="A72">
            <v>6</v>
          </cell>
          <cell r="B72" t="str">
            <v>p1</v>
          </cell>
          <cell r="C72" t="str">
            <v>Tap2</v>
          </cell>
          <cell r="D72">
            <v>150</v>
          </cell>
          <cell r="E72">
            <v>0.7</v>
          </cell>
          <cell r="F72">
            <v>725</v>
          </cell>
          <cell r="G72">
            <v>675</v>
          </cell>
          <cell r="H72">
            <v>730</v>
          </cell>
          <cell r="I72">
            <v>729.82299999999998</v>
          </cell>
          <cell r="J72">
            <v>50</v>
          </cell>
          <cell r="K72">
            <v>55</v>
          </cell>
          <cell r="L72">
            <v>54.822999999999979</v>
          </cell>
          <cell r="M72">
            <v>32</v>
          </cell>
          <cell r="N72">
            <v>6</v>
          </cell>
          <cell r="O72">
            <v>26.9</v>
          </cell>
          <cell r="P72">
            <v>11.996</v>
          </cell>
          <cell r="Q72">
            <v>42.826999999999977</v>
          </cell>
          <cell r="R72">
            <v>1.2312006341939594</v>
          </cell>
          <cell r="S72">
            <v>717.827</v>
          </cell>
          <cell r="T72" t="str">
            <v>GBM</v>
          </cell>
          <cell r="W72" t="str">
            <v>326</v>
          </cell>
          <cell r="X72">
            <v>2.5312877685040865E-2</v>
          </cell>
          <cell r="Y72">
            <v>0.99914007407402639</v>
          </cell>
          <cell r="Z72">
            <v>0.1</v>
          </cell>
          <cell r="AA72">
            <v>25281.906152532443</v>
          </cell>
        </row>
        <row r="73">
          <cell r="A73">
            <v>7</v>
          </cell>
          <cell r="B73" t="str">
            <v>Tap2</v>
          </cell>
          <cell r="C73" t="str">
            <v>Tap3</v>
          </cell>
          <cell r="D73">
            <v>50</v>
          </cell>
          <cell r="E73">
            <v>0.5</v>
          </cell>
          <cell r="F73">
            <v>675</v>
          </cell>
          <cell r="G73">
            <v>665</v>
          </cell>
          <cell r="H73">
            <v>730</v>
          </cell>
          <cell r="I73">
            <v>717.827</v>
          </cell>
          <cell r="J73">
            <v>10</v>
          </cell>
          <cell r="K73">
            <v>65</v>
          </cell>
          <cell r="L73">
            <v>52.826999999999998</v>
          </cell>
          <cell r="M73">
            <v>25</v>
          </cell>
          <cell r="N73">
            <v>10</v>
          </cell>
          <cell r="O73">
            <v>18.899999999999999</v>
          </cell>
          <cell r="P73">
            <v>12.053000000000001</v>
          </cell>
          <cell r="Q73">
            <v>40.774000000000001</v>
          </cell>
          <cell r="R73">
            <v>1.7814832629647448</v>
          </cell>
          <cell r="S73">
            <v>705.774</v>
          </cell>
          <cell r="T73" t="str">
            <v>GBM</v>
          </cell>
          <cell r="W73" t="str">
            <v>2510</v>
          </cell>
          <cell r="X73">
            <v>2.5606088262204386E-2</v>
          </cell>
          <cell r="Y73">
            <v>0.9994925596446087</v>
          </cell>
          <cell r="Z73">
            <v>0.1</v>
          </cell>
          <cell r="AA73">
            <v>25702.31577865166</v>
          </cell>
        </row>
        <row r="74">
          <cell r="A74">
            <v>8</v>
          </cell>
          <cell r="B74" t="str">
            <v>Tap3</v>
          </cell>
          <cell r="C74" t="str">
            <v>Tap4</v>
          </cell>
          <cell r="D74">
            <v>40</v>
          </cell>
          <cell r="E74">
            <v>0.4</v>
          </cell>
          <cell r="F74">
            <v>665</v>
          </cell>
          <cell r="G74">
            <v>654</v>
          </cell>
          <cell r="H74">
            <v>730</v>
          </cell>
          <cell r="I74">
            <v>705.774</v>
          </cell>
          <cell r="J74">
            <v>11</v>
          </cell>
          <cell r="K74">
            <v>76</v>
          </cell>
          <cell r="L74">
            <v>51.774000000000001</v>
          </cell>
          <cell r="M74">
            <v>20</v>
          </cell>
          <cell r="N74">
            <v>10</v>
          </cell>
          <cell r="O74">
            <v>14.9</v>
          </cell>
          <cell r="P74">
            <v>20.468</v>
          </cell>
          <cell r="Q74">
            <v>31.306000000000001</v>
          </cell>
          <cell r="R74">
            <v>2.2930990004545251</v>
          </cell>
          <cell r="S74">
            <v>685.30600000000004</v>
          </cell>
          <cell r="T74" t="str">
            <v>GBM</v>
          </cell>
          <cell r="W74" t="str">
            <v>2010</v>
          </cell>
          <cell r="X74">
            <v>2.5861823984015334E-2</v>
          </cell>
          <cell r="Y74">
            <v>0.99963662869308401</v>
          </cell>
          <cell r="Z74">
            <v>0.1</v>
          </cell>
          <cell r="AA74">
            <v>26081.813058604905</v>
          </cell>
        </row>
        <row r="75">
          <cell r="A75">
            <v>9</v>
          </cell>
          <cell r="B75" t="str">
            <v>Tap4</v>
          </cell>
          <cell r="C75" t="str">
            <v>Tap5</v>
          </cell>
          <cell r="D75">
            <v>30</v>
          </cell>
          <cell r="E75">
            <v>0.1</v>
          </cell>
          <cell r="F75">
            <v>654</v>
          </cell>
          <cell r="G75">
            <v>651</v>
          </cell>
          <cell r="H75">
            <v>730</v>
          </cell>
          <cell r="I75">
            <v>685.30600000000004</v>
          </cell>
          <cell r="J75">
            <v>3</v>
          </cell>
          <cell r="K75">
            <v>79</v>
          </cell>
          <cell r="L75">
            <v>34.30600000000004</v>
          </cell>
          <cell r="M75">
            <v>16</v>
          </cell>
          <cell r="N75">
            <v>10</v>
          </cell>
          <cell r="O75">
            <v>11.6</v>
          </cell>
          <cell r="P75">
            <v>4.3529999999999998</v>
          </cell>
          <cell r="Q75">
            <v>29.953000000000038</v>
          </cell>
          <cell r="R75">
            <v>0.94584369257377576</v>
          </cell>
          <cell r="S75">
            <v>680.95300000000009</v>
          </cell>
          <cell r="T75" t="str">
            <v>GBM</v>
          </cell>
          <cell r="W75" t="str">
            <v>1610</v>
          </cell>
          <cell r="X75">
            <v>3.3559988995374754E-2</v>
          </cell>
          <cell r="Y75">
            <v>0.99965805576564937</v>
          </cell>
          <cell r="Z75">
            <v>0.1</v>
          </cell>
          <cell r="AA75">
            <v>8375.4097968364877</v>
          </cell>
        </row>
        <row r="77">
          <cell r="A77">
            <v>10</v>
          </cell>
          <cell r="B77" t="str">
            <v>p1</v>
          </cell>
          <cell r="C77" t="str">
            <v>Tap1</v>
          </cell>
          <cell r="D77">
            <v>25</v>
          </cell>
          <cell r="E77">
            <v>0.1</v>
          </cell>
          <cell r="F77">
            <v>725</v>
          </cell>
          <cell r="G77">
            <v>710</v>
          </cell>
          <cell r="H77">
            <v>730</v>
          </cell>
          <cell r="I77">
            <v>729.82299999999998</v>
          </cell>
          <cell r="J77">
            <v>15</v>
          </cell>
          <cell r="K77">
            <v>20</v>
          </cell>
          <cell r="L77">
            <v>19.822999999999979</v>
          </cell>
          <cell r="M77">
            <v>16</v>
          </cell>
          <cell r="N77">
            <v>10</v>
          </cell>
          <cell r="O77">
            <v>11.6</v>
          </cell>
          <cell r="P77">
            <v>3.6280000000000001</v>
          </cell>
          <cell r="Q77">
            <v>16.194999999999979</v>
          </cell>
          <cell r="R77">
            <v>0.94584369257377576</v>
          </cell>
          <cell r="S77">
            <v>726.19499999999994</v>
          </cell>
          <cell r="T77" t="str">
            <v>GBM</v>
          </cell>
          <cell r="U77" t="str">
            <v>L</v>
          </cell>
          <cell r="W77" t="str">
            <v>1610</v>
          </cell>
          <cell r="X77">
            <v>3.3559710829759608E-2</v>
          </cell>
          <cell r="Y77">
            <v>0.99965333563892111</v>
          </cell>
          <cell r="Z77">
            <v>0.1</v>
          </cell>
          <cell r="AA77">
            <v>8375.4097968364877</v>
          </cell>
        </row>
        <row r="79">
          <cell r="A79">
            <v>11</v>
          </cell>
          <cell r="B79" t="str">
            <v>Tap2</v>
          </cell>
          <cell r="C79" t="str">
            <v>Tap8</v>
          </cell>
          <cell r="D79">
            <v>180</v>
          </cell>
          <cell r="E79">
            <v>0.1</v>
          </cell>
          <cell r="F79">
            <v>675</v>
          </cell>
          <cell r="G79">
            <v>635</v>
          </cell>
          <cell r="H79">
            <v>730</v>
          </cell>
          <cell r="I79">
            <v>717.827</v>
          </cell>
          <cell r="J79">
            <v>40</v>
          </cell>
          <cell r="K79">
            <v>95</v>
          </cell>
          <cell r="L79">
            <v>82.826999999999998</v>
          </cell>
          <cell r="M79">
            <v>16</v>
          </cell>
          <cell r="N79">
            <v>10</v>
          </cell>
          <cell r="O79">
            <v>11.6</v>
          </cell>
          <cell r="P79">
            <v>25.181000000000001</v>
          </cell>
          <cell r="Q79">
            <v>57.646000000000001</v>
          </cell>
          <cell r="R79">
            <v>0.94584369257377576</v>
          </cell>
          <cell r="S79">
            <v>692.64599999999996</v>
          </cell>
          <cell r="T79" t="str">
            <v>GBM</v>
          </cell>
          <cell r="U79" t="str">
            <v>R</v>
          </cell>
          <cell r="W79" t="str">
            <v>1610</v>
          </cell>
          <cell r="X79">
            <v>3.235349047789364E-2</v>
          </cell>
          <cell r="Y79">
            <v>0.99946731894813967</v>
          </cell>
          <cell r="AA79">
            <v>8375.4097968364877</v>
          </cell>
        </row>
        <row r="81">
          <cell r="A81">
            <v>12</v>
          </cell>
          <cell r="B81" t="str">
            <v>Tap4</v>
          </cell>
          <cell r="C81" t="str">
            <v>Tap6</v>
          </cell>
          <cell r="D81">
            <v>45</v>
          </cell>
          <cell r="E81">
            <v>0.2</v>
          </cell>
          <cell r="F81">
            <v>654</v>
          </cell>
          <cell r="G81">
            <v>651</v>
          </cell>
          <cell r="H81">
            <v>730</v>
          </cell>
          <cell r="I81">
            <v>685.30600000000004</v>
          </cell>
          <cell r="J81">
            <v>3</v>
          </cell>
          <cell r="K81">
            <v>79</v>
          </cell>
          <cell r="L81">
            <v>34.30600000000004</v>
          </cell>
          <cell r="M81">
            <v>20</v>
          </cell>
          <cell r="N81">
            <v>10</v>
          </cell>
          <cell r="O81">
            <v>14.9</v>
          </cell>
          <cell r="P81">
            <v>6.6639999999999997</v>
          </cell>
          <cell r="Q81">
            <v>27.642000000000039</v>
          </cell>
          <cell r="R81">
            <v>1.1465495002272625</v>
          </cell>
          <cell r="S81">
            <v>678.64200000000005</v>
          </cell>
          <cell r="T81" t="str">
            <v>GBM</v>
          </cell>
          <cell r="U81" t="str">
            <v>R</v>
          </cell>
          <cell r="W81" t="str">
            <v>2010</v>
          </cell>
          <cell r="X81">
            <v>2.9939634695034356E-2</v>
          </cell>
          <cell r="Y81">
            <v>0.99947815958406194</v>
          </cell>
          <cell r="Z81">
            <v>0.1</v>
          </cell>
          <cell r="AA81">
            <v>13040.906529302452</v>
          </cell>
        </row>
        <row r="82">
          <cell r="A82">
            <v>13</v>
          </cell>
          <cell r="B82" t="str">
            <v>Tap6</v>
          </cell>
          <cell r="C82" t="str">
            <v>Tap7</v>
          </cell>
          <cell r="D82">
            <v>30</v>
          </cell>
          <cell r="E82">
            <v>0.1</v>
          </cell>
          <cell r="F82">
            <v>651</v>
          </cell>
          <cell r="G82">
            <v>650</v>
          </cell>
          <cell r="H82">
            <v>730</v>
          </cell>
          <cell r="I82">
            <v>678.64200000000005</v>
          </cell>
          <cell r="J82">
            <v>1</v>
          </cell>
          <cell r="K82">
            <v>80</v>
          </cell>
          <cell r="L82">
            <v>28.642000000000053</v>
          </cell>
          <cell r="M82">
            <v>20</v>
          </cell>
          <cell r="N82">
            <v>10</v>
          </cell>
          <cell r="O82">
            <v>14.9</v>
          </cell>
          <cell r="P82">
            <v>1.3180000000000001</v>
          </cell>
          <cell r="Q82">
            <v>27.324000000000051</v>
          </cell>
          <cell r="R82">
            <v>0.57327475011363127</v>
          </cell>
          <cell r="S82">
            <v>677.32400000000007</v>
          </cell>
          <cell r="T82" t="str">
            <v>GBM</v>
          </cell>
          <cell r="W82" t="str">
            <v>2010</v>
          </cell>
          <cell r="X82">
            <v>3.5524282795390237E-2</v>
          </cell>
          <cell r="Y82">
            <v>1.0000361592853213</v>
          </cell>
          <cell r="Z82">
            <v>0.1</v>
          </cell>
          <cell r="AA82">
            <v>6520.4532646512262</v>
          </cell>
        </row>
        <row r="84">
          <cell r="D84">
            <v>1276</v>
          </cell>
          <cell r="G84" t="str">
            <v>SCHEME NO:</v>
          </cell>
          <cell r="H84">
            <v>5</v>
          </cell>
          <cell r="I84" t="str">
            <v>Jojjali</v>
          </cell>
        </row>
        <row r="85">
          <cell r="B85" t="str">
            <v>TRANSMISSION  LINE</v>
          </cell>
          <cell r="D85">
            <v>350</v>
          </cell>
          <cell r="M85" t="str">
            <v>OD</v>
          </cell>
          <cell r="T85" t="str">
            <v>SOIL</v>
          </cell>
        </row>
        <row r="86">
          <cell r="A86">
            <v>1</v>
          </cell>
          <cell r="B86" t="str">
            <v>INT5</v>
          </cell>
          <cell r="C86" t="str">
            <v>p1</v>
          </cell>
          <cell r="D86">
            <v>150</v>
          </cell>
          <cell r="E86">
            <v>0.1</v>
          </cell>
          <cell r="F86">
            <v>762</v>
          </cell>
          <cell r="G86">
            <v>758</v>
          </cell>
          <cell r="H86">
            <v>762</v>
          </cell>
          <cell r="I86">
            <v>762</v>
          </cell>
          <cell r="J86">
            <v>4</v>
          </cell>
          <cell r="K86">
            <v>4</v>
          </cell>
          <cell r="L86">
            <v>4</v>
          </cell>
          <cell r="M86">
            <v>32</v>
          </cell>
          <cell r="N86">
            <v>6</v>
          </cell>
          <cell r="O86">
            <v>26.9</v>
          </cell>
          <cell r="P86">
            <v>0.40200000000000002</v>
          </cell>
          <cell r="Q86">
            <v>3.5979999999999999</v>
          </cell>
          <cell r="R86">
            <v>0.17588580488485137</v>
          </cell>
          <cell r="S86">
            <v>761.59799999999996</v>
          </cell>
          <cell r="T86" t="str">
            <v>GBM</v>
          </cell>
          <cell r="W86" t="str">
            <v>326</v>
          </cell>
          <cell r="X86">
            <v>4.1537967227889119E-2</v>
          </cell>
          <cell r="Y86">
            <v>0.99954698121854335</v>
          </cell>
          <cell r="Z86">
            <v>0.12</v>
          </cell>
          <cell r="AA86">
            <v>3611.7008789332076</v>
          </cell>
        </row>
        <row r="87">
          <cell r="A87">
            <v>2</v>
          </cell>
          <cell r="B87" t="str">
            <v>p1</v>
          </cell>
          <cell r="C87" t="str">
            <v>RT5-1</v>
          </cell>
          <cell r="D87">
            <v>200</v>
          </cell>
          <cell r="E87">
            <v>0.1</v>
          </cell>
          <cell r="F87">
            <v>758</v>
          </cell>
          <cell r="G87">
            <v>749</v>
          </cell>
          <cell r="H87">
            <v>762</v>
          </cell>
          <cell r="I87">
            <v>761.59799999999996</v>
          </cell>
          <cell r="J87">
            <v>9</v>
          </cell>
          <cell r="K87">
            <v>13</v>
          </cell>
          <cell r="L87">
            <v>12.597999999999956</v>
          </cell>
          <cell r="M87">
            <v>32</v>
          </cell>
          <cell r="N87">
            <v>6</v>
          </cell>
          <cell r="O87">
            <v>26.9</v>
          </cell>
          <cell r="P87">
            <v>0.53500000000000003</v>
          </cell>
          <cell r="Q87">
            <v>12.062999999999956</v>
          </cell>
          <cell r="R87">
            <v>0.17588580488485137</v>
          </cell>
          <cell r="S87">
            <v>761.06299999999999</v>
          </cell>
          <cell r="T87" t="str">
            <v>GBM</v>
          </cell>
          <cell r="W87" t="str">
            <v>326</v>
          </cell>
          <cell r="X87">
            <v>4.1499182696863923E-2</v>
          </cell>
          <cell r="Y87">
            <v>0.99900040340739382</v>
          </cell>
          <cell r="Z87">
            <v>0.12</v>
          </cell>
          <cell r="AA87">
            <v>3611.7008789332076</v>
          </cell>
        </row>
        <row r="89">
          <cell r="B89" t="str">
            <v>DISTRIBUTION  LINE</v>
          </cell>
          <cell r="D89">
            <v>926</v>
          </cell>
          <cell r="M89" t="str">
            <v>OD</v>
          </cell>
          <cell r="T89" t="str">
            <v>SOIL</v>
          </cell>
        </row>
        <row r="90">
          <cell r="A90">
            <v>3</v>
          </cell>
          <cell r="B90" t="str">
            <v>RT5-1</v>
          </cell>
          <cell r="C90" t="str">
            <v>Tap1</v>
          </cell>
          <cell r="D90">
            <v>200</v>
          </cell>
          <cell r="E90">
            <v>0.5</v>
          </cell>
          <cell r="F90">
            <v>749</v>
          </cell>
          <cell r="G90">
            <v>740</v>
          </cell>
          <cell r="H90">
            <v>749</v>
          </cell>
          <cell r="I90">
            <v>749</v>
          </cell>
          <cell r="J90">
            <v>9</v>
          </cell>
          <cell r="K90">
            <v>9</v>
          </cell>
          <cell r="L90">
            <v>9</v>
          </cell>
          <cell r="M90">
            <v>50</v>
          </cell>
          <cell r="N90">
            <v>4</v>
          </cell>
          <cell r="O90">
            <v>44.7</v>
          </cell>
          <cell r="P90">
            <v>0.77800000000000002</v>
          </cell>
          <cell r="Q90">
            <v>8.2219999999999995</v>
          </cell>
          <cell r="R90">
            <v>0.31848597228535069</v>
          </cell>
          <cell r="S90">
            <v>748.22199999999998</v>
          </cell>
          <cell r="T90" t="str">
            <v>GBM</v>
          </cell>
          <cell r="W90" t="str">
            <v>504</v>
          </cell>
          <cell r="X90">
            <v>3.0563735961144228E-2</v>
          </cell>
          <cell r="Y90">
            <v>0.99986587397305993</v>
          </cell>
          <cell r="Z90">
            <v>0.1</v>
          </cell>
          <cell r="AA90">
            <v>10867.422107752041</v>
          </cell>
        </row>
        <row r="91">
          <cell r="A91">
            <v>4</v>
          </cell>
          <cell r="B91" t="str">
            <v>Tap1</v>
          </cell>
          <cell r="C91" t="str">
            <v>Tap2</v>
          </cell>
          <cell r="D91">
            <v>60</v>
          </cell>
          <cell r="E91">
            <v>0.4</v>
          </cell>
          <cell r="F91">
            <v>740</v>
          </cell>
          <cell r="G91">
            <v>739</v>
          </cell>
          <cell r="H91">
            <v>749</v>
          </cell>
          <cell r="I91">
            <v>748.22199999999998</v>
          </cell>
          <cell r="J91">
            <v>1</v>
          </cell>
          <cell r="K91">
            <v>10</v>
          </cell>
          <cell r="L91">
            <v>9.22199999999998</v>
          </cell>
          <cell r="M91">
            <v>40</v>
          </cell>
          <cell r="N91">
            <v>6</v>
          </cell>
          <cell r="O91">
            <v>33.700000000000003</v>
          </cell>
          <cell r="P91">
            <v>0.60599999999999998</v>
          </cell>
          <cell r="Q91">
            <v>8.6159999999999801</v>
          </cell>
          <cell r="R91">
            <v>0.44826573192588554</v>
          </cell>
          <cell r="S91">
            <v>747.61599999999999</v>
          </cell>
          <cell r="T91" t="str">
            <v>GBM</v>
          </cell>
          <cell r="W91" t="str">
            <v>406</v>
          </cell>
          <cell r="X91">
            <v>3.0221317074634071E-2</v>
          </cell>
          <cell r="Y91">
            <v>0.99973983249104292</v>
          </cell>
          <cell r="Z91">
            <v>0.1</v>
          </cell>
          <cell r="AA91">
            <v>11531.721500688811</v>
          </cell>
        </row>
        <row r="92">
          <cell r="A92">
            <v>5</v>
          </cell>
          <cell r="B92" t="str">
            <v>Tap2</v>
          </cell>
          <cell r="C92" t="str">
            <v>p3</v>
          </cell>
          <cell r="D92">
            <v>120</v>
          </cell>
          <cell r="E92">
            <v>0.3</v>
          </cell>
          <cell r="F92">
            <v>739</v>
          </cell>
          <cell r="G92">
            <v>720</v>
          </cell>
          <cell r="H92">
            <v>749</v>
          </cell>
          <cell r="I92">
            <v>747.61599999999999</v>
          </cell>
          <cell r="J92">
            <v>19</v>
          </cell>
          <cell r="K92">
            <v>29</v>
          </cell>
          <cell r="L92">
            <v>27.615999999999985</v>
          </cell>
          <cell r="M92">
            <v>32</v>
          </cell>
          <cell r="N92">
            <v>6</v>
          </cell>
          <cell r="O92">
            <v>26.9</v>
          </cell>
          <cell r="P92">
            <v>2.1440000000000001</v>
          </cell>
          <cell r="Q92">
            <v>25.471999999999987</v>
          </cell>
          <cell r="R92">
            <v>0.52765741465455407</v>
          </cell>
          <cell r="S92">
            <v>745.47199999999998</v>
          </cell>
          <cell r="T92" t="str">
            <v>GBM</v>
          </cell>
          <cell r="W92" t="str">
            <v>326</v>
          </cell>
          <cell r="X92">
            <v>3.0794861341956491E-2</v>
          </cell>
          <cell r="Y92">
            <v>0.99939965664957631</v>
          </cell>
          <cell r="Z92">
            <v>0.1</v>
          </cell>
          <cell r="AA92">
            <v>10835.102636799622</v>
          </cell>
        </row>
        <row r="93">
          <cell r="A93">
            <v>6</v>
          </cell>
          <cell r="B93" t="str">
            <v>p3</v>
          </cell>
          <cell r="C93" t="str">
            <v>p31</v>
          </cell>
          <cell r="D93">
            <v>40</v>
          </cell>
          <cell r="E93">
            <v>0.3</v>
          </cell>
          <cell r="F93">
            <v>720</v>
          </cell>
          <cell r="G93">
            <v>702</v>
          </cell>
          <cell r="H93">
            <v>749</v>
          </cell>
          <cell r="I93">
            <v>745.47199999999998</v>
          </cell>
          <cell r="J93">
            <v>18</v>
          </cell>
          <cell r="K93">
            <v>47</v>
          </cell>
          <cell r="L93">
            <v>43.47199999999998</v>
          </cell>
          <cell r="M93">
            <v>25</v>
          </cell>
          <cell r="N93">
            <v>10</v>
          </cell>
          <cell r="O93">
            <v>18.899999999999999</v>
          </cell>
          <cell r="P93">
            <v>3.8730000000000002</v>
          </cell>
          <cell r="Q93">
            <v>39.598999999999982</v>
          </cell>
          <cell r="R93">
            <v>1.0688899577788469</v>
          </cell>
          <cell r="S93">
            <v>741.59899999999993</v>
          </cell>
          <cell r="T93" t="str">
            <v>GBM</v>
          </cell>
          <cell r="U93" t="str">
            <v>R</v>
          </cell>
          <cell r="W93" t="str">
            <v>2510</v>
          </cell>
          <cell r="X93">
            <v>2.8570114052846575E-2</v>
          </cell>
          <cell r="Y93">
            <v>0.99937959972963319</v>
          </cell>
          <cell r="Z93">
            <v>0.1</v>
          </cell>
          <cell r="AA93">
            <v>15421.389467190995</v>
          </cell>
        </row>
        <row r="95">
          <cell r="A95">
            <v>8</v>
          </cell>
          <cell r="B95" t="str">
            <v>p32</v>
          </cell>
          <cell r="C95" t="str">
            <v>Tap3</v>
          </cell>
          <cell r="D95">
            <v>200</v>
          </cell>
          <cell r="E95">
            <v>0.3</v>
          </cell>
          <cell r="F95">
            <v>702</v>
          </cell>
          <cell r="G95">
            <v>705</v>
          </cell>
          <cell r="H95">
            <v>749</v>
          </cell>
          <cell r="I95">
            <v>741.43399999999997</v>
          </cell>
          <cell r="J95">
            <v>-3</v>
          </cell>
          <cell r="K95">
            <v>47</v>
          </cell>
          <cell r="L95">
            <v>36.433999999999969</v>
          </cell>
          <cell r="M95">
            <v>25</v>
          </cell>
          <cell r="N95">
            <v>10</v>
          </cell>
          <cell r="O95">
            <v>18.899999999999999</v>
          </cell>
          <cell r="P95">
            <v>19.382000000000001</v>
          </cell>
          <cell r="Q95">
            <v>17.051999999999968</v>
          </cell>
          <cell r="R95">
            <v>1.0688899577788469</v>
          </cell>
          <cell r="S95">
            <v>722.05200000000002</v>
          </cell>
          <cell r="T95" t="str">
            <v>GBM</v>
          </cell>
          <cell r="W95" t="str">
            <v>2510</v>
          </cell>
          <cell r="X95">
            <v>2.859301781965333E-2</v>
          </cell>
          <cell r="Y95">
            <v>0.99983134301476284</v>
          </cell>
          <cell r="Z95">
            <v>0.1</v>
          </cell>
          <cell r="AA95">
            <v>15421.389467190995</v>
          </cell>
        </row>
        <row r="96">
          <cell r="A96">
            <v>9</v>
          </cell>
          <cell r="B96" t="str">
            <v>Tap3</v>
          </cell>
          <cell r="C96" t="str">
            <v>p4</v>
          </cell>
          <cell r="D96">
            <v>110</v>
          </cell>
          <cell r="E96">
            <v>0.2</v>
          </cell>
          <cell r="F96">
            <v>705</v>
          </cell>
          <cell r="G96">
            <v>695</v>
          </cell>
          <cell r="H96">
            <v>749</v>
          </cell>
          <cell r="I96">
            <v>722.05200000000002</v>
          </cell>
          <cell r="J96">
            <v>10</v>
          </cell>
          <cell r="K96">
            <v>54</v>
          </cell>
          <cell r="L96">
            <v>27.052000000000021</v>
          </cell>
          <cell r="M96">
            <v>20</v>
          </cell>
          <cell r="N96">
            <v>10</v>
          </cell>
          <cell r="O96">
            <v>14.9</v>
          </cell>
          <cell r="P96">
            <v>16.306999999999999</v>
          </cell>
          <cell r="Q96">
            <v>10.745000000000022</v>
          </cell>
          <cell r="R96">
            <v>1.1465495002272625</v>
          </cell>
          <cell r="S96">
            <v>705.745</v>
          </cell>
          <cell r="T96" t="str">
            <v>GBM</v>
          </cell>
          <cell r="W96" t="str">
            <v>2010</v>
          </cell>
          <cell r="X96">
            <v>2.9970725366341523E-2</v>
          </cell>
          <cell r="Y96">
            <v>1.0000640685094275</v>
          </cell>
          <cell r="Z96">
            <v>0.1</v>
          </cell>
          <cell r="AA96">
            <v>13040.906529302452</v>
          </cell>
        </row>
        <row r="97">
          <cell r="A97">
            <v>10</v>
          </cell>
          <cell r="B97" t="str">
            <v>p4</v>
          </cell>
          <cell r="C97" t="str">
            <v>Tap4</v>
          </cell>
          <cell r="D97">
            <v>70</v>
          </cell>
          <cell r="E97">
            <v>0.2</v>
          </cell>
          <cell r="F97">
            <v>695</v>
          </cell>
          <cell r="G97">
            <v>671</v>
          </cell>
          <cell r="H97">
            <v>749</v>
          </cell>
          <cell r="I97">
            <v>705.745</v>
          </cell>
          <cell r="J97">
            <v>24</v>
          </cell>
          <cell r="K97">
            <v>78</v>
          </cell>
          <cell r="L97">
            <v>34.745000000000005</v>
          </cell>
          <cell r="M97">
            <v>20</v>
          </cell>
          <cell r="N97">
            <v>10</v>
          </cell>
          <cell r="O97">
            <v>14.9</v>
          </cell>
          <cell r="P97">
            <v>10.377000000000001</v>
          </cell>
          <cell r="Q97">
            <v>24.368000000000002</v>
          </cell>
          <cell r="R97">
            <v>1.1465495002272625</v>
          </cell>
          <cell r="S97">
            <v>695.36800000000005</v>
          </cell>
          <cell r="T97" t="str">
            <v>GBM</v>
          </cell>
          <cell r="W97" t="str">
            <v>2010</v>
          </cell>
          <cell r="X97">
            <v>2.9970741065798535E-2</v>
          </cell>
          <cell r="Y97">
            <v>1.0000643642991027</v>
          </cell>
          <cell r="Z97">
            <v>0.1</v>
          </cell>
          <cell r="AA97">
            <v>13040.906529302452</v>
          </cell>
        </row>
        <row r="98">
          <cell r="A98">
            <v>11</v>
          </cell>
          <cell r="B98" t="str">
            <v>Tap4</v>
          </cell>
          <cell r="C98" t="str">
            <v>Tap5</v>
          </cell>
          <cell r="D98">
            <v>120</v>
          </cell>
          <cell r="E98">
            <v>0.1</v>
          </cell>
          <cell r="F98">
            <v>671</v>
          </cell>
          <cell r="G98">
            <v>670</v>
          </cell>
          <cell r="H98">
            <v>749</v>
          </cell>
          <cell r="I98">
            <v>695.36800000000005</v>
          </cell>
          <cell r="J98">
            <v>1</v>
          </cell>
          <cell r="K98">
            <v>79</v>
          </cell>
          <cell r="L98">
            <v>25.368000000000052</v>
          </cell>
          <cell r="M98">
            <v>20</v>
          </cell>
          <cell r="N98">
            <v>10</v>
          </cell>
          <cell r="O98">
            <v>14.9</v>
          </cell>
          <cell r="P98">
            <v>5.2729999999999997</v>
          </cell>
          <cell r="Q98">
            <v>20.095000000000052</v>
          </cell>
          <cell r="R98">
            <v>0.57327475011363127</v>
          </cell>
          <cell r="S98">
            <v>690.09500000000003</v>
          </cell>
          <cell r="T98" t="str">
            <v>GBM</v>
          </cell>
          <cell r="W98" t="str">
            <v>2010</v>
          </cell>
          <cell r="X98">
            <v>3.5530707389303556E-2</v>
          </cell>
          <cell r="Y98">
            <v>1.0001401798865339</v>
          </cell>
          <cell r="Z98">
            <v>0.1</v>
          </cell>
          <cell r="AA98">
            <v>6520.4532646512262</v>
          </cell>
        </row>
        <row r="100">
          <cell r="D100">
            <v>2266</v>
          </cell>
          <cell r="G100" t="str">
            <v>SCHEME NO:</v>
          </cell>
          <cell r="H100">
            <v>6</v>
          </cell>
          <cell r="I100" t="str">
            <v>Panchshera-Mahadev bagar</v>
          </cell>
        </row>
        <row r="101">
          <cell r="B101" t="str">
            <v>TRANSMISSION  LINE</v>
          </cell>
          <cell r="D101">
            <v>590</v>
          </cell>
          <cell r="M101" t="str">
            <v>OD</v>
          </cell>
          <cell r="T101" t="str">
            <v>SOIL</v>
          </cell>
        </row>
        <row r="102">
          <cell r="A102">
            <v>1</v>
          </cell>
          <cell r="B102" t="str">
            <v>INT6</v>
          </cell>
          <cell r="C102" t="str">
            <v>p01</v>
          </cell>
          <cell r="D102">
            <v>60</v>
          </cell>
          <cell r="E102">
            <v>0.35</v>
          </cell>
          <cell r="F102">
            <v>650</v>
          </cell>
          <cell r="G102">
            <v>643</v>
          </cell>
          <cell r="H102">
            <v>650</v>
          </cell>
          <cell r="I102">
            <v>650</v>
          </cell>
          <cell r="J102">
            <v>7</v>
          </cell>
          <cell r="K102">
            <v>7</v>
          </cell>
          <cell r="L102">
            <v>7</v>
          </cell>
          <cell r="M102">
            <v>2</v>
          </cell>
          <cell r="N102" t="str">
            <v>LC</v>
          </cell>
          <cell r="O102">
            <v>50.8</v>
          </cell>
          <cell r="P102">
            <v>7.2999999999999995E-2</v>
          </cell>
          <cell r="Q102">
            <v>6.9269999999999996</v>
          </cell>
          <cell r="R102">
            <v>0.17261398159159957</v>
          </cell>
          <cell r="S102">
            <v>649.92700000000002</v>
          </cell>
          <cell r="T102" t="str">
            <v>GBM</v>
          </cell>
          <cell r="W102" t="str">
            <v>2LC</v>
          </cell>
          <cell r="X102">
            <v>3.7075098885963005E-2</v>
          </cell>
          <cell r="Y102">
            <v>0.99987635035463673</v>
          </cell>
          <cell r="Z102">
            <v>1.1000000000000001</v>
          </cell>
          <cell r="AA102">
            <v>6693.7330266055405</v>
          </cell>
        </row>
        <row r="103">
          <cell r="A103">
            <v>2</v>
          </cell>
          <cell r="B103" t="str">
            <v>p01</v>
          </cell>
          <cell r="C103" t="str">
            <v>p02</v>
          </cell>
          <cell r="D103">
            <v>495</v>
          </cell>
          <cell r="E103">
            <v>0.35</v>
          </cell>
          <cell r="F103">
            <v>643</v>
          </cell>
          <cell r="G103">
            <v>632</v>
          </cell>
          <cell r="H103">
            <v>650</v>
          </cell>
          <cell r="I103">
            <v>649.92700000000002</v>
          </cell>
          <cell r="J103">
            <v>11</v>
          </cell>
          <cell r="K103">
            <v>18</v>
          </cell>
          <cell r="L103">
            <v>17.927000000000021</v>
          </cell>
          <cell r="M103">
            <v>2</v>
          </cell>
          <cell r="N103" t="str">
            <v>LC</v>
          </cell>
          <cell r="O103">
            <v>50.8</v>
          </cell>
          <cell r="P103">
            <v>0.60299999999999998</v>
          </cell>
          <cell r="Q103">
            <v>17.324000000000019</v>
          </cell>
          <cell r="R103">
            <v>0.17261398159159957</v>
          </cell>
          <cell r="S103">
            <v>649.32400000000007</v>
          </cell>
          <cell r="T103" t="str">
            <v>GBM</v>
          </cell>
          <cell r="U103" t="str">
            <v>L</v>
          </cell>
          <cell r="W103" t="str">
            <v>2LC</v>
          </cell>
          <cell r="X103">
            <v>3.7075098735166706E-2</v>
          </cell>
          <cell r="Y103">
            <v>0.99987634805969972</v>
          </cell>
          <cell r="Z103">
            <v>1.1000000000000001</v>
          </cell>
          <cell r="AA103">
            <v>6693.7330266055405</v>
          </cell>
        </row>
        <row r="104">
          <cell r="A104">
            <v>3</v>
          </cell>
          <cell r="B104" t="str">
            <v>p02</v>
          </cell>
          <cell r="C104" t="str">
            <v>RT6-1</v>
          </cell>
          <cell r="D104">
            <v>35</v>
          </cell>
          <cell r="E104">
            <v>0.35</v>
          </cell>
          <cell r="F104">
            <v>632</v>
          </cell>
          <cell r="G104">
            <v>645</v>
          </cell>
          <cell r="H104">
            <v>650</v>
          </cell>
          <cell r="I104">
            <v>649.32400000000007</v>
          </cell>
          <cell r="J104">
            <v>-13</v>
          </cell>
          <cell r="K104">
            <v>18</v>
          </cell>
          <cell r="L104">
            <v>4.3240000000000691</v>
          </cell>
          <cell r="M104">
            <v>2</v>
          </cell>
          <cell r="N104" t="str">
            <v>LC</v>
          </cell>
          <cell r="O104">
            <v>50.8</v>
          </cell>
          <cell r="P104">
            <v>4.2999999999999997E-2</v>
          </cell>
          <cell r="Q104">
            <v>4.281000000000069</v>
          </cell>
          <cell r="R104">
            <v>0.17261398159159957</v>
          </cell>
          <cell r="S104">
            <v>649.28100000000006</v>
          </cell>
          <cell r="T104" t="str">
            <v>GBM</v>
          </cell>
          <cell r="W104" t="str">
            <v>2LC</v>
          </cell>
          <cell r="X104">
            <v>3.7075098735166706E-2</v>
          </cell>
          <cell r="Y104">
            <v>0.99987634805969972</v>
          </cell>
          <cell r="Z104">
            <v>1.1000000000000001</v>
          </cell>
          <cell r="AA104">
            <v>6693.7330266055405</v>
          </cell>
        </row>
        <row r="106">
          <cell r="B106" t="str">
            <v>DISTRIBUTION  LINE</v>
          </cell>
          <cell r="D106">
            <v>1676</v>
          </cell>
          <cell r="M106" t="str">
            <v>OD</v>
          </cell>
          <cell r="T106" t="str">
            <v>SOIL</v>
          </cell>
        </row>
        <row r="107">
          <cell r="A107">
            <v>4</v>
          </cell>
          <cell r="B107" t="str">
            <v>RT6-1</v>
          </cell>
          <cell r="C107" t="str">
            <v>p1</v>
          </cell>
          <cell r="D107">
            <v>55</v>
          </cell>
          <cell r="E107">
            <v>1.7</v>
          </cell>
          <cell r="F107">
            <v>645</v>
          </cell>
          <cell r="G107">
            <v>631</v>
          </cell>
          <cell r="H107">
            <v>645</v>
          </cell>
          <cell r="I107">
            <v>645</v>
          </cell>
          <cell r="J107">
            <v>14</v>
          </cell>
          <cell r="K107">
            <v>14</v>
          </cell>
          <cell r="L107">
            <v>14</v>
          </cell>
          <cell r="M107">
            <v>50</v>
          </cell>
          <cell r="N107">
            <v>4</v>
          </cell>
          <cell r="O107">
            <v>44.7</v>
          </cell>
          <cell r="P107">
            <v>1.863</v>
          </cell>
          <cell r="Q107">
            <v>12.137</v>
          </cell>
          <cell r="R107">
            <v>1.0828523057701922</v>
          </cell>
          <cell r="S107">
            <v>643.13699999999994</v>
          </cell>
          <cell r="T107" t="str">
            <v>GBM</v>
          </cell>
          <cell r="U107" t="str">
            <v>R</v>
          </cell>
          <cell r="W107" t="str">
            <v>504</v>
          </cell>
          <cell r="X107">
            <v>2.3036761792513866E-2</v>
          </cell>
          <cell r="Y107">
            <v>0.99995149825069796</v>
          </cell>
          <cell r="Z107">
            <v>0.1</v>
          </cell>
          <cell r="AA107">
            <v>36949.235166356935</v>
          </cell>
        </row>
        <row r="108">
          <cell r="A108">
            <v>5</v>
          </cell>
          <cell r="B108" t="str">
            <v>p1</v>
          </cell>
          <cell r="C108" t="str">
            <v>Tap3</v>
          </cell>
          <cell r="D108">
            <v>10</v>
          </cell>
          <cell r="E108">
            <v>0.5</v>
          </cell>
          <cell r="F108">
            <v>631</v>
          </cell>
          <cell r="G108">
            <v>630</v>
          </cell>
          <cell r="H108">
            <v>645</v>
          </cell>
          <cell r="I108">
            <v>643.13699999999994</v>
          </cell>
          <cell r="J108">
            <v>1</v>
          </cell>
          <cell r="K108">
            <v>15</v>
          </cell>
          <cell r="L108">
            <v>13.136999999999944</v>
          </cell>
          <cell r="M108">
            <v>50</v>
          </cell>
          <cell r="N108">
            <v>4</v>
          </cell>
          <cell r="O108">
            <v>44.7</v>
          </cell>
          <cell r="P108">
            <v>3.9E-2</v>
          </cell>
          <cell r="Q108">
            <v>13.097999999999944</v>
          </cell>
          <cell r="R108">
            <v>0.31848597228535069</v>
          </cell>
          <cell r="S108">
            <v>643.09799999999996</v>
          </cell>
          <cell r="T108" t="str">
            <v>GBM</v>
          </cell>
          <cell r="U108" t="str">
            <v>L</v>
          </cell>
          <cell r="W108" t="str">
            <v>504</v>
          </cell>
          <cell r="X108">
            <v>3.055566433226169E-2</v>
          </cell>
          <cell r="Y108">
            <v>0.99971466328873049</v>
          </cell>
          <cell r="Z108">
            <v>0.1</v>
          </cell>
          <cell r="AA108">
            <v>10867.422107752041</v>
          </cell>
        </row>
        <row r="109">
          <cell r="A109">
            <v>6</v>
          </cell>
          <cell r="B109" t="str">
            <v>Tap3</v>
          </cell>
          <cell r="C109" t="str">
            <v>Tap4</v>
          </cell>
          <cell r="D109">
            <v>45</v>
          </cell>
          <cell r="E109">
            <v>0.4</v>
          </cell>
          <cell r="F109">
            <v>630</v>
          </cell>
          <cell r="G109">
            <v>630</v>
          </cell>
          <cell r="H109">
            <v>645</v>
          </cell>
          <cell r="I109">
            <v>643.09799999999996</v>
          </cell>
          <cell r="J109">
            <v>0</v>
          </cell>
          <cell r="K109">
            <v>15</v>
          </cell>
          <cell r="L109">
            <v>13.097999999999956</v>
          </cell>
          <cell r="M109">
            <v>40</v>
          </cell>
          <cell r="N109">
            <v>6</v>
          </cell>
          <cell r="O109">
            <v>33.700000000000003</v>
          </cell>
          <cell r="P109">
            <v>0.45400000000000001</v>
          </cell>
          <cell r="Q109">
            <v>12.643999999999956</v>
          </cell>
          <cell r="R109">
            <v>0.44826573192588554</v>
          </cell>
          <cell r="S109">
            <v>642.64400000000001</v>
          </cell>
          <cell r="T109" t="str">
            <v>GBM</v>
          </cell>
          <cell r="W109" t="str">
            <v>406</v>
          </cell>
          <cell r="X109">
            <v>3.0207900387113643E-2</v>
          </cell>
          <cell r="Y109">
            <v>0.99948639158205921</v>
          </cell>
          <cell r="Z109">
            <v>0.1</v>
          </cell>
          <cell r="AA109">
            <v>11531.721500688811</v>
          </cell>
        </row>
        <row r="110">
          <cell r="A110">
            <v>7</v>
          </cell>
          <cell r="B110" t="str">
            <v>Tap4</v>
          </cell>
          <cell r="C110" t="str">
            <v>Tap5</v>
          </cell>
          <cell r="D110">
            <v>140</v>
          </cell>
          <cell r="E110">
            <v>0.3</v>
          </cell>
          <cell r="F110">
            <v>630</v>
          </cell>
          <cell r="G110">
            <v>620</v>
          </cell>
          <cell r="H110">
            <v>645</v>
          </cell>
          <cell r="I110">
            <v>642.64400000000001</v>
          </cell>
          <cell r="J110">
            <v>10</v>
          </cell>
          <cell r="K110">
            <v>25</v>
          </cell>
          <cell r="L110">
            <v>22.644000000000005</v>
          </cell>
          <cell r="M110">
            <v>32</v>
          </cell>
          <cell r="N110">
            <v>6</v>
          </cell>
          <cell r="O110">
            <v>26.9</v>
          </cell>
          <cell r="P110">
            <v>2.504</v>
          </cell>
          <cell r="Q110">
            <v>20.140000000000004</v>
          </cell>
          <cell r="R110">
            <v>0.52765741465455407</v>
          </cell>
          <cell r="S110">
            <v>640.14</v>
          </cell>
          <cell r="T110" t="str">
            <v>GBM</v>
          </cell>
          <cell r="W110" t="str">
            <v>326</v>
          </cell>
          <cell r="X110">
            <v>3.0819970048959248E-2</v>
          </cell>
          <cell r="Y110">
            <v>0.99986474972218276</v>
          </cell>
          <cell r="Z110">
            <v>0.1</v>
          </cell>
          <cell r="AA110">
            <v>10835.102636799622</v>
          </cell>
        </row>
        <row r="111">
          <cell r="A111">
            <v>8</v>
          </cell>
          <cell r="B111" t="str">
            <v>Tap5</v>
          </cell>
          <cell r="C111" t="str">
            <v>Tap6</v>
          </cell>
          <cell r="D111">
            <v>153</v>
          </cell>
          <cell r="E111">
            <v>0.2</v>
          </cell>
          <cell r="F111">
            <v>620</v>
          </cell>
          <cell r="G111">
            <v>621</v>
          </cell>
          <cell r="H111">
            <v>645</v>
          </cell>
          <cell r="I111">
            <v>640.14</v>
          </cell>
          <cell r="J111">
            <v>-1</v>
          </cell>
          <cell r="K111">
            <v>25</v>
          </cell>
          <cell r="L111">
            <v>19.139999999999986</v>
          </cell>
          <cell r="M111">
            <v>25</v>
          </cell>
          <cell r="N111">
            <v>10</v>
          </cell>
          <cell r="O111">
            <v>18.899999999999999</v>
          </cell>
          <cell r="P111">
            <v>7.2539999999999996</v>
          </cell>
          <cell r="Q111">
            <v>11.885999999999987</v>
          </cell>
          <cell r="R111">
            <v>0.71259330518589792</v>
          </cell>
          <cell r="S111">
            <v>632.88599999999997</v>
          </cell>
          <cell r="T111" t="str">
            <v>GBM</v>
          </cell>
          <cell r="W111" t="str">
            <v>2510</v>
          </cell>
          <cell r="X111">
            <v>3.1473564964440578E-2</v>
          </cell>
          <cell r="Y111">
            <v>1.0000117561801067</v>
          </cell>
          <cell r="Z111">
            <v>0.1</v>
          </cell>
          <cell r="AA111">
            <v>10280.926311460662</v>
          </cell>
        </row>
        <row r="112">
          <cell r="A112">
            <v>9</v>
          </cell>
          <cell r="B112" t="str">
            <v>Tap6</v>
          </cell>
          <cell r="C112" t="str">
            <v>Tap7</v>
          </cell>
          <cell r="D112">
            <v>152</v>
          </cell>
          <cell r="E112">
            <v>0.1</v>
          </cell>
          <cell r="F112">
            <v>621</v>
          </cell>
          <cell r="G112">
            <v>619</v>
          </cell>
          <cell r="H112">
            <v>645</v>
          </cell>
          <cell r="I112">
            <v>632.88599999999997</v>
          </cell>
          <cell r="J112">
            <v>2</v>
          </cell>
          <cell r="K112">
            <v>26</v>
          </cell>
          <cell r="L112">
            <v>13.885999999999967</v>
          </cell>
          <cell r="M112">
            <v>20</v>
          </cell>
          <cell r="N112">
            <v>10</v>
          </cell>
          <cell r="O112">
            <v>14.9</v>
          </cell>
          <cell r="P112">
            <v>6.6790000000000003</v>
          </cell>
          <cell r="Q112">
            <v>7.206999999999967</v>
          </cell>
          <cell r="R112">
            <v>0.57327475011363127</v>
          </cell>
          <cell r="S112">
            <v>626.20699999999999</v>
          </cell>
          <cell r="T112" t="str">
            <v>GBM</v>
          </cell>
          <cell r="W112" t="str">
            <v>2010</v>
          </cell>
          <cell r="X112">
            <v>3.5530707389303556E-2</v>
          </cell>
          <cell r="Y112">
            <v>1.0001401798865339</v>
          </cell>
          <cell r="Z112">
            <v>0.1</v>
          </cell>
          <cell r="AA112">
            <v>6520.4532646512262</v>
          </cell>
        </row>
        <row r="114">
          <cell r="A114">
            <v>10</v>
          </cell>
          <cell r="B114" t="str">
            <v>RT6-1</v>
          </cell>
          <cell r="C114" t="str">
            <v>Tap1</v>
          </cell>
          <cell r="D114">
            <v>70</v>
          </cell>
          <cell r="E114">
            <v>0.2</v>
          </cell>
          <cell r="F114">
            <v>645</v>
          </cell>
          <cell r="G114">
            <v>639</v>
          </cell>
          <cell r="H114">
            <v>645</v>
          </cell>
          <cell r="I114">
            <v>645</v>
          </cell>
          <cell r="J114">
            <v>6</v>
          </cell>
          <cell r="K114">
            <v>6</v>
          </cell>
          <cell r="L114">
            <v>6</v>
          </cell>
          <cell r="M114">
            <v>32</v>
          </cell>
          <cell r="N114">
            <v>6</v>
          </cell>
          <cell r="O114">
            <v>26.9</v>
          </cell>
          <cell r="P114">
            <v>0.61699999999999999</v>
          </cell>
          <cell r="Q114">
            <v>5.383</v>
          </cell>
          <cell r="R114">
            <v>0.35177160976970273</v>
          </cell>
          <cell r="S114">
            <v>644.38300000000004</v>
          </cell>
          <cell r="T114" t="str">
            <v>GBM</v>
          </cell>
          <cell r="U114" t="str">
            <v>L</v>
          </cell>
          <cell r="W114" t="str">
            <v>326</v>
          </cell>
          <cell r="X114">
            <v>3.4160729954378709E-2</v>
          </cell>
          <cell r="Y114">
            <v>0.99925230642388352</v>
          </cell>
          <cell r="Z114">
            <v>0.1</v>
          </cell>
          <cell r="AA114">
            <v>7223.4017578664152</v>
          </cell>
        </row>
        <row r="115">
          <cell r="A115">
            <v>11</v>
          </cell>
          <cell r="B115" t="str">
            <v>Tap1</v>
          </cell>
          <cell r="C115" t="str">
            <v>Tap2</v>
          </cell>
          <cell r="D115">
            <v>180</v>
          </cell>
          <cell r="E115">
            <v>0.1</v>
          </cell>
          <cell r="F115">
            <v>639</v>
          </cell>
          <cell r="G115">
            <v>637</v>
          </cell>
          <cell r="H115">
            <v>645</v>
          </cell>
          <cell r="I115">
            <v>644.38300000000004</v>
          </cell>
          <cell r="J115">
            <v>2</v>
          </cell>
          <cell r="K115">
            <v>8</v>
          </cell>
          <cell r="L115">
            <v>7.3830000000000382</v>
          </cell>
          <cell r="M115">
            <v>32</v>
          </cell>
          <cell r="N115">
            <v>6</v>
          </cell>
          <cell r="O115">
            <v>26.9</v>
          </cell>
          <cell r="P115">
            <v>0.48199999999999998</v>
          </cell>
          <cell r="Q115">
            <v>6.901000000000038</v>
          </cell>
          <cell r="R115">
            <v>0.17588580488485137</v>
          </cell>
          <cell r="S115">
            <v>643.90100000000007</v>
          </cell>
          <cell r="T115" t="str">
            <v>GBM</v>
          </cell>
          <cell r="W115" t="str">
            <v>326</v>
          </cell>
          <cell r="X115">
            <v>4.1497172977158825E-2</v>
          </cell>
          <cell r="Y115">
            <v>0.9999815648148902</v>
          </cell>
          <cell r="Z115">
            <v>0.1</v>
          </cell>
          <cell r="AA115">
            <v>3611.7008789332076</v>
          </cell>
        </row>
        <row r="117">
          <cell r="A117">
            <v>12</v>
          </cell>
          <cell r="B117" t="str">
            <v>p1</v>
          </cell>
          <cell r="C117" t="str">
            <v>p2</v>
          </cell>
          <cell r="D117">
            <v>166</v>
          </cell>
          <cell r="E117">
            <v>1.2</v>
          </cell>
          <cell r="F117">
            <v>631</v>
          </cell>
          <cell r="G117">
            <v>629</v>
          </cell>
          <cell r="H117">
            <v>645</v>
          </cell>
          <cell r="I117">
            <v>643.13699999999994</v>
          </cell>
          <cell r="J117">
            <v>2</v>
          </cell>
          <cell r="K117">
            <v>16</v>
          </cell>
          <cell r="L117">
            <v>14.136999999999944</v>
          </cell>
          <cell r="M117">
            <v>50</v>
          </cell>
          <cell r="N117">
            <v>4</v>
          </cell>
          <cell r="O117">
            <v>44.7</v>
          </cell>
          <cell r="P117">
            <v>3.0190000000000001</v>
          </cell>
          <cell r="Q117">
            <v>11.117999999999943</v>
          </cell>
          <cell r="R117">
            <v>0.76436633348484162</v>
          </cell>
          <cell r="S117">
            <v>640.11799999999994</v>
          </cell>
          <cell r="T117" t="str">
            <v>GBM</v>
          </cell>
          <cell r="W117" t="str">
            <v>504</v>
          </cell>
          <cell r="X117">
            <v>2.4816639206664336E-2</v>
          </cell>
          <cell r="Y117">
            <v>0.99971929424564188</v>
          </cell>
          <cell r="Z117">
            <v>0.1</v>
          </cell>
          <cell r="AA117">
            <v>26081.813058604905</v>
          </cell>
        </row>
        <row r="118">
          <cell r="A118">
            <v>13</v>
          </cell>
          <cell r="B118" t="str">
            <v>p2</v>
          </cell>
          <cell r="C118" t="str">
            <v>Tap8</v>
          </cell>
          <cell r="D118">
            <v>60</v>
          </cell>
          <cell r="E118">
            <v>0.3</v>
          </cell>
          <cell r="F118">
            <v>629</v>
          </cell>
          <cell r="G118">
            <v>628</v>
          </cell>
          <cell r="H118">
            <v>645</v>
          </cell>
          <cell r="I118">
            <v>640.11799999999994</v>
          </cell>
          <cell r="J118">
            <v>1</v>
          </cell>
          <cell r="K118">
            <v>17</v>
          </cell>
          <cell r="L118">
            <v>12.117999999999938</v>
          </cell>
          <cell r="M118">
            <v>40</v>
          </cell>
          <cell r="N118">
            <v>6</v>
          </cell>
          <cell r="O118">
            <v>33.700000000000003</v>
          </cell>
          <cell r="P118">
            <v>0.36699999999999999</v>
          </cell>
          <cell r="Q118">
            <v>11.750999999999937</v>
          </cell>
          <cell r="R118">
            <v>0.33619929894441414</v>
          </cell>
          <cell r="S118">
            <v>639.75099999999998</v>
          </cell>
          <cell r="T118" t="str">
            <v>GBM</v>
          </cell>
          <cell r="W118" t="str">
            <v>406</v>
          </cell>
          <cell r="X118">
            <v>3.2524443410767247E-2</v>
          </cell>
          <cell r="Y118">
            <v>0.99993003119037038</v>
          </cell>
          <cell r="Z118">
            <v>0.1</v>
          </cell>
          <cell r="AA118">
            <v>8648.7911255166073</v>
          </cell>
        </row>
        <row r="119">
          <cell r="A119">
            <v>14</v>
          </cell>
          <cell r="B119" t="str">
            <v>Tap8</v>
          </cell>
          <cell r="C119" t="str">
            <v>Tap9</v>
          </cell>
          <cell r="D119">
            <v>120</v>
          </cell>
          <cell r="E119">
            <v>0.2</v>
          </cell>
          <cell r="F119">
            <v>628</v>
          </cell>
          <cell r="G119">
            <v>624</v>
          </cell>
          <cell r="H119">
            <v>645</v>
          </cell>
          <cell r="I119">
            <v>639.75099999999998</v>
          </cell>
          <cell r="J119">
            <v>4</v>
          </cell>
          <cell r="K119">
            <v>21</v>
          </cell>
          <cell r="L119">
            <v>15.750999999999976</v>
          </cell>
          <cell r="M119">
            <v>32</v>
          </cell>
          <cell r="N119">
            <v>6</v>
          </cell>
          <cell r="O119">
            <v>26.9</v>
          </cell>
          <cell r="P119">
            <v>1.0580000000000001</v>
          </cell>
          <cell r="Q119">
            <v>14.692999999999977</v>
          </cell>
          <cell r="R119">
            <v>0.35177160976970273</v>
          </cell>
          <cell r="S119">
            <v>638.69299999999998</v>
          </cell>
          <cell r="T119" t="str">
            <v>GBM</v>
          </cell>
          <cell r="W119" t="str">
            <v>326</v>
          </cell>
          <cell r="X119">
            <v>3.4199732438028943E-2</v>
          </cell>
          <cell r="Y119">
            <v>0.99990957951263149</v>
          </cell>
          <cell r="Z119">
            <v>0.1</v>
          </cell>
          <cell r="AA119">
            <v>7223.4017578664152</v>
          </cell>
        </row>
        <row r="120">
          <cell r="A120">
            <v>15</v>
          </cell>
          <cell r="B120" t="str">
            <v>Tap9</v>
          </cell>
          <cell r="C120" t="str">
            <v>Tap10</v>
          </cell>
          <cell r="D120">
            <v>60</v>
          </cell>
          <cell r="E120">
            <v>0.1</v>
          </cell>
          <cell r="F120">
            <v>624</v>
          </cell>
          <cell r="G120">
            <v>622</v>
          </cell>
          <cell r="H120">
            <v>645</v>
          </cell>
          <cell r="I120">
            <v>638.69299999999998</v>
          </cell>
          <cell r="J120">
            <v>2</v>
          </cell>
          <cell r="K120">
            <v>23</v>
          </cell>
          <cell r="L120">
            <v>16.692999999999984</v>
          </cell>
          <cell r="M120">
            <v>25</v>
          </cell>
          <cell r="N120">
            <v>10</v>
          </cell>
          <cell r="O120">
            <v>18.899999999999999</v>
          </cell>
          <cell r="P120">
            <v>0.85099999999999998</v>
          </cell>
          <cell r="Q120">
            <v>15.841999999999985</v>
          </cell>
          <cell r="R120">
            <v>0.35629665259294896</v>
          </cell>
          <cell r="S120">
            <v>637.84199999999998</v>
          </cell>
          <cell r="T120" t="str">
            <v>GBM</v>
          </cell>
          <cell r="U120" t="str">
            <v>L</v>
          </cell>
          <cell r="W120" t="str">
            <v>2510</v>
          </cell>
          <cell r="X120">
            <v>3.7667296920010661E-2</v>
          </cell>
          <cell r="Y120">
            <v>0.9996325029122094</v>
          </cell>
          <cell r="Z120">
            <v>0.1</v>
          </cell>
          <cell r="AA120">
            <v>5140.463155730331</v>
          </cell>
        </row>
        <row r="122">
          <cell r="A122">
            <v>16</v>
          </cell>
          <cell r="B122" t="str">
            <v>p2</v>
          </cell>
          <cell r="C122" t="str">
            <v>Tap11</v>
          </cell>
          <cell r="D122">
            <v>105</v>
          </cell>
          <cell r="E122">
            <v>0.9</v>
          </cell>
          <cell r="F122">
            <v>629</v>
          </cell>
          <cell r="G122">
            <v>622</v>
          </cell>
          <cell r="H122">
            <v>645</v>
          </cell>
          <cell r="I122">
            <v>640.11799999999994</v>
          </cell>
          <cell r="J122">
            <v>7</v>
          </cell>
          <cell r="K122">
            <v>23</v>
          </cell>
          <cell r="L122">
            <v>18.117999999999938</v>
          </cell>
          <cell r="M122">
            <v>40</v>
          </cell>
          <cell r="N122">
            <v>6</v>
          </cell>
          <cell r="O122">
            <v>33.700000000000003</v>
          </cell>
          <cell r="P122">
            <v>4.4459999999999997</v>
          </cell>
          <cell r="Q122">
            <v>13.671999999999938</v>
          </cell>
          <cell r="R122">
            <v>1.0085978968332425</v>
          </cell>
          <cell r="S122">
            <v>635.67199999999991</v>
          </cell>
          <cell r="T122" t="str">
            <v>GBM</v>
          </cell>
          <cell r="U122" t="str">
            <v>L</v>
          </cell>
          <cell r="W122" t="str">
            <v>406</v>
          </cell>
          <cell r="X122">
            <v>2.5018308051828791E-2</v>
          </cell>
          <cell r="Y122">
            <v>0.99965176963382574</v>
          </cell>
          <cell r="Z122">
            <v>0.1</v>
          </cell>
          <cell r="AA122">
            <v>25946.373376549829</v>
          </cell>
        </row>
        <row r="123">
          <cell r="A123">
            <v>17</v>
          </cell>
          <cell r="B123" t="str">
            <v>Tap11</v>
          </cell>
          <cell r="C123" t="str">
            <v>Tap12</v>
          </cell>
          <cell r="D123">
            <v>60</v>
          </cell>
          <cell r="E123">
            <v>0.8</v>
          </cell>
          <cell r="F123">
            <v>622</v>
          </cell>
          <cell r="G123">
            <v>621</v>
          </cell>
          <cell r="H123">
            <v>645</v>
          </cell>
          <cell r="I123">
            <v>635.67199999999991</v>
          </cell>
          <cell r="J123">
            <v>1</v>
          </cell>
          <cell r="K123">
            <v>24</v>
          </cell>
          <cell r="L123">
            <v>14.671999999999912</v>
          </cell>
          <cell r="M123">
            <v>32</v>
          </cell>
          <cell r="N123">
            <v>6</v>
          </cell>
          <cell r="O123">
            <v>26.9</v>
          </cell>
          <cell r="P123">
            <v>6.1029999999999998</v>
          </cell>
          <cell r="Q123">
            <v>8.568999999999912</v>
          </cell>
          <cell r="R123">
            <v>1.4070864390788109</v>
          </cell>
          <cell r="S123">
            <v>629.56899999999996</v>
          </cell>
          <cell r="T123" t="str">
            <v>GBM</v>
          </cell>
          <cell r="W123" t="str">
            <v>326</v>
          </cell>
          <cell r="X123">
            <v>2.4651541236432879E-2</v>
          </cell>
          <cell r="Y123">
            <v>1.0000104923643234</v>
          </cell>
          <cell r="Z123">
            <v>0.1</v>
          </cell>
          <cell r="AA123">
            <v>28893.607031465661</v>
          </cell>
        </row>
        <row r="124">
          <cell r="A124">
            <v>18</v>
          </cell>
          <cell r="B124" t="str">
            <v>Tap12</v>
          </cell>
          <cell r="C124" t="str">
            <v>Tap14</v>
          </cell>
          <cell r="D124">
            <v>30</v>
          </cell>
          <cell r="E124">
            <v>0.6</v>
          </cell>
          <cell r="F124">
            <v>621</v>
          </cell>
          <cell r="G124">
            <v>619</v>
          </cell>
          <cell r="H124">
            <v>645</v>
          </cell>
          <cell r="I124">
            <v>629.56899999999996</v>
          </cell>
          <cell r="J124">
            <v>2</v>
          </cell>
          <cell r="K124">
            <v>26</v>
          </cell>
          <cell r="L124">
            <v>10.56899999999996</v>
          </cell>
          <cell r="M124">
            <v>32</v>
          </cell>
          <cell r="N124">
            <v>6</v>
          </cell>
          <cell r="O124">
            <v>26.9</v>
          </cell>
          <cell r="P124">
            <v>1.8240000000000001</v>
          </cell>
          <cell r="Q124">
            <v>8.7449999999999601</v>
          </cell>
          <cell r="R124">
            <v>1.0553148293091081</v>
          </cell>
          <cell r="S124">
            <v>627.745</v>
          </cell>
          <cell r="T124" t="str">
            <v>GBM</v>
          </cell>
          <cell r="W124" t="str">
            <v>326</v>
          </cell>
          <cell r="X124">
            <v>2.6194242104719125E-2</v>
          </cell>
          <cell r="Y124">
            <v>0.99964030200510334</v>
          </cell>
          <cell r="Z124">
            <v>0.1</v>
          </cell>
          <cell r="AA124">
            <v>21670.205273599244</v>
          </cell>
        </row>
        <row r="125">
          <cell r="A125">
            <v>19</v>
          </cell>
          <cell r="B125" t="str">
            <v>Tap14</v>
          </cell>
          <cell r="C125" t="str">
            <v>Tap15</v>
          </cell>
          <cell r="D125">
            <v>35</v>
          </cell>
          <cell r="E125">
            <v>0.1</v>
          </cell>
          <cell r="F125">
            <v>619</v>
          </cell>
          <cell r="G125">
            <v>618</v>
          </cell>
          <cell r="H125">
            <v>645</v>
          </cell>
          <cell r="I125">
            <v>627.745</v>
          </cell>
          <cell r="J125">
            <v>1</v>
          </cell>
          <cell r="K125">
            <v>27</v>
          </cell>
          <cell r="L125">
            <v>9.7450000000000045</v>
          </cell>
          <cell r="M125">
            <v>25</v>
          </cell>
          <cell r="N125">
            <v>10</v>
          </cell>
          <cell r="O125">
            <v>18.899999999999999</v>
          </cell>
          <cell r="P125">
            <v>0.496</v>
          </cell>
          <cell r="Q125">
            <v>9.2490000000000041</v>
          </cell>
          <cell r="R125">
            <v>0.35629665259294896</v>
          </cell>
          <cell r="S125">
            <v>627.24900000000002</v>
          </cell>
          <cell r="T125" t="str">
            <v>GBM</v>
          </cell>
          <cell r="W125" t="str">
            <v>2510</v>
          </cell>
          <cell r="X125">
            <v>3.7667296920010661E-2</v>
          </cell>
          <cell r="Y125">
            <v>0.9996325029122094</v>
          </cell>
          <cell r="Z125">
            <v>0.1</v>
          </cell>
          <cell r="AA125">
            <v>5140.463155730331</v>
          </cell>
        </row>
        <row r="127">
          <cell r="A127">
            <v>20</v>
          </cell>
          <cell r="B127" t="str">
            <v>Tap12</v>
          </cell>
          <cell r="C127" t="str">
            <v>Tap13</v>
          </cell>
          <cell r="D127">
            <v>60</v>
          </cell>
          <cell r="E127">
            <v>0.1</v>
          </cell>
          <cell r="F127">
            <v>621</v>
          </cell>
          <cell r="G127">
            <v>620</v>
          </cell>
          <cell r="H127">
            <v>645</v>
          </cell>
          <cell r="I127">
            <v>629.56899999999996</v>
          </cell>
          <cell r="J127">
            <v>1</v>
          </cell>
          <cell r="K127">
            <v>25</v>
          </cell>
          <cell r="L127">
            <v>9.56899999999996</v>
          </cell>
          <cell r="M127">
            <v>20</v>
          </cell>
          <cell r="N127">
            <v>10</v>
          </cell>
          <cell r="O127">
            <v>14.9</v>
          </cell>
          <cell r="P127">
            <v>2.637</v>
          </cell>
          <cell r="Q127">
            <v>6.9319999999999595</v>
          </cell>
          <cell r="R127">
            <v>0.57327475011363127</v>
          </cell>
          <cell r="S127">
            <v>626.93200000000002</v>
          </cell>
          <cell r="T127" t="str">
            <v>GBM</v>
          </cell>
          <cell r="U127" t="str">
            <v>R</v>
          </cell>
          <cell r="W127" t="str">
            <v>2010</v>
          </cell>
          <cell r="X127">
            <v>3.5543001662657336E-2</v>
          </cell>
          <cell r="Y127">
            <v>1.0003392134008497</v>
          </cell>
          <cell r="Z127">
            <v>0.1</v>
          </cell>
          <cell r="AA127">
            <v>6520.4532646512262</v>
          </cell>
        </row>
      </sheetData>
      <sheetData sheetId="11"/>
      <sheetData sheetId="12"/>
      <sheetData sheetId="13"/>
      <sheetData sheetId="14"/>
      <sheetData sheetId="15"/>
      <sheetData sheetId="16">
        <row r="117">
          <cell r="G117">
            <v>1122</v>
          </cell>
          <cell r="I117">
            <v>765.6</v>
          </cell>
          <cell r="K117">
            <v>1474</v>
          </cell>
          <cell r="M117">
            <v>1012</v>
          </cell>
          <cell r="O117">
            <v>1403.6</v>
          </cell>
          <cell r="Q117">
            <v>2492.6</v>
          </cell>
        </row>
        <row r="118">
          <cell r="I118">
            <v>157.54200000000003</v>
          </cell>
          <cell r="K118">
            <v>461.01000000000005</v>
          </cell>
          <cell r="M118">
            <v>230.08700000000005</v>
          </cell>
          <cell r="O118">
            <v>337.41399999999999</v>
          </cell>
          <cell r="Q118">
            <v>3259.9731999999999</v>
          </cell>
        </row>
        <row r="119">
          <cell r="I119">
            <v>37266.834000000003</v>
          </cell>
          <cell r="K119">
            <v>103025.67</v>
          </cell>
          <cell r="M119">
            <v>58672.185000000005</v>
          </cell>
          <cell r="O119">
            <v>83134.194000000003</v>
          </cell>
          <cell r="Q119">
            <v>283699.41599999997</v>
          </cell>
        </row>
      </sheetData>
      <sheetData sheetId="17">
        <row r="9">
          <cell r="O9">
            <v>92787.720465000006</v>
          </cell>
        </row>
        <row r="75">
          <cell r="O75">
            <v>196504.80646499997</v>
          </cell>
        </row>
        <row r="139">
          <cell r="I139">
            <v>0</v>
          </cell>
          <cell r="O139">
            <v>198280.0148549107</v>
          </cell>
        </row>
        <row r="141">
          <cell r="O141">
            <v>102136.466025</v>
          </cell>
        </row>
        <row r="205">
          <cell r="I205">
            <v>87669.736738928565</v>
          </cell>
          <cell r="O205">
            <v>103054.24447341965</v>
          </cell>
        </row>
        <row r="207">
          <cell r="O207">
            <v>81996.881175000002</v>
          </cell>
        </row>
        <row r="271">
          <cell r="I271">
            <v>145055.04992383928</v>
          </cell>
          <cell r="O271">
            <v>82528.712815589271</v>
          </cell>
        </row>
        <row r="273">
          <cell r="O273">
            <v>133208.96836500001</v>
          </cell>
        </row>
        <row r="337">
          <cell r="I337">
            <v>50712.378201875006</v>
          </cell>
          <cell r="O337">
            <v>134338.26195919642</v>
          </cell>
        </row>
        <row r="339">
          <cell r="O339">
            <v>241099.60148999997</v>
          </cell>
        </row>
        <row r="403">
          <cell r="I403">
            <v>19663.59375</v>
          </cell>
          <cell r="O403">
            <v>242949.35172527496</v>
          </cell>
        </row>
      </sheetData>
      <sheetData sheetId="18">
        <row r="36">
          <cell r="C36" t="str">
            <v>SOIL</v>
          </cell>
        </row>
      </sheetData>
      <sheetData sheetId="19" refreshError="1"/>
      <sheetData sheetId="20"/>
      <sheetData sheetId="21">
        <row r="162">
          <cell r="W162">
            <v>1065.0403999999996</v>
          </cell>
        </row>
      </sheetData>
      <sheetData sheetId="22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Dmand 1"/>
      <sheetName val="ProfileData"/>
      <sheetName val="PipeDesign"/>
      <sheetName val="PD-TMPLT"/>
      <sheetName val="Plot"/>
      <sheetName val="Profile"/>
      <sheetName val="FlowDiagram"/>
      <sheetName val="PipeList"/>
      <sheetName val="PipeLineWork"/>
      <sheetName val="PFdata"/>
      <sheetName val="Features"/>
      <sheetName val="FitData"/>
      <sheetName val="Fittings"/>
      <sheetName val="T&amp;P"/>
      <sheetName val="Summary"/>
    </sheetNames>
    <sheetDataSet>
      <sheetData sheetId="0" refreshError="1"/>
      <sheetData sheetId="1" refreshError="1">
        <row r="15">
          <cell r="B15" t="str">
            <v>Taps of RT -</v>
          </cell>
          <cell r="C15">
            <v>2</v>
          </cell>
        </row>
        <row r="16">
          <cell r="A16">
            <v>2</v>
          </cell>
          <cell r="B16" t="str">
            <v>Mauni, Rudreswor 5</v>
          </cell>
          <cell r="C16">
            <v>8</v>
          </cell>
          <cell r="D16">
            <v>50</v>
          </cell>
          <cell r="E16">
            <v>68</v>
          </cell>
          <cell r="F16">
            <v>45</v>
          </cell>
          <cell r="G16">
            <v>3060</v>
          </cell>
          <cell r="J16">
            <v>0</v>
          </cell>
          <cell r="K16">
            <v>3060</v>
          </cell>
          <cell r="L16">
            <v>3.5000000000000003E-2</v>
          </cell>
          <cell r="M16">
            <v>0.10500000000000001</v>
          </cell>
          <cell r="N16">
            <v>0.1</v>
          </cell>
          <cell r="O16">
            <v>2.8571428571428572</v>
          </cell>
        </row>
        <row r="17">
          <cell r="A17">
            <v>3</v>
          </cell>
          <cell r="B17" t="str">
            <v>Mallo Mauni</v>
          </cell>
          <cell r="C17">
            <v>9</v>
          </cell>
          <cell r="D17">
            <v>54</v>
          </cell>
          <cell r="E17">
            <v>73</v>
          </cell>
          <cell r="F17">
            <v>45</v>
          </cell>
          <cell r="G17">
            <v>3285</v>
          </cell>
          <cell r="J17">
            <v>0</v>
          </cell>
          <cell r="K17">
            <v>3285</v>
          </cell>
          <cell r="L17">
            <v>3.7999999999999999E-2</v>
          </cell>
          <cell r="M17">
            <v>0.11399999999999999</v>
          </cell>
          <cell r="N17">
            <v>0.1</v>
          </cell>
          <cell r="O17">
            <v>2.6315789473684212</v>
          </cell>
        </row>
        <row r="18">
          <cell r="A18">
            <v>4</v>
          </cell>
          <cell r="B18" t="str">
            <v>Daukhola</v>
          </cell>
          <cell r="C18">
            <v>7</v>
          </cell>
          <cell r="D18">
            <v>43</v>
          </cell>
          <cell r="E18">
            <v>58</v>
          </cell>
          <cell r="F18">
            <v>45</v>
          </cell>
          <cell r="G18">
            <v>2610</v>
          </cell>
          <cell r="J18">
            <v>0</v>
          </cell>
          <cell r="K18">
            <v>2610</v>
          </cell>
          <cell r="L18">
            <v>0.03</v>
          </cell>
          <cell r="M18">
            <v>0.09</v>
          </cell>
          <cell r="N18">
            <v>0.1</v>
          </cell>
          <cell r="O18">
            <v>3.3333333333333335</v>
          </cell>
        </row>
        <row r="19">
          <cell r="A19">
            <v>5</v>
          </cell>
          <cell r="B19" t="str">
            <v>Jebala</v>
          </cell>
          <cell r="C19">
            <v>8</v>
          </cell>
          <cell r="D19">
            <v>47</v>
          </cell>
          <cell r="E19">
            <v>64</v>
          </cell>
          <cell r="F19">
            <v>45</v>
          </cell>
          <cell r="G19">
            <v>2880</v>
          </cell>
          <cell r="J19">
            <v>0</v>
          </cell>
          <cell r="K19">
            <v>2880</v>
          </cell>
          <cell r="L19">
            <v>3.3000000000000002E-2</v>
          </cell>
          <cell r="M19">
            <v>9.9000000000000005E-2</v>
          </cell>
          <cell r="N19">
            <v>0.1</v>
          </cell>
          <cell r="O19">
            <v>3.0303030303030303</v>
          </cell>
        </row>
        <row r="20">
          <cell r="A20">
            <v>6</v>
          </cell>
          <cell r="B20" t="str">
            <v>Ghupakre</v>
          </cell>
          <cell r="C20">
            <v>7</v>
          </cell>
          <cell r="D20">
            <v>44</v>
          </cell>
          <cell r="E20">
            <v>60</v>
          </cell>
          <cell r="F20">
            <v>45</v>
          </cell>
          <cell r="G20">
            <v>2700</v>
          </cell>
          <cell r="J20">
            <v>0</v>
          </cell>
          <cell r="K20">
            <v>2700</v>
          </cell>
          <cell r="L20">
            <v>3.1E-2</v>
          </cell>
          <cell r="M20">
            <v>9.2999999999999999E-2</v>
          </cell>
          <cell r="N20">
            <v>0.1</v>
          </cell>
          <cell r="O20">
            <v>3.2258064516129035</v>
          </cell>
        </row>
        <row r="21">
          <cell r="A21">
            <v>7</v>
          </cell>
          <cell r="B21" t="str">
            <v>Kunegaad</v>
          </cell>
          <cell r="C21">
            <v>9</v>
          </cell>
          <cell r="D21">
            <v>61</v>
          </cell>
          <cell r="E21">
            <v>83</v>
          </cell>
          <cell r="F21">
            <v>45</v>
          </cell>
          <cell r="G21">
            <v>3735</v>
          </cell>
          <cell r="J21">
            <v>0</v>
          </cell>
          <cell r="K21">
            <v>3735</v>
          </cell>
          <cell r="L21">
            <v>4.2999999999999997E-2</v>
          </cell>
          <cell r="M21">
            <v>0.129</v>
          </cell>
          <cell r="N21">
            <v>0.15</v>
          </cell>
          <cell r="O21">
            <v>3.4883720930232558</v>
          </cell>
        </row>
        <row r="23">
          <cell r="B23" t="str">
            <v>Total</v>
          </cell>
          <cell r="C23">
            <v>48</v>
          </cell>
          <cell r="D23">
            <v>299</v>
          </cell>
          <cell r="E23">
            <v>406</v>
          </cell>
          <cell r="G23">
            <v>18270</v>
          </cell>
          <cell r="H23">
            <v>0</v>
          </cell>
          <cell r="J23">
            <v>0</v>
          </cell>
          <cell r="K23">
            <v>18270</v>
          </cell>
          <cell r="L23">
            <v>0.21000000000000002</v>
          </cell>
          <cell r="M23">
            <v>0.63</v>
          </cell>
          <cell r="N23">
            <v>0.65</v>
          </cell>
        </row>
      </sheetData>
      <sheetData sheetId="2" refreshError="1">
        <row r="45">
          <cell r="A45">
            <v>1</v>
          </cell>
          <cell r="B45" t="str">
            <v>INT1</v>
          </cell>
          <cell r="C45" t="str">
            <v>p1</v>
          </cell>
          <cell r="D45">
            <v>90</v>
          </cell>
          <cell r="F45">
            <v>1800</v>
          </cell>
          <cell r="G45">
            <v>1746</v>
          </cell>
        </row>
        <row r="46">
          <cell r="A46">
            <v>2</v>
          </cell>
          <cell r="B46" t="str">
            <v>p1</v>
          </cell>
          <cell r="C46" t="str">
            <v>p2</v>
          </cell>
          <cell r="D46">
            <v>175</v>
          </cell>
          <cell r="F46">
            <v>1746</v>
          </cell>
          <cell r="G46">
            <v>1750</v>
          </cell>
        </row>
        <row r="47">
          <cell r="A47">
            <v>3</v>
          </cell>
          <cell r="B47" t="str">
            <v>p2</v>
          </cell>
          <cell r="C47" t="str">
            <v>p3</v>
          </cell>
          <cell r="D47">
            <v>35</v>
          </cell>
          <cell r="F47">
            <v>1750</v>
          </cell>
          <cell r="G47">
            <v>1749</v>
          </cell>
        </row>
        <row r="48">
          <cell r="A48">
            <v>4</v>
          </cell>
          <cell r="B48" t="str">
            <v>p3</v>
          </cell>
          <cell r="C48" t="str">
            <v>p4</v>
          </cell>
          <cell r="D48">
            <v>35</v>
          </cell>
          <cell r="F48">
            <v>1749</v>
          </cell>
          <cell r="G48">
            <v>1748</v>
          </cell>
        </row>
      </sheetData>
      <sheetData sheetId="3" refreshError="1">
        <row r="142">
          <cell r="D142">
            <v>935</v>
          </cell>
          <cell r="G142" t="str">
            <v>SCHEME NO:</v>
          </cell>
          <cell r="H142">
            <v>2</v>
          </cell>
          <cell r="I142" t="str">
            <v>Dwari Lamkhali Doharegada</v>
          </cell>
        </row>
        <row r="143">
          <cell r="B143" t="str">
            <v>TRANSMISSION  LINE</v>
          </cell>
          <cell r="D143">
            <v>335</v>
          </cell>
          <cell r="M143" t="str">
            <v>OD</v>
          </cell>
          <cell r="T143" t="str">
            <v>SOIL</v>
          </cell>
        </row>
        <row r="144">
          <cell r="A144">
            <v>1</v>
          </cell>
          <cell r="B144" t="str">
            <v>INT1</v>
          </cell>
          <cell r="C144" t="str">
            <v>p1</v>
          </cell>
          <cell r="D144">
            <v>90</v>
          </cell>
          <cell r="E144">
            <v>0.5</v>
          </cell>
          <cell r="F144">
            <v>1800</v>
          </cell>
          <cell r="G144">
            <v>1746</v>
          </cell>
          <cell r="H144">
            <v>1800</v>
          </cell>
          <cell r="I144">
            <v>1800</v>
          </cell>
          <cell r="J144">
            <v>54</v>
          </cell>
          <cell r="K144">
            <v>54</v>
          </cell>
          <cell r="L144">
            <v>54</v>
          </cell>
          <cell r="M144">
            <v>50</v>
          </cell>
          <cell r="N144">
            <v>6</v>
          </cell>
          <cell r="O144">
            <v>42.2</v>
          </cell>
          <cell r="P144">
            <v>0.46100000000000002</v>
          </cell>
          <cell r="Q144">
            <v>53.539000000000001</v>
          </cell>
          <cell r="R144">
            <v>0.35733902897713232</v>
          </cell>
          <cell r="S144">
            <v>1799.539</v>
          </cell>
          <cell r="T144" t="str">
            <v>GBM</v>
          </cell>
          <cell r="W144" t="str">
            <v>506</v>
          </cell>
          <cell r="X144">
            <v>3.021644703950932E-2</v>
          </cell>
          <cell r="Y144">
            <v>0.99977430011945645</v>
          </cell>
          <cell r="Z144">
            <v>0.12</v>
          </cell>
          <cell r="AA144">
            <v>11511.226734988537</v>
          </cell>
        </row>
        <row r="145">
          <cell r="A145">
            <v>2</v>
          </cell>
          <cell r="B145" t="str">
            <v>p1</v>
          </cell>
          <cell r="C145" t="str">
            <v>p2</v>
          </cell>
          <cell r="D145">
            <v>175</v>
          </cell>
          <cell r="E145">
            <v>0.5</v>
          </cell>
          <cell r="F145">
            <v>1746</v>
          </cell>
          <cell r="G145">
            <v>1750</v>
          </cell>
          <cell r="H145">
            <v>1800</v>
          </cell>
          <cell r="I145">
            <v>1799.539</v>
          </cell>
          <cell r="J145">
            <v>-4</v>
          </cell>
          <cell r="K145">
            <v>54</v>
          </cell>
          <cell r="L145">
            <v>49.538999999999987</v>
          </cell>
          <cell r="M145">
            <v>32</v>
          </cell>
          <cell r="N145">
            <v>6</v>
          </cell>
          <cell r="O145">
            <v>26.9</v>
          </cell>
          <cell r="P145">
            <v>7.7409999999999997</v>
          </cell>
          <cell r="Q145">
            <v>41.797999999999988</v>
          </cell>
          <cell r="R145">
            <v>0.87942902442425674</v>
          </cell>
          <cell r="S145">
            <v>1791.798</v>
          </cell>
          <cell r="T145" t="str">
            <v>GBM</v>
          </cell>
          <cell r="W145" t="str">
            <v>326</v>
          </cell>
          <cell r="X145">
            <v>2.7443504518105417E-2</v>
          </cell>
          <cell r="Y145">
            <v>0.99990080593136743</v>
          </cell>
          <cell r="Z145">
            <v>0.12</v>
          </cell>
          <cell r="AA145">
            <v>18058.504394666033</v>
          </cell>
        </row>
        <row r="146">
          <cell r="A146">
            <v>3</v>
          </cell>
          <cell r="B146" t="str">
            <v>p2</v>
          </cell>
          <cell r="C146" t="str">
            <v>p3</v>
          </cell>
          <cell r="D146">
            <v>35</v>
          </cell>
          <cell r="E146">
            <v>0.5</v>
          </cell>
          <cell r="F146">
            <v>1750</v>
          </cell>
          <cell r="G146">
            <v>1749</v>
          </cell>
          <cell r="H146">
            <v>1800</v>
          </cell>
          <cell r="I146">
            <v>1791.798</v>
          </cell>
          <cell r="J146">
            <v>1</v>
          </cell>
          <cell r="K146">
            <v>51</v>
          </cell>
          <cell r="L146">
            <v>42.798000000000002</v>
          </cell>
          <cell r="M146">
            <v>32</v>
          </cell>
          <cell r="N146">
            <v>6</v>
          </cell>
          <cell r="O146">
            <v>26.9</v>
          </cell>
          <cell r="P146">
            <v>1.548</v>
          </cell>
          <cell r="Q146">
            <v>41.25</v>
          </cell>
          <cell r="R146">
            <v>0.87942902442425674</v>
          </cell>
          <cell r="S146">
            <v>1790.25</v>
          </cell>
          <cell r="T146" t="str">
            <v>GBM</v>
          </cell>
          <cell r="W146" t="str">
            <v>326</v>
          </cell>
          <cell r="X146">
            <v>2.7443504518105417E-2</v>
          </cell>
          <cell r="Y146">
            <v>0.99990080593136743</v>
          </cell>
          <cell r="Z146">
            <v>0.12</v>
          </cell>
          <cell r="AA146">
            <v>18058.504394666033</v>
          </cell>
        </row>
        <row r="147">
          <cell r="A147">
            <v>4</v>
          </cell>
          <cell r="B147" t="str">
            <v>p3</v>
          </cell>
          <cell r="C147" t="str">
            <v>p4</v>
          </cell>
          <cell r="D147">
            <v>35</v>
          </cell>
          <cell r="E147">
            <v>0.5</v>
          </cell>
          <cell r="F147">
            <v>1749</v>
          </cell>
          <cell r="G147">
            <v>1748</v>
          </cell>
          <cell r="H147">
            <v>1800</v>
          </cell>
          <cell r="I147">
            <v>1790.25</v>
          </cell>
          <cell r="J147">
            <v>1</v>
          </cell>
          <cell r="K147">
            <v>52</v>
          </cell>
          <cell r="L147">
            <v>42.25</v>
          </cell>
          <cell r="M147">
            <v>32</v>
          </cell>
          <cell r="N147">
            <v>6</v>
          </cell>
          <cell r="O147">
            <v>26.9</v>
          </cell>
          <cell r="P147">
            <v>1.548</v>
          </cell>
          <cell r="Q147">
            <v>40.701999999999998</v>
          </cell>
          <cell r="R147">
            <v>0.87942902442425674</v>
          </cell>
          <cell r="S147">
            <v>1788.702</v>
          </cell>
          <cell r="T147" t="str">
            <v>GBM</v>
          </cell>
          <cell r="W147" t="str">
            <v>326</v>
          </cell>
          <cell r="X147">
            <v>2.7443504518105417E-2</v>
          </cell>
          <cell r="Y147">
            <v>0.99990080593136743</v>
          </cell>
          <cell r="Z147">
            <v>0.12</v>
          </cell>
          <cell r="AA147">
            <v>18058.504394666033</v>
          </cell>
        </row>
        <row r="149">
          <cell r="B149" t="str">
            <v>DISTRIBUTION  LINE</v>
          </cell>
          <cell r="D149">
            <v>600</v>
          </cell>
          <cell r="M149" t="str">
            <v>OD</v>
          </cell>
          <cell r="T149" t="str">
            <v>SOIL</v>
          </cell>
        </row>
        <row r="150">
          <cell r="A150">
            <v>5</v>
          </cell>
          <cell r="B150" t="str">
            <v>INT1</v>
          </cell>
          <cell r="C150" t="str">
            <v>p1</v>
          </cell>
          <cell r="D150">
            <v>90</v>
          </cell>
          <cell r="E150">
            <v>0.5</v>
          </cell>
          <cell r="F150">
            <v>1800</v>
          </cell>
          <cell r="G150">
            <v>1746</v>
          </cell>
          <cell r="H150">
            <v>1800</v>
          </cell>
          <cell r="I150">
            <v>1800</v>
          </cell>
          <cell r="J150">
            <v>54</v>
          </cell>
          <cell r="K150">
            <v>54</v>
          </cell>
          <cell r="L150">
            <v>54</v>
          </cell>
          <cell r="M150">
            <v>63</v>
          </cell>
          <cell r="N150">
            <v>6</v>
          </cell>
          <cell r="O150">
            <v>53.3</v>
          </cell>
          <cell r="P150">
            <v>0.152</v>
          </cell>
          <cell r="Q150">
            <v>53.847999999999999</v>
          </cell>
          <cell r="R150">
            <v>0.22400150529011556</v>
          </cell>
          <cell r="S150">
            <v>1799.848</v>
          </cell>
          <cell r="T150" t="str">
            <v>HS</v>
          </cell>
          <cell r="W150" t="str">
            <v>636</v>
          </cell>
          <cell r="X150">
            <v>3.193161244815633E-2</v>
          </cell>
          <cell r="Y150">
            <v>1.0000029336953722</v>
          </cell>
          <cell r="Z150">
            <v>0.1</v>
          </cell>
          <cell r="AA150">
            <v>9113.9543755443938</v>
          </cell>
        </row>
        <row r="151">
          <cell r="A151">
            <v>6</v>
          </cell>
          <cell r="B151" t="str">
            <v>p1</v>
          </cell>
          <cell r="C151" t="str">
            <v>p4</v>
          </cell>
          <cell r="D151">
            <v>245</v>
          </cell>
          <cell r="E151">
            <v>0.5</v>
          </cell>
          <cell r="F151">
            <v>1746</v>
          </cell>
          <cell r="G151">
            <v>1748</v>
          </cell>
          <cell r="H151">
            <v>1800</v>
          </cell>
          <cell r="I151">
            <v>1799.848</v>
          </cell>
          <cell r="J151">
            <v>-2</v>
          </cell>
          <cell r="K151">
            <v>54</v>
          </cell>
          <cell r="L151">
            <v>51.847999999999956</v>
          </cell>
          <cell r="M151">
            <v>50</v>
          </cell>
          <cell r="N151">
            <v>6</v>
          </cell>
          <cell r="O151">
            <v>42.2</v>
          </cell>
          <cell r="P151">
            <v>1.2529999999999999</v>
          </cell>
          <cell r="Q151">
            <v>50.594999999999956</v>
          </cell>
          <cell r="R151">
            <v>0.35733902897713232</v>
          </cell>
          <cell r="S151">
            <v>1798.595</v>
          </cell>
          <cell r="T151" t="str">
            <v>OS</v>
          </cell>
          <cell r="W151" t="str">
            <v>506</v>
          </cell>
          <cell r="X151">
            <v>3.0143671897283463E-2</v>
          </cell>
          <cell r="Y151">
            <v>0.99985466413014257</v>
          </cell>
          <cell r="Z151">
            <v>0.1</v>
          </cell>
          <cell r="AA151">
            <v>11511.226734988537</v>
          </cell>
        </row>
        <row r="153">
          <cell r="A153">
            <v>7</v>
          </cell>
          <cell r="B153" t="str">
            <v>INT1</v>
          </cell>
          <cell r="C153" t="str">
            <v>p1</v>
          </cell>
          <cell r="D153">
            <v>90</v>
          </cell>
          <cell r="E153">
            <v>0.5</v>
          </cell>
          <cell r="F153">
            <v>1800</v>
          </cell>
          <cell r="G153">
            <v>1746</v>
          </cell>
          <cell r="H153">
            <v>1800</v>
          </cell>
          <cell r="I153">
            <v>1800</v>
          </cell>
          <cell r="J153">
            <v>54</v>
          </cell>
          <cell r="K153">
            <v>54</v>
          </cell>
          <cell r="L153">
            <v>54</v>
          </cell>
          <cell r="M153">
            <v>32</v>
          </cell>
          <cell r="N153">
            <v>6</v>
          </cell>
          <cell r="O153">
            <v>26.9</v>
          </cell>
          <cell r="P153">
            <v>3.9580000000000002</v>
          </cell>
          <cell r="Q153">
            <v>50.042000000000002</v>
          </cell>
          <cell r="R153">
            <v>0.87942902442425674</v>
          </cell>
          <cell r="S153">
            <v>1796.0419999999999</v>
          </cell>
          <cell r="T153" t="str">
            <v>HS</v>
          </cell>
          <cell r="W153" t="str">
            <v>326</v>
          </cell>
          <cell r="X153">
            <v>2.7280188584218653E-2</v>
          </cell>
          <cell r="Y153">
            <v>0.99957485666258294</v>
          </cell>
          <cell r="Z153">
            <v>0.1</v>
          </cell>
          <cell r="AA153">
            <v>18058.504394666033</v>
          </cell>
        </row>
        <row r="154">
          <cell r="A154">
            <v>8</v>
          </cell>
          <cell r="B154" t="str">
            <v>p1</v>
          </cell>
          <cell r="C154" t="str">
            <v>p2</v>
          </cell>
          <cell r="D154">
            <v>175</v>
          </cell>
          <cell r="E154">
            <v>0.5</v>
          </cell>
          <cell r="F154">
            <v>1746</v>
          </cell>
          <cell r="G154">
            <v>1750</v>
          </cell>
          <cell r="H154">
            <v>1800</v>
          </cell>
          <cell r="I154">
            <v>1796.0419999999999</v>
          </cell>
          <cell r="J154">
            <v>-4</v>
          </cell>
          <cell r="K154">
            <v>54</v>
          </cell>
          <cell r="L154">
            <v>46.041999999999916</v>
          </cell>
          <cell r="M154">
            <v>32</v>
          </cell>
          <cell r="N154">
            <v>6</v>
          </cell>
          <cell r="O154">
            <v>26.9</v>
          </cell>
          <cell r="P154">
            <v>7.6950000000000003</v>
          </cell>
          <cell r="Q154">
            <v>38.346999999999916</v>
          </cell>
          <cell r="R154">
            <v>0.87942902442425674</v>
          </cell>
          <cell r="S154">
            <v>1788.347</v>
          </cell>
          <cell r="T154" t="str">
            <v>HS</v>
          </cell>
          <cell r="W154" t="str">
            <v>326</v>
          </cell>
          <cell r="X154">
            <v>2.7280179999948639E-2</v>
          </cell>
          <cell r="Y154">
            <v>0.99957467922999599</v>
          </cell>
          <cell r="Z154">
            <v>0.1</v>
          </cell>
          <cell r="AA154">
            <v>18058.504394666033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4">
          <cell r="E74" t="str">
            <v>SCHEME:</v>
          </cell>
          <cell r="F74">
            <v>2</v>
          </cell>
          <cell r="G74" t="str">
            <v>Dwari Lamkhali Doharegada</v>
          </cell>
          <cell r="R74">
            <v>935</v>
          </cell>
        </row>
        <row r="75">
          <cell r="A75">
            <v>1</v>
          </cell>
          <cell r="B75" t="str">
            <v>(a). Earthwork in excavation in GBM soils</v>
          </cell>
        </row>
        <row r="76">
          <cell r="B76" t="str">
            <v>GI pipe &gt;= 2.5"</v>
          </cell>
          <cell r="D76">
            <v>0</v>
          </cell>
          <cell r="E76">
            <v>0.6</v>
          </cell>
          <cell r="F76">
            <v>0.9</v>
          </cell>
          <cell r="G76">
            <v>0</v>
          </cell>
          <cell r="J76">
            <v>0</v>
          </cell>
          <cell r="K76">
            <v>0.6</v>
          </cell>
          <cell r="L76">
            <v>0.9</v>
          </cell>
          <cell r="M76">
            <v>0</v>
          </cell>
          <cell r="R76">
            <v>0</v>
          </cell>
        </row>
        <row r="77">
          <cell r="B77" t="str">
            <v>GI pipe &lt; 2.5"</v>
          </cell>
          <cell r="D77">
            <v>0</v>
          </cell>
          <cell r="E77">
            <v>0.45</v>
          </cell>
          <cell r="F77">
            <v>0.9</v>
          </cell>
          <cell r="G77">
            <v>0</v>
          </cell>
          <cell r="J77">
            <v>0</v>
          </cell>
          <cell r="K77">
            <v>0.45</v>
          </cell>
          <cell r="L77">
            <v>0.9</v>
          </cell>
          <cell r="M77">
            <v>0</v>
          </cell>
          <cell r="R77">
            <v>0</v>
          </cell>
        </row>
        <row r="78">
          <cell r="B78" t="str">
            <v>HDP pipe &gt;= 63mm</v>
          </cell>
          <cell r="D78">
            <v>0</v>
          </cell>
          <cell r="E78">
            <v>0.6</v>
          </cell>
          <cell r="F78">
            <v>0.9</v>
          </cell>
          <cell r="G78">
            <v>0</v>
          </cell>
          <cell r="J78">
            <v>0</v>
          </cell>
          <cell r="K78">
            <v>0.6</v>
          </cell>
          <cell r="L78">
            <v>0.9</v>
          </cell>
          <cell r="M78">
            <v>0</v>
          </cell>
          <cell r="R78">
            <v>0</v>
          </cell>
        </row>
        <row r="79">
          <cell r="B79" t="str">
            <v>HDP pipe &lt;63mm</v>
          </cell>
          <cell r="D79">
            <v>335</v>
          </cell>
          <cell r="E79">
            <v>0.45</v>
          </cell>
          <cell r="F79">
            <v>0.9</v>
          </cell>
          <cell r="G79">
            <v>135.68</v>
          </cell>
          <cell r="J79">
            <v>0</v>
          </cell>
          <cell r="K79">
            <v>0.45</v>
          </cell>
          <cell r="L79">
            <v>0.9</v>
          </cell>
          <cell r="M79">
            <v>0</v>
          </cell>
          <cell r="R79">
            <v>335</v>
          </cell>
        </row>
        <row r="80">
          <cell r="G80">
            <v>135.68</v>
          </cell>
          <cell r="H80" t="str">
            <v>m3</v>
          </cell>
          <cell r="I80">
            <v>36663.517440000003</v>
          </cell>
          <cell r="M80">
            <v>0</v>
          </cell>
          <cell r="N80" t="str">
            <v>m3</v>
          </cell>
          <cell r="O80">
            <v>0</v>
          </cell>
          <cell r="P80">
            <v>270.22050000000002</v>
          </cell>
          <cell r="Q80">
            <v>2.14</v>
          </cell>
        </row>
        <row r="81">
          <cell r="B81" t="str">
            <v>(b). Earthwork in excavation in Hard soils</v>
          </cell>
        </row>
        <row r="82">
          <cell r="B82" t="str">
            <v>GI pipe &gt;= 2.5"</v>
          </cell>
          <cell r="D82">
            <v>0</v>
          </cell>
          <cell r="E82">
            <v>0.6</v>
          </cell>
          <cell r="F82">
            <v>0.9</v>
          </cell>
          <cell r="G82">
            <v>0</v>
          </cell>
          <cell r="J82">
            <v>0</v>
          </cell>
          <cell r="K82">
            <v>0.6</v>
          </cell>
          <cell r="L82">
            <v>0.9</v>
          </cell>
          <cell r="M82">
            <v>0</v>
          </cell>
          <cell r="R82">
            <v>0</v>
          </cell>
        </row>
        <row r="83">
          <cell r="B83" t="str">
            <v>GI pipe &lt; 2.5"</v>
          </cell>
          <cell r="D83">
            <v>0</v>
          </cell>
          <cell r="E83">
            <v>0.45</v>
          </cell>
          <cell r="F83">
            <v>0.9</v>
          </cell>
          <cell r="G83">
            <v>0</v>
          </cell>
          <cell r="J83">
            <v>0</v>
          </cell>
          <cell r="K83">
            <v>0.45</v>
          </cell>
          <cell r="L83">
            <v>0.9</v>
          </cell>
          <cell r="M83">
            <v>0</v>
          </cell>
          <cell r="R83">
            <v>0</v>
          </cell>
        </row>
        <row r="84">
          <cell r="B84" t="str">
            <v>HDP pipe &gt;= 63mm</v>
          </cell>
          <cell r="D84">
            <v>0</v>
          </cell>
          <cell r="E84">
            <v>0.6</v>
          </cell>
          <cell r="F84">
            <v>0.9</v>
          </cell>
          <cell r="G84">
            <v>0</v>
          </cell>
          <cell r="J84">
            <v>90</v>
          </cell>
          <cell r="K84">
            <v>0.6</v>
          </cell>
          <cell r="L84">
            <v>0.9</v>
          </cell>
          <cell r="M84">
            <v>48.6</v>
          </cell>
          <cell r="R84">
            <v>90</v>
          </cell>
        </row>
        <row r="85">
          <cell r="B85" t="str">
            <v>HDP pipe &lt;63mm</v>
          </cell>
          <cell r="D85">
            <v>0</v>
          </cell>
          <cell r="E85">
            <v>0.45</v>
          </cell>
          <cell r="F85">
            <v>0.9</v>
          </cell>
          <cell r="G85">
            <v>0</v>
          </cell>
          <cell r="J85">
            <v>265</v>
          </cell>
          <cell r="K85">
            <v>0.45</v>
          </cell>
          <cell r="L85">
            <v>0.9</v>
          </cell>
          <cell r="M85">
            <v>107.33</v>
          </cell>
          <cell r="R85">
            <v>265</v>
          </cell>
        </row>
        <row r="86">
          <cell r="G86">
            <v>0</v>
          </cell>
          <cell r="H86" t="str">
            <v>m3</v>
          </cell>
          <cell r="I86">
            <v>0</v>
          </cell>
          <cell r="M86">
            <v>155.93</v>
          </cell>
          <cell r="N86" t="str">
            <v>m3</v>
          </cell>
          <cell r="O86">
            <v>33125.379375000004</v>
          </cell>
          <cell r="P86">
            <v>212.4375</v>
          </cell>
          <cell r="Q86">
            <v>2.12</v>
          </cell>
        </row>
        <row r="87">
          <cell r="B87" t="str">
            <v>(c). Earthwork in excavation in Ord. soils</v>
          </cell>
        </row>
        <row r="88">
          <cell r="B88" t="str">
            <v>GI pipe &gt;= 2.5"</v>
          </cell>
          <cell r="D88">
            <v>0</v>
          </cell>
          <cell r="E88">
            <v>0.6</v>
          </cell>
          <cell r="F88">
            <v>0.9</v>
          </cell>
          <cell r="G88">
            <v>0</v>
          </cell>
          <cell r="J88">
            <v>0</v>
          </cell>
          <cell r="K88">
            <v>0.6</v>
          </cell>
          <cell r="L88">
            <v>0.9</v>
          </cell>
          <cell r="M88">
            <v>0</v>
          </cell>
          <cell r="R88">
            <v>0</v>
          </cell>
        </row>
        <row r="89">
          <cell r="B89" t="str">
            <v>GI pipe &lt; 2.5"</v>
          </cell>
          <cell r="D89">
            <v>0</v>
          </cell>
          <cell r="E89">
            <v>0.45</v>
          </cell>
          <cell r="F89">
            <v>0.9</v>
          </cell>
          <cell r="G89">
            <v>0</v>
          </cell>
          <cell r="J89">
            <v>0</v>
          </cell>
          <cell r="K89">
            <v>0.45</v>
          </cell>
          <cell r="L89">
            <v>0.9</v>
          </cell>
          <cell r="M89">
            <v>0</v>
          </cell>
          <cell r="R89">
            <v>0</v>
          </cell>
        </row>
        <row r="90">
          <cell r="B90" t="str">
            <v>HDP pipe &gt;= 63mm</v>
          </cell>
          <cell r="D90">
            <v>0</v>
          </cell>
          <cell r="E90">
            <v>0.6</v>
          </cell>
          <cell r="F90">
            <v>0.9</v>
          </cell>
          <cell r="G90">
            <v>0</v>
          </cell>
          <cell r="J90">
            <v>0</v>
          </cell>
          <cell r="K90">
            <v>0.6</v>
          </cell>
          <cell r="L90">
            <v>0.9</v>
          </cell>
          <cell r="M90">
            <v>0</v>
          </cell>
          <cell r="R90">
            <v>0</v>
          </cell>
        </row>
        <row r="91">
          <cell r="B91" t="str">
            <v>HDP pipe &lt;63mm</v>
          </cell>
          <cell r="D91">
            <v>0</v>
          </cell>
          <cell r="E91">
            <v>0.45</v>
          </cell>
          <cell r="F91">
            <v>0.9</v>
          </cell>
          <cell r="G91">
            <v>0</v>
          </cell>
          <cell r="J91">
            <v>245</v>
          </cell>
          <cell r="K91">
            <v>0.45</v>
          </cell>
          <cell r="L91">
            <v>0.9</v>
          </cell>
          <cell r="M91">
            <v>99.23</v>
          </cell>
          <cell r="R91">
            <v>245</v>
          </cell>
        </row>
        <row r="92">
          <cell r="G92">
            <v>0</v>
          </cell>
          <cell r="H92" t="str">
            <v>m3</v>
          </cell>
          <cell r="I92">
            <v>0</v>
          </cell>
          <cell r="M92">
            <v>99.23</v>
          </cell>
          <cell r="N92" t="str">
            <v>m3</v>
          </cell>
          <cell r="O92">
            <v>16864.138500000001</v>
          </cell>
          <cell r="P92">
            <v>169.95</v>
          </cell>
          <cell r="Q92">
            <v>2.9</v>
          </cell>
        </row>
        <row r="93">
          <cell r="B93" t="str">
            <v>(d). Earthwork in excavation in User Defined soils</v>
          </cell>
        </row>
        <row r="94">
          <cell r="B94" t="str">
            <v>GI pipe &gt;= 2.5"</v>
          </cell>
          <cell r="D94">
            <v>0</v>
          </cell>
          <cell r="E94">
            <v>0.6</v>
          </cell>
          <cell r="F94">
            <v>0.9</v>
          </cell>
          <cell r="G94">
            <v>0</v>
          </cell>
          <cell r="J94">
            <v>0</v>
          </cell>
          <cell r="K94">
            <v>0.6</v>
          </cell>
          <cell r="L94">
            <v>0.9</v>
          </cell>
          <cell r="M94">
            <v>0</v>
          </cell>
          <cell r="R94">
            <v>0</v>
          </cell>
        </row>
        <row r="95">
          <cell r="B95" t="str">
            <v>GI pipe &lt; 2.5"</v>
          </cell>
          <cell r="D95">
            <v>0</v>
          </cell>
          <cell r="E95">
            <v>0.45</v>
          </cell>
          <cell r="F95">
            <v>0.9</v>
          </cell>
          <cell r="G95">
            <v>0</v>
          </cell>
          <cell r="J95">
            <v>0</v>
          </cell>
          <cell r="K95">
            <v>0.45</v>
          </cell>
          <cell r="L95">
            <v>0.9</v>
          </cell>
          <cell r="M95">
            <v>0</v>
          </cell>
          <cell r="R95">
            <v>0</v>
          </cell>
        </row>
        <row r="96">
          <cell r="B96" t="str">
            <v>HDP pipe &gt;= 63mm</v>
          </cell>
          <cell r="D96">
            <v>0</v>
          </cell>
          <cell r="E96">
            <v>0.6</v>
          </cell>
          <cell r="F96">
            <v>0.9</v>
          </cell>
          <cell r="G96">
            <v>0</v>
          </cell>
          <cell r="J96">
            <v>0</v>
          </cell>
          <cell r="K96">
            <v>0.6</v>
          </cell>
          <cell r="L96">
            <v>0.9</v>
          </cell>
          <cell r="M96">
            <v>0</v>
          </cell>
          <cell r="R96">
            <v>0</v>
          </cell>
        </row>
        <row r="97">
          <cell r="B97" t="str">
            <v>HDP pipe &lt;63mm</v>
          </cell>
          <cell r="D97">
            <v>0</v>
          </cell>
          <cell r="E97">
            <v>0.45</v>
          </cell>
          <cell r="F97">
            <v>0.9</v>
          </cell>
          <cell r="G97">
            <v>0</v>
          </cell>
          <cell r="J97">
            <v>0</v>
          </cell>
          <cell r="K97">
            <v>0.45</v>
          </cell>
          <cell r="L97">
            <v>0.9</v>
          </cell>
          <cell r="M97">
            <v>0</v>
          </cell>
          <cell r="R97">
            <v>0</v>
          </cell>
        </row>
        <row r="98">
          <cell r="G98">
            <v>0</v>
          </cell>
          <cell r="H98" t="str">
            <v>m3</v>
          </cell>
          <cell r="I98" t="e">
            <v>#N/A</v>
          </cell>
          <cell r="M98">
            <v>0</v>
          </cell>
          <cell r="N98" t="str">
            <v>m3</v>
          </cell>
          <cell r="O98" t="e">
            <v>#N/A</v>
          </cell>
          <cell r="P98" t="e">
            <v>#N/A</v>
          </cell>
          <cell r="Q98">
            <v>2.15</v>
          </cell>
        </row>
        <row r="100">
          <cell r="A100">
            <v>2</v>
          </cell>
          <cell r="B100" t="str">
            <v>Refilling the trench with excavated loose soils</v>
          </cell>
          <cell r="G100">
            <v>135.68</v>
          </cell>
          <cell r="H100" t="str">
            <v>m3</v>
          </cell>
          <cell r="I100">
            <v>11529.407999999999</v>
          </cell>
          <cell r="M100">
            <v>255.16000000000003</v>
          </cell>
          <cell r="N100" t="str">
            <v>m3</v>
          </cell>
          <cell r="O100">
            <v>21682.221000000001</v>
          </cell>
          <cell r="P100">
            <v>84.974999999999994</v>
          </cell>
          <cell r="Q100" t="str">
            <v>2.39a</v>
          </cell>
        </row>
        <row r="102">
          <cell r="A102">
            <v>3</v>
          </cell>
          <cell r="B102" t="str">
            <v>Pipe laying &amp; jointing works:</v>
          </cell>
        </row>
        <row r="103">
          <cell r="B103" t="str">
            <v>HDP Pipe of dia (mm):</v>
          </cell>
          <cell r="C103">
            <v>16</v>
          </cell>
          <cell r="D103">
            <v>0</v>
          </cell>
          <cell r="G103">
            <v>0</v>
          </cell>
          <cell r="H103" t="str">
            <v>m</v>
          </cell>
          <cell r="I103">
            <v>0</v>
          </cell>
          <cell r="J103">
            <v>0</v>
          </cell>
          <cell r="M103">
            <v>0</v>
          </cell>
          <cell r="N103" t="str">
            <v>m</v>
          </cell>
          <cell r="O103">
            <v>0</v>
          </cell>
          <cell r="P103">
            <v>0.86506804017857153</v>
          </cell>
          <cell r="Q103" t="str">
            <v>17.2a</v>
          </cell>
          <cell r="R103">
            <v>0</v>
          </cell>
        </row>
        <row r="104">
          <cell r="C104">
            <v>20</v>
          </cell>
          <cell r="D104">
            <v>0</v>
          </cell>
          <cell r="G104">
            <v>0</v>
          </cell>
          <cell r="H104" t="str">
            <v>m</v>
          </cell>
          <cell r="I104">
            <v>0</v>
          </cell>
          <cell r="J104">
            <v>0</v>
          </cell>
          <cell r="M104">
            <v>0</v>
          </cell>
          <cell r="N104" t="str">
            <v>m</v>
          </cell>
          <cell r="O104">
            <v>0</v>
          </cell>
          <cell r="P104">
            <v>0.86506804017857153</v>
          </cell>
          <cell r="Q104" t="str">
            <v>17.2a</v>
          </cell>
          <cell r="R104">
            <v>0</v>
          </cell>
        </row>
        <row r="105">
          <cell r="C105">
            <v>25</v>
          </cell>
          <cell r="D105">
            <v>0</v>
          </cell>
          <cell r="G105">
            <v>0</v>
          </cell>
          <cell r="H105" t="str">
            <v>m</v>
          </cell>
          <cell r="I105">
            <v>0</v>
          </cell>
          <cell r="J105">
            <v>0</v>
          </cell>
          <cell r="M105">
            <v>0</v>
          </cell>
          <cell r="N105" t="str">
            <v>m</v>
          </cell>
          <cell r="O105">
            <v>0</v>
          </cell>
          <cell r="P105">
            <v>0.86506804017857153</v>
          </cell>
          <cell r="Q105" t="str">
            <v>17.2a</v>
          </cell>
          <cell r="R105">
            <v>0</v>
          </cell>
        </row>
        <row r="106">
          <cell r="C106">
            <v>32</v>
          </cell>
          <cell r="D106">
            <v>245</v>
          </cell>
          <cell r="G106">
            <v>245</v>
          </cell>
          <cell r="H106" t="str">
            <v>m</v>
          </cell>
          <cell r="I106">
            <v>254.3912538125</v>
          </cell>
          <cell r="J106">
            <v>265</v>
          </cell>
          <cell r="M106">
            <v>265</v>
          </cell>
          <cell r="N106" t="str">
            <v>m</v>
          </cell>
          <cell r="O106">
            <v>275.15788677678569</v>
          </cell>
          <cell r="P106">
            <v>1.0383316482142857</v>
          </cell>
          <cell r="Q106" t="str">
            <v>17.2b</v>
          </cell>
          <cell r="R106">
            <v>510</v>
          </cell>
        </row>
        <row r="107">
          <cell r="C107">
            <v>40</v>
          </cell>
          <cell r="D107">
            <v>0</v>
          </cell>
          <cell r="G107">
            <v>0</v>
          </cell>
          <cell r="H107" t="str">
            <v>m</v>
          </cell>
          <cell r="I107">
            <v>0</v>
          </cell>
          <cell r="J107">
            <v>0</v>
          </cell>
          <cell r="M107">
            <v>0</v>
          </cell>
          <cell r="N107" t="str">
            <v>m</v>
          </cell>
          <cell r="O107">
            <v>0</v>
          </cell>
          <cell r="P107">
            <v>1.5027338642857142</v>
          </cell>
          <cell r="Q107" t="str">
            <v>17.2c</v>
          </cell>
          <cell r="R107">
            <v>0</v>
          </cell>
        </row>
        <row r="108">
          <cell r="C108">
            <v>50</v>
          </cell>
          <cell r="D108">
            <v>90</v>
          </cell>
          <cell r="G108">
            <v>90</v>
          </cell>
          <cell r="H108" t="str">
            <v>m</v>
          </cell>
          <cell r="I108">
            <v>135.24604778571427</v>
          </cell>
          <cell r="J108">
            <v>245</v>
          </cell>
          <cell r="M108">
            <v>245</v>
          </cell>
          <cell r="N108" t="str">
            <v>m</v>
          </cell>
          <cell r="O108">
            <v>368.16979674999999</v>
          </cell>
          <cell r="P108">
            <v>1.5027338642857142</v>
          </cell>
          <cell r="Q108" t="str">
            <v>17.2c</v>
          </cell>
          <cell r="R108">
            <v>335</v>
          </cell>
        </row>
        <row r="109">
          <cell r="C109">
            <v>63</v>
          </cell>
          <cell r="D109">
            <v>0</v>
          </cell>
          <cell r="G109">
            <v>0</v>
          </cell>
          <cell r="H109" t="str">
            <v>m</v>
          </cell>
          <cell r="I109">
            <v>0</v>
          </cell>
          <cell r="J109">
            <v>90</v>
          </cell>
          <cell r="M109">
            <v>90</v>
          </cell>
          <cell r="N109" t="str">
            <v>m</v>
          </cell>
          <cell r="O109">
            <v>1549.369944642857</v>
          </cell>
          <cell r="P109">
            <v>17.215221607142855</v>
          </cell>
          <cell r="Q109" t="str">
            <v>17.2d</v>
          </cell>
          <cell r="R109">
            <v>90</v>
          </cell>
        </row>
        <row r="110">
          <cell r="C110">
            <v>75</v>
          </cell>
          <cell r="D110">
            <v>0</v>
          </cell>
          <cell r="G110">
            <v>0</v>
          </cell>
          <cell r="H110" t="str">
            <v>m</v>
          </cell>
          <cell r="I110">
            <v>0</v>
          </cell>
          <cell r="J110">
            <v>0</v>
          </cell>
          <cell r="M110">
            <v>0</v>
          </cell>
          <cell r="N110" t="str">
            <v>m</v>
          </cell>
          <cell r="O110">
            <v>0</v>
          </cell>
          <cell r="P110">
            <v>17.215221607142855</v>
          </cell>
          <cell r="Q110" t="str">
            <v>17.2d</v>
          </cell>
          <cell r="R110">
            <v>0</v>
          </cell>
        </row>
        <row r="111">
          <cell r="C111">
            <v>90</v>
          </cell>
          <cell r="D111">
            <v>0</v>
          </cell>
          <cell r="G111">
            <v>0</v>
          </cell>
          <cell r="H111" t="str">
            <v>m</v>
          </cell>
          <cell r="I111">
            <v>0</v>
          </cell>
          <cell r="J111">
            <v>0</v>
          </cell>
          <cell r="M111">
            <v>0</v>
          </cell>
          <cell r="N111" t="str">
            <v>m</v>
          </cell>
          <cell r="O111">
            <v>0</v>
          </cell>
          <cell r="P111">
            <v>17.215221607142855</v>
          </cell>
          <cell r="Q111" t="str">
            <v>17.2d</v>
          </cell>
          <cell r="R111">
            <v>0</v>
          </cell>
        </row>
        <row r="112">
          <cell r="C112">
            <v>110</v>
          </cell>
          <cell r="D112">
            <v>0</v>
          </cell>
          <cell r="G112">
            <v>0</v>
          </cell>
          <cell r="H112" t="str">
            <v>m</v>
          </cell>
          <cell r="I112">
            <v>0</v>
          </cell>
          <cell r="J112">
            <v>0</v>
          </cell>
          <cell r="M112">
            <v>0</v>
          </cell>
          <cell r="N112" t="str">
            <v>m</v>
          </cell>
          <cell r="O112">
            <v>0</v>
          </cell>
          <cell r="P112">
            <v>25.658971607142856</v>
          </cell>
          <cell r="Q112" t="str">
            <v>17.2e</v>
          </cell>
          <cell r="R112">
            <v>0</v>
          </cell>
        </row>
        <row r="113">
          <cell r="C113">
            <v>125</v>
          </cell>
          <cell r="D113">
            <v>0</v>
          </cell>
          <cell r="G113">
            <v>0</v>
          </cell>
          <cell r="H113" t="str">
            <v>m</v>
          </cell>
          <cell r="I113">
            <v>0</v>
          </cell>
          <cell r="J113">
            <v>0</v>
          </cell>
          <cell r="M113">
            <v>0</v>
          </cell>
          <cell r="N113" t="str">
            <v>m</v>
          </cell>
          <cell r="O113">
            <v>0</v>
          </cell>
          <cell r="P113">
            <v>25.658971607142856</v>
          </cell>
          <cell r="Q113" t="str">
            <v>17.2e</v>
          </cell>
          <cell r="R113">
            <v>0</v>
          </cell>
        </row>
        <row r="114">
          <cell r="C114">
            <v>140</v>
          </cell>
          <cell r="D114">
            <v>0</v>
          </cell>
          <cell r="G114">
            <v>0</v>
          </cell>
          <cell r="H114" t="str">
            <v>m</v>
          </cell>
          <cell r="I114">
            <v>0</v>
          </cell>
          <cell r="J114">
            <v>0</v>
          </cell>
          <cell r="M114">
            <v>0</v>
          </cell>
          <cell r="N114" t="str">
            <v>m</v>
          </cell>
          <cell r="O114">
            <v>0</v>
          </cell>
          <cell r="P114">
            <v>35.93044321428571</v>
          </cell>
          <cell r="Q114" t="str">
            <v>17.2f</v>
          </cell>
          <cell r="R114">
            <v>0</v>
          </cell>
        </row>
        <row r="115">
          <cell r="C115">
            <v>160</v>
          </cell>
          <cell r="D115">
            <v>0</v>
          </cell>
          <cell r="G115">
            <v>0</v>
          </cell>
          <cell r="H115" t="str">
            <v>m</v>
          </cell>
          <cell r="I115">
            <v>0</v>
          </cell>
          <cell r="J115">
            <v>0</v>
          </cell>
          <cell r="M115">
            <v>0</v>
          </cell>
          <cell r="N115" t="str">
            <v>m</v>
          </cell>
          <cell r="O115">
            <v>0</v>
          </cell>
          <cell r="P115">
            <v>35.93044321428571</v>
          </cell>
          <cell r="Q115" t="str">
            <v>17.2f</v>
          </cell>
          <cell r="R115">
            <v>0</v>
          </cell>
        </row>
        <row r="116">
          <cell r="C116">
            <v>180</v>
          </cell>
          <cell r="D116">
            <v>0</v>
          </cell>
          <cell r="G116">
            <v>0</v>
          </cell>
          <cell r="H116" t="str">
            <v>m</v>
          </cell>
          <cell r="I116">
            <v>0</v>
          </cell>
          <cell r="J116">
            <v>0</v>
          </cell>
          <cell r="M116">
            <v>0</v>
          </cell>
          <cell r="N116" t="str">
            <v>m</v>
          </cell>
          <cell r="O116">
            <v>0</v>
          </cell>
          <cell r="P116">
            <v>35.93044321428571</v>
          </cell>
          <cell r="Q116" t="str">
            <v>17.2f</v>
          </cell>
          <cell r="R116">
            <v>0</v>
          </cell>
        </row>
        <row r="117">
          <cell r="C117">
            <v>200</v>
          </cell>
          <cell r="D117">
            <v>0</v>
          </cell>
          <cell r="G117">
            <v>0</v>
          </cell>
          <cell r="H117" t="str">
            <v>m</v>
          </cell>
          <cell r="I117" t="e">
            <v>#NAME?</v>
          </cell>
          <cell r="J117">
            <v>0</v>
          </cell>
          <cell r="M117">
            <v>0</v>
          </cell>
          <cell r="N117" t="str">
            <v>m</v>
          </cell>
          <cell r="O117" t="e">
            <v>#NAME?</v>
          </cell>
          <cell r="P117" t="e">
            <v>#NAME?</v>
          </cell>
          <cell r="Q117" t="str">
            <v>17.2g</v>
          </cell>
          <cell r="R117">
            <v>0</v>
          </cell>
        </row>
        <row r="118">
          <cell r="C118">
            <v>225</v>
          </cell>
          <cell r="D118">
            <v>0</v>
          </cell>
          <cell r="G118">
            <v>0</v>
          </cell>
          <cell r="H118" t="str">
            <v>m</v>
          </cell>
          <cell r="I118" t="e">
            <v>#NAME?</v>
          </cell>
          <cell r="J118">
            <v>0</v>
          </cell>
          <cell r="M118">
            <v>0</v>
          </cell>
          <cell r="N118" t="str">
            <v>m</v>
          </cell>
          <cell r="O118" t="e">
            <v>#NAME?</v>
          </cell>
          <cell r="P118" t="e">
            <v>#NAME?</v>
          </cell>
          <cell r="Q118" t="str">
            <v>17.2g</v>
          </cell>
          <cell r="R118">
            <v>0</v>
          </cell>
        </row>
        <row r="119">
          <cell r="C119">
            <v>250</v>
          </cell>
          <cell r="D119">
            <v>0</v>
          </cell>
          <cell r="G119">
            <v>0</v>
          </cell>
          <cell r="H119" t="str">
            <v>m</v>
          </cell>
          <cell r="I119" t="e">
            <v>#NAME?</v>
          </cell>
          <cell r="J119">
            <v>0</v>
          </cell>
          <cell r="M119">
            <v>0</v>
          </cell>
          <cell r="N119" t="str">
            <v>m</v>
          </cell>
          <cell r="O119" t="e">
            <v>#NAME?</v>
          </cell>
          <cell r="P119" t="e">
            <v>#NAME?</v>
          </cell>
          <cell r="Q119" t="str">
            <v>17.2g</v>
          </cell>
          <cell r="R119">
            <v>0</v>
          </cell>
        </row>
        <row r="120">
          <cell r="B120" t="str">
            <v>GI Pipe of dia (inches):</v>
          </cell>
          <cell r="C120">
            <v>0.5</v>
          </cell>
          <cell r="D120">
            <v>0</v>
          </cell>
          <cell r="G120">
            <v>0</v>
          </cell>
          <cell r="H120" t="str">
            <v>m</v>
          </cell>
          <cell r="I120">
            <v>0</v>
          </cell>
          <cell r="J120">
            <v>0</v>
          </cell>
          <cell r="M120">
            <v>0</v>
          </cell>
          <cell r="N120" t="str">
            <v>m</v>
          </cell>
          <cell r="O120">
            <v>0</v>
          </cell>
          <cell r="P120">
            <v>17.876249999999999</v>
          </cell>
          <cell r="Q120" t="str">
            <v>17.4a1</v>
          </cell>
          <cell r="R120">
            <v>0</v>
          </cell>
        </row>
        <row r="121">
          <cell r="C121">
            <v>0.75</v>
          </cell>
          <cell r="D121">
            <v>0</v>
          </cell>
          <cell r="G121">
            <v>0</v>
          </cell>
          <cell r="H121" t="str">
            <v>m</v>
          </cell>
          <cell r="I121">
            <v>0</v>
          </cell>
          <cell r="J121">
            <v>0</v>
          </cell>
          <cell r="M121">
            <v>0</v>
          </cell>
          <cell r="N121" t="str">
            <v>m</v>
          </cell>
          <cell r="O121">
            <v>0</v>
          </cell>
          <cell r="P121">
            <v>17.876249999999999</v>
          </cell>
          <cell r="Q121" t="str">
            <v>17.4a1</v>
          </cell>
          <cell r="R121">
            <v>0</v>
          </cell>
        </row>
        <row r="122">
          <cell r="C122">
            <v>1</v>
          </cell>
          <cell r="D122">
            <v>0</v>
          </cell>
          <cell r="G122">
            <v>0</v>
          </cell>
          <cell r="H122" t="str">
            <v>m</v>
          </cell>
          <cell r="I122">
            <v>0</v>
          </cell>
          <cell r="J122">
            <v>0</v>
          </cell>
          <cell r="M122">
            <v>0</v>
          </cell>
          <cell r="N122" t="str">
            <v>m</v>
          </cell>
          <cell r="O122">
            <v>0</v>
          </cell>
          <cell r="P122">
            <v>24.474374999999998</v>
          </cell>
          <cell r="Q122" t="str">
            <v>17.4a2</v>
          </cell>
          <cell r="R122">
            <v>0</v>
          </cell>
        </row>
        <row r="123">
          <cell r="C123">
            <v>1.25</v>
          </cell>
          <cell r="D123">
            <v>0</v>
          </cell>
          <cell r="G123">
            <v>0</v>
          </cell>
          <cell r="H123" t="str">
            <v>m</v>
          </cell>
          <cell r="I123">
            <v>0</v>
          </cell>
          <cell r="J123">
            <v>0</v>
          </cell>
          <cell r="M123">
            <v>0</v>
          </cell>
          <cell r="N123" t="str">
            <v>m</v>
          </cell>
          <cell r="O123">
            <v>0</v>
          </cell>
          <cell r="P123">
            <v>24.474374999999998</v>
          </cell>
          <cell r="Q123" t="str">
            <v>17.4a2</v>
          </cell>
          <cell r="R123">
            <v>0</v>
          </cell>
        </row>
        <row r="124">
          <cell r="C124">
            <v>1.5</v>
          </cell>
          <cell r="D124">
            <v>0</v>
          </cell>
          <cell r="G124">
            <v>0</v>
          </cell>
          <cell r="H124" t="str">
            <v>m</v>
          </cell>
          <cell r="I124">
            <v>0</v>
          </cell>
          <cell r="J124">
            <v>0</v>
          </cell>
          <cell r="M124">
            <v>0</v>
          </cell>
          <cell r="N124" t="str">
            <v>m</v>
          </cell>
          <cell r="O124">
            <v>0</v>
          </cell>
          <cell r="P124">
            <v>33.328125</v>
          </cell>
          <cell r="Q124" t="str">
            <v>17.4a3</v>
          </cell>
          <cell r="R124">
            <v>0</v>
          </cell>
        </row>
        <row r="125">
          <cell r="C125">
            <v>2</v>
          </cell>
          <cell r="D125">
            <v>0</v>
          </cell>
          <cell r="G125">
            <v>0</v>
          </cell>
          <cell r="H125" t="str">
            <v>m</v>
          </cell>
          <cell r="I125">
            <v>0</v>
          </cell>
          <cell r="J125">
            <v>0</v>
          </cell>
          <cell r="M125">
            <v>0</v>
          </cell>
          <cell r="N125" t="str">
            <v>m</v>
          </cell>
          <cell r="O125">
            <v>0</v>
          </cell>
          <cell r="P125">
            <v>33.328125</v>
          </cell>
          <cell r="Q125" t="str">
            <v>17.4a3</v>
          </cell>
          <cell r="R125">
            <v>0</v>
          </cell>
        </row>
        <row r="126">
          <cell r="C126">
            <v>2.5</v>
          </cell>
          <cell r="D126">
            <v>0</v>
          </cell>
          <cell r="G126">
            <v>0</v>
          </cell>
          <cell r="H126" t="str">
            <v>m</v>
          </cell>
          <cell r="I126">
            <v>0</v>
          </cell>
          <cell r="J126">
            <v>0</v>
          </cell>
          <cell r="M126">
            <v>0</v>
          </cell>
          <cell r="N126" t="str">
            <v>m</v>
          </cell>
          <cell r="O126">
            <v>0</v>
          </cell>
          <cell r="P126">
            <v>44.484375</v>
          </cell>
          <cell r="Q126" t="str">
            <v>17.4a4</v>
          </cell>
          <cell r="R126">
            <v>0</v>
          </cell>
        </row>
        <row r="127">
          <cell r="C127">
            <v>3</v>
          </cell>
          <cell r="D127">
            <v>0</v>
          </cell>
          <cell r="G127">
            <v>0</v>
          </cell>
          <cell r="H127" t="str">
            <v>m</v>
          </cell>
          <cell r="I127">
            <v>0</v>
          </cell>
          <cell r="J127">
            <v>0</v>
          </cell>
          <cell r="M127">
            <v>0</v>
          </cell>
          <cell r="N127" t="str">
            <v>m</v>
          </cell>
          <cell r="O127">
            <v>0</v>
          </cell>
          <cell r="P127">
            <v>44.484375</v>
          </cell>
          <cell r="Q127" t="str">
            <v>17.4a4</v>
          </cell>
          <cell r="R127">
            <v>0</v>
          </cell>
        </row>
        <row r="128">
          <cell r="C128">
            <v>4</v>
          </cell>
          <cell r="D128">
            <v>0</v>
          </cell>
          <cell r="G128">
            <v>0</v>
          </cell>
          <cell r="H128" t="str">
            <v>m</v>
          </cell>
          <cell r="I128">
            <v>0</v>
          </cell>
          <cell r="J128">
            <v>0</v>
          </cell>
          <cell r="M128">
            <v>0</v>
          </cell>
          <cell r="N128" t="str">
            <v>m</v>
          </cell>
          <cell r="O128">
            <v>0</v>
          </cell>
          <cell r="P128">
            <v>55.640625</v>
          </cell>
          <cell r="Q128" t="str">
            <v>17.4a5</v>
          </cell>
          <cell r="R128">
            <v>0</v>
          </cell>
        </row>
        <row r="129">
          <cell r="C129">
            <v>5</v>
          </cell>
          <cell r="D129">
            <v>0</v>
          </cell>
          <cell r="G129">
            <v>0</v>
          </cell>
          <cell r="H129" t="str">
            <v>m</v>
          </cell>
          <cell r="I129">
            <v>0</v>
          </cell>
          <cell r="J129">
            <v>0</v>
          </cell>
          <cell r="M129">
            <v>0</v>
          </cell>
          <cell r="N129" t="str">
            <v>m</v>
          </cell>
          <cell r="O129">
            <v>0</v>
          </cell>
          <cell r="P129">
            <v>67.6875</v>
          </cell>
          <cell r="Q129" t="str">
            <v>17.4a6</v>
          </cell>
          <cell r="R129">
            <v>0</v>
          </cell>
        </row>
        <row r="130">
          <cell r="C130">
            <v>6</v>
          </cell>
          <cell r="D130">
            <v>0</v>
          </cell>
          <cell r="G130">
            <v>0</v>
          </cell>
          <cell r="H130" t="str">
            <v>m</v>
          </cell>
          <cell r="I130" t="e">
            <v>#N/A</v>
          </cell>
          <cell r="J130">
            <v>0</v>
          </cell>
          <cell r="M130">
            <v>0</v>
          </cell>
          <cell r="N130" t="str">
            <v>m</v>
          </cell>
          <cell r="O130" t="e">
            <v>#N/A</v>
          </cell>
          <cell r="P130" t="e">
            <v>#N/A</v>
          </cell>
          <cell r="R130">
            <v>0</v>
          </cell>
        </row>
        <row r="131">
          <cell r="B131" t="str">
            <v>User Defined</v>
          </cell>
          <cell r="C131">
            <v>3</v>
          </cell>
          <cell r="D131">
            <v>0</v>
          </cell>
          <cell r="G131">
            <v>0</v>
          </cell>
          <cell r="H131" t="str">
            <v>m</v>
          </cell>
          <cell r="I131" t="e">
            <v>#N/A</v>
          </cell>
          <cell r="J131">
            <v>0</v>
          </cell>
          <cell r="M131">
            <v>0</v>
          </cell>
          <cell r="N131" t="str">
            <v>m</v>
          </cell>
          <cell r="O131" t="e">
            <v>#N/A</v>
          </cell>
          <cell r="P131" t="e">
            <v>#N/A</v>
          </cell>
          <cell r="R131">
            <v>0</v>
          </cell>
        </row>
        <row r="132">
          <cell r="C132">
            <v>4</v>
          </cell>
          <cell r="D132">
            <v>0</v>
          </cell>
          <cell r="G132">
            <v>0</v>
          </cell>
          <cell r="H132" t="str">
            <v>m</v>
          </cell>
          <cell r="I132" t="e">
            <v>#N/A</v>
          </cell>
          <cell r="J132">
            <v>0</v>
          </cell>
          <cell r="M132">
            <v>0</v>
          </cell>
          <cell r="N132" t="str">
            <v>m</v>
          </cell>
          <cell r="O132" t="e">
            <v>#N/A</v>
          </cell>
          <cell r="P132" t="e">
            <v>#N/A</v>
          </cell>
          <cell r="R132">
            <v>0</v>
          </cell>
        </row>
        <row r="133">
          <cell r="C133">
            <v>5</v>
          </cell>
          <cell r="D133">
            <v>0</v>
          </cell>
          <cell r="G133">
            <v>0</v>
          </cell>
          <cell r="H133" t="str">
            <v>m</v>
          </cell>
          <cell r="I133" t="e">
            <v>#N/A</v>
          </cell>
          <cell r="J133">
            <v>0</v>
          </cell>
          <cell r="M133">
            <v>0</v>
          </cell>
          <cell r="N133" t="str">
            <v>m</v>
          </cell>
          <cell r="O133" t="e">
            <v>#N/A</v>
          </cell>
          <cell r="P133" t="e">
            <v>#N/A</v>
          </cell>
          <cell r="R133">
            <v>0</v>
          </cell>
        </row>
        <row r="134">
          <cell r="C134">
            <v>6</v>
          </cell>
          <cell r="D134">
            <v>0</v>
          </cell>
          <cell r="G134">
            <v>0</v>
          </cell>
          <cell r="H134" t="str">
            <v>m</v>
          </cell>
          <cell r="I134" t="e">
            <v>#N/A</v>
          </cell>
          <cell r="J134">
            <v>0</v>
          </cell>
          <cell r="M134">
            <v>0</v>
          </cell>
          <cell r="N134" t="str">
            <v>m</v>
          </cell>
          <cell r="O134" t="e">
            <v>#N/A</v>
          </cell>
          <cell r="P134" t="e">
            <v>#N/A</v>
          </cell>
          <cell r="R134">
            <v>0</v>
          </cell>
        </row>
        <row r="135">
          <cell r="C135">
            <v>8</v>
          </cell>
          <cell r="D135">
            <v>0</v>
          </cell>
          <cell r="G135">
            <v>0</v>
          </cell>
          <cell r="H135" t="str">
            <v>m</v>
          </cell>
          <cell r="I135" t="e">
            <v>#N/A</v>
          </cell>
          <cell r="J135">
            <v>0</v>
          </cell>
          <cell r="M135">
            <v>0</v>
          </cell>
          <cell r="N135" t="str">
            <v>m</v>
          </cell>
          <cell r="O135" t="e">
            <v>#N/A</v>
          </cell>
          <cell r="P135" t="e">
            <v>#N/A</v>
          </cell>
          <cell r="R135">
            <v>0</v>
          </cell>
        </row>
        <row r="136">
          <cell r="C136">
            <v>10</v>
          </cell>
          <cell r="D136">
            <v>0</v>
          </cell>
          <cell r="G136">
            <v>0</v>
          </cell>
          <cell r="H136" t="str">
            <v>m</v>
          </cell>
          <cell r="I136" t="e">
            <v>#N/A</v>
          </cell>
          <cell r="J136">
            <v>0</v>
          </cell>
          <cell r="M136">
            <v>0</v>
          </cell>
          <cell r="N136" t="str">
            <v>m</v>
          </cell>
          <cell r="O136" t="e">
            <v>#N/A</v>
          </cell>
          <cell r="P136" t="e">
            <v>#N/A</v>
          </cell>
          <cell r="R136">
            <v>0</v>
          </cell>
        </row>
        <row r="137">
          <cell r="C137">
            <v>12</v>
          </cell>
          <cell r="D137">
            <v>0</v>
          </cell>
          <cell r="G137">
            <v>0</v>
          </cell>
          <cell r="H137" t="str">
            <v>m</v>
          </cell>
          <cell r="I137" t="e">
            <v>#N/A</v>
          </cell>
          <cell r="J137">
            <v>0</v>
          </cell>
          <cell r="M137">
            <v>0</v>
          </cell>
          <cell r="N137" t="str">
            <v>m</v>
          </cell>
          <cell r="O137" t="e">
            <v>#N/A</v>
          </cell>
          <cell r="P137" t="e">
            <v>#N/A</v>
          </cell>
          <cell r="R137">
            <v>0</v>
          </cell>
        </row>
        <row r="138">
          <cell r="C138">
            <v>14</v>
          </cell>
          <cell r="D138">
            <v>0</v>
          </cell>
          <cell r="G138">
            <v>0</v>
          </cell>
          <cell r="H138" t="str">
            <v>m</v>
          </cell>
          <cell r="I138" t="e">
            <v>#N/A</v>
          </cell>
          <cell r="J138">
            <v>0</v>
          </cell>
          <cell r="M138">
            <v>0</v>
          </cell>
          <cell r="N138" t="str">
            <v>m</v>
          </cell>
          <cell r="O138" t="e">
            <v>#N/A</v>
          </cell>
          <cell r="P138" t="e">
            <v>#N/A</v>
          </cell>
          <cell r="R138">
            <v>0</v>
          </cell>
        </row>
        <row r="139">
          <cell r="A139" t="str">
            <v>Total</v>
          </cell>
          <cell r="D139">
            <v>335</v>
          </cell>
          <cell r="I139">
            <v>48582.562741598224</v>
          </cell>
          <cell r="J139">
            <v>600</v>
          </cell>
          <cell r="O139">
            <v>73864.436503169636</v>
          </cell>
          <cell r="R139">
            <v>935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 ADP Summary"/>
      <sheetName val="ADP Summary"/>
      <sheetName val="PPR Summary"/>
      <sheetName val="Luitel-San"/>
      <sheetName val="NMIP"/>
      <sheetName val="Maintenance"/>
      <sheetName val="Spcl Monitored"/>
      <sheetName val="Gaikhur-San"/>
      <sheetName val="OUTPUT"/>
      <sheetName val="Karapu"/>
      <sheetName val="Pratal"/>
      <sheetName val="Survey"/>
      <sheetName val="Trial"/>
      <sheetName val="Ishane"/>
      <sheetName val="Data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Dmand 1"/>
      <sheetName val="ProfileData"/>
      <sheetName val="PipeDesign"/>
      <sheetName val="PD-TMPLT"/>
      <sheetName val="DrawingControls"/>
      <sheetName val="Profile"/>
      <sheetName val="FlowDiagram"/>
      <sheetName val="PipeList"/>
      <sheetName val="PipeLineWork"/>
      <sheetName val="PFdata"/>
      <sheetName val="Features"/>
      <sheetName val="FitData"/>
      <sheetName val="Fittings"/>
      <sheetName val="T&amp;P"/>
      <sheetName val="Summary"/>
    </sheetNames>
    <sheetDataSet>
      <sheetData sheetId="0" refreshError="1"/>
      <sheetData sheetId="1"/>
      <sheetData sheetId="2"/>
      <sheetData sheetId="3" refreshError="1">
        <row r="25">
          <cell r="D25">
            <v>682</v>
          </cell>
        </row>
        <row r="26">
          <cell r="D26">
            <v>479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CONTROL PANEL"/>
      <sheetName val="Data"/>
      <sheetName val="Ishane"/>
      <sheetName val="Ap"/>
      <sheetName val="Trial"/>
      <sheetName val="Survey"/>
      <sheetName val="Pratal"/>
      <sheetName val="Karapu"/>
      <sheetName val="OUTPUT"/>
      <sheetName val="Gaikhur-San"/>
      <sheetName val="Spcl Monitored"/>
      <sheetName val="Maintenance"/>
      <sheetName val="NMIP"/>
      <sheetName val="Luitel-San"/>
      <sheetName val="PPR Summary"/>
      <sheetName val="ADP Summary"/>
      <sheetName val="Rev ADP Summary"/>
      <sheetName val="Cover"/>
    </sheetNames>
    <sheetDataSet>
      <sheetData sheetId="0"/>
      <sheetData sheetId="1">
        <row r="20">
          <cell r="C20" t="str">
            <v>Select Budget Head or define new one</v>
          </cell>
        </row>
        <row r="21">
          <cell r="C21" t="str">
            <v>48—3÷4—804</v>
          </cell>
        </row>
        <row r="22">
          <cell r="C22" t="str">
            <v>48—3÷4—802</v>
          </cell>
        </row>
        <row r="23">
          <cell r="C23" t="str">
            <v>48—3÷4—727</v>
          </cell>
        </row>
        <row r="24">
          <cell r="C24" t="str">
            <v>48—3÷4—722</v>
          </cell>
        </row>
        <row r="25">
          <cell r="C25" t="str">
            <v>48—3÷4—720</v>
          </cell>
        </row>
        <row r="26">
          <cell r="C26" t="str">
            <v>48—3÷4—716</v>
          </cell>
        </row>
        <row r="27">
          <cell r="C27" t="str">
            <v>48—3÷4—712</v>
          </cell>
        </row>
        <row r="28">
          <cell r="C28" t="str">
            <v>48—3÷4—711</v>
          </cell>
        </row>
        <row r="29">
          <cell r="C29" t="str">
            <v>48—3÷4—710</v>
          </cell>
        </row>
        <row r="30">
          <cell r="C30" t="str">
            <v>48—3÷4—709</v>
          </cell>
        </row>
        <row r="31">
          <cell r="C31" t="str">
            <v>48—3÷4—708</v>
          </cell>
        </row>
        <row r="32">
          <cell r="C32" t="str">
            <v>48—3÷4—707</v>
          </cell>
        </row>
        <row r="33">
          <cell r="C33" t="str">
            <v>48—3÷4—706</v>
          </cell>
        </row>
        <row r="34">
          <cell r="C34" t="str">
            <v>48—3÷4—705</v>
          </cell>
        </row>
        <row r="35">
          <cell r="C35" t="str">
            <v>48—3÷4—682</v>
          </cell>
        </row>
        <row r="36">
          <cell r="C36" t="str">
            <v>48—3÷4—165</v>
          </cell>
        </row>
        <row r="51">
          <cell r="C51" t="str">
            <v>Design and Estimate Preparation/Updating</v>
          </cell>
        </row>
        <row r="52">
          <cell r="C52" t="str">
            <v>Survey Program</v>
          </cell>
        </row>
        <row r="53">
          <cell r="C53" t="str">
            <v>Land Acquisition</v>
          </cell>
        </row>
        <row r="54">
          <cell r="C54" t="str">
            <v>Project Appraisal</v>
          </cell>
        </row>
        <row r="55">
          <cell r="C55" t="str">
            <v>Pre-construction Trainings</v>
          </cell>
        </row>
        <row r="56">
          <cell r="C56" t="str">
            <v>District Data Verification Workshop</v>
          </cell>
        </row>
        <row r="57">
          <cell r="C57" t="str">
            <v>WatSan Data Updating</v>
          </cell>
        </row>
        <row r="58">
          <cell r="C58" t="str">
            <v>Entry of Updated Data</v>
          </cell>
        </row>
        <row r="59">
          <cell r="C59" t="str">
            <v>Keep this Row BLANK!</v>
          </cell>
        </row>
        <row r="60">
          <cell r="C60" t="str">
            <v>Hide this Row</v>
          </cell>
        </row>
        <row r="61">
          <cell r="C61" t="str">
            <v>Hide Unnecessary Rows</v>
          </cell>
        </row>
        <row r="62">
          <cell r="C62" t="str">
            <v>Unhide all Hidden Rows</v>
          </cell>
        </row>
        <row r="64">
          <cell r="C64" t="str">
            <v>Procurement of Pipes</v>
          </cell>
        </row>
        <row r="65">
          <cell r="C65" t="str">
            <v>Procurement of Fittings &amp; Tools</v>
          </cell>
        </row>
        <row r="66">
          <cell r="C66" t="str">
            <v>Transportation of Pipes &amp; Fittings</v>
          </cell>
        </row>
        <row r="67">
          <cell r="C67" t="str">
            <v>Intake/Collection Chamber</v>
          </cell>
        </row>
        <row r="68">
          <cell r="C68" t="str">
            <v>Deep Tubewell/Sumpwell</v>
          </cell>
        </row>
        <row r="69">
          <cell r="C69" t="str">
            <v>Procure &amp; Instal. of Electromechanical Equipments</v>
          </cell>
        </row>
        <row r="70">
          <cell r="C70" t="str">
            <v>Electrification</v>
          </cell>
        </row>
        <row r="71">
          <cell r="C71" t="str">
            <v>Operator/Pump House</v>
          </cell>
        </row>
        <row r="72">
          <cell r="C72" t="str">
            <v>Transmission Pipeline</v>
          </cell>
        </row>
        <row r="73">
          <cell r="C73" t="str">
            <v>Ground RT</v>
          </cell>
        </row>
        <row r="74">
          <cell r="C74" t="str">
            <v>OH Tank</v>
          </cell>
        </row>
        <row r="75">
          <cell r="C75" t="str">
            <v>Distribution Pipeline</v>
          </cell>
        </row>
        <row r="76">
          <cell r="C76" t="str">
            <v>Public Tapstand</v>
          </cell>
        </row>
        <row r="77">
          <cell r="C77" t="str">
            <v>Private Connection</v>
          </cell>
        </row>
        <row r="78">
          <cell r="C78" t="str">
            <v>Miscellaneous Construction</v>
          </cell>
        </row>
        <row r="79">
          <cell r="C79" t="str">
            <v>Compound wall &amp; Gate</v>
          </cell>
        </row>
        <row r="80">
          <cell r="C80" t="str">
            <v xml:space="preserve">Survey of Maintenance Projects </v>
          </cell>
        </row>
        <row r="81">
          <cell r="C81" t="str">
            <v>?</v>
          </cell>
        </row>
        <row r="82">
          <cell r="C82" t="str">
            <v>??</v>
          </cell>
        </row>
        <row r="83">
          <cell r="C83" t="str">
            <v>Grit Chamber</v>
          </cell>
        </row>
        <row r="84">
          <cell r="C84" t="str">
            <v>Sediment Tank</v>
          </cell>
        </row>
        <row r="85">
          <cell r="C85" t="str">
            <v>Roughing Filter</v>
          </cell>
        </row>
        <row r="86">
          <cell r="C86" t="str">
            <v>Slow Sand Filter</v>
          </cell>
        </row>
        <row r="87">
          <cell r="C87" t="str">
            <v>Pressure Filter Unit</v>
          </cell>
        </row>
        <row r="88">
          <cell r="C88" t="str">
            <v>Aeration Unit</v>
          </cell>
        </row>
        <row r="89">
          <cell r="C89" t="str">
            <v>Post Construction Training</v>
          </cell>
        </row>
        <row r="90">
          <cell r="C90" t="str">
            <v>Tools/Scheme Handover</v>
          </cell>
        </row>
        <row r="91">
          <cell r="C91" t="str">
            <v>Repair of WSP Structures</v>
          </cell>
        </row>
        <row r="92">
          <cell r="C92" t="str">
            <v>General Contingencies</v>
          </cell>
        </row>
        <row r="93">
          <cell r="C93" t="str">
            <v>Price Adjustment Contingencies</v>
          </cell>
        </row>
        <row r="94">
          <cell r="C94" t="str">
            <v>Physical Contingencies</v>
          </cell>
        </row>
        <row r="95">
          <cell r="C95" t="str">
            <v>Sanitation Awareness Program</v>
          </cell>
        </row>
        <row r="96">
          <cell r="C96" t="str">
            <v>Private HH Latrine</v>
          </cell>
        </row>
        <row r="97">
          <cell r="C97" t="str">
            <v>Institutional Latrine</v>
          </cell>
        </row>
        <row r="98">
          <cell r="C98" t="str">
            <v>Sewer Line Construction</v>
          </cell>
        </row>
        <row r="99">
          <cell r="C99" t="str">
            <v>Sewage Treatment Facilities</v>
          </cell>
        </row>
        <row r="100">
          <cell r="C100" t="str">
            <v>Heading-1: School Level Activities(SLTS)</v>
          </cell>
        </row>
        <row r="101">
          <cell r="C101" t="str">
            <v>Heading-2: VDC/Community Level Activities(CLTS/SLTS)</v>
          </cell>
        </row>
        <row r="102">
          <cell r="C102" t="str">
            <v>DWSSCC meeting</v>
          </cell>
        </row>
        <row r="103">
          <cell r="C103" t="str">
            <v>T/SMC Orientation</v>
          </cell>
        </row>
        <row r="104">
          <cell r="C104" t="str">
            <v>Child Club Orientation</v>
          </cell>
        </row>
        <row r="105">
          <cell r="C105" t="str">
            <v>Sani-Facilities Promotion Program</v>
          </cell>
        </row>
        <row r="106">
          <cell r="C106" t="str">
            <v>Different Officials Orientation</v>
          </cell>
        </row>
        <row r="107">
          <cell r="C107" t="str">
            <v>Facilitator/Social Mobilizer Orientation</v>
          </cell>
        </row>
        <row r="108">
          <cell r="C108" t="str">
            <v>Social Mapping/Sani Notice Board</v>
          </cell>
        </row>
        <row r="109">
          <cell r="C109" t="str">
            <v>Latrine Construction led by LNGO/CBO</v>
          </cell>
        </row>
        <row r="110">
          <cell r="C110" t="str">
            <v>Reward/Revolving Fund for Privet Toilet Construction</v>
          </cell>
        </row>
        <row r="111">
          <cell r="C111" t="str">
            <v>Monitoring by WSSDO</v>
          </cell>
        </row>
        <row r="112">
          <cell r="C112" t="str">
            <v>Monitoring by LNGO</v>
          </cell>
        </row>
        <row r="113">
          <cell r="C113" t="str">
            <v>Preparation of Profile and Report</v>
          </cell>
        </row>
        <row r="114">
          <cell r="C114" t="str">
            <v>District Level Program for Sanitation Week Celebration</v>
          </cell>
        </row>
        <row r="115">
          <cell r="C115" t="str">
            <v>ODF Declaration</v>
          </cell>
        </row>
        <row r="116">
          <cell r="C116" t="str">
            <v>?</v>
          </cell>
        </row>
        <row r="117">
          <cell r="C117" t="str">
            <v>??</v>
          </cell>
        </row>
        <row r="118">
          <cell r="C118" t="str">
            <v>???</v>
          </cell>
        </row>
        <row r="357">
          <cell r="C357" t="str">
            <v>Darchula</v>
          </cell>
        </row>
        <row r="358">
          <cell r="C358" t="str">
            <v>Baitadi</v>
          </cell>
        </row>
        <row r="359">
          <cell r="C359" t="str">
            <v>Dadeldhura</v>
          </cell>
        </row>
        <row r="360">
          <cell r="C360" t="str">
            <v>Kanchanpur</v>
          </cell>
        </row>
        <row r="361">
          <cell r="C361" t="str">
            <v>Kailali</v>
          </cell>
        </row>
        <row r="362">
          <cell r="C362" t="str">
            <v>Achham</v>
          </cell>
        </row>
        <row r="363">
          <cell r="C363" t="str">
            <v>Doti</v>
          </cell>
        </row>
        <row r="364">
          <cell r="C364" t="str">
            <v>Bajhang</v>
          </cell>
        </row>
        <row r="365">
          <cell r="C365" t="str">
            <v>Bajura</v>
          </cell>
        </row>
        <row r="366">
          <cell r="C366" t="str">
            <v>Humla</v>
          </cell>
        </row>
        <row r="367">
          <cell r="C367" t="str">
            <v>Mugu</v>
          </cell>
        </row>
        <row r="368">
          <cell r="C368" t="str">
            <v>Jumla</v>
          </cell>
        </row>
        <row r="369">
          <cell r="C369" t="str">
            <v>Kalikot</v>
          </cell>
        </row>
        <row r="370">
          <cell r="C370" t="str">
            <v>Dolpa</v>
          </cell>
        </row>
        <row r="371">
          <cell r="C371" t="str">
            <v>Jajarkot</v>
          </cell>
        </row>
        <row r="372">
          <cell r="C372" t="str">
            <v>Dailekh</v>
          </cell>
        </row>
        <row r="373">
          <cell r="C373" t="str">
            <v>Surkhet</v>
          </cell>
        </row>
        <row r="374">
          <cell r="C374" t="str">
            <v>Bardiya</v>
          </cell>
        </row>
        <row r="375">
          <cell r="C375" t="str">
            <v>Banke</v>
          </cell>
        </row>
        <row r="376">
          <cell r="C376" t="str">
            <v>Dang</v>
          </cell>
        </row>
        <row r="377">
          <cell r="C377" t="str">
            <v>Salyan</v>
          </cell>
        </row>
        <row r="378">
          <cell r="C378" t="str">
            <v>Rukum</v>
          </cell>
        </row>
        <row r="379">
          <cell r="C379" t="str">
            <v>Rolpa</v>
          </cell>
        </row>
        <row r="380">
          <cell r="C380" t="str">
            <v>Pyuthan</v>
          </cell>
        </row>
        <row r="381">
          <cell r="C381" t="str">
            <v>Kapilvastu</v>
          </cell>
        </row>
        <row r="382">
          <cell r="C382" t="str">
            <v>Rupandehi</v>
          </cell>
        </row>
        <row r="383">
          <cell r="C383" t="str">
            <v>Arghakhanchi</v>
          </cell>
        </row>
        <row r="384">
          <cell r="C384" t="str">
            <v>Palpa</v>
          </cell>
        </row>
        <row r="385">
          <cell r="C385" t="str">
            <v>Nawalparasi</v>
          </cell>
        </row>
        <row r="386">
          <cell r="C386" t="str">
            <v>Gulmi</v>
          </cell>
        </row>
        <row r="387">
          <cell r="C387" t="str">
            <v>Baglung</v>
          </cell>
        </row>
        <row r="388">
          <cell r="C388" t="str">
            <v>Myagdi</v>
          </cell>
        </row>
        <row r="389">
          <cell r="C389" t="str">
            <v>Mustang</v>
          </cell>
        </row>
        <row r="390">
          <cell r="C390" t="str">
            <v>Parvat</v>
          </cell>
        </row>
        <row r="391">
          <cell r="C391" t="str">
            <v>Manang</v>
          </cell>
        </row>
        <row r="392">
          <cell r="C392" t="str">
            <v>Kaski</v>
          </cell>
        </row>
        <row r="393">
          <cell r="C393" t="str">
            <v>Syangja</v>
          </cell>
        </row>
        <row r="394">
          <cell r="C394" t="str">
            <v>Tanahu</v>
          </cell>
        </row>
        <row r="395">
          <cell r="C395" t="str">
            <v>Lamjung</v>
          </cell>
        </row>
        <row r="396">
          <cell r="C396" t="str">
            <v>Gorkha</v>
          </cell>
        </row>
        <row r="397">
          <cell r="C397" t="str">
            <v>Chitwan</v>
          </cell>
        </row>
        <row r="398">
          <cell r="C398" t="str">
            <v>Makwanpur</v>
          </cell>
        </row>
        <row r="399">
          <cell r="C399" t="str">
            <v>Bara</v>
          </cell>
        </row>
        <row r="400">
          <cell r="C400" t="str">
            <v>Parsa</v>
          </cell>
        </row>
        <row r="401">
          <cell r="C401" t="str">
            <v>Rautahat</v>
          </cell>
        </row>
        <row r="402">
          <cell r="C402" t="str">
            <v>Dhading</v>
          </cell>
        </row>
        <row r="403">
          <cell r="C403" t="str">
            <v>Rasuwa</v>
          </cell>
        </row>
        <row r="404">
          <cell r="C404" t="str">
            <v>Nuwakot</v>
          </cell>
        </row>
        <row r="405">
          <cell r="C405" t="str">
            <v>Kathmandu</v>
          </cell>
        </row>
        <row r="406">
          <cell r="C406" t="str">
            <v>Lalitpur</v>
          </cell>
        </row>
        <row r="407">
          <cell r="C407" t="str">
            <v>Bhaktapur</v>
          </cell>
        </row>
        <row r="408">
          <cell r="C408" t="str">
            <v>Kavre</v>
          </cell>
        </row>
        <row r="409">
          <cell r="C409" t="str">
            <v>Sindhupalchok</v>
          </cell>
        </row>
        <row r="410">
          <cell r="C410" t="str">
            <v>Dolakha</v>
          </cell>
        </row>
        <row r="411">
          <cell r="C411" t="str">
            <v>Ramechhap</v>
          </cell>
        </row>
        <row r="412">
          <cell r="C412" t="str">
            <v>Sindhuli</v>
          </cell>
        </row>
        <row r="413">
          <cell r="C413" t="str">
            <v>Sarlahi</v>
          </cell>
        </row>
        <row r="414">
          <cell r="C414" t="str">
            <v>Mahottari</v>
          </cell>
        </row>
        <row r="415">
          <cell r="C415" t="str">
            <v>Dhanusha</v>
          </cell>
        </row>
        <row r="416">
          <cell r="C416" t="str">
            <v>Siraha</v>
          </cell>
        </row>
        <row r="417">
          <cell r="C417" t="str">
            <v>Saptari</v>
          </cell>
        </row>
        <row r="418">
          <cell r="C418" t="str">
            <v>Udaypur</v>
          </cell>
        </row>
        <row r="419">
          <cell r="C419" t="str">
            <v>Khotang</v>
          </cell>
        </row>
        <row r="420">
          <cell r="C420" t="str">
            <v>Okhaldhunga</v>
          </cell>
        </row>
        <row r="421">
          <cell r="C421" t="str">
            <v>Solukhumbu</v>
          </cell>
        </row>
        <row r="422">
          <cell r="C422" t="str">
            <v>Sankhuwasabha</v>
          </cell>
        </row>
        <row r="423">
          <cell r="C423" t="str">
            <v>Bhojpur</v>
          </cell>
        </row>
        <row r="424">
          <cell r="C424" t="str">
            <v>Terhathum</v>
          </cell>
        </row>
        <row r="425">
          <cell r="C425" t="str">
            <v>Dhankuta</v>
          </cell>
        </row>
        <row r="426">
          <cell r="C426" t="str">
            <v>Sunsari</v>
          </cell>
        </row>
        <row r="427">
          <cell r="C427" t="str">
            <v>Morang</v>
          </cell>
        </row>
        <row r="428">
          <cell r="C428" t="str">
            <v>Jhapa</v>
          </cell>
        </row>
        <row r="429">
          <cell r="C429" t="str">
            <v>Ilam</v>
          </cell>
        </row>
        <row r="430">
          <cell r="C430" t="str">
            <v>Panchthar</v>
          </cell>
        </row>
        <row r="431">
          <cell r="C431" t="str">
            <v>Taplejung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 ADP Summary"/>
      <sheetName val="ADP Summary"/>
      <sheetName val="PPR Summary"/>
      <sheetName val="OUTPUT"/>
      <sheetName val="Spcl Monitored"/>
      <sheetName val="Bhagu"/>
      <sheetName val="Survey"/>
      <sheetName val="Maintenance"/>
      <sheetName val="Chandre"/>
      <sheetName val="Besishahar"/>
      <sheetName val="Tarku"/>
      <sheetName val="Bhalayakarka"/>
      <sheetName val="Maghi"/>
      <sheetName val="Gauda"/>
      <sheetName val="Parewa"/>
      <sheetName val="Rainas"/>
      <sheetName val="Chiti"/>
      <sheetName val="Purankot"/>
      <sheetName val="Raniban"/>
      <sheetName val="Ishane"/>
      <sheetName val="Jalpa"/>
      <sheetName val="Ramgha"/>
      <sheetName val="Karapu"/>
      <sheetName val="Data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eria"/>
      <sheetName val="CheckList"/>
      <sheetName val="Dmand 11"/>
      <sheetName val="Dmand 10"/>
      <sheetName val="Dmand 9"/>
      <sheetName val="Dmand 8"/>
      <sheetName val="Dmand 7"/>
      <sheetName val="Dmand 6"/>
      <sheetName val="Dmand 5"/>
      <sheetName val="Dmand 4"/>
      <sheetName val="Dmand 3"/>
      <sheetName val="Dmand 2"/>
      <sheetName val="Dmand 1"/>
      <sheetName val="PD-TMPLT"/>
      <sheetName val="ProfileData"/>
      <sheetName val="PipeDesign"/>
      <sheetName val="PLOT"/>
      <sheetName val="Profile"/>
      <sheetName val="FlowDiagram"/>
      <sheetName val="PipeList"/>
      <sheetName val="PipeLineWork"/>
      <sheetName val="Features"/>
      <sheetName val="T&amp;P"/>
      <sheetName val="Summary (2)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ttings-Summary"/>
      <sheetName val="Scheme 1"/>
      <sheetName val="Dbase"/>
      <sheetName val="EqvSiz"/>
      <sheetName val="Scheme 11"/>
      <sheetName val="Scheme 10"/>
      <sheetName val="Scheme 9"/>
      <sheetName val="Scheme 8"/>
      <sheetName val="Scheme 7"/>
      <sheetName val="Scheme 6"/>
      <sheetName val="Scheme 5"/>
      <sheetName val="Scheme 4"/>
      <sheetName val="Scheme 3"/>
      <sheetName val="Scheme 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tabSelected="1" view="pageBreakPreview" workbookViewId="0">
      <selection activeCell="K15" sqref="K15"/>
    </sheetView>
  </sheetViews>
  <sheetFormatPr defaultRowHeight="12.75" x14ac:dyDescent="0.2"/>
  <cols>
    <col min="1" max="1" width="12" customWidth="1"/>
    <col min="2" max="2" width="7.140625" customWidth="1"/>
    <col min="3" max="5" width="8.85546875" customWidth="1"/>
    <col min="7" max="11" width="8.85546875" customWidth="1"/>
    <col min="13" max="14" width="8.85546875" customWidth="1"/>
  </cols>
  <sheetData>
    <row r="1" spans="1:14" x14ac:dyDescent="0.2">
      <c r="A1" t="s">
        <v>0</v>
      </c>
      <c r="B1" t="s">
        <v>1</v>
      </c>
    </row>
    <row r="3" spans="1:14" ht="15.75" x14ac:dyDescent="0.25">
      <c r="A3" s="1" t="s">
        <v>35</v>
      </c>
      <c r="B3" s="2"/>
      <c r="C3" s="2"/>
      <c r="D3" s="2"/>
      <c r="F3" s="2"/>
      <c r="G3" s="2"/>
      <c r="H3" s="2"/>
      <c r="I3" s="2"/>
      <c r="J3" s="2"/>
    </row>
    <row r="4" spans="1:14" x14ac:dyDescent="0.2">
      <c r="A4" s="14" t="s">
        <v>36</v>
      </c>
      <c r="B4" s="2"/>
      <c r="C4" s="15">
        <v>287</v>
      </c>
      <c r="D4" s="2"/>
      <c r="E4" s="14" t="s">
        <v>37</v>
      </c>
      <c r="F4" s="2"/>
      <c r="G4" s="2"/>
      <c r="H4" s="2"/>
      <c r="I4" s="2"/>
      <c r="J4" s="2"/>
      <c r="K4" s="2"/>
    </row>
    <row r="5" spans="1:14" ht="13.5" thickBot="1" x14ac:dyDescent="0.25">
      <c r="A5" s="14" t="s">
        <v>38</v>
      </c>
      <c r="B5" s="2"/>
      <c r="C5" s="16">
        <v>0</v>
      </c>
      <c r="D5" s="2"/>
      <c r="E5" s="2"/>
      <c r="F5" s="2"/>
      <c r="G5" s="2"/>
      <c r="H5" s="2"/>
      <c r="I5" s="2"/>
      <c r="J5" s="2"/>
      <c r="K5" s="2"/>
    </row>
    <row r="6" spans="1:14" x14ac:dyDescent="0.2">
      <c r="A6" s="17" t="s">
        <v>39</v>
      </c>
      <c r="B6" s="18" t="s">
        <v>5</v>
      </c>
      <c r="C6" s="52" t="s">
        <v>6</v>
      </c>
      <c r="D6" s="53"/>
      <c r="E6" s="54"/>
      <c r="F6" s="52" t="s">
        <v>7</v>
      </c>
      <c r="G6" s="53"/>
      <c r="H6" s="54"/>
      <c r="I6" s="52" t="s">
        <v>8</v>
      </c>
      <c r="J6" s="53"/>
      <c r="K6" s="54"/>
      <c r="L6" s="55" t="s">
        <v>9</v>
      </c>
      <c r="M6" s="56"/>
      <c r="N6" s="57"/>
    </row>
    <row r="7" spans="1:14" s="23" customFormat="1" ht="25.5" x14ac:dyDescent="0.2">
      <c r="A7" s="19" t="s">
        <v>40</v>
      </c>
      <c r="B7" s="20"/>
      <c r="C7" s="19" t="s">
        <v>41</v>
      </c>
      <c r="D7" s="21" t="s">
        <v>42</v>
      </c>
      <c r="E7" s="22" t="s">
        <v>43</v>
      </c>
      <c r="F7" s="19" t="s">
        <v>41</v>
      </c>
      <c r="G7" s="21" t="s">
        <v>42</v>
      </c>
      <c r="H7" s="22" t="s">
        <v>43</v>
      </c>
      <c r="I7" s="19" t="s">
        <v>41</v>
      </c>
      <c r="J7" s="21" t="s">
        <v>42</v>
      </c>
      <c r="K7" s="22" t="s">
        <v>43</v>
      </c>
      <c r="L7" s="19" t="s">
        <v>41</v>
      </c>
      <c r="M7" s="21" t="s">
        <v>42</v>
      </c>
      <c r="N7" s="22" t="s">
        <v>43</v>
      </c>
    </row>
    <row r="8" spans="1:14" x14ac:dyDescent="0.2">
      <c r="A8" s="46">
        <v>20</v>
      </c>
      <c r="B8" s="47" t="s">
        <v>12</v>
      </c>
      <c r="C8" s="48"/>
      <c r="D8" s="49"/>
      <c r="E8" s="50"/>
      <c r="F8" s="48"/>
      <c r="G8" s="49"/>
      <c r="H8" s="50"/>
      <c r="I8" s="48"/>
      <c r="J8" s="49"/>
      <c r="K8" s="50"/>
      <c r="L8" s="48">
        <v>0.13500000000000001</v>
      </c>
      <c r="M8" s="51">
        <f t="shared" ref="M8:M25" si="0">$C$4*L8*$C$5</f>
        <v>0</v>
      </c>
      <c r="N8" s="50">
        <f t="shared" ref="N8:N27" si="1">$C$4*L8+M8</f>
        <v>38.745000000000005</v>
      </c>
    </row>
    <row r="9" spans="1:14" x14ac:dyDescent="0.2">
      <c r="A9" s="24">
        <v>25</v>
      </c>
      <c r="B9" s="25" t="s">
        <v>12</v>
      </c>
      <c r="C9" s="26"/>
      <c r="D9" s="27"/>
      <c r="E9" s="28"/>
      <c r="F9" s="26"/>
      <c r="G9" s="27"/>
      <c r="H9" s="28"/>
      <c r="I9" s="26">
        <v>0.17299999999999999</v>
      </c>
      <c r="J9" s="29">
        <f t="shared" ref="J9:J25" si="2">$C$4*I9*$C$5</f>
        <v>0</v>
      </c>
      <c r="K9" s="28">
        <f t="shared" ref="K9:K27" si="3">$C$4*I9+J9</f>
        <v>49.650999999999996</v>
      </c>
      <c r="L9" s="26">
        <v>0.20799999999999999</v>
      </c>
      <c r="M9" s="29">
        <f t="shared" si="0"/>
        <v>0</v>
      </c>
      <c r="N9" s="28">
        <f t="shared" si="1"/>
        <v>59.695999999999998</v>
      </c>
    </row>
    <row r="10" spans="1:14" x14ac:dyDescent="0.2">
      <c r="A10" s="24">
        <v>32</v>
      </c>
      <c r="B10" s="25" t="s">
        <v>12</v>
      </c>
      <c r="C10" s="26"/>
      <c r="D10" s="27"/>
      <c r="E10" s="28"/>
      <c r="F10" s="26">
        <v>0.23400000000000001</v>
      </c>
      <c r="G10" s="29">
        <f t="shared" ref="G10:G11" si="4">$C$4*F10*$C$5</f>
        <v>0</v>
      </c>
      <c r="H10" s="28">
        <f t="shared" ref="H10:H27" si="5">$C$4*F10+G10</f>
        <v>67.158000000000001</v>
      </c>
      <c r="I10" s="26">
        <v>0.27400000000000002</v>
      </c>
      <c r="J10" s="29">
        <f t="shared" si="2"/>
        <v>0</v>
      </c>
      <c r="K10" s="28">
        <f t="shared" si="3"/>
        <v>78.638000000000005</v>
      </c>
      <c r="L10" s="26">
        <v>0.33800000000000002</v>
      </c>
      <c r="M10" s="29">
        <f t="shared" si="0"/>
        <v>0</v>
      </c>
      <c r="N10" s="28">
        <f t="shared" si="1"/>
        <v>97.006</v>
      </c>
    </row>
    <row r="11" spans="1:14" x14ac:dyDescent="0.2">
      <c r="A11" s="24">
        <v>40</v>
      </c>
      <c r="B11" s="25" t="s">
        <v>12</v>
      </c>
      <c r="C11" s="26"/>
      <c r="D11" s="27"/>
      <c r="E11" s="28"/>
      <c r="F11" s="26">
        <v>0.36</v>
      </c>
      <c r="G11" s="29">
        <f t="shared" si="4"/>
        <v>0</v>
      </c>
      <c r="H11" s="28">
        <f t="shared" si="5"/>
        <v>103.32</v>
      </c>
      <c r="I11" s="26">
        <v>0.434</v>
      </c>
      <c r="J11" s="29">
        <f t="shared" si="2"/>
        <v>0</v>
      </c>
      <c r="K11" s="28">
        <f t="shared" si="3"/>
        <v>124.55799999999999</v>
      </c>
      <c r="L11" s="26">
        <v>0.52300000000000002</v>
      </c>
      <c r="M11" s="29">
        <f t="shared" si="0"/>
        <v>0</v>
      </c>
      <c r="N11" s="28">
        <f t="shared" si="1"/>
        <v>150.101</v>
      </c>
    </row>
    <row r="12" spans="1:14" x14ac:dyDescent="0.2">
      <c r="A12" s="24">
        <v>50</v>
      </c>
      <c r="B12" s="25" t="s">
        <v>12</v>
      </c>
      <c r="C12" s="26">
        <v>0.36499999999999999</v>
      </c>
      <c r="D12" s="29">
        <f>$C$4*C12*$C$5</f>
        <v>0</v>
      </c>
      <c r="E12" s="28">
        <f>$C$4*C12+D12</f>
        <v>104.755</v>
      </c>
      <c r="F12" s="26">
        <v>0.55500000000000005</v>
      </c>
      <c r="G12" s="29">
        <f>$C$4*F12*$C$5</f>
        <v>0</v>
      </c>
      <c r="H12" s="28">
        <f>$C$4*F12+G12</f>
        <v>159.28500000000003</v>
      </c>
      <c r="I12" s="26">
        <v>0.67300000000000004</v>
      </c>
      <c r="J12" s="29">
        <f t="shared" si="2"/>
        <v>0</v>
      </c>
      <c r="K12" s="28">
        <f t="shared" si="3"/>
        <v>193.15100000000001</v>
      </c>
      <c r="L12" s="26">
        <v>0.80800000000000005</v>
      </c>
      <c r="M12" s="29">
        <f t="shared" si="0"/>
        <v>0</v>
      </c>
      <c r="N12" s="28">
        <f t="shared" si="1"/>
        <v>231.89600000000002</v>
      </c>
    </row>
    <row r="13" spans="1:14" x14ac:dyDescent="0.2">
      <c r="A13" s="24">
        <v>63</v>
      </c>
      <c r="B13" s="25" t="s">
        <v>12</v>
      </c>
      <c r="C13" s="26">
        <v>0.56799999999999995</v>
      </c>
      <c r="D13" s="29">
        <f t="shared" ref="D13:D27" si="6">$C$4*C13*$C$5</f>
        <v>0</v>
      </c>
      <c r="E13" s="28">
        <f t="shared" ref="E13:E27" si="7">$C$4*C13+D13</f>
        <v>163.01599999999999</v>
      </c>
      <c r="F13" s="26">
        <v>0.88200000000000001</v>
      </c>
      <c r="G13" s="29">
        <f t="shared" ref="G13:G25" si="8">$C$4*F13*$C$5</f>
        <v>0</v>
      </c>
      <c r="H13" s="28">
        <f t="shared" si="5"/>
        <v>253.13400000000001</v>
      </c>
      <c r="I13" s="26">
        <v>1.0469999999999999</v>
      </c>
      <c r="J13" s="29">
        <f t="shared" si="2"/>
        <v>0</v>
      </c>
      <c r="K13" s="28">
        <f t="shared" si="3"/>
        <v>300.48899999999998</v>
      </c>
      <c r="L13" s="26">
        <v>1.27</v>
      </c>
      <c r="M13" s="29">
        <f t="shared" si="0"/>
        <v>0</v>
      </c>
      <c r="N13" s="28">
        <f t="shared" si="1"/>
        <v>364.49</v>
      </c>
    </row>
    <row r="14" spans="1:14" x14ac:dyDescent="0.2">
      <c r="A14" s="24">
        <v>75</v>
      </c>
      <c r="B14" s="25" t="s">
        <v>12</v>
      </c>
      <c r="C14" s="26">
        <v>0.81599999999999995</v>
      </c>
      <c r="D14" s="29">
        <f t="shared" si="6"/>
        <v>0</v>
      </c>
      <c r="E14" s="28">
        <f>$C$4*C14+D14</f>
        <v>234.19199999999998</v>
      </c>
      <c r="F14" s="26">
        <v>1.248</v>
      </c>
      <c r="G14" s="29">
        <f t="shared" si="8"/>
        <v>0</v>
      </c>
      <c r="H14" s="28">
        <f t="shared" si="5"/>
        <v>358.17599999999999</v>
      </c>
      <c r="I14" s="26">
        <v>1.4810000000000001</v>
      </c>
      <c r="J14" s="29">
        <f t="shared" si="2"/>
        <v>0</v>
      </c>
      <c r="K14" s="28">
        <f t="shared" si="3"/>
        <v>425.04700000000003</v>
      </c>
      <c r="L14" s="26">
        <v>1.8</v>
      </c>
      <c r="M14" s="29">
        <f t="shared" si="0"/>
        <v>0</v>
      </c>
      <c r="N14" s="28">
        <f t="shared" si="1"/>
        <v>516.6</v>
      </c>
    </row>
    <row r="15" spans="1:14" x14ac:dyDescent="0.2">
      <c r="A15" s="24">
        <v>90</v>
      </c>
      <c r="B15" s="25" t="s">
        <v>12</v>
      </c>
      <c r="C15" s="26">
        <v>1.1479999999999999</v>
      </c>
      <c r="D15" s="29">
        <f t="shared" si="6"/>
        <v>0</v>
      </c>
      <c r="E15" s="28">
        <f t="shared" si="7"/>
        <v>329.476</v>
      </c>
      <c r="F15" s="26">
        <v>1.7869999999999999</v>
      </c>
      <c r="G15" s="29">
        <f t="shared" si="8"/>
        <v>0</v>
      </c>
      <c r="H15" s="28">
        <f t="shared" si="5"/>
        <v>512.86900000000003</v>
      </c>
      <c r="I15" s="26">
        <v>2.1440000000000001</v>
      </c>
      <c r="J15" s="29">
        <f t="shared" si="2"/>
        <v>0</v>
      </c>
      <c r="K15" s="28">
        <f t="shared" si="3"/>
        <v>615.32800000000009</v>
      </c>
      <c r="L15" s="26">
        <v>2.5910000000000002</v>
      </c>
      <c r="M15" s="29">
        <f t="shared" si="0"/>
        <v>0</v>
      </c>
      <c r="N15" s="28">
        <f t="shared" si="1"/>
        <v>743.61700000000008</v>
      </c>
    </row>
    <row r="16" spans="1:14" x14ac:dyDescent="0.2">
      <c r="A16" s="24">
        <v>110</v>
      </c>
      <c r="B16" s="25" t="s">
        <v>12</v>
      </c>
      <c r="C16" s="26">
        <v>1.6879999999999999</v>
      </c>
      <c r="D16" s="29">
        <f t="shared" si="6"/>
        <v>0</v>
      </c>
      <c r="E16" s="28">
        <f t="shared" si="7"/>
        <v>484.45599999999996</v>
      </c>
      <c r="F16" s="26">
        <v>2.6429999999999998</v>
      </c>
      <c r="G16" s="29">
        <f t="shared" si="8"/>
        <v>0</v>
      </c>
      <c r="H16" s="28">
        <f t="shared" si="5"/>
        <v>758.54099999999994</v>
      </c>
      <c r="I16" s="26">
        <v>3.177</v>
      </c>
      <c r="J16" s="29">
        <f t="shared" si="2"/>
        <v>0</v>
      </c>
      <c r="K16" s="28">
        <f t="shared" si="3"/>
        <v>911.79899999999998</v>
      </c>
      <c r="L16" s="26">
        <v>3.84</v>
      </c>
      <c r="M16" s="29">
        <f t="shared" si="0"/>
        <v>0</v>
      </c>
      <c r="N16" s="28">
        <f t="shared" si="1"/>
        <v>1102.08</v>
      </c>
    </row>
    <row r="17" spans="1:14" x14ac:dyDescent="0.2">
      <c r="A17" s="24">
        <v>125</v>
      </c>
      <c r="B17" s="25" t="s">
        <v>12</v>
      </c>
      <c r="C17" s="26">
        <v>2.1869999999999998</v>
      </c>
      <c r="D17" s="29">
        <f t="shared" si="6"/>
        <v>0</v>
      </c>
      <c r="E17" s="28">
        <f t="shared" si="7"/>
        <v>627.66899999999998</v>
      </c>
      <c r="F17" s="26">
        <v>3.4049999999999998</v>
      </c>
      <c r="G17" s="29">
        <f t="shared" si="8"/>
        <v>0</v>
      </c>
      <c r="H17" s="28">
        <f t="shared" si="5"/>
        <v>977.2349999999999</v>
      </c>
      <c r="I17" s="26">
        <v>4.0890000000000004</v>
      </c>
      <c r="J17" s="29">
        <f t="shared" si="2"/>
        <v>0</v>
      </c>
      <c r="K17" s="28">
        <f t="shared" si="3"/>
        <v>1173.5430000000001</v>
      </c>
      <c r="L17" s="26">
        <v>4.9619999999999997</v>
      </c>
      <c r="M17" s="29">
        <f t="shared" si="0"/>
        <v>0</v>
      </c>
      <c r="N17" s="28">
        <f t="shared" si="1"/>
        <v>1424.0939999999998</v>
      </c>
    </row>
    <row r="18" spans="1:14" x14ac:dyDescent="0.2">
      <c r="A18" s="24">
        <v>140</v>
      </c>
      <c r="B18" s="25" t="s">
        <v>12</v>
      </c>
      <c r="C18" s="26">
        <v>2.75</v>
      </c>
      <c r="D18" s="29">
        <f t="shared" si="6"/>
        <v>0</v>
      </c>
      <c r="E18" s="28">
        <f t="shared" si="7"/>
        <v>789.25</v>
      </c>
      <c r="F18" s="26">
        <v>4.2610000000000001</v>
      </c>
      <c r="G18" s="29">
        <f t="shared" si="8"/>
        <v>0</v>
      </c>
      <c r="H18" s="28">
        <f t="shared" si="5"/>
        <v>1222.9069999999999</v>
      </c>
      <c r="I18" s="26">
        <v>5.1319999999999997</v>
      </c>
      <c r="J18" s="29">
        <f t="shared" si="2"/>
        <v>0</v>
      </c>
      <c r="K18" s="28">
        <f t="shared" si="3"/>
        <v>1472.884</v>
      </c>
      <c r="L18" s="26">
        <v>6.2089999999999996</v>
      </c>
      <c r="M18" s="29">
        <f t="shared" si="0"/>
        <v>0</v>
      </c>
      <c r="N18" s="28">
        <f t="shared" si="1"/>
        <v>1781.9829999999999</v>
      </c>
    </row>
    <row r="19" spans="1:14" x14ac:dyDescent="0.2">
      <c r="A19" s="24">
        <v>160</v>
      </c>
      <c r="B19" s="25" t="s">
        <v>12</v>
      </c>
      <c r="C19" s="26">
        <v>3.5790000000000002</v>
      </c>
      <c r="D19" s="29">
        <f t="shared" si="6"/>
        <v>0</v>
      </c>
      <c r="E19" s="28">
        <f t="shared" si="7"/>
        <v>1027.173</v>
      </c>
      <c r="F19" s="26">
        <v>5.5590000000000002</v>
      </c>
      <c r="G19" s="29">
        <f t="shared" si="8"/>
        <v>0</v>
      </c>
      <c r="H19" s="28">
        <f t="shared" si="5"/>
        <v>1595.433</v>
      </c>
      <c r="I19" s="26">
        <v>6.6950000000000003</v>
      </c>
      <c r="J19" s="29">
        <f t="shared" si="2"/>
        <v>0</v>
      </c>
      <c r="K19" s="28">
        <f t="shared" si="3"/>
        <v>1921.4650000000001</v>
      </c>
      <c r="L19" s="26">
        <v>8.1340000000000003</v>
      </c>
      <c r="M19" s="29">
        <f t="shared" si="0"/>
        <v>0</v>
      </c>
      <c r="N19" s="28">
        <f t="shared" si="1"/>
        <v>2334.4580000000001</v>
      </c>
    </row>
    <row r="20" spans="1:14" x14ac:dyDescent="0.2">
      <c r="A20" s="24">
        <v>180</v>
      </c>
      <c r="B20" s="25" t="s">
        <v>12</v>
      </c>
      <c r="C20" s="26">
        <v>4.5179999999999998</v>
      </c>
      <c r="D20" s="29">
        <f t="shared" si="6"/>
        <v>0</v>
      </c>
      <c r="E20" s="28">
        <f t="shared" si="7"/>
        <v>1296.6659999999999</v>
      </c>
      <c r="F20" s="26">
        <v>7.0540000000000003</v>
      </c>
      <c r="G20" s="29">
        <f t="shared" si="8"/>
        <v>0</v>
      </c>
      <c r="H20" s="28">
        <f t="shared" si="5"/>
        <v>2024.498</v>
      </c>
      <c r="I20" s="26">
        <v>8.4659999999999993</v>
      </c>
      <c r="J20" s="29">
        <f t="shared" si="2"/>
        <v>0</v>
      </c>
      <c r="K20" s="28">
        <f t="shared" si="3"/>
        <v>2429.7419999999997</v>
      </c>
      <c r="L20" s="26">
        <v>10.256</v>
      </c>
      <c r="M20" s="29">
        <f t="shared" si="0"/>
        <v>0</v>
      </c>
      <c r="N20" s="28">
        <f t="shared" si="1"/>
        <v>2943.4720000000002</v>
      </c>
    </row>
    <row r="21" spans="1:14" x14ac:dyDescent="0.2">
      <c r="A21" s="24">
        <v>200</v>
      </c>
      <c r="B21" s="25" t="s">
        <v>12</v>
      </c>
      <c r="C21" s="26">
        <v>5.5640000000000001</v>
      </c>
      <c r="D21" s="29">
        <f t="shared" si="6"/>
        <v>0</v>
      </c>
      <c r="E21" s="28">
        <f t="shared" si="7"/>
        <v>1596.8679999999999</v>
      </c>
      <c r="F21" s="26">
        <v>8.6980000000000004</v>
      </c>
      <c r="G21" s="29">
        <f t="shared" si="8"/>
        <v>0</v>
      </c>
      <c r="H21" s="28">
        <f t="shared" si="5"/>
        <v>2496.326</v>
      </c>
      <c r="I21" s="26">
        <v>10.441000000000001</v>
      </c>
      <c r="J21" s="29">
        <f t="shared" si="2"/>
        <v>0</v>
      </c>
      <c r="K21" s="28">
        <f t="shared" si="3"/>
        <v>2996.567</v>
      </c>
      <c r="L21" s="26">
        <v>12.667</v>
      </c>
      <c r="M21" s="29">
        <f t="shared" si="0"/>
        <v>0</v>
      </c>
      <c r="N21" s="28">
        <f t="shared" si="1"/>
        <v>3635.4290000000001</v>
      </c>
    </row>
    <row r="22" spans="1:14" x14ac:dyDescent="0.2">
      <c r="A22" s="24">
        <v>225</v>
      </c>
      <c r="B22" s="25" t="s">
        <v>12</v>
      </c>
      <c r="C22" s="26">
        <v>7.0650000000000004</v>
      </c>
      <c r="D22" s="29">
        <f t="shared" si="6"/>
        <v>0</v>
      </c>
      <c r="E22" s="28">
        <f t="shared" si="7"/>
        <v>2027.6550000000002</v>
      </c>
      <c r="F22" s="26">
        <v>10.975</v>
      </c>
      <c r="G22" s="29">
        <f t="shared" si="8"/>
        <v>0</v>
      </c>
      <c r="H22" s="28">
        <f t="shared" si="5"/>
        <v>3149.8249999999998</v>
      </c>
      <c r="I22" s="26">
        <v>13.217000000000001</v>
      </c>
      <c r="J22" s="29">
        <f t="shared" si="2"/>
        <v>0</v>
      </c>
      <c r="K22" s="28">
        <f t="shared" si="3"/>
        <v>3793.279</v>
      </c>
      <c r="L22" s="26">
        <v>16.013999999999999</v>
      </c>
      <c r="M22" s="29">
        <f t="shared" si="0"/>
        <v>0</v>
      </c>
      <c r="N22" s="28">
        <f t="shared" si="1"/>
        <v>4596.018</v>
      </c>
    </row>
    <row r="23" spans="1:14" x14ac:dyDescent="0.2">
      <c r="A23" s="24">
        <v>250</v>
      </c>
      <c r="B23" s="25" t="s">
        <v>12</v>
      </c>
      <c r="C23" s="26">
        <v>8.6780000000000008</v>
      </c>
      <c r="D23" s="29">
        <f t="shared" si="6"/>
        <v>0</v>
      </c>
      <c r="E23" s="28">
        <f t="shared" si="7"/>
        <v>2490.5860000000002</v>
      </c>
      <c r="F23" s="26">
        <v>13.52</v>
      </c>
      <c r="G23" s="29">
        <f t="shared" si="8"/>
        <v>0</v>
      </c>
      <c r="H23" s="28">
        <f t="shared" si="5"/>
        <v>3880.24</v>
      </c>
      <c r="I23" s="26">
        <v>16.263000000000002</v>
      </c>
      <c r="J23" s="29">
        <f t="shared" si="2"/>
        <v>0</v>
      </c>
      <c r="K23" s="28">
        <f t="shared" si="3"/>
        <v>4667.4810000000007</v>
      </c>
      <c r="L23" s="26">
        <v>19.757999999999999</v>
      </c>
      <c r="M23" s="29">
        <f t="shared" si="0"/>
        <v>0</v>
      </c>
      <c r="N23" s="28">
        <f t="shared" si="1"/>
        <v>5670.5459999999994</v>
      </c>
    </row>
    <row r="24" spans="1:14" x14ac:dyDescent="0.2">
      <c r="A24" s="24">
        <v>280</v>
      </c>
      <c r="B24" s="25" t="s">
        <v>12</v>
      </c>
      <c r="C24" s="26">
        <v>10.885</v>
      </c>
      <c r="D24" s="29">
        <f t="shared" si="6"/>
        <v>0</v>
      </c>
      <c r="E24" s="28">
        <f t="shared" si="7"/>
        <v>3123.9949999999999</v>
      </c>
      <c r="F24" s="26">
        <v>16.936</v>
      </c>
      <c r="G24" s="29">
        <f t="shared" si="8"/>
        <v>0</v>
      </c>
      <c r="H24" s="28">
        <f t="shared" si="5"/>
        <v>4860.6319999999996</v>
      </c>
      <c r="I24" s="26">
        <v>20.393000000000001</v>
      </c>
      <c r="J24" s="29">
        <f t="shared" si="2"/>
        <v>0</v>
      </c>
      <c r="K24" s="28">
        <f t="shared" si="3"/>
        <v>5852.7910000000002</v>
      </c>
      <c r="L24" s="26">
        <v>24.773</v>
      </c>
      <c r="M24" s="29">
        <f t="shared" si="0"/>
        <v>0</v>
      </c>
      <c r="N24" s="28">
        <f t="shared" si="1"/>
        <v>7109.8509999999997</v>
      </c>
    </row>
    <row r="25" spans="1:14" ht="13.5" thickBot="1" x14ac:dyDescent="0.25">
      <c r="A25" s="30">
        <v>315</v>
      </c>
      <c r="B25" s="31" t="s">
        <v>12</v>
      </c>
      <c r="C25" s="32">
        <v>13.781000000000001</v>
      </c>
      <c r="D25" s="33">
        <f t="shared" si="6"/>
        <v>0</v>
      </c>
      <c r="E25" s="34">
        <f t="shared" si="7"/>
        <v>3955.1470000000004</v>
      </c>
      <c r="F25" s="32">
        <v>21.459</v>
      </c>
      <c r="G25" s="33">
        <f t="shared" si="8"/>
        <v>0</v>
      </c>
      <c r="H25" s="34">
        <f t="shared" si="5"/>
        <v>6158.7330000000002</v>
      </c>
      <c r="I25" s="32">
        <v>25.818000000000001</v>
      </c>
      <c r="J25" s="33">
        <f t="shared" si="2"/>
        <v>0</v>
      </c>
      <c r="K25" s="34">
        <f t="shared" si="3"/>
        <v>7409.7660000000005</v>
      </c>
      <c r="L25" s="32">
        <v>31.306999999999999</v>
      </c>
      <c r="M25" s="33">
        <f t="shared" si="0"/>
        <v>0</v>
      </c>
      <c r="N25" s="34">
        <f t="shared" si="1"/>
        <v>8985.1090000000004</v>
      </c>
    </row>
    <row r="26" spans="1:14" ht="13.5" hidden="1" thickBot="1" x14ac:dyDescent="0.25">
      <c r="A26" s="35">
        <v>355</v>
      </c>
      <c r="B26" s="36" t="s">
        <v>12</v>
      </c>
      <c r="C26" s="37"/>
      <c r="D26" s="38">
        <f t="shared" si="6"/>
        <v>0</v>
      </c>
      <c r="E26" s="39">
        <f t="shared" si="7"/>
        <v>0</v>
      </c>
      <c r="F26" s="37"/>
      <c r="G26" s="38"/>
      <c r="H26" s="39">
        <f t="shared" si="5"/>
        <v>0</v>
      </c>
      <c r="I26" s="37">
        <f>$C$4*G26</f>
        <v>0</v>
      </c>
      <c r="J26" s="38"/>
      <c r="K26" s="39">
        <f t="shared" si="3"/>
        <v>0</v>
      </c>
      <c r="L26" s="37"/>
      <c r="M26" s="38"/>
      <c r="N26" s="39">
        <f t="shared" si="1"/>
        <v>0</v>
      </c>
    </row>
    <row r="27" spans="1:14" ht="13.5" hidden="1" thickBot="1" x14ac:dyDescent="0.25">
      <c r="A27" s="30">
        <v>400</v>
      </c>
      <c r="B27" s="31" t="s">
        <v>12</v>
      </c>
      <c r="C27" s="32"/>
      <c r="D27" s="40">
        <f t="shared" si="6"/>
        <v>0</v>
      </c>
      <c r="E27" s="34">
        <f t="shared" si="7"/>
        <v>0</v>
      </c>
      <c r="F27" s="32"/>
      <c r="G27" s="40"/>
      <c r="H27" s="34">
        <f t="shared" si="5"/>
        <v>0</v>
      </c>
      <c r="I27" s="32">
        <f>$C$4*G27</f>
        <v>0</v>
      </c>
      <c r="J27" s="40"/>
      <c r="K27" s="34">
        <f t="shared" si="3"/>
        <v>0</v>
      </c>
      <c r="L27" s="32"/>
      <c r="M27" s="40"/>
      <c r="N27" s="34">
        <f t="shared" si="1"/>
        <v>0</v>
      </c>
    </row>
    <row r="28" spans="1:14" ht="13.5" thickBot="1" x14ac:dyDescent="0.25">
      <c r="A28" s="58" t="s">
        <v>44</v>
      </c>
      <c r="B28" s="59"/>
      <c r="C28" s="58" t="s">
        <v>45</v>
      </c>
      <c r="D28" s="60"/>
      <c r="E28" s="61"/>
      <c r="F28" s="58" t="s">
        <v>46</v>
      </c>
      <c r="G28" s="60"/>
      <c r="H28" s="61"/>
      <c r="I28" s="58" t="s">
        <v>47</v>
      </c>
      <c r="J28" s="60"/>
      <c r="K28" s="61"/>
      <c r="L28" s="62" t="s">
        <v>48</v>
      </c>
      <c r="M28" s="63"/>
      <c r="N28" s="64"/>
    </row>
    <row r="29" spans="1:14" ht="15.75" hidden="1" x14ac:dyDescent="0.25">
      <c r="A29" s="1" t="s">
        <v>2</v>
      </c>
      <c r="B29" s="1"/>
      <c r="C29" s="2"/>
      <c r="H29" s="3"/>
    </row>
    <row r="30" spans="1:14" ht="38.25" hidden="1" x14ac:dyDescent="0.2">
      <c r="A30" s="4" t="s">
        <v>3</v>
      </c>
      <c r="B30" s="4" t="s">
        <v>4</v>
      </c>
      <c r="C30" s="4" t="s">
        <v>5</v>
      </c>
      <c r="D30" s="4" t="s">
        <v>6</v>
      </c>
      <c r="E30" s="4" t="s">
        <v>7</v>
      </c>
      <c r="F30" s="4" t="s">
        <v>8</v>
      </c>
      <c r="G30" s="4" t="s">
        <v>9</v>
      </c>
      <c r="H30" s="5" t="s">
        <v>10</v>
      </c>
    </row>
    <row r="31" spans="1:14" hidden="1" x14ac:dyDescent="0.2">
      <c r="A31" s="5">
        <v>20</v>
      </c>
      <c r="B31" s="6" t="s">
        <v>11</v>
      </c>
      <c r="C31" s="7" t="s">
        <v>12</v>
      </c>
      <c r="D31" s="8" t="s">
        <v>13</v>
      </c>
      <c r="E31" s="9" t="s">
        <v>13</v>
      </c>
      <c r="F31" s="9"/>
      <c r="G31" s="9">
        <v>37.130000000000003</v>
      </c>
      <c r="H31" s="9"/>
    </row>
    <row r="32" spans="1:14" hidden="1" x14ac:dyDescent="0.2">
      <c r="A32" s="5">
        <v>25</v>
      </c>
      <c r="B32" s="6" t="s">
        <v>14</v>
      </c>
      <c r="C32" s="7" t="s">
        <v>12</v>
      </c>
      <c r="D32" s="8" t="s">
        <v>13</v>
      </c>
      <c r="E32" s="9" t="s">
        <v>13</v>
      </c>
      <c r="F32" s="9">
        <v>47.58</v>
      </c>
      <c r="G32" s="9">
        <v>57.2</v>
      </c>
      <c r="H32" s="9"/>
    </row>
    <row r="33" spans="1:8" hidden="1" x14ac:dyDescent="0.2">
      <c r="A33" s="5">
        <v>32</v>
      </c>
      <c r="B33" s="6" t="s">
        <v>15</v>
      </c>
      <c r="C33" s="7" t="s">
        <v>12</v>
      </c>
      <c r="D33" s="8" t="s">
        <v>13</v>
      </c>
      <c r="E33" s="9">
        <v>64.349999999999994</v>
      </c>
      <c r="F33" s="9">
        <v>75.349999999999994</v>
      </c>
      <c r="G33" s="9">
        <v>92.95</v>
      </c>
      <c r="H33" s="9"/>
    </row>
    <row r="34" spans="1:8" ht="16.5" hidden="1" x14ac:dyDescent="0.2">
      <c r="A34" s="5">
        <v>40</v>
      </c>
      <c r="B34" s="6" t="s">
        <v>16</v>
      </c>
      <c r="C34" s="10" t="s">
        <v>12</v>
      </c>
      <c r="D34" s="9" t="s">
        <v>13</v>
      </c>
      <c r="E34" s="9">
        <v>99</v>
      </c>
      <c r="F34" s="9">
        <v>119.35</v>
      </c>
      <c r="G34" s="9">
        <v>143.83000000000001</v>
      </c>
      <c r="H34" s="9"/>
    </row>
    <row r="35" spans="1:8" ht="16.5" hidden="1" x14ac:dyDescent="0.2">
      <c r="A35" s="5">
        <v>50</v>
      </c>
      <c r="B35" s="6" t="s">
        <v>17</v>
      </c>
      <c r="C35" s="10" t="s">
        <v>12</v>
      </c>
      <c r="D35" s="11">
        <v>100.38</v>
      </c>
      <c r="E35" s="9">
        <v>152.63</v>
      </c>
      <c r="F35" s="9">
        <v>185.08</v>
      </c>
      <c r="G35" s="9">
        <v>222.2</v>
      </c>
      <c r="H35" s="9">
        <v>110</v>
      </c>
    </row>
    <row r="36" spans="1:8" ht="16.5" hidden="1" x14ac:dyDescent="0.2">
      <c r="A36" s="5">
        <v>63</v>
      </c>
      <c r="B36" s="6" t="s">
        <v>18</v>
      </c>
      <c r="C36" s="10" t="s">
        <v>12</v>
      </c>
      <c r="D36" s="11">
        <v>156.19999999999999</v>
      </c>
      <c r="E36" s="9">
        <v>242.55</v>
      </c>
      <c r="F36" s="9">
        <v>287.93</v>
      </c>
      <c r="G36" s="9">
        <v>349.25</v>
      </c>
      <c r="H36" s="9">
        <v>210</v>
      </c>
    </row>
    <row r="37" spans="1:8" ht="16.5" hidden="1" x14ac:dyDescent="0.2">
      <c r="A37" s="5">
        <v>75</v>
      </c>
      <c r="B37" s="6" t="s">
        <v>19</v>
      </c>
      <c r="C37" s="10" t="s">
        <v>12</v>
      </c>
      <c r="D37" s="11">
        <v>224.4</v>
      </c>
      <c r="E37" s="9">
        <v>343.2</v>
      </c>
      <c r="F37" s="9">
        <v>407.28</v>
      </c>
      <c r="G37" s="9">
        <v>495</v>
      </c>
      <c r="H37" s="9">
        <v>320</v>
      </c>
    </row>
    <row r="38" spans="1:8" ht="16.5" hidden="1" x14ac:dyDescent="0.2">
      <c r="A38" s="5">
        <v>90</v>
      </c>
      <c r="B38" s="12" t="s">
        <v>20</v>
      </c>
      <c r="C38" s="13" t="s">
        <v>12</v>
      </c>
      <c r="D38" s="11">
        <v>315.7</v>
      </c>
      <c r="E38" s="9">
        <v>491.43</v>
      </c>
      <c r="F38" s="9">
        <v>589.6</v>
      </c>
      <c r="G38" s="9">
        <v>712.53</v>
      </c>
      <c r="H38" s="9">
        <v>540</v>
      </c>
    </row>
    <row r="39" spans="1:8" ht="16.5" hidden="1" x14ac:dyDescent="0.2">
      <c r="A39" s="5">
        <v>110</v>
      </c>
      <c r="B39" s="6" t="s">
        <v>21</v>
      </c>
      <c r="C39" s="10" t="s">
        <v>12</v>
      </c>
      <c r="D39" s="11">
        <v>464.2</v>
      </c>
      <c r="E39" s="9">
        <v>726.83</v>
      </c>
      <c r="F39" s="9">
        <v>873.68</v>
      </c>
      <c r="G39" s="9">
        <v>1056</v>
      </c>
      <c r="H39" s="9">
        <v>695</v>
      </c>
    </row>
    <row r="40" spans="1:8" ht="16.5" hidden="1" x14ac:dyDescent="0.2">
      <c r="A40" s="5">
        <v>125</v>
      </c>
      <c r="B40" s="6" t="s">
        <v>22</v>
      </c>
      <c r="C40" s="10" t="s">
        <v>12</v>
      </c>
      <c r="D40" s="11">
        <v>601.42999999999995</v>
      </c>
      <c r="E40" s="9">
        <v>936.38</v>
      </c>
      <c r="F40" s="9">
        <v>1124.48</v>
      </c>
      <c r="G40" s="9">
        <v>1364.55</v>
      </c>
      <c r="H40" s="9">
        <v>875</v>
      </c>
    </row>
    <row r="41" spans="1:8" ht="16.5" hidden="1" x14ac:dyDescent="0.2">
      <c r="A41" s="5">
        <v>140</v>
      </c>
      <c r="B41" s="6" t="s">
        <v>23</v>
      </c>
      <c r="C41" s="10" t="s">
        <v>12</v>
      </c>
      <c r="D41" s="11">
        <v>756.25</v>
      </c>
      <c r="E41" s="9">
        <v>1171.78</v>
      </c>
      <c r="F41" s="9">
        <v>1411.3</v>
      </c>
      <c r="G41" s="9">
        <v>1707.48</v>
      </c>
      <c r="H41" s="9">
        <v>1220</v>
      </c>
    </row>
    <row r="42" spans="1:8" ht="16.5" hidden="1" x14ac:dyDescent="0.2">
      <c r="A42" s="5">
        <v>160</v>
      </c>
      <c r="B42" s="6" t="s">
        <v>24</v>
      </c>
      <c r="C42" s="10" t="s">
        <v>12</v>
      </c>
      <c r="D42" s="11">
        <v>984.23</v>
      </c>
      <c r="E42" s="9">
        <v>1528.73</v>
      </c>
      <c r="F42" s="9">
        <v>1841.13</v>
      </c>
      <c r="G42" s="9">
        <v>2236.85</v>
      </c>
      <c r="H42" s="9">
        <v>1595</v>
      </c>
    </row>
    <row r="43" spans="1:8" ht="16.5" hidden="1" x14ac:dyDescent="0.2">
      <c r="A43" s="5">
        <v>180</v>
      </c>
      <c r="B43" s="6" t="s">
        <v>25</v>
      </c>
      <c r="C43" s="10" t="s">
        <v>12</v>
      </c>
      <c r="D43" s="11">
        <v>1242.45</v>
      </c>
      <c r="E43" s="9">
        <v>1939.85</v>
      </c>
      <c r="F43" s="9">
        <v>2328.15</v>
      </c>
      <c r="G43" s="9">
        <v>2820.4</v>
      </c>
      <c r="H43" s="9">
        <v>2335</v>
      </c>
    </row>
    <row r="44" spans="1:8" ht="16.5" hidden="1" x14ac:dyDescent="0.2">
      <c r="A44" s="5">
        <v>200</v>
      </c>
      <c r="B44" s="6" t="s">
        <v>26</v>
      </c>
      <c r="C44" s="10" t="s">
        <v>12</v>
      </c>
      <c r="D44" s="11">
        <v>1530.1</v>
      </c>
      <c r="E44" s="9">
        <v>2391.9499999999998</v>
      </c>
      <c r="F44" s="9">
        <v>2871.28</v>
      </c>
      <c r="G44" s="9">
        <v>3483.43</v>
      </c>
      <c r="H44" s="9">
        <v>2995</v>
      </c>
    </row>
    <row r="45" spans="1:8" ht="16.5" hidden="1" x14ac:dyDescent="0.2">
      <c r="A45" s="5">
        <v>225</v>
      </c>
      <c r="B45" s="6" t="s">
        <v>27</v>
      </c>
      <c r="C45" s="10" t="s">
        <v>12</v>
      </c>
      <c r="D45" s="11">
        <v>1942.88</v>
      </c>
      <c r="E45" s="9">
        <v>3018.13</v>
      </c>
      <c r="F45" s="9">
        <v>3634.68</v>
      </c>
      <c r="G45" s="9">
        <v>4403.8500000000004</v>
      </c>
      <c r="H45" s="9">
        <v>4190</v>
      </c>
    </row>
    <row r="46" spans="1:8" ht="16.5" hidden="1" x14ac:dyDescent="0.2">
      <c r="A46" s="5">
        <v>250</v>
      </c>
      <c r="B46" s="6" t="s">
        <v>28</v>
      </c>
      <c r="C46" s="10" t="s">
        <v>12</v>
      </c>
      <c r="D46" s="11">
        <v>2386.4499999999998</v>
      </c>
      <c r="E46" s="9">
        <v>3718</v>
      </c>
      <c r="F46" s="9">
        <v>4472.33</v>
      </c>
      <c r="G46" s="9">
        <v>5433.45</v>
      </c>
      <c r="H46" s="9">
        <v>5285</v>
      </c>
    </row>
    <row r="47" spans="1:8" ht="16.5" hidden="1" x14ac:dyDescent="0.2">
      <c r="A47" s="5">
        <v>280</v>
      </c>
      <c r="B47" s="6" t="s">
        <v>29</v>
      </c>
      <c r="C47" s="10" t="s">
        <v>12</v>
      </c>
      <c r="D47" s="11">
        <v>2993.38</v>
      </c>
      <c r="E47" s="9">
        <v>4657.3999999999996</v>
      </c>
      <c r="F47" s="9">
        <v>5608.08</v>
      </c>
      <c r="G47" s="9">
        <v>6812.58</v>
      </c>
      <c r="H47" s="9">
        <v>7395</v>
      </c>
    </row>
    <row r="48" spans="1:8" ht="16.5" hidden="1" x14ac:dyDescent="0.2">
      <c r="A48" s="5">
        <v>315</v>
      </c>
      <c r="B48" s="6" t="s">
        <v>30</v>
      </c>
      <c r="C48" s="10" t="s">
        <v>12</v>
      </c>
      <c r="D48" s="11">
        <v>3789.78</v>
      </c>
      <c r="E48" s="9">
        <v>5901.23</v>
      </c>
      <c r="F48" s="9">
        <v>7099.95</v>
      </c>
      <c r="G48" s="9">
        <v>8609.43</v>
      </c>
      <c r="H48" s="9">
        <v>9885</v>
      </c>
    </row>
    <row r="49" spans="1:16" ht="16.5" hidden="1" x14ac:dyDescent="0.2">
      <c r="A49" s="5">
        <v>355</v>
      </c>
      <c r="B49" s="6" t="s">
        <v>31</v>
      </c>
      <c r="C49" s="10" t="s">
        <v>12</v>
      </c>
      <c r="D49" s="11">
        <v>4803.43</v>
      </c>
      <c r="E49" s="9">
        <v>7503.93</v>
      </c>
      <c r="F49" s="9">
        <v>9012.85</v>
      </c>
      <c r="G49" s="9">
        <v>10922.45</v>
      </c>
      <c r="H49" s="9"/>
    </row>
    <row r="50" spans="1:16" ht="16.5" hidden="1" x14ac:dyDescent="0.2">
      <c r="A50" s="5">
        <v>400</v>
      </c>
      <c r="B50" s="6" t="s">
        <v>32</v>
      </c>
      <c r="C50" s="10" t="s">
        <v>12</v>
      </c>
      <c r="D50" s="11">
        <v>6210.33</v>
      </c>
      <c r="E50" s="9">
        <v>9719.8799999999992</v>
      </c>
      <c r="F50" s="9">
        <v>11683.93</v>
      </c>
      <c r="G50" s="9" t="s">
        <v>13</v>
      </c>
      <c r="H50" s="9"/>
    </row>
    <row r="51" spans="1:16" ht="16.5" hidden="1" x14ac:dyDescent="0.2">
      <c r="A51" s="5">
        <v>450</v>
      </c>
      <c r="B51" s="6" t="s">
        <v>33</v>
      </c>
      <c r="C51" s="10" t="s">
        <v>12</v>
      </c>
      <c r="D51" s="11">
        <v>7856.48</v>
      </c>
      <c r="E51" s="9">
        <v>12261.43</v>
      </c>
      <c r="F51" s="9">
        <v>14779.05</v>
      </c>
      <c r="G51" s="9" t="s">
        <v>13</v>
      </c>
      <c r="H51" s="9"/>
    </row>
    <row r="52" spans="1:16" ht="16.5" hidden="1" x14ac:dyDescent="0.2">
      <c r="A52" s="5">
        <v>500</v>
      </c>
      <c r="B52" s="6" t="s">
        <v>34</v>
      </c>
      <c r="C52" s="10" t="s">
        <v>12</v>
      </c>
      <c r="D52" s="11">
        <v>9713.2800000000007</v>
      </c>
      <c r="E52" s="9">
        <v>15148.1</v>
      </c>
      <c r="F52" s="9">
        <v>18219.03</v>
      </c>
      <c r="G52" s="9" t="s">
        <v>13</v>
      </c>
      <c r="H52" s="9"/>
    </row>
    <row r="53" spans="1:16" hidden="1" x14ac:dyDescent="0.2"/>
    <row r="54" spans="1:16" hidden="1" x14ac:dyDescent="0.2"/>
    <row r="55" spans="1:16" ht="15.75" hidden="1" x14ac:dyDescent="0.25">
      <c r="A55" s="1" t="s">
        <v>49</v>
      </c>
    </row>
    <row r="56" spans="1:16" hidden="1" x14ac:dyDescent="0.2">
      <c r="A56" s="41" t="s">
        <v>50</v>
      </c>
      <c r="B56" s="2"/>
      <c r="C56" s="2"/>
    </row>
    <row r="57" spans="1:16" hidden="1" x14ac:dyDescent="0.2">
      <c r="A57" s="27" t="s">
        <v>51</v>
      </c>
      <c r="B57" s="27" t="s">
        <v>52</v>
      </c>
      <c r="C57" s="42">
        <v>486</v>
      </c>
    </row>
    <row r="58" spans="1:16" hidden="1" x14ac:dyDescent="0.2">
      <c r="A58" s="27" t="s">
        <v>53</v>
      </c>
      <c r="B58" s="27" t="s">
        <v>52</v>
      </c>
      <c r="C58" s="43">
        <v>249</v>
      </c>
    </row>
    <row r="59" spans="1:16" hidden="1" x14ac:dyDescent="0.2">
      <c r="A59" s="27" t="s">
        <v>54</v>
      </c>
      <c r="B59" s="27" t="s">
        <v>52</v>
      </c>
      <c r="C59" s="42">
        <v>160</v>
      </c>
    </row>
    <row r="60" spans="1:16" hidden="1" x14ac:dyDescent="0.2"/>
    <row r="61" spans="1:16" hidden="1" x14ac:dyDescent="0.2"/>
    <row r="62" spans="1:16" ht="15.75" hidden="1" x14ac:dyDescent="0.25">
      <c r="A62" s="1" t="s">
        <v>55</v>
      </c>
      <c r="B62" s="1"/>
      <c r="C62" s="2"/>
    </row>
    <row r="63" spans="1:16" ht="25.5" hidden="1" x14ac:dyDescent="0.2">
      <c r="A63" s="4" t="s">
        <v>3</v>
      </c>
      <c r="B63" s="4" t="s">
        <v>4</v>
      </c>
      <c r="C63" s="4" t="s">
        <v>5</v>
      </c>
      <c r="D63" s="4">
        <v>2.5</v>
      </c>
      <c r="E63" s="4">
        <v>4</v>
      </c>
      <c r="F63" s="4">
        <v>6</v>
      </c>
      <c r="G63" s="4">
        <v>10</v>
      </c>
      <c r="I63" s="4" t="s">
        <v>56</v>
      </c>
      <c r="J63" s="4"/>
      <c r="K63" s="4" t="s">
        <v>57</v>
      </c>
      <c r="L63" s="4" t="s">
        <v>58</v>
      </c>
      <c r="M63" s="4" t="s">
        <v>59</v>
      </c>
      <c r="N63" s="4" t="s">
        <v>60</v>
      </c>
      <c r="O63" s="4" t="s">
        <v>61</v>
      </c>
      <c r="P63" s="44"/>
    </row>
    <row r="64" spans="1:16" hidden="1" x14ac:dyDescent="0.2">
      <c r="A64" s="5">
        <v>20</v>
      </c>
      <c r="B64" s="6" t="s">
        <v>11</v>
      </c>
      <c r="C64" s="7" t="s">
        <v>12</v>
      </c>
      <c r="D64" s="8"/>
      <c r="E64" s="9"/>
      <c r="F64" s="9"/>
      <c r="G64" s="9">
        <v>26.25</v>
      </c>
      <c r="I64" s="9"/>
      <c r="J64" s="9"/>
      <c r="K64" s="9"/>
      <c r="L64" s="9"/>
      <c r="M64" s="9"/>
      <c r="N64" s="9"/>
      <c r="O64" s="45"/>
    </row>
    <row r="65" spans="1:15" hidden="1" x14ac:dyDescent="0.2">
      <c r="A65" s="5">
        <v>25</v>
      </c>
      <c r="B65" s="6" t="s">
        <v>14</v>
      </c>
      <c r="C65" s="7" t="s">
        <v>12</v>
      </c>
      <c r="D65" s="8"/>
      <c r="E65" s="9"/>
      <c r="F65" s="9"/>
      <c r="G65" s="9">
        <v>40.950000000000003</v>
      </c>
      <c r="I65" s="9"/>
      <c r="J65" s="9"/>
      <c r="K65" s="9"/>
      <c r="L65" s="9"/>
      <c r="M65" s="9"/>
      <c r="N65" s="9"/>
      <c r="O65" s="45"/>
    </row>
    <row r="66" spans="1:15" hidden="1" x14ac:dyDescent="0.2">
      <c r="A66" s="5">
        <v>32</v>
      </c>
      <c r="B66" s="6" t="s">
        <v>15</v>
      </c>
      <c r="C66" s="7" t="s">
        <v>12</v>
      </c>
      <c r="D66" s="8"/>
      <c r="E66" s="9"/>
      <c r="F66" s="9"/>
      <c r="G66" s="9">
        <v>67.2</v>
      </c>
      <c r="I66" s="9"/>
      <c r="J66" s="9"/>
      <c r="K66" s="9"/>
      <c r="L66" s="9"/>
      <c r="M66" s="9"/>
      <c r="N66" s="9"/>
      <c r="O66" s="45"/>
    </row>
    <row r="67" spans="1:15" ht="16.5" hidden="1" x14ac:dyDescent="0.2">
      <c r="A67" s="5">
        <v>40</v>
      </c>
      <c r="B67" s="6" t="s">
        <v>16</v>
      </c>
      <c r="C67" s="10" t="s">
        <v>12</v>
      </c>
      <c r="D67" s="9"/>
      <c r="E67" s="9"/>
      <c r="F67" s="9">
        <v>67.2</v>
      </c>
      <c r="G67" s="9">
        <v>100.8</v>
      </c>
      <c r="I67" s="9"/>
      <c r="J67" s="9"/>
      <c r="K67" s="9"/>
      <c r="L67" s="9"/>
      <c r="M67" s="9"/>
      <c r="N67" s="9"/>
      <c r="O67" s="45"/>
    </row>
    <row r="68" spans="1:15" ht="16.5" hidden="1" x14ac:dyDescent="0.2">
      <c r="A68" s="5">
        <v>50</v>
      </c>
      <c r="B68" s="6" t="s">
        <v>17</v>
      </c>
      <c r="C68" s="10" t="s">
        <v>12</v>
      </c>
      <c r="D68" s="11"/>
      <c r="E68" s="9"/>
      <c r="F68" s="9">
        <v>1.1882352941176471</v>
      </c>
      <c r="G68" s="9">
        <v>158.55000000000001</v>
      </c>
      <c r="I68" s="9">
        <v>32.549999999999997</v>
      </c>
      <c r="J68" s="9"/>
      <c r="K68" s="9">
        <v>71.400000000000006</v>
      </c>
      <c r="L68" s="9">
        <v>14.7</v>
      </c>
      <c r="M68" s="9"/>
      <c r="N68" s="9"/>
      <c r="O68" s="45"/>
    </row>
    <row r="69" spans="1:15" ht="16.5" hidden="1" x14ac:dyDescent="0.2">
      <c r="A69" s="5">
        <v>63</v>
      </c>
      <c r="B69" s="6" t="s">
        <v>18</v>
      </c>
      <c r="C69" s="10" t="s">
        <v>12</v>
      </c>
      <c r="D69" s="11"/>
      <c r="E69" s="9">
        <v>114.45</v>
      </c>
      <c r="F69" s="9">
        <v>163.80000000000001</v>
      </c>
      <c r="G69" s="9">
        <v>253.05</v>
      </c>
      <c r="I69" s="45"/>
      <c r="J69" s="45"/>
      <c r="K69" s="9"/>
      <c r="L69" s="9"/>
      <c r="M69" s="9"/>
      <c r="N69" s="9"/>
      <c r="O69" s="45"/>
    </row>
    <row r="70" spans="1:15" ht="16.5" hidden="1" x14ac:dyDescent="0.2">
      <c r="A70" s="5">
        <v>75</v>
      </c>
      <c r="B70" s="6" t="s">
        <v>19</v>
      </c>
      <c r="C70" s="10" t="s">
        <v>12</v>
      </c>
      <c r="D70" s="11"/>
      <c r="E70" s="9">
        <v>157.5</v>
      </c>
      <c r="F70" s="9">
        <v>227.85</v>
      </c>
      <c r="G70" s="9">
        <v>360.15</v>
      </c>
      <c r="I70" s="9">
        <v>78.75</v>
      </c>
      <c r="J70" s="9"/>
      <c r="K70" s="9">
        <v>154.35</v>
      </c>
      <c r="L70" s="9">
        <v>29.4</v>
      </c>
      <c r="M70" s="9">
        <v>338.1</v>
      </c>
      <c r="N70" s="9">
        <v>55.65</v>
      </c>
      <c r="O70" s="9">
        <v>69.3</v>
      </c>
    </row>
    <row r="71" spans="1:15" ht="16.5" hidden="1" x14ac:dyDescent="0.2">
      <c r="A71" s="5">
        <v>90</v>
      </c>
      <c r="B71" s="12" t="s">
        <v>20</v>
      </c>
      <c r="C71" s="13" t="s">
        <v>12</v>
      </c>
      <c r="D71" s="11">
        <v>143.85</v>
      </c>
      <c r="E71" s="9">
        <v>225.75</v>
      </c>
      <c r="F71" s="9">
        <v>327.60000000000002</v>
      </c>
      <c r="G71" s="9">
        <v>513.45000000000005</v>
      </c>
      <c r="I71" s="45"/>
      <c r="J71" s="45"/>
      <c r="K71" s="9"/>
      <c r="L71" s="9"/>
      <c r="M71" s="9"/>
      <c r="N71" s="9"/>
      <c r="O71" s="45"/>
    </row>
    <row r="72" spans="1:15" ht="16.5" hidden="1" x14ac:dyDescent="0.2">
      <c r="A72" s="5">
        <v>110</v>
      </c>
      <c r="B72" s="6" t="s">
        <v>21</v>
      </c>
      <c r="C72" s="10" t="s">
        <v>12</v>
      </c>
      <c r="D72" s="11">
        <v>214.2</v>
      </c>
      <c r="E72" s="9">
        <v>309.75</v>
      </c>
      <c r="F72" s="9">
        <v>474.6</v>
      </c>
      <c r="G72" s="9">
        <v>762.3</v>
      </c>
      <c r="I72" s="9">
        <v>134.4</v>
      </c>
      <c r="J72" s="9"/>
      <c r="K72" s="9">
        <v>292.95</v>
      </c>
      <c r="L72" s="9">
        <v>38.85</v>
      </c>
      <c r="M72" s="9">
        <v>535.5</v>
      </c>
      <c r="N72" s="9">
        <v>91.35</v>
      </c>
      <c r="O72" s="9">
        <v>113.4</v>
      </c>
    </row>
    <row r="73" spans="1:15" ht="16.5" hidden="1" x14ac:dyDescent="0.2">
      <c r="A73" s="5">
        <v>125</v>
      </c>
      <c r="B73" s="6" t="s">
        <v>22</v>
      </c>
      <c r="C73" s="10" t="s">
        <v>12</v>
      </c>
      <c r="D73" s="11">
        <v>276</v>
      </c>
      <c r="E73" s="9">
        <v>426.3</v>
      </c>
      <c r="F73" s="9">
        <v>632.1</v>
      </c>
      <c r="G73" s="9">
        <v>975.45</v>
      </c>
      <c r="I73" s="45"/>
      <c r="J73" s="45"/>
      <c r="K73" s="9"/>
      <c r="L73" s="9"/>
      <c r="M73" s="9"/>
      <c r="N73" s="9"/>
      <c r="O73" s="45"/>
    </row>
    <row r="74" spans="1:15" ht="16.5" hidden="1" x14ac:dyDescent="0.2">
      <c r="A74" s="5">
        <v>140</v>
      </c>
      <c r="B74" s="6" t="s">
        <v>23</v>
      </c>
      <c r="C74" s="10" t="s">
        <v>12</v>
      </c>
      <c r="D74" s="11">
        <v>337</v>
      </c>
      <c r="E74" s="9">
        <v>541.79999999999995</v>
      </c>
      <c r="F74" s="9">
        <v>787.5</v>
      </c>
      <c r="G74" s="9">
        <v>1231.6500000000001</v>
      </c>
      <c r="I74" s="9"/>
      <c r="J74" s="9"/>
      <c r="K74" s="9"/>
      <c r="L74" s="9"/>
      <c r="M74" s="9"/>
      <c r="N74" s="9"/>
      <c r="O74" s="45"/>
    </row>
    <row r="75" spans="1:15" ht="16.5" hidden="1" x14ac:dyDescent="0.2">
      <c r="A75" s="5">
        <v>160</v>
      </c>
      <c r="B75" s="6" t="s">
        <v>24</v>
      </c>
      <c r="C75" s="10" t="s">
        <v>12</v>
      </c>
      <c r="D75" s="11">
        <v>439.95</v>
      </c>
      <c r="E75" s="9">
        <v>700.35</v>
      </c>
      <c r="F75" s="9">
        <v>1008</v>
      </c>
      <c r="G75" s="9">
        <v>1584.45</v>
      </c>
      <c r="I75" s="9"/>
      <c r="J75" s="9"/>
      <c r="K75" s="9"/>
      <c r="L75" s="9"/>
      <c r="M75" s="9"/>
      <c r="N75" s="9"/>
      <c r="O75" s="45"/>
    </row>
    <row r="76" spans="1:15" ht="16.5" hidden="1" x14ac:dyDescent="0.2">
      <c r="A76" s="5">
        <v>180</v>
      </c>
      <c r="B76" s="6" t="s">
        <v>25</v>
      </c>
      <c r="C76" s="10" t="s">
        <v>12</v>
      </c>
      <c r="D76" s="11">
        <v>563.85</v>
      </c>
      <c r="E76" s="9">
        <v>900.9</v>
      </c>
      <c r="F76" s="9">
        <v>1286</v>
      </c>
      <c r="G76" s="9">
        <v>2019.15</v>
      </c>
      <c r="I76" s="9"/>
      <c r="J76" s="9"/>
      <c r="K76" s="9"/>
      <c r="L76" s="9"/>
      <c r="M76" s="9"/>
      <c r="N76" s="9"/>
      <c r="O76" s="45"/>
    </row>
    <row r="77" spans="1:15" ht="16.5" hidden="1" x14ac:dyDescent="0.2">
      <c r="A77" s="5">
        <v>200</v>
      </c>
      <c r="B77" s="6" t="s">
        <v>26</v>
      </c>
      <c r="C77" s="10" t="s">
        <v>12</v>
      </c>
      <c r="D77" s="11">
        <v>649.85</v>
      </c>
      <c r="E77" s="9">
        <v>1093.05</v>
      </c>
      <c r="F77" s="9">
        <v>1575</v>
      </c>
      <c r="G77" s="9">
        <v>2496.9</v>
      </c>
      <c r="I77" s="9"/>
      <c r="J77" s="9"/>
      <c r="K77" s="9"/>
      <c r="L77" s="9"/>
      <c r="M77" s="9"/>
      <c r="N77" s="9"/>
      <c r="O77" s="45"/>
    </row>
    <row r="78" spans="1:15" ht="16.5" hidden="1" x14ac:dyDescent="0.2">
      <c r="A78" s="5">
        <v>225</v>
      </c>
      <c r="B78" s="6" t="s">
        <v>27</v>
      </c>
      <c r="C78" s="10" t="s">
        <v>12</v>
      </c>
      <c r="D78" s="11"/>
      <c r="E78" s="9"/>
      <c r="F78" s="9"/>
      <c r="G78" s="9"/>
      <c r="I78" s="9"/>
      <c r="J78" s="9"/>
      <c r="K78" s="9"/>
      <c r="L78" s="9"/>
      <c r="M78" s="9"/>
      <c r="N78" s="9"/>
      <c r="O78" s="45"/>
    </row>
    <row r="79" spans="1:15" ht="16.5" hidden="1" x14ac:dyDescent="0.2">
      <c r="A79" s="5">
        <v>250</v>
      </c>
      <c r="B79" s="6" t="s">
        <v>28</v>
      </c>
      <c r="C79" s="10" t="s">
        <v>12</v>
      </c>
      <c r="D79" s="11"/>
      <c r="E79" s="9"/>
      <c r="F79" s="9"/>
      <c r="G79" s="9"/>
      <c r="I79" s="9"/>
      <c r="J79" s="9"/>
      <c r="K79" s="9"/>
      <c r="L79" s="9"/>
      <c r="M79" s="9"/>
      <c r="N79" s="9"/>
      <c r="O79" s="45"/>
    </row>
    <row r="80" spans="1:15" ht="16.5" hidden="1" x14ac:dyDescent="0.2">
      <c r="A80" s="5">
        <v>280</v>
      </c>
      <c r="B80" s="6" t="s">
        <v>29</v>
      </c>
      <c r="C80" s="10" t="s">
        <v>12</v>
      </c>
      <c r="D80" s="11"/>
      <c r="E80" s="9"/>
      <c r="F80" s="9"/>
      <c r="G80" s="9"/>
      <c r="I80" s="9"/>
      <c r="J80" s="9"/>
      <c r="K80" s="9"/>
      <c r="L80" s="9"/>
      <c r="M80" s="9"/>
      <c r="N80" s="9"/>
      <c r="O80" s="45"/>
    </row>
    <row r="81" spans="1:15" ht="16.5" hidden="1" x14ac:dyDescent="0.2">
      <c r="A81" s="5">
        <v>315</v>
      </c>
      <c r="B81" s="6" t="s">
        <v>30</v>
      </c>
      <c r="C81" s="10" t="s">
        <v>12</v>
      </c>
      <c r="D81" s="11"/>
      <c r="E81" s="9"/>
      <c r="F81" s="9"/>
      <c r="G81" s="9"/>
      <c r="I81" s="9"/>
      <c r="J81" s="9"/>
      <c r="K81" s="9"/>
      <c r="L81" s="9"/>
      <c r="M81" s="9"/>
      <c r="N81" s="9"/>
      <c r="O81" s="45"/>
    </row>
    <row r="82" spans="1:15" ht="16.5" hidden="1" x14ac:dyDescent="0.2">
      <c r="A82" s="5">
        <v>355</v>
      </c>
      <c r="B82" s="6" t="s">
        <v>31</v>
      </c>
      <c r="C82" s="10" t="s">
        <v>12</v>
      </c>
      <c r="D82" s="11"/>
      <c r="E82" s="9"/>
      <c r="F82" s="9"/>
      <c r="G82" s="9"/>
      <c r="I82" s="9"/>
      <c r="J82" s="9"/>
      <c r="K82" s="9"/>
      <c r="L82" s="9"/>
      <c r="M82" s="9"/>
      <c r="N82" s="9"/>
      <c r="O82" s="45"/>
    </row>
    <row r="83" spans="1:15" ht="16.5" hidden="1" x14ac:dyDescent="0.2">
      <c r="A83" s="5">
        <v>400</v>
      </c>
      <c r="B83" s="6" t="s">
        <v>32</v>
      </c>
      <c r="C83" s="10" t="s">
        <v>12</v>
      </c>
      <c r="D83" s="11"/>
      <c r="E83" s="9"/>
      <c r="F83" s="9"/>
      <c r="G83" s="9"/>
      <c r="I83" s="9"/>
      <c r="J83" s="9"/>
      <c r="K83" s="9"/>
      <c r="L83" s="9"/>
      <c r="M83" s="9"/>
      <c r="N83" s="9"/>
      <c r="O83" s="45"/>
    </row>
    <row r="84" spans="1:15" ht="16.5" hidden="1" x14ac:dyDescent="0.2">
      <c r="A84" s="5">
        <v>450</v>
      </c>
      <c r="B84" s="6" t="s">
        <v>33</v>
      </c>
      <c r="C84" s="10" t="s">
        <v>12</v>
      </c>
      <c r="D84" s="11"/>
      <c r="E84" s="9"/>
      <c r="F84" s="9"/>
      <c r="G84" s="9"/>
      <c r="I84" s="9"/>
      <c r="J84" s="9"/>
      <c r="K84" s="9"/>
      <c r="L84" s="9"/>
      <c r="M84" s="9"/>
      <c r="N84" s="9"/>
      <c r="O84" s="45"/>
    </row>
    <row r="85" spans="1:15" ht="16.5" hidden="1" x14ac:dyDescent="0.2">
      <c r="A85" s="5">
        <v>500</v>
      </c>
      <c r="B85" s="6" t="s">
        <v>34</v>
      </c>
      <c r="C85" s="10" t="s">
        <v>12</v>
      </c>
      <c r="D85" s="11"/>
      <c r="E85" s="9"/>
      <c r="F85" s="9"/>
      <c r="G85" s="9"/>
      <c r="I85" s="9"/>
      <c r="J85" s="9"/>
      <c r="K85" s="9"/>
      <c r="L85" s="9"/>
      <c r="M85" s="9"/>
      <c r="N85" s="9"/>
      <c r="O85" s="45"/>
    </row>
    <row r="86" spans="1:15" hidden="1" x14ac:dyDescent="0.2"/>
    <row r="87" spans="1:15" hidden="1" x14ac:dyDescent="0.2"/>
    <row r="88" spans="1:15" hidden="1" x14ac:dyDescent="0.2">
      <c r="A88" s="3" t="s">
        <v>62</v>
      </c>
    </row>
    <row r="89" spans="1:15" hidden="1" x14ac:dyDescent="0.2">
      <c r="A89" s="45" t="s">
        <v>63</v>
      </c>
      <c r="B89" s="45"/>
      <c r="C89" s="45" t="s">
        <v>5</v>
      </c>
      <c r="D89" s="45" t="s">
        <v>64</v>
      </c>
    </row>
    <row r="90" spans="1:15" hidden="1" x14ac:dyDescent="0.2">
      <c r="A90" s="45">
        <v>100</v>
      </c>
      <c r="B90" s="45"/>
      <c r="C90" s="45" t="s">
        <v>12</v>
      </c>
      <c r="D90" s="45">
        <v>500</v>
      </c>
    </row>
    <row r="91" spans="1:15" hidden="1" x14ac:dyDescent="0.2">
      <c r="A91" s="45">
        <v>150</v>
      </c>
      <c r="B91" s="45"/>
      <c r="C91" s="45" t="s">
        <v>12</v>
      </c>
      <c r="D91" s="45">
        <v>1000</v>
      </c>
    </row>
    <row r="92" spans="1:15" hidden="1" x14ac:dyDescent="0.2">
      <c r="A92" s="45">
        <v>200</v>
      </c>
      <c r="B92" s="45"/>
      <c r="C92" s="45" t="s">
        <v>12</v>
      </c>
      <c r="D92" s="45">
        <v>1500</v>
      </c>
    </row>
    <row r="93" spans="1:15" hidden="1" x14ac:dyDescent="0.2">
      <c r="A93" s="45">
        <v>250</v>
      </c>
      <c r="B93" s="45"/>
      <c r="C93" s="45" t="s">
        <v>12</v>
      </c>
      <c r="D93" s="45">
        <v>1900</v>
      </c>
    </row>
    <row r="94" spans="1:15" hidden="1" x14ac:dyDescent="0.2">
      <c r="A94" s="45">
        <v>300</v>
      </c>
      <c r="B94" s="45"/>
      <c r="C94" s="45" t="s">
        <v>12</v>
      </c>
      <c r="D94" s="45">
        <v>3160</v>
      </c>
    </row>
    <row r="95" spans="1:15" hidden="1" x14ac:dyDescent="0.2">
      <c r="A95" s="45">
        <v>400</v>
      </c>
      <c r="B95" s="45"/>
      <c r="C95" s="45" t="s">
        <v>12</v>
      </c>
      <c r="D95" s="45">
        <v>4070</v>
      </c>
    </row>
    <row r="96" spans="1:15" hidden="1" x14ac:dyDescent="0.2">
      <c r="A96" s="45">
        <v>500</v>
      </c>
      <c r="B96" s="45"/>
      <c r="C96" s="45" t="s">
        <v>12</v>
      </c>
      <c r="D96" s="45">
        <v>4860</v>
      </c>
    </row>
    <row r="97" spans="1:4" hidden="1" x14ac:dyDescent="0.2">
      <c r="A97" s="45">
        <v>600</v>
      </c>
      <c r="B97" s="45"/>
      <c r="C97" s="45" t="s">
        <v>12</v>
      </c>
      <c r="D97" s="45">
        <v>8370</v>
      </c>
    </row>
    <row r="98" spans="1:4" hidden="1" x14ac:dyDescent="0.2">
      <c r="A98" s="45">
        <v>800</v>
      </c>
      <c r="B98" s="45"/>
      <c r="C98" s="45" t="s">
        <v>12</v>
      </c>
      <c r="D98" s="45">
        <v>13875</v>
      </c>
    </row>
    <row r="99" spans="1:4" hidden="1" x14ac:dyDescent="0.2">
      <c r="A99" s="45">
        <v>1000</v>
      </c>
      <c r="B99" s="45"/>
      <c r="C99" s="45" t="s">
        <v>12</v>
      </c>
      <c r="D99" s="45">
        <v>20900</v>
      </c>
    </row>
  </sheetData>
  <mergeCells count="9">
    <mergeCell ref="C6:E6"/>
    <mergeCell ref="F6:H6"/>
    <mergeCell ref="I6:K6"/>
    <mergeCell ref="L6:N6"/>
    <mergeCell ref="A28:B28"/>
    <mergeCell ref="C28:E28"/>
    <mergeCell ref="F28:H28"/>
    <mergeCell ref="I28:K28"/>
    <mergeCell ref="L28:N28"/>
  </mergeCells>
  <printOptions horizontalCentered="1"/>
  <pageMargins left="0.7" right="0.7" top="0.75" bottom="0.75" header="0.3" footer="0.3"/>
  <pageSetup paperSize="9" orientation="landscape" r:id="rId1"/>
  <rowBreaks count="1" manualBreakCount="1">
    <brk id="2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HDPEPipe</vt:lpstr>
      <vt:lpstr>HDPEPipe!Print_Area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 maharjan</dc:creator>
  <cp:lastModifiedBy>Admin</cp:lastModifiedBy>
  <cp:lastPrinted>2022-04-17T08:16:20Z</cp:lastPrinted>
  <dcterms:created xsi:type="dcterms:W3CDTF">2020-05-31T07:04:43Z</dcterms:created>
  <dcterms:modified xsi:type="dcterms:W3CDTF">2025-07-29T11:26:18Z</dcterms:modified>
</cp:coreProperties>
</file>