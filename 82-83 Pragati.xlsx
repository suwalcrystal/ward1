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2082_2083\"/>
    </mc:Choice>
  </mc:AlternateContent>
  <xr:revisionPtr revIDLastSave="0" documentId="13_ncr:1_{D06B3617-585F-44F1-BDB3-D8737D5ADA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9" r:id="rId1"/>
  </sheets>
  <definedNames>
    <definedName name="_xlnm.Print_Area" localSheetId="0">Sheet1!$A$1:$F$48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9" l="1"/>
  <c r="E27" i="9"/>
  <c r="E18" i="9"/>
  <c r="E44" i="9"/>
</calcChain>
</file>

<file path=xl/sharedStrings.xml><?xml version="1.0" encoding="utf-8"?>
<sst xmlns="http://schemas.openxmlformats.org/spreadsheetml/2006/main" count="106" uniqueCount="70">
  <si>
    <t>82/83</t>
  </si>
  <si>
    <t>व.मि</t>
  </si>
  <si>
    <t>नेपाल सरकार</t>
  </si>
  <si>
    <t>शंखरापुर नगरपालिका</t>
  </si>
  <si>
    <t>नगर कार्यपालिकाको कार्यालय</t>
  </si>
  <si>
    <t>साँखु, काठमाडौं</t>
  </si>
  <si>
    <t>बागमती प्रदेश, नेपाल</t>
  </si>
  <si>
    <t>पूर्वाधार विकास शाखा</t>
  </si>
  <si>
    <t>आ.ब</t>
  </si>
  <si>
    <t>क्र.स</t>
  </si>
  <si>
    <t>कार्यक्रमको शिर्षक</t>
  </si>
  <si>
    <t>प्रगति विवरण</t>
  </si>
  <si>
    <t>कैफियत</t>
  </si>
  <si>
    <t>सडक</t>
  </si>
  <si>
    <t>ढलान सडक</t>
  </si>
  <si>
    <t>सडक सरसफाई</t>
  </si>
  <si>
    <t>ग्राभेल सडक</t>
  </si>
  <si>
    <t>गोरेटो बाटो तथा पदमार्ग</t>
  </si>
  <si>
    <t>सडक फराकिलो गर्ने काम</t>
  </si>
  <si>
    <t>पक्की नाली</t>
  </si>
  <si>
    <t>कच्ची नाली</t>
  </si>
  <si>
    <t>ढुङ्गाको वाल</t>
  </si>
  <si>
    <t>प्लम वाल</t>
  </si>
  <si>
    <t>ईट्टाको वाल</t>
  </si>
  <si>
    <t>ग्याबिन वाल</t>
  </si>
  <si>
    <t>ढुङ्गा सोलिङ्ग</t>
  </si>
  <si>
    <t>ईट्टा सोलिङ्ग</t>
  </si>
  <si>
    <t>आर. सि. सि. ट्याङ्की</t>
  </si>
  <si>
    <t>पि.भि.सि. ट्याङ्की</t>
  </si>
  <si>
    <t>धारा निर्माण</t>
  </si>
  <si>
    <t>पाइप बिछ्याउने काम</t>
  </si>
  <si>
    <t>कुवा निर्माण</t>
  </si>
  <si>
    <t>ढुङ्गेधारा निर्माण</t>
  </si>
  <si>
    <t>खानेपानी</t>
  </si>
  <si>
    <t>सिंचाई</t>
  </si>
  <si>
    <t>कुलो निर्माण</t>
  </si>
  <si>
    <t>सिंचाई पाइप</t>
  </si>
  <si>
    <t>ढल तथा पानी निकास</t>
  </si>
  <si>
    <t>ह्यूम पाइप राख्ने काम</t>
  </si>
  <si>
    <t>कल्भर्ट निर्माण</t>
  </si>
  <si>
    <t>भवन तथा ट्रस निर्माण</t>
  </si>
  <si>
    <t>सामुदायिक भवन</t>
  </si>
  <si>
    <t>सार्वजनिक पार्क</t>
  </si>
  <si>
    <t>प्रतिक्षालय निर्माण</t>
  </si>
  <si>
    <t>संस्कृति तथा पर्यटन</t>
  </si>
  <si>
    <t>मन्दिर निर्माण</t>
  </si>
  <si>
    <t>चौतारी निर्माण</t>
  </si>
  <si>
    <t>चिहानपाटी निर्माण</t>
  </si>
  <si>
    <t>सामुदायिक पाटी निर्माण</t>
  </si>
  <si>
    <t>4</t>
  </si>
  <si>
    <t>5</t>
  </si>
  <si>
    <t>6</t>
  </si>
  <si>
    <t>अन्य पूर्वाधार निर्माण सम्बन्धि काम</t>
  </si>
  <si>
    <t>ढुङ्गा छाप्ने काम</t>
  </si>
  <si>
    <t>ब्लक छाप्ने काम</t>
  </si>
  <si>
    <t>सिँडी निर्माण</t>
  </si>
  <si>
    <t>फलामे पुल निर्माण</t>
  </si>
  <si>
    <t>रेलिङ्ग तथा तारबार गर्ने काम</t>
  </si>
  <si>
    <t>सार्वजनिक शौचालय निर्माण</t>
  </si>
  <si>
    <t>एकाई</t>
  </si>
  <si>
    <t>परिमाण</t>
  </si>
  <si>
    <t>शाखा</t>
  </si>
  <si>
    <t>मि</t>
  </si>
  <si>
    <t>कि.मि</t>
  </si>
  <si>
    <t>घ.मि</t>
  </si>
  <si>
    <t>वटा</t>
  </si>
  <si>
    <t xml:space="preserve">व्यायामशाला </t>
  </si>
  <si>
    <t>ukhu kheti truss</t>
  </si>
  <si>
    <t>1 no. ward</t>
  </si>
  <si>
    <t>Oda bhawan marmat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</si>
</sst>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reeti"/>
    </font>
    <font>
      <b/>
      <sz val="20"/>
      <color theme="1"/>
      <name val="Preeti"/>
    </font>
    <font>
      <b/>
      <sz val="14"/>
      <color theme="1"/>
      <name val="Calibri"/>
      <family val="2"/>
      <scheme val="minor"/>
    </font>
    <font>
      <sz val="18"/>
      <color theme="1"/>
      <name val="Preeti"/>
    </font>
    <font>
      <sz val="14"/>
      <name val="Preeti"/>
    </font>
    <font>
      <sz val="14"/>
      <color theme="1"/>
      <name val="Preeti"/>
    </font>
    <font>
      <sz val="14.5"/>
      <color theme="1"/>
      <name val="Preeti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4"/>
      <name val="Kalimati"/>
      <charset val="1"/>
    </font>
    <font>
      <b/>
      <sz val="11"/>
      <color theme="1"/>
      <name val="Kalimati"/>
      <charset val="1"/>
    </font>
    <font>
      <b/>
      <sz val="20"/>
      <color theme="1"/>
      <name val="Kalimati"/>
      <charset val="1"/>
    </font>
    <font>
      <b/>
      <sz val="14"/>
      <color theme="1"/>
      <name val="Kalimati"/>
      <charset val="1"/>
    </font>
    <font>
      <sz val="14.5"/>
      <color theme="1"/>
      <name val="Kalimati"/>
      <charset val="1"/>
    </font>
    <font>
      <sz val="14"/>
      <color theme="1"/>
      <name val="Kalimati"/>
      <charset val="1"/>
    </font>
    <font>
      <b/>
      <sz val="14"/>
      <name val="Kalimati"/>
      <charset val="1"/>
    </font>
    <font>
      <sz val="14"/>
      <color rgb="FF000000"/>
      <name val="Kalimati"/>
      <charset val="1"/>
    </font>
    <font>
      <sz val="14"/>
      <color theme="1"/>
      <name val="Fontasy Himali"/>
      <family val="5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name val="Preet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6" fillId="0" borderId="0" xfId="0" applyFont="1" applyAlignment="1">
      <alignment horizontal="left"/>
    </xf>
    <xf numFmtId="43" fontId="7" fillId="0" borderId="0" xfId="1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9" fillId="0" borderId="0" xfId="1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 readingOrder="1"/>
    </xf>
    <xf numFmtId="0" fontId="19" fillId="0" borderId="1" xfId="0" applyFont="1" applyBorder="1" applyAlignment="1">
      <alignment horizontal="left" vertical="center" wrapText="1" readingOrder="1"/>
    </xf>
    <xf numFmtId="2" fontId="12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1" fillId="0" borderId="0" xfId="0" applyFont="1"/>
    <xf numFmtId="0" fontId="12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21" fillId="0" borderId="0" xfId="0" applyFont="1" applyAlignment="1">
      <alignment vertical="top"/>
    </xf>
    <xf numFmtId="43" fontId="17" fillId="0" borderId="0" xfId="1" applyFont="1" applyAlignment="1">
      <alignment horizontal="right" vertical="top"/>
    </xf>
    <xf numFmtId="14" fontId="17" fillId="0" borderId="0" xfId="1" applyNumberFormat="1" applyFont="1" applyAlignment="1">
      <alignment horizontal="left" vertical="top"/>
    </xf>
    <xf numFmtId="0" fontId="11" fillId="0" borderId="0" xfId="0" applyFont="1" applyAlignment="1">
      <alignment horizontal="center"/>
    </xf>
    <xf numFmtId="0" fontId="18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 wrapText="1" readingOrder="1"/>
    </xf>
    <xf numFmtId="49" fontId="17" fillId="0" borderId="1" xfId="0" quotePrefix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9" fillId="0" borderId="1" xfId="0" applyFont="1" applyBorder="1" applyAlignment="1">
      <alignment horizontal="center" vertical="center" readingOrder="1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readingOrder="1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3AFD-835A-4D99-9FBC-4CF701AE0223}">
  <dimension ref="A1:M161"/>
  <sheetViews>
    <sheetView tabSelected="1" topLeftCell="A33" zoomScaleNormal="100" zoomScaleSheetLayoutView="100" workbookViewId="0">
      <selection activeCell="E37" sqref="E37"/>
    </sheetView>
  </sheetViews>
  <sheetFormatPr defaultRowHeight="15"/>
  <cols>
    <col min="1" max="1" width="8.7109375" customWidth="1"/>
    <col min="2" max="2" width="25" customWidth="1"/>
    <col min="3" max="3" width="34.28515625" customWidth="1"/>
    <col min="4" max="4" width="19.140625" bestFit="1" customWidth="1"/>
    <col min="5" max="5" width="19.140625" customWidth="1"/>
    <col min="6" max="6" width="13.85546875" customWidth="1"/>
  </cols>
  <sheetData>
    <row r="1" spans="1:13">
      <c r="A1" s="33" t="s">
        <v>2</v>
      </c>
      <c r="B1" s="33"/>
      <c r="C1" s="33"/>
      <c r="D1" s="33"/>
      <c r="E1" s="33"/>
      <c r="F1" s="33"/>
      <c r="G1" s="33"/>
      <c r="H1" s="3"/>
      <c r="I1" s="3"/>
      <c r="J1" s="3"/>
      <c r="K1" s="3"/>
      <c r="L1" s="3"/>
    </row>
    <row r="2" spans="1:13" ht="26.25">
      <c r="A2" s="34" t="s">
        <v>3</v>
      </c>
      <c r="B2" s="34"/>
      <c r="C2" s="34"/>
      <c r="D2" s="34"/>
      <c r="E2" s="34"/>
      <c r="F2" s="34"/>
      <c r="G2" s="34"/>
      <c r="H2" s="4"/>
      <c r="I2" s="4"/>
      <c r="J2" s="4"/>
      <c r="K2" s="4"/>
      <c r="L2" s="4"/>
    </row>
    <row r="3" spans="1:13" ht="26.25">
      <c r="A3" s="34" t="s">
        <v>4</v>
      </c>
      <c r="B3" s="34"/>
      <c r="C3" s="34"/>
      <c r="D3" s="34"/>
      <c r="E3" s="34"/>
      <c r="F3" s="34"/>
      <c r="G3" s="34"/>
      <c r="H3" s="4"/>
      <c r="I3" s="4"/>
      <c r="J3" s="4"/>
      <c r="K3" s="4"/>
      <c r="L3" s="4"/>
    </row>
    <row r="4" spans="1:13" ht="18.75">
      <c r="A4" s="35" t="s">
        <v>5</v>
      </c>
      <c r="B4" s="35"/>
      <c r="C4" s="35"/>
      <c r="D4" s="35"/>
      <c r="E4" s="35"/>
      <c r="F4" s="35"/>
      <c r="G4" s="35"/>
      <c r="H4" s="5"/>
      <c r="I4" s="5"/>
      <c r="J4" s="5"/>
      <c r="K4" s="5"/>
      <c r="L4" s="5"/>
    </row>
    <row r="5" spans="1:13" ht="22.5">
      <c r="A5" s="36" t="s">
        <v>6</v>
      </c>
      <c r="B5" s="36"/>
      <c r="C5" s="36"/>
      <c r="D5" s="36"/>
      <c r="E5" s="36"/>
      <c r="F5" s="36"/>
      <c r="G5" s="36"/>
      <c r="H5" s="6"/>
      <c r="I5" s="6"/>
      <c r="J5" s="6"/>
      <c r="K5" s="6"/>
      <c r="L5" s="6"/>
    </row>
    <row r="6" spans="1:13" ht="22.5">
      <c r="A6" s="8"/>
      <c r="B6" s="8"/>
      <c r="C6" s="8"/>
      <c r="D6" s="8"/>
      <c r="E6" s="8"/>
      <c r="F6" s="8"/>
      <c r="G6" s="8"/>
      <c r="H6" s="6"/>
      <c r="I6" s="6"/>
      <c r="J6" s="6"/>
      <c r="K6" s="6"/>
      <c r="L6" s="6"/>
    </row>
    <row r="7" spans="1:13" ht="29.25" customHeight="1">
      <c r="A7" s="18" t="s">
        <v>61</v>
      </c>
      <c r="B7" s="19" t="s">
        <v>7</v>
      </c>
      <c r="C7" s="20"/>
      <c r="D7" s="20"/>
      <c r="E7" s="21" t="s">
        <v>8</v>
      </c>
      <c r="F7" s="22" t="s">
        <v>0</v>
      </c>
    </row>
    <row r="8" spans="1:13" ht="18.75">
      <c r="A8" s="39" t="s">
        <v>68</v>
      </c>
      <c r="B8" s="40"/>
      <c r="C8" s="17"/>
      <c r="D8" s="2"/>
      <c r="E8" s="2"/>
      <c r="F8" s="7"/>
    </row>
    <row r="9" spans="1:13" ht="18.75">
      <c r="A9" s="17"/>
      <c r="B9" s="17"/>
      <c r="C9" s="17"/>
      <c r="D9" s="17"/>
      <c r="E9" s="17"/>
      <c r="F9" s="17"/>
    </row>
    <row r="10" spans="1:13" ht="18">
      <c r="A10" s="24" t="s">
        <v>9</v>
      </c>
      <c r="B10" s="24" t="s">
        <v>10</v>
      </c>
      <c r="C10" s="24" t="s">
        <v>11</v>
      </c>
      <c r="D10" s="24" t="s">
        <v>59</v>
      </c>
      <c r="E10" s="24" t="s">
        <v>60</v>
      </c>
      <c r="F10" s="24" t="s">
        <v>12</v>
      </c>
      <c r="G10" s="1"/>
      <c r="H10" s="1"/>
      <c r="I10" s="1"/>
      <c r="J10" s="1"/>
      <c r="K10" s="1"/>
      <c r="L10" s="1"/>
      <c r="M10" s="1"/>
    </row>
    <row r="11" spans="1:13" ht="18">
      <c r="A11" s="42">
        <v>1</v>
      </c>
      <c r="B11" s="41" t="s">
        <v>13</v>
      </c>
      <c r="C11" s="12" t="s">
        <v>14</v>
      </c>
      <c r="D11" s="11" t="s">
        <v>62</v>
      </c>
      <c r="E11" s="11">
        <v>63.4</v>
      </c>
      <c r="F11" s="10"/>
      <c r="G11" s="1"/>
      <c r="H11" s="1"/>
      <c r="I11" s="1"/>
      <c r="J11" s="1"/>
      <c r="K11" s="1"/>
      <c r="L11" s="1"/>
      <c r="M11" s="1"/>
    </row>
    <row r="12" spans="1:13" ht="18">
      <c r="A12" s="42"/>
      <c r="B12" s="41"/>
      <c r="C12" s="13" t="s">
        <v>15</v>
      </c>
      <c r="D12" s="11" t="s">
        <v>63</v>
      </c>
      <c r="E12" s="11"/>
      <c r="F12" s="10"/>
      <c r="G12" s="1"/>
      <c r="H12" s="1"/>
      <c r="I12" s="1"/>
      <c r="J12" s="1"/>
      <c r="K12" s="1"/>
      <c r="L12" s="1"/>
      <c r="M12" s="1"/>
    </row>
    <row r="13" spans="1:13" ht="18">
      <c r="A13" s="42"/>
      <c r="B13" s="41"/>
      <c r="C13" s="13" t="s">
        <v>16</v>
      </c>
      <c r="D13" s="11" t="s">
        <v>62</v>
      </c>
      <c r="E13" s="11"/>
      <c r="F13" s="10"/>
      <c r="G13" s="1"/>
      <c r="H13" s="1"/>
      <c r="I13" s="1"/>
      <c r="J13" s="1"/>
      <c r="K13" s="1"/>
      <c r="L13" s="1"/>
      <c r="M13" s="1"/>
    </row>
    <row r="14" spans="1:13" ht="18">
      <c r="A14" s="42"/>
      <c r="B14" s="41"/>
      <c r="C14" s="13" t="s">
        <v>17</v>
      </c>
      <c r="D14" s="11" t="s">
        <v>62</v>
      </c>
      <c r="E14" s="11"/>
      <c r="F14" s="10"/>
      <c r="G14" s="1"/>
      <c r="H14" s="1"/>
      <c r="I14" s="1"/>
      <c r="J14" s="1"/>
      <c r="K14" s="1"/>
      <c r="L14" s="1"/>
      <c r="M14" s="1"/>
    </row>
    <row r="15" spans="1:13" ht="18">
      <c r="A15" s="42"/>
      <c r="B15" s="41"/>
      <c r="C15" s="13" t="s">
        <v>18</v>
      </c>
      <c r="D15" s="11" t="s">
        <v>62</v>
      </c>
      <c r="E15" s="11"/>
      <c r="F15" s="10"/>
      <c r="G15" s="1"/>
      <c r="H15" s="1"/>
      <c r="I15" s="1"/>
      <c r="J15" s="1"/>
      <c r="K15" s="1"/>
      <c r="L15" s="1"/>
      <c r="M15" s="1"/>
    </row>
    <row r="16" spans="1:13" ht="18">
      <c r="A16" s="42"/>
      <c r="B16" s="41"/>
      <c r="C16" s="13" t="s">
        <v>19</v>
      </c>
      <c r="D16" s="11" t="s">
        <v>62</v>
      </c>
      <c r="E16" s="11"/>
      <c r="F16" s="10"/>
      <c r="G16" s="1"/>
      <c r="H16" s="1"/>
      <c r="I16" s="1"/>
      <c r="J16" s="1"/>
      <c r="K16" s="1"/>
      <c r="L16" s="1"/>
      <c r="M16" s="1"/>
    </row>
    <row r="17" spans="1:13" ht="18">
      <c r="A17" s="42"/>
      <c r="B17" s="41"/>
      <c r="C17" s="13" t="s">
        <v>20</v>
      </c>
      <c r="D17" s="11" t="s">
        <v>62</v>
      </c>
      <c r="E17" s="11"/>
      <c r="F17" s="10"/>
      <c r="G17" s="1"/>
      <c r="H17" s="1"/>
      <c r="I17" s="1"/>
      <c r="J17" s="1"/>
      <c r="K17" s="1"/>
      <c r="L17" s="1"/>
      <c r="M17" s="1"/>
    </row>
    <row r="18" spans="1:13" ht="18">
      <c r="A18" s="42"/>
      <c r="B18" s="41"/>
      <c r="C18" s="13" t="s">
        <v>21</v>
      </c>
      <c r="D18" s="11" t="s">
        <v>64</v>
      </c>
      <c r="E18" s="11">
        <f>52.72+28.56+64.65+51.03</f>
        <v>196.96</v>
      </c>
      <c r="F18" s="10"/>
      <c r="G18" s="1"/>
      <c r="H18" s="1"/>
      <c r="I18" s="1"/>
      <c r="J18" s="1"/>
      <c r="K18" s="1"/>
      <c r="L18" s="1"/>
      <c r="M18" s="1"/>
    </row>
    <row r="19" spans="1:13" ht="18">
      <c r="A19" s="42"/>
      <c r="B19" s="41"/>
      <c r="C19" s="13" t="s">
        <v>22</v>
      </c>
      <c r="D19" s="11" t="s">
        <v>64</v>
      </c>
      <c r="E19" s="11"/>
      <c r="F19" s="10"/>
      <c r="H19" s="1"/>
      <c r="I19" s="1"/>
      <c r="J19" s="1"/>
      <c r="K19" s="1"/>
      <c r="L19" s="1"/>
      <c r="M19" s="1"/>
    </row>
    <row r="20" spans="1:13" ht="18">
      <c r="A20" s="42"/>
      <c r="B20" s="41"/>
      <c r="C20" s="13" t="s">
        <v>23</v>
      </c>
      <c r="D20" s="11" t="s">
        <v>64</v>
      </c>
      <c r="E20" s="14">
        <v>0.35</v>
      </c>
      <c r="F20" s="10"/>
      <c r="G20" s="1"/>
      <c r="H20" s="1"/>
      <c r="I20" s="1"/>
      <c r="J20" s="1"/>
      <c r="K20" s="1"/>
      <c r="L20" s="1"/>
      <c r="M20" s="1"/>
    </row>
    <row r="21" spans="1:13" ht="18">
      <c r="A21" s="42"/>
      <c r="B21" s="41"/>
      <c r="C21" s="13" t="s">
        <v>24</v>
      </c>
      <c r="D21" s="11" t="s">
        <v>64</v>
      </c>
      <c r="E21" s="11"/>
      <c r="F21" s="10"/>
      <c r="G21" s="1"/>
      <c r="H21" s="1"/>
      <c r="I21" s="1"/>
      <c r="J21" s="1"/>
      <c r="K21" s="1"/>
      <c r="L21" s="1"/>
      <c r="M21" s="1"/>
    </row>
    <row r="22" spans="1:13" ht="18">
      <c r="A22" s="42"/>
      <c r="B22" s="41"/>
      <c r="C22" s="13" t="s">
        <v>25</v>
      </c>
      <c r="D22" s="11" t="s">
        <v>64</v>
      </c>
      <c r="E22" s="11"/>
      <c r="F22" s="10"/>
      <c r="G22" s="1"/>
      <c r="H22" s="1"/>
      <c r="I22" s="1"/>
      <c r="J22" s="1"/>
      <c r="K22" s="1"/>
      <c r="L22" s="1"/>
      <c r="M22" s="1"/>
    </row>
    <row r="23" spans="1:13" ht="18">
      <c r="A23" s="42"/>
      <c r="B23" s="41"/>
      <c r="C23" s="12" t="s">
        <v>26</v>
      </c>
      <c r="D23" s="15" t="s">
        <v>62</v>
      </c>
      <c r="E23" s="15">
        <v>2.4</v>
      </c>
      <c r="F23" s="15"/>
      <c r="G23" s="1"/>
      <c r="H23" s="1"/>
      <c r="I23" s="23"/>
      <c r="J23" s="1"/>
      <c r="K23" s="1"/>
      <c r="L23" s="1"/>
      <c r="M23" s="1"/>
    </row>
    <row r="24" spans="1:13" ht="18">
      <c r="A24" s="44">
        <v>2</v>
      </c>
      <c r="B24" s="43" t="s">
        <v>33</v>
      </c>
      <c r="C24" s="12" t="s">
        <v>27</v>
      </c>
      <c r="D24" s="15" t="s">
        <v>65</v>
      </c>
      <c r="E24" s="15"/>
      <c r="F24" s="15"/>
      <c r="G24" s="1"/>
      <c r="H24" s="1"/>
      <c r="I24" s="1"/>
      <c r="J24" s="1"/>
      <c r="K24" s="1"/>
      <c r="L24" s="1"/>
      <c r="M24" s="1"/>
    </row>
    <row r="25" spans="1:13" ht="18">
      <c r="A25" s="44"/>
      <c r="B25" s="43"/>
      <c r="C25" s="12" t="s">
        <v>28</v>
      </c>
      <c r="D25" s="15" t="s">
        <v>65</v>
      </c>
      <c r="E25" s="15"/>
      <c r="F25" s="16"/>
      <c r="G25" s="1"/>
      <c r="H25" s="1"/>
      <c r="I25" s="1"/>
      <c r="J25" s="1"/>
      <c r="K25" s="1"/>
      <c r="L25" s="1"/>
      <c r="M25" s="1"/>
    </row>
    <row r="26" spans="1:13" ht="18">
      <c r="A26" s="44"/>
      <c r="B26" s="43"/>
      <c r="C26" s="12" t="s">
        <v>29</v>
      </c>
      <c r="D26" s="15" t="s">
        <v>65</v>
      </c>
      <c r="E26" s="15"/>
      <c r="F26" s="16"/>
      <c r="G26" s="1"/>
      <c r="H26" s="1"/>
      <c r="I26" s="1"/>
      <c r="J26" s="1"/>
      <c r="K26" s="1"/>
      <c r="L26" s="1"/>
      <c r="M26" s="1"/>
    </row>
    <row r="27" spans="1:13" ht="34.5" customHeight="1">
      <c r="A27" s="44"/>
      <c r="B27" s="43"/>
      <c r="C27" s="12" t="s">
        <v>30</v>
      </c>
      <c r="D27" s="15" t="s">
        <v>62</v>
      </c>
      <c r="E27" s="15">
        <f>1083+185</f>
        <v>1268</v>
      </c>
      <c r="F27" s="16"/>
      <c r="G27" s="1"/>
      <c r="H27" s="1"/>
      <c r="I27" s="1"/>
      <c r="J27" s="1"/>
      <c r="K27" s="1"/>
      <c r="L27" s="1"/>
      <c r="M27" s="1"/>
    </row>
    <row r="28" spans="1:13" ht="18.75">
      <c r="A28" s="44"/>
      <c r="B28" s="43"/>
      <c r="C28" s="12" t="s">
        <v>31</v>
      </c>
      <c r="D28" s="15" t="s">
        <v>65</v>
      </c>
      <c r="E28" s="15"/>
      <c r="F28" s="16"/>
      <c r="G28" s="1"/>
      <c r="H28" s="1"/>
      <c r="I28" s="1"/>
      <c r="J28" s="1"/>
      <c r="K28" s="9"/>
      <c r="L28" s="1"/>
      <c r="M28" s="1"/>
    </row>
    <row r="29" spans="1:13" ht="18">
      <c r="A29" s="44"/>
      <c r="B29" s="43"/>
      <c r="C29" s="12" t="s">
        <v>32</v>
      </c>
      <c r="D29" s="15" t="s">
        <v>65</v>
      </c>
      <c r="E29" s="15"/>
      <c r="F29" s="16"/>
      <c r="G29" s="1"/>
      <c r="H29" s="1"/>
      <c r="I29" s="1"/>
      <c r="J29" s="1"/>
      <c r="K29" s="1"/>
      <c r="L29" s="1"/>
      <c r="M29" s="1"/>
    </row>
    <row r="30" spans="1:13" ht="18">
      <c r="A30" s="27">
        <v>3</v>
      </c>
      <c r="B30" s="30" t="s">
        <v>34</v>
      </c>
      <c r="C30" s="12" t="s">
        <v>35</v>
      </c>
      <c r="D30" s="11" t="s">
        <v>62</v>
      </c>
      <c r="E30" s="11"/>
      <c r="F30" s="10"/>
      <c r="G30" s="1"/>
      <c r="H30" s="1"/>
      <c r="I30" s="1"/>
      <c r="J30" s="1"/>
      <c r="K30" s="1"/>
      <c r="L30" s="1"/>
      <c r="M30" s="1"/>
    </row>
    <row r="31" spans="1:13" ht="18">
      <c r="A31" s="28"/>
      <c r="B31" s="31"/>
      <c r="C31" s="12" t="s">
        <v>36</v>
      </c>
      <c r="D31" s="11" t="s">
        <v>62</v>
      </c>
      <c r="E31" s="11"/>
      <c r="F31" s="10"/>
      <c r="G31" s="1"/>
      <c r="H31" s="1"/>
      <c r="I31" s="1"/>
      <c r="J31" s="1"/>
      <c r="K31" s="1"/>
      <c r="L31" s="1"/>
      <c r="M31" s="1"/>
    </row>
    <row r="32" spans="1:13" ht="18">
      <c r="A32" s="29"/>
      <c r="B32" s="32"/>
      <c r="C32" s="13" t="s">
        <v>24</v>
      </c>
      <c r="D32" s="11" t="s">
        <v>64</v>
      </c>
      <c r="E32" s="11">
        <v>23</v>
      </c>
      <c r="F32" s="10"/>
      <c r="G32" s="1"/>
      <c r="H32" s="1"/>
      <c r="I32" s="1"/>
      <c r="J32" s="1"/>
      <c r="K32" s="1"/>
      <c r="L32" s="1"/>
      <c r="M32" s="1"/>
    </row>
    <row r="33" spans="1:13" ht="18">
      <c r="A33" s="38" t="s">
        <v>49</v>
      </c>
      <c r="B33" s="37" t="s">
        <v>37</v>
      </c>
      <c r="C33" s="12" t="s">
        <v>38</v>
      </c>
      <c r="D33" s="15" t="s">
        <v>62</v>
      </c>
      <c r="E33" s="15"/>
      <c r="F33" s="16"/>
      <c r="G33" s="1"/>
      <c r="H33" s="1"/>
      <c r="I33" s="1"/>
      <c r="J33" s="1"/>
      <c r="K33" s="1"/>
      <c r="L33" s="1"/>
      <c r="M33" s="1"/>
    </row>
    <row r="34" spans="1:13" ht="18">
      <c r="A34" s="38"/>
      <c r="B34" s="37"/>
      <c r="C34" s="12" t="s">
        <v>39</v>
      </c>
      <c r="D34" s="15" t="s">
        <v>65</v>
      </c>
      <c r="E34" s="15"/>
      <c r="F34" s="16"/>
      <c r="G34" s="1"/>
      <c r="H34" s="1"/>
      <c r="I34" s="1"/>
      <c r="J34" s="1"/>
      <c r="K34" s="1"/>
      <c r="L34" s="1"/>
      <c r="M34" s="1"/>
    </row>
    <row r="35" spans="1:13" ht="28.5" customHeight="1">
      <c r="A35" s="38" t="s">
        <v>50</v>
      </c>
      <c r="B35" s="37" t="s">
        <v>40</v>
      </c>
      <c r="C35" s="12" t="s">
        <v>41</v>
      </c>
      <c r="D35" s="15" t="s">
        <v>65</v>
      </c>
      <c r="E35" s="15"/>
      <c r="F35" s="16"/>
      <c r="G35" s="1"/>
      <c r="H35" s="1"/>
      <c r="I35" s="1"/>
      <c r="J35" s="1"/>
      <c r="K35" s="1"/>
      <c r="L35" s="1"/>
      <c r="M35" s="1"/>
    </row>
    <row r="36" spans="1:13" ht="18">
      <c r="A36" s="38"/>
      <c r="B36" s="37"/>
      <c r="C36" s="12" t="s">
        <v>42</v>
      </c>
      <c r="D36" s="15" t="s">
        <v>65</v>
      </c>
      <c r="E36" s="15"/>
      <c r="F36" s="16"/>
      <c r="G36" s="1"/>
      <c r="H36" s="1"/>
      <c r="I36" s="1"/>
      <c r="J36" s="1"/>
      <c r="K36" s="1"/>
      <c r="L36" s="1"/>
      <c r="M36" s="1"/>
    </row>
    <row r="37" spans="1:13" ht="18">
      <c r="A37" s="38"/>
      <c r="B37" s="37"/>
      <c r="C37" s="12" t="s">
        <v>43</v>
      </c>
      <c r="D37" s="15" t="s">
        <v>65</v>
      </c>
      <c r="E37" s="15"/>
      <c r="F37" s="16"/>
      <c r="G37" s="1"/>
      <c r="H37" s="1"/>
      <c r="I37" s="1"/>
      <c r="J37" s="1"/>
      <c r="K37" s="1"/>
      <c r="L37" s="1"/>
      <c r="M37" s="1"/>
    </row>
    <row r="38" spans="1:13" ht="18">
      <c r="A38" s="38" t="s">
        <v>51</v>
      </c>
      <c r="B38" s="37" t="s">
        <v>44</v>
      </c>
      <c r="C38" s="12" t="s">
        <v>45</v>
      </c>
      <c r="D38" s="15" t="s">
        <v>65</v>
      </c>
      <c r="E38" s="15">
        <v>1</v>
      </c>
      <c r="F38" s="16"/>
      <c r="G38" s="1"/>
      <c r="H38" s="1"/>
      <c r="I38" s="1"/>
      <c r="J38" s="1"/>
      <c r="K38" s="1"/>
      <c r="L38" s="1"/>
      <c r="M38" s="1"/>
    </row>
    <row r="39" spans="1:13" ht="18">
      <c r="A39" s="38"/>
      <c r="B39" s="37"/>
      <c r="C39" s="12" t="s">
        <v>46</v>
      </c>
      <c r="D39" s="15" t="s">
        <v>65</v>
      </c>
      <c r="E39" s="15"/>
      <c r="F39" s="16"/>
      <c r="G39" s="1"/>
      <c r="H39" s="1"/>
      <c r="I39" s="1"/>
      <c r="J39" s="1"/>
      <c r="K39" s="1"/>
      <c r="L39" s="1"/>
      <c r="M39" s="1"/>
    </row>
    <row r="40" spans="1:13" ht="18">
      <c r="A40" s="38"/>
      <c r="B40" s="37"/>
      <c r="C40" s="12" t="s">
        <v>47</v>
      </c>
      <c r="D40" s="15" t="s">
        <v>65</v>
      </c>
      <c r="E40" s="15">
        <v>1</v>
      </c>
      <c r="F40" s="16"/>
      <c r="G40" s="1"/>
      <c r="H40" s="1"/>
      <c r="I40" s="1"/>
      <c r="J40" s="1"/>
      <c r="K40" s="1"/>
      <c r="L40" s="1"/>
      <c r="M40" s="1"/>
    </row>
    <row r="41" spans="1:13" ht="18">
      <c r="A41" s="38"/>
      <c r="B41" s="37"/>
      <c r="C41" s="12" t="s">
        <v>48</v>
      </c>
      <c r="D41" s="15" t="s">
        <v>65</v>
      </c>
      <c r="E41" s="25"/>
      <c r="F41" s="26"/>
      <c r="G41" s="1"/>
      <c r="H41" s="1"/>
      <c r="I41" s="1"/>
      <c r="J41" s="1"/>
      <c r="K41" s="1"/>
      <c r="L41" s="1"/>
      <c r="M41" s="1"/>
    </row>
    <row r="42" spans="1:13" ht="18" customHeight="1">
      <c r="A42" s="27">
        <v>7</v>
      </c>
      <c r="B42" s="45" t="s">
        <v>52</v>
      </c>
      <c r="C42" s="12" t="s">
        <v>53</v>
      </c>
      <c r="D42" s="11" t="s">
        <v>1</v>
      </c>
      <c r="E42" s="11"/>
      <c r="F42" s="10"/>
      <c r="G42" s="1"/>
      <c r="H42" s="1"/>
      <c r="I42" s="1"/>
      <c r="J42" s="1"/>
      <c r="K42" s="1"/>
      <c r="L42" s="1"/>
      <c r="M42" s="1"/>
    </row>
    <row r="43" spans="1:13" ht="18">
      <c r="A43" s="28"/>
      <c r="B43" s="45"/>
      <c r="C43" s="12" t="s">
        <v>54</v>
      </c>
      <c r="D43" s="11" t="s">
        <v>1</v>
      </c>
      <c r="E43" s="11">
        <v>52.11</v>
      </c>
      <c r="F43" s="10"/>
      <c r="G43" s="1"/>
      <c r="H43" s="1"/>
      <c r="I43" s="1"/>
      <c r="J43" s="1"/>
      <c r="K43" s="1"/>
      <c r="L43" s="1"/>
      <c r="M43" s="1"/>
    </row>
    <row r="44" spans="1:13" ht="18">
      <c r="A44" s="28"/>
      <c r="B44" s="45"/>
      <c r="C44" s="12" t="s">
        <v>55</v>
      </c>
      <c r="D44" s="11" t="s">
        <v>62</v>
      </c>
      <c r="E44" s="11">
        <f>4.34+6</f>
        <v>10.34</v>
      </c>
      <c r="F44" s="10"/>
      <c r="G44" s="1"/>
      <c r="H44" s="1"/>
      <c r="I44" s="1"/>
      <c r="J44" s="1"/>
      <c r="K44" s="1"/>
      <c r="L44" s="1"/>
      <c r="M44" s="1"/>
    </row>
    <row r="45" spans="1:13" ht="18">
      <c r="A45" s="28"/>
      <c r="B45" s="45"/>
      <c r="C45" s="12" t="s">
        <v>56</v>
      </c>
      <c r="D45" s="11" t="s">
        <v>65</v>
      </c>
      <c r="E45" s="11"/>
      <c r="F45" s="10"/>
      <c r="G45" s="1"/>
      <c r="H45" s="1"/>
      <c r="I45" s="1"/>
      <c r="J45" s="1"/>
      <c r="K45" s="1"/>
      <c r="L45" s="1"/>
      <c r="M45" s="1"/>
    </row>
    <row r="46" spans="1:13" ht="18">
      <c r="A46" s="28"/>
      <c r="B46" s="45"/>
      <c r="C46" s="12" t="s">
        <v>57</v>
      </c>
      <c r="D46" s="11" t="s">
        <v>62</v>
      </c>
      <c r="E46" s="11">
        <f>15+9.42</f>
        <v>24.42</v>
      </c>
      <c r="F46" s="10"/>
      <c r="G46" s="1"/>
      <c r="H46" s="1"/>
      <c r="I46" s="1"/>
      <c r="J46" s="1"/>
      <c r="K46" s="1"/>
      <c r="L46" s="1"/>
      <c r="M46" s="1"/>
    </row>
    <row r="47" spans="1:13" ht="18">
      <c r="A47" s="28"/>
      <c r="B47" s="45"/>
      <c r="C47" s="12" t="s">
        <v>58</v>
      </c>
      <c r="D47" s="11" t="s">
        <v>65</v>
      </c>
      <c r="E47" s="11"/>
      <c r="F47" s="10"/>
      <c r="G47" s="1"/>
      <c r="H47" s="1"/>
      <c r="I47" s="1"/>
      <c r="J47" s="1"/>
      <c r="K47" s="1"/>
      <c r="L47" s="1"/>
      <c r="M47" s="1"/>
    </row>
    <row r="48" spans="1:13" ht="18">
      <c r="A48" s="28"/>
      <c r="B48" s="45"/>
      <c r="C48" s="10" t="s">
        <v>66</v>
      </c>
      <c r="D48" s="11" t="s">
        <v>65</v>
      </c>
      <c r="E48" s="11"/>
      <c r="F48" s="10"/>
      <c r="G48" s="1"/>
      <c r="H48" s="1"/>
      <c r="I48" s="1"/>
      <c r="J48" s="1"/>
      <c r="K48" s="1"/>
      <c r="L48" s="1"/>
      <c r="M48" s="1"/>
    </row>
    <row r="49" spans="1:13" ht="18">
      <c r="A49" s="28"/>
      <c r="B49" s="45"/>
      <c r="C49" s="10" t="s">
        <v>67</v>
      </c>
      <c r="D49" s="11" t="s">
        <v>65</v>
      </c>
      <c r="E49" s="11">
        <v>4</v>
      </c>
      <c r="F49" s="10"/>
      <c r="G49" s="1"/>
      <c r="H49" s="1"/>
      <c r="I49" s="1"/>
      <c r="J49" s="1"/>
      <c r="K49" s="1"/>
      <c r="L49" s="1"/>
      <c r="M49" s="1"/>
    </row>
    <row r="50" spans="1:13" ht="18">
      <c r="A50" s="29"/>
      <c r="B50" s="45"/>
      <c r="C50" s="10" t="s">
        <v>69</v>
      </c>
      <c r="D50" s="11" t="s">
        <v>65</v>
      </c>
      <c r="E50" s="11">
        <v>2</v>
      </c>
      <c r="F50" s="10"/>
      <c r="G50" s="1"/>
      <c r="H50" s="1"/>
      <c r="I50" s="1"/>
      <c r="J50" s="1"/>
      <c r="K50" s="1"/>
      <c r="L50" s="1"/>
      <c r="M50" s="1"/>
    </row>
    <row r="51" spans="1:13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</sheetData>
  <mergeCells count="20">
    <mergeCell ref="A11:A23"/>
    <mergeCell ref="B24:B29"/>
    <mergeCell ref="A24:A29"/>
    <mergeCell ref="B42:B50"/>
    <mergeCell ref="A42:A50"/>
    <mergeCell ref="A30:A32"/>
    <mergeCell ref="B30:B32"/>
    <mergeCell ref="A1:G1"/>
    <mergeCell ref="A2:G2"/>
    <mergeCell ref="A3:G3"/>
    <mergeCell ref="A4:G4"/>
    <mergeCell ref="A5:G5"/>
    <mergeCell ref="B38:B41"/>
    <mergeCell ref="A38:A41"/>
    <mergeCell ref="A8:B8"/>
    <mergeCell ref="B33:B34"/>
    <mergeCell ref="B35:B37"/>
    <mergeCell ref="A33:A34"/>
    <mergeCell ref="A35:A37"/>
    <mergeCell ref="B11:B23"/>
  </mergeCells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BASUKALA</dc:creator>
  <cp:lastModifiedBy>User</cp:lastModifiedBy>
  <cp:lastPrinted>2024-03-03T06:01:02Z</cp:lastPrinted>
  <dcterms:created xsi:type="dcterms:W3CDTF">2015-06-05T18:17:20Z</dcterms:created>
  <dcterms:modified xsi:type="dcterms:W3CDTF">2026-07-27T06:47:40Z</dcterms:modified>
</cp:coreProperties>
</file>