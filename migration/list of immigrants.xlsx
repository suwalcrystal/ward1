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B441D8D9-C184-4B70-B9E3-34320C887F0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Sheet1!#REF!</definedName>
    <definedName name="_xlnm._FilterDatabase" localSheetId="1" hidden="1">Sheet2!$A$1:$L$110</definedName>
    <definedName name="_xlnm.Print_Area" localSheetId="0">Sheet1!$O$4:$O$46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69" i="1" l="1"/>
  <c r="L170" i="1"/>
  <c r="L171" i="1"/>
  <c r="L172" i="1"/>
  <c r="W417" i="1"/>
  <c r="U417" i="1"/>
  <c r="K339" i="1"/>
  <c r="J339" i="1"/>
  <c r="K299" i="1"/>
  <c r="I77" i="1"/>
  <c r="H77" i="1"/>
  <c r="J72" i="1"/>
  <c r="H42" i="1"/>
  <c r="I25" i="1"/>
  <c r="H17" i="1"/>
  <c r="K17" i="1"/>
  <c r="J17" i="1"/>
  <c r="I8" i="1"/>
  <c r="J4" i="1"/>
  <c r="I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7" i="1"/>
  <c r="L5" i="1"/>
  <c r="L6" i="1"/>
  <c r="L4" i="1"/>
  <c r="AA42" i="1"/>
  <c r="AA34" i="1"/>
  <c r="AA33" i="1"/>
  <c r="AA29" i="1"/>
  <c r="AA25" i="1"/>
  <c r="AA24" i="1"/>
  <c r="AA23" i="1"/>
  <c r="AA19" i="1"/>
  <c r="AA17" i="1"/>
  <c r="AA12" i="1"/>
  <c r="AA8" i="1"/>
  <c r="H67" i="3"/>
  <c r="O4" i="1" l="1" a="1"/>
  <c r="O4" i="1" s="1"/>
  <c r="N4" i="1" s="1"/>
  <c r="V257" i="1"/>
  <c r="V417" i="1" s="1"/>
  <c r="N5" i="1" l="1"/>
  <c r="N85" i="1"/>
  <c r="N47" i="1"/>
  <c r="N24" i="1"/>
  <c r="N17" i="1"/>
  <c r="N8" i="1"/>
  <c r="N59" i="1"/>
  <c r="N87" i="1"/>
  <c r="N29" i="1"/>
  <c r="N20" i="1"/>
  <c r="N48" i="1"/>
  <c r="N28" i="1"/>
  <c r="N30" i="1"/>
  <c r="N10" i="1"/>
  <c r="N83" i="1"/>
  <c r="N62" i="1"/>
  <c r="N53" i="1"/>
  <c r="N42" i="1"/>
  <c r="N44" i="1"/>
  <c r="N22" i="1"/>
  <c r="N37" i="1"/>
  <c r="N72" i="1"/>
  <c r="N52" i="1"/>
  <c r="N65" i="1"/>
  <c r="N54" i="1"/>
  <c r="N56" i="1"/>
  <c r="N34" i="1"/>
  <c r="N38" i="1"/>
  <c r="N84" i="1"/>
  <c r="N64" i="1"/>
  <c r="N77" i="1"/>
  <c r="N66" i="1"/>
  <c r="N68" i="1"/>
  <c r="N46" i="1"/>
  <c r="N73" i="1"/>
  <c r="N25" i="1"/>
  <c r="N76" i="1"/>
  <c r="N89" i="1"/>
  <c r="N78" i="1"/>
  <c r="N80" i="1"/>
  <c r="N58" i="1"/>
  <c r="N86" i="1"/>
  <c r="N15" i="1"/>
  <c r="N88" i="1"/>
  <c r="N7" i="1"/>
  <c r="N9" i="1"/>
  <c r="N70" i="1"/>
  <c r="N23" i="1"/>
  <c r="N27" i="1"/>
  <c r="N26" i="1"/>
  <c r="N57" i="1"/>
  <c r="N75" i="1"/>
  <c r="N6" i="1"/>
  <c r="N69" i="1"/>
  <c r="N36" i="1"/>
  <c r="N16" i="1"/>
  <c r="N18" i="1"/>
  <c r="N81" i="1"/>
  <c r="N71" i="1"/>
  <c r="N13" i="1"/>
  <c r="N41" i="1"/>
  <c r="N32" i="1"/>
  <c r="N60" i="1"/>
  <c r="N40" i="1"/>
  <c r="N31" i="1"/>
  <c r="N43" i="1"/>
  <c r="N19" i="1"/>
  <c r="N21" i="1"/>
  <c r="N82" i="1"/>
  <c r="N61" i="1"/>
  <c r="N39" i="1"/>
  <c r="N49" i="1"/>
  <c r="N55" i="1"/>
  <c r="N67" i="1"/>
  <c r="N33" i="1"/>
  <c r="N11" i="1"/>
  <c r="N74" i="1"/>
  <c r="N51" i="1"/>
  <c r="N50" i="1"/>
  <c r="N79" i="1"/>
  <c r="N14" i="1"/>
  <c r="N45" i="1"/>
  <c r="N35" i="1"/>
  <c r="N12" i="1"/>
  <c r="N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M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M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M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M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M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<sst xmlns="http://schemas.openxmlformats.org/spreadsheetml/2006/main" count="2102" uniqueCount="759">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</sst>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sz val="14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9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9" fillId="0" borderId="0" xfId="0" applyNumberFormat="1" applyFont="1"/>
    <xf numFmtId="166" fontId="9" fillId="0" borderId="0" xfId="0" applyNumberFormat="1" applyFont="1"/>
    <xf numFmtId="0" fontId="10" fillId="0" borderId="0" xfId="0" applyFont="1"/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7"/>
  <sheetViews>
    <sheetView tabSelected="1" zoomScaleNormal="100" workbookViewId="0">
      <pane ySplit="2" topLeftCell="A210" activePane="bottomLeft" state="frozen"/>
      <selection pane="bottomLeft" activeCell="C214" sqref="C214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7" width="10.28515625" customWidth="1"/>
    <col min="8" max="8" width="7.140625" bestFit="1" customWidth="1"/>
    <col min="9" max="9" width="5.42578125" bestFit="1" customWidth="1"/>
    <col min="10" max="10" width="6" bestFit="1" customWidth="1"/>
    <col min="11" max="11" width="5.85546875" bestFit="1" customWidth="1"/>
    <col min="12" max="13" width="11.5703125" bestFit="1" customWidth="1"/>
    <col min="14" max="16" width="9" customWidth="1"/>
    <col min="17" max="17" width="11.5703125" bestFit="1" customWidth="1"/>
    <col min="18" max="18" width="18" bestFit="1" customWidth="1"/>
    <col min="19" max="19" width="11.5703125" bestFit="1" customWidth="1"/>
    <col min="20" max="20" width="17.7109375" style="2" bestFit="1" customWidth="1"/>
    <col min="21" max="21" width="5.42578125" style="2" bestFit="1" customWidth="1"/>
    <col min="22" max="22" width="5.5703125" style="2" bestFit="1" customWidth="1"/>
    <col min="23" max="23" width="7.5703125" style="2" bestFit="1" customWidth="1"/>
    <col min="24" max="24" width="14.85546875" bestFit="1" customWidth="1"/>
    <col min="25" max="25" width="35.28515625" bestFit="1" customWidth="1"/>
    <col min="26" max="26" width="33.140625" bestFit="1" customWidth="1"/>
    <col min="27" max="27" width="19.5703125" bestFit="1" customWidth="1"/>
  </cols>
  <sheetData>
    <row r="1" spans="1:27" ht="15" customHeight="1" x14ac:dyDescent="0.25">
      <c r="A1" s="22" t="s">
        <v>103</v>
      </c>
      <c r="B1" s="7" t="s">
        <v>102</v>
      </c>
      <c r="C1" s="22" t="s">
        <v>104</v>
      </c>
      <c r="D1" s="22" t="s">
        <v>735</v>
      </c>
      <c r="E1" s="22" t="s">
        <v>736</v>
      </c>
      <c r="F1" s="29" t="s">
        <v>755</v>
      </c>
      <c r="G1" s="29" t="s">
        <v>758</v>
      </c>
      <c r="H1" s="24" t="s">
        <v>743</v>
      </c>
      <c r="I1" s="25"/>
      <c r="J1" s="25"/>
      <c r="K1" s="26"/>
      <c r="L1" s="27" t="s">
        <v>733</v>
      </c>
      <c r="M1" s="27" t="s">
        <v>342</v>
      </c>
      <c r="N1" s="22" t="s">
        <v>738</v>
      </c>
      <c r="O1" s="22" t="s">
        <v>737</v>
      </c>
      <c r="P1" s="22" t="s">
        <v>749</v>
      </c>
      <c r="Q1" s="27" t="s">
        <v>732</v>
      </c>
      <c r="R1" s="22" t="s">
        <v>106</v>
      </c>
      <c r="S1" s="22" t="s">
        <v>107</v>
      </c>
      <c r="T1" s="22" t="s">
        <v>101</v>
      </c>
      <c r="U1" s="31" t="s">
        <v>105</v>
      </c>
      <c r="V1" s="32"/>
      <c r="W1" s="33"/>
      <c r="X1" s="35" t="s">
        <v>236</v>
      </c>
      <c r="Y1" s="34" t="s">
        <v>246</v>
      </c>
      <c r="Z1" s="36" t="s">
        <v>243</v>
      </c>
      <c r="AA1" s="37" t="s">
        <v>247</v>
      </c>
    </row>
    <row r="2" spans="1:27" x14ac:dyDescent="0.25">
      <c r="A2" s="23"/>
      <c r="B2" s="7"/>
      <c r="C2" s="23"/>
      <c r="D2" s="23"/>
      <c r="E2" s="23"/>
      <c r="F2" s="30"/>
      <c r="G2" s="30"/>
      <c r="H2" s="18" t="s">
        <v>744</v>
      </c>
      <c r="I2" s="17" t="s">
        <v>745</v>
      </c>
      <c r="J2" s="17" t="s">
        <v>746</v>
      </c>
      <c r="K2" s="17" t="s">
        <v>747</v>
      </c>
      <c r="L2" s="28"/>
      <c r="M2" s="28"/>
      <c r="N2" s="23"/>
      <c r="O2" s="23"/>
      <c r="P2" s="23"/>
      <c r="Q2" s="28"/>
      <c r="R2" s="23"/>
      <c r="S2" s="23"/>
      <c r="T2" s="23"/>
      <c r="U2" s="7" t="s">
        <v>232</v>
      </c>
      <c r="V2" s="7" t="s">
        <v>233</v>
      </c>
      <c r="W2" s="7" t="s">
        <v>234</v>
      </c>
      <c r="X2" s="35"/>
      <c r="Y2" s="34"/>
      <c r="Z2" s="36"/>
      <c r="AA2" s="37"/>
    </row>
    <row r="3" spans="1:27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1"/>
      <c r="U3" s="11"/>
      <c r="V3" s="11"/>
      <c r="W3" s="11"/>
      <c r="X3" s="12"/>
      <c r="Y3" s="10"/>
      <c r="Z3" s="10"/>
    </row>
    <row r="4" spans="1:27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756</v>
      </c>
      <c r="G4" s="21"/>
      <c r="H4">
        <v>0</v>
      </c>
      <c r="I4" s="16">
        <f>2+1</f>
        <v>3</v>
      </c>
      <c r="J4" s="16">
        <f>3+3</f>
        <v>6</v>
      </c>
      <c r="K4" s="16">
        <v>1</v>
      </c>
      <c r="L4" s="15">
        <f t="shared" ref="L4:L67" si="1">(Q4-M4)/365</f>
        <v>42.989041095890414</v>
      </c>
      <c r="M4" s="5">
        <v>51266</v>
      </c>
      <c r="N4" s="16">
        <f>COUNTIF($E$4:$E$416,O4)</f>
        <v>26</v>
      </c>
      <c r="O4" s="13" t="str" cm="1">
        <f t="array" ref="O4:O89">_xlfn.UNIQUE(E4:E416)</f>
        <v>sfsL{</v>
      </c>
      <c r="P4" s="16" t="s">
        <v>750</v>
      </c>
      <c r="Q4" s="5">
        <v>66957</v>
      </c>
      <c r="R4" t="s">
        <v>1</v>
      </c>
      <c r="S4" s="5">
        <v>66897</v>
      </c>
      <c r="T4" s="2" t="s">
        <v>2</v>
      </c>
      <c r="U4" s="3">
        <v>4</v>
      </c>
      <c r="V4" s="3">
        <v>3</v>
      </c>
      <c r="W4" s="3">
        <v>1</v>
      </c>
      <c r="X4" t="s">
        <v>242</v>
      </c>
      <c r="Y4" t="s">
        <v>339</v>
      </c>
      <c r="Z4" t="s">
        <v>245</v>
      </c>
      <c r="AA4" s="13"/>
    </row>
    <row r="5" spans="1:27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756</v>
      </c>
      <c r="G5" s="21"/>
      <c r="H5" s="16"/>
      <c r="I5" s="16"/>
      <c r="J5" s="16"/>
      <c r="K5" s="16"/>
      <c r="L5" s="15">
        <f t="shared" si="1"/>
        <v>39.147945205479452</v>
      </c>
      <c r="M5" s="5">
        <v>52668</v>
      </c>
      <c r="N5" s="16">
        <f t="shared" ref="N5:N68" si="3">COUNTIF($E$4:$E$416,O5)</f>
        <v>7</v>
      </c>
      <c r="O5" s="13" t="str">
        <v>nfdf</v>
      </c>
      <c r="P5" s="16" t="s">
        <v>751</v>
      </c>
      <c r="Q5" s="5">
        <v>66957</v>
      </c>
      <c r="S5" s="5"/>
      <c r="U5" s="3"/>
      <c r="V5" s="3"/>
      <c r="W5" s="3"/>
    </row>
    <row r="6" spans="1:27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757</v>
      </c>
      <c r="G6" s="21"/>
      <c r="H6" s="16"/>
      <c r="I6" s="16"/>
      <c r="J6" s="16"/>
      <c r="K6" s="16"/>
      <c r="L6" s="15">
        <f t="shared" si="1"/>
        <v>16.443835616438356</v>
      </c>
      <c r="M6" s="5">
        <v>60955</v>
      </c>
      <c r="N6" s="16">
        <f t="shared" si="3"/>
        <v>5</v>
      </c>
      <c r="O6" s="13" t="str">
        <v>e§/fO{</v>
      </c>
      <c r="P6" s="16" t="s">
        <v>752</v>
      </c>
      <c r="Q6" s="5">
        <v>66957</v>
      </c>
      <c r="S6" s="5"/>
      <c r="U6" s="3"/>
      <c r="V6" s="3"/>
      <c r="W6" s="3"/>
    </row>
    <row r="7" spans="1:27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757</v>
      </c>
      <c r="G7" s="21"/>
      <c r="H7" s="16"/>
      <c r="I7" s="16"/>
      <c r="J7" s="16"/>
      <c r="K7" s="16"/>
      <c r="L7" s="15">
        <f t="shared" si="1"/>
        <v>3.0246575342465754</v>
      </c>
      <c r="M7" s="5">
        <v>65853</v>
      </c>
      <c r="N7" s="16">
        <f t="shared" si="3"/>
        <v>1</v>
      </c>
      <c r="O7" s="13" t="str">
        <v>j:tL</v>
      </c>
      <c r="P7" s="16" t="s">
        <v>753</v>
      </c>
      <c r="Q7" s="5">
        <v>66957</v>
      </c>
      <c r="S7" s="5"/>
      <c r="U7" s="3"/>
      <c r="V7" s="3"/>
      <c r="W7" s="3"/>
    </row>
    <row r="8" spans="1:27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756</v>
      </c>
      <c r="G8" s="21"/>
      <c r="H8" s="16">
        <v>0</v>
      </c>
      <c r="I8" s="16">
        <f>1+3</f>
        <v>4</v>
      </c>
      <c r="J8" s="16">
        <v>0</v>
      </c>
      <c r="K8" s="16">
        <v>0</v>
      </c>
      <c r="L8" s="15">
        <f t="shared" si="1"/>
        <v>47.167123287671231</v>
      </c>
      <c r="M8" s="5">
        <v>49741</v>
      </c>
      <c r="N8" s="16">
        <f t="shared" si="3"/>
        <v>4</v>
      </c>
      <c r="O8" s="13" t="str">
        <v>Kofs'/]n</v>
      </c>
      <c r="P8" s="16" t="s">
        <v>752</v>
      </c>
      <c r="Q8" s="5">
        <v>66957</v>
      </c>
      <c r="R8" t="s">
        <v>4</v>
      </c>
      <c r="S8" s="5">
        <v>66890</v>
      </c>
      <c r="T8" s="2" t="s">
        <v>2</v>
      </c>
      <c r="U8" s="2">
        <v>4</v>
      </c>
      <c r="V8" s="2">
        <v>2</v>
      </c>
      <c r="W8" s="2">
        <v>2</v>
      </c>
      <c r="X8" t="s">
        <v>242</v>
      </c>
      <c r="Y8" t="s">
        <v>332</v>
      </c>
      <c r="Z8" t="s">
        <v>245</v>
      </c>
      <c r="AA8" s="13" t="str">
        <f>C8</f>
        <v>lbks axfb'/ e§/fO{</v>
      </c>
    </row>
    <row r="9" spans="1:27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756</v>
      </c>
      <c r="G9" s="21"/>
      <c r="H9" s="16"/>
      <c r="I9" s="16"/>
      <c r="J9" s="16"/>
      <c r="K9" s="16"/>
      <c r="L9" s="15">
        <f t="shared" si="1"/>
        <v>40.983561643835614</v>
      </c>
      <c r="M9" s="5">
        <v>51998</v>
      </c>
      <c r="N9" s="16">
        <f t="shared" si="3"/>
        <v>2</v>
      </c>
      <c r="O9" s="13" t="str">
        <v>sfdL</v>
      </c>
      <c r="P9" s="16" t="s">
        <v>754</v>
      </c>
      <c r="Q9" s="5">
        <v>66957</v>
      </c>
      <c r="S9" s="5"/>
      <c r="U9" s="3"/>
      <c r="V9" s="3"/>
      <c r="W9" s="3"/>
    </row>
    <row r="10" spans="1:27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757</v>
      </c>
      <c r="G10" s="21"/>
      <c r="H10" s="16"/>
      <c r="I10" s="16"/>
      <c r="J10" s="16"/>
      <c r="K10" s="16"/>
      <c r="L10" s="15">
        <f t="shared" si="1"/>
        <v>17.117808219178084</v>
      </c>
      <c r="M10" s="5">
        <v>60709</v>
      </c>
      <c r="N10" s="16">
        <f t="shared" si="3"/>
        <v>1</v>
      </c>
      <c r="O10" s="13" t="str">
        <v>sldgL</v>
      </c>
      <c r="P10" s="16" t="s">
        <v>754</v>
      </c>
      <c r="Q10" s="5">
        <v>66957</v>
      </c>
      <c r="S10" s="5"/>
      <c r="U10" s="3"/>
      <c r="V10" s="3"/>
      <c r="W10" s="3"/>
    </row>
    <row r="11" spans="1:27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757</v>
      </c>
      <c r="G11" s="21"/>
      <c r="H11" s="16"/>
      <c r="I11" s="16"/>
      <c r="J11" s="16"/>
      <c r="K11" s="16"/>
      <c r="L11" s="15">
        <f t="shared" si="1"/>
        <v>14.632876712328768</v>
      </c>
      <c r="M11" s="5">
        <v>61616</v>
      </c>
      <c r="N11" s="16">
        <f t="shared" si="3"/>
        <v>1</v>
      </c>
      <c r="O11" s="13" t="str">
        <v>l/;fn</v>
      </c>
      <c r="P11" s="16" t="s">
        <v>752</v>
      </c>
      <c r="Q11" s="5">
        <v>66957</v>
      </c>
      <c r="S11" s="5"/>
      <c r="U11" s="3"/>
      <c r="V11" s="3"/>
      <c r="W11" s="3"/>
    </row>
    <row r="12" spans="1:27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756</v>
      </c>
      <c r="G12" s="21"/>
      <c r="H12" s="16">
        <v>0</v>
      </c>
      <c r="I12" s="16">
        <v>2</v>
      </c>
      <c r="J12" s="16">
        <v>3</v>
      </c>
      <c r="K12" s="16">
        <v>0</v>
      </c>
      <c r="L12" s="15">
        <f t="shared" si="1"/>
        <v>26.136986301369863</v>
      </c>
      <c r="M12" s="5">
        <v>57417</v>
      </c>
      <c r="N12" s="16">
        <f t="shared" si="3"/>
        <v>1</v>
      </c>
      <c r="O12" s="13" t="str">
        <v>laZjsdf{</v>
      </c>
      <c r="P12" s="16" t="s">
        <v>754</v>
      </c>
      <c r="Q12" s="5">
        <v>66957</v>
      </c>
      <c r="S12" s="5">
        <v>66876</v>
      </c>
      <c r="T12" s="2" t="s">
        <v>2</v>
      </c>
      <c r="U12" s="2">
        <v>5</v>
      </c>
      <c r="V12" s="2">
        <v>3</v>
      </c>
      <c r="W12" s="2">
        <v>2</v>
      </c>
      <c r="X12" t="s">
        <v>242</v>
      </c>
      <c r="Y12" t="s">
        <v>338</v>
      </c>
      <c r="Z12" t="s">
        <v>245</v>
      </c>
      <c r="AA12" s="13" t="str">
        <f>C12</f>
        <v>s[i0f k|;fb Kofs'/]n</v>
      </c>
    </row>
    <row r="13" spans="1:27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756</v>
      </c>
      <c r="G13" s="21"/>
      <c r="H13" s="16"/>
      <c r="I13" s="16"/>
      <c r="J13" s="16"/>
      <c r="K13" s="16"/>
      <c r="L13" s="15">
        <f t="shared" si="1"/>
        <v>68.216438356164389</v>
      </c>
      <c r="M13" s="5">
        <v>42058</v>
      </c>
      <c r="N13" s="16">
        <f t="shared" si="3"/>
        <v>2</v>
      </c>
      <c r="O13" s="13" t="str">
        <v>lt?jf</v>
      </c>
      <c r="P13" s="16" t="s">
        <v>750</v>
      </c>
      <c r="Q13" s="5">
        <v>66957</v>
      </c>
      <c r="S13" s="5"/>
      <c r="U13" s="3"/>
      <c r="V13" s="3"/>
      <c r="W13" s="3"/>
    </row>
    <row r="14" spans="1:27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756</v>
      </c>
      <c r="G14" s="21"/>
      <c r="H14" s="16"/>
      <c r="I14" s="16"/>
      <c r="J14" s="16"/>
      <c r="K14" s="16"/>
      <c r="L14" s="15">
        <f t="shared" si="1"/>
        <v>26.186301369863013</v>
      </c>
      <c r="M14" s="5">
        <v>57399</v>
      </c>
      <c r="N14" s="16">
        <f t="shared" si="3"/>
        <v>3</v>
      </c>
      <c r="O14" s="13" t="str">
        <v>bfxfn</v>
      </c>
      <c r="P14" s="16" t="s">
        <v>752</v>
      </c>
      <c r="Q14" s="5">
        <v>66957</v>
      </c>
      <c r="S14" s="5"/>
      <c r="U14" s="3"/>
      <c r="V14" s="3"/>
      <c r="W14" s="3"/>
    </row>
    <row r="15" spans="1:27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757</v>
      </c>
      <c r="G15" s="21"/>
      <c r="H15" s="16"/>
      <c r="I15" s="16"/>
      <c r="J15" s="16"/>
      <c r="K15" s="16"/>
      <c r="L15" s="15">
        <f t="shared" si="1"/>
        <v>3.2273972602739724</v>
      </c>
      <c r="M15" s="5">
        <v>65779</v>
      </c>
      <c r="N15" s="16">
        <f t="shared" si="3"/>
        <v>8</v>
      </c>
      <c r="O15" s="13" t="str">
        <v>kl/of/</v>
      </c>
      <c r="P15" s="16" t="s">
        <v>754</v>
      </c>
      <c r="Q15" s="5">
        <v>66957</v>
      </c>
      <c r="S15" s="5"/>
      <c r="U15" s="3"/>
      <c r="V15" s="3"/>
      <c r="W15" s="3"/>
    </row>
    <row r="16" spans="1:27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757</v>
      </c>
      <c r="G16" s="21"/>
      <c r="H16" s="16"/>
      <c r="I16" s="16"/>
      <c r="J16" s="16"/>
      <c r="K16" s="16"/>
      <c r="L16" s="15">
        <f t="shared" si="1"/>
        <v>0.34246575342465752</v>
      </c>
      <c r="M16" s="5">
        <v>66832</v>
      </c>
      <c r="N16" s="16">
        <f t="shared" si="3"/>
        <v>8</v>
      </c>
      <c r="O16" s="13" t="str">
        <v>clwsf/L</v>
      </c>
      <c r="P16" s="16" t="s">
        <v>752</v>
      </c>
      <c r="Q16" s="5">
        <v>66957</v>
      </c>
      <c r="S16" s="5"/>
      <c r="U16" s="3"/>
      <c r="V16" s="3"/>
      <c r="W16" s="3"/>
    </row>
    <row r="17" spans="1:27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756</v>
      </c>
      <c r="G17" s="21"/>
      <c r="H17" s="16">
        <f>1+1+(3)</f>
        <v>5</v>
      </c>
      <c r="I17" s="16">
        <v>3</v>
      </c>
      <c r="J17" s="16">
        <f>2</f>
        <v>2</v>
      </c>
      <c r="K17" s="19">
        <f>3.99</f>
        <v>3.99</v>
      </c>
      <c r="L17" s="15">
        <f t="shared" si="1"/>
        <v>66.301369863013704</v>
      </c>
      <c r="M17" s="5">
        <v>42757</v>
      </c>
      <c r="N17" s="16">
        <f t="shared" si="3"/>
        <v>1</v>
      </c>
      <c r="O17" s="13" t="str">
        <v>5Ts'nL</v>
      </c>
      <c r="P17" s="16" t="s">
        <v>752</v>
      </c>
      <c r="Q17" s="5">
        <v>66957</v>
      </c>
      <c r="S17" s="5">
        <v>66828</v>
      </c>
      <c r="T17" s="2" t="s">
        <v>2</v>
      </c>
      <c r="U17" s="2">
        <v>2</v>
      </c>
      <c r="V17" s="2">
        <v>1</v>
      </c>
      <c r="W17" s="2">
        <v>1</v>
      </c>
      <c r="X17" t="s">
        <v>242</v>
      </c>
      <c r="Y17" t="s">
        <v>337</v>
      </c>
      <c r="Z17" t="s">
        <v>245</v>
      </c>
      <c r="AA17" s="13" t="str">
        <f>C17</f>
        <v>7'nf] sfG5f] sfdL</v>
      </c>
    </row>
    <row r="18" spans="1:27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756</v>
      </c>
      <c r="G18" s="21"/>
      <c r="H18" s="16"/>
      <c r="I18" s="16"/>
      <c r="J18" s="16"/>
      <c r="K18" s="16"/>
      <c r="L18" s="15">
        <f t="shared" si="1"/>
        <v>65.123287671232873</v>
      </c>
      <c r="M18" s="5">
        <v>43187</v>
      </c>
      <c r="N18" s="16">
        <f t="shared" si="3"/>
        <v>7</v>
      </c>
      <c r="O18" s="13" t="str">
        <v>l3ld/]</v>
      </c>
      <c r="P18" s="16" t="s">
        <v>752</v>
      </c>
      <c r="Q18" s="5">
        <v>66957</v>
      </c>
      <c r="S18" s="5"/>
      <c r="U18" s="3"/>
      <c r="V18" s="3"/>
      <c r="W18" s="3"/>
    </row>
    <row r="19" spans="1:27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756</v>
      </c>
      <c r="G19" s="21"/>
      <c r="H19" s="16">
        <v>0</v>
      </c>
      <c r="I19" s="16">
        <v>4</v>
      </c>
      <c r="J19" s="16">
        <v>2</v>
      </c>
      <c r="K19" s="16">
        <v>0</v>
      </c>
      <c r="L19" s="15">
        <f t="shared" si="1"/>
        <v>38.30958904109589</v>
      </c>
      <c r="M19" s="5">
        <v>52974</v>
      </c>
      <c r="N19" s="16">
        <f t="shared" si="3"/>
        <v>1</v>
      </c>
      <c r="O19" s="13" t="str">
        <v>lji6</v>
      </c>
      <c r="P19" s="16" t="s">
        <v>754</v>
      </c>
      <c r="Q19" s="5">
        <v>66957</v>
      </c>
      <c r="S19" s="5">
        <v>66809</v>
      </c>
      <c r="T19" s="2" t="s">
        <v>2</v>
      </c>
      <c r="U19" s="2">
        <v>4</v>
      </c>
      <c r="V19" s="2">
        <v>3</v>
      </c>
      <c r="W19" s="2">
        <v>1</v>
      </c>
      <c r="X19" t="s">
        <v>238</v>
      </c>
      <c r="Y19" t="s">
        <v>336</v>
      </c>
      <c r="Z19" t="s">
        <v>245</v>
      </c>
      <c r="AA19" s="13" t="str">
        <f>C19</f>
        <v>dlgtf l/;fn</v>
      </c>
    </row>
    <row r="20" spans="1:27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756</v>
      </c>
      <c r="G20" s="21"/>
      <c r="H20" s="16"/>
      <c r="I20" s="16"/>
      <c r="J20" s="16"/>
      <c r="K20" s="16"/>
      <c r="L20" s="15">
        <f t="shared" si="1"/>
        <v>39.389041095890413</v>
      </c>
      <c r="M20" s="5">
        <v>52580</v>
      </c>
      <c r="N20" s="16">
        <f t="shared" si="3"/>
        <v>10</v>
      </c>
      <c r="O20" s="13" t="str">
        <v>du/</v>
      </c>
      <c r="P20" s="16" t="s">
        <v>751</v>
      </c>
      <c r="Q20" s="5">
        <v>66957</v>
      </c>
      <c r="S20" s="5"/>
      <c r="U20" s="3"/>
      <c r="V20" s="3"/>
      <c r="W20" s="3"/>
    </row>
    <row r="21" spans="1:27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757</v>
      </c>
      <c r="G21" s="21"/>
      <c r="H21" s="16"/>
      <c r="I21" s="16"/>
      <c r="J21" s="16"/>
      <c r="K21" s="16"/>
      <c r="L21" s="15">
        <f t="shared" si="1"/>
        <v>11.317808219178081</v>
      </c>
      <c r="M21" s="5">
        <v>62826</v>
      </c>
      <c r="N21" s="16">
        <f t="shared" si="3"/>
        <v>9</v>
      </c>
      <c r="O21" s="13" t="str">
        <v>vqL</v>
      </c>
      <c r="P21" s="16" t="s">
        <v>750</v>
      </c>
      <c r="Q21" s="5">
        <v>66957</v>
      </c>
      <c r="S21" s="5"/>
      <c r="U21" s="3"/>
      <c r="V21" s="3"/>
      <c r="W21" s="3"/>
    </row>
    <row r="22" spans="1:27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757</v>
      </c>
      <c r="G22" s="21"/>
      <c r="H22" s="16"/>
      <c r="I22" s="16"/>
      <c r="J22" s="16"/>
      <c r="K22" s="16"/>
      <c r="L22" s="15">
        <f t="shared" si="1"/>
        <v>4.4986301369863018</v>
      </c>
      <c r="M22" s="5">
        <v>65315</v>
      </c>
      <c r="N22" s="16">
        <f t="shared" si="3"/>
        <v>3</v>
      </c>
      <c r="O22" s="13" t="str">
        <v>dfemL</v>
      </c>
      <c r="P22" s="16" t="s">
        <v>751</v>
      </c>
      <c r="Q22" s="5">
        <v>66957</v>
      </c>
      <c r="S22" s="5"/>
      <c r="U22" s="3"/>
      <c r="V22" s="3"/>
      <c r="W22" s="3"/>
    </row>
    <row r="23" spans="1:27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756</v>
      </c>
      <c r="G23" s="21"/>
      <c r="H23" s="16">
        <v>0</v>
      </c>
      <c r="I23" s="16">
        <v>5</v>
      </c>
      <c r="J23" s="16">
        <v>0</v>
      </c>
      <c r="K23" s="16">
        <v>2</v>
      </c>
      <c r="L23" s="15">
        <f t="shared" si="1"/>
        <v>56.008219178082193</v>
      </c>
      <c r="M23" s="5">
        <v>46514</v>
      </c>
      <c r="N23" s="16">
        <f t="shared" si="3"/>
        <v>4</v>
      </c>
      <c r="O23" s="13" t="str">
        <v>dxt</v>
      </c>
      <c r="P23" s="16" t="s">
        <v>751</v>
      </c>
      <c r="Q23" s="5">
        <v>66957</v>
      </c>
      <c r="S23" s="5">
        <v>66762</v>
      </c>
      <c r="T23" s="2" t="s">
        <v>2</v>
      </c>
      <c r="U23" s="2">
        <v>1</v>
      </c>
      <c r="V23" s="2">
        <v>1</v>
      </c>
      <c r="X23" t="s">
        <v>242</v>
      </c>
      <c r="Y23" t="s">
        <v>341</v>
      </c>
      <c r="Z23" t="s">
        <v>245</v>
      </c>
      <c r="AA23" s="13" t="str">
        <f>C23</f>
        <v>b'uf{ k|;fb bfxfn</v>
      </c>
    </row>
    <row r="24" spans="1:27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757</v>
      </c>
      <c r="G24" s="21"/>
      <c r="H24" s="16" t="s">
        <v>748</v>
      </c>
      <c r="I24" s="16" t="s">
        <v>748</v>
      </c>
      <c r="J24" s="16" t="s">
        <v>748</v>
      </c>
      <c r="K24" s="16" t="s">
        <v>748</v>
      </c>
      <c r="L24" s="15">
        <f t="shared" si="1"/>
        <v>18.876712328767123</v>
      </c>
      <c r="M24" s="5">
        <v>60067</v>
      </c>
      <c r="N24" s="16">
        <f t="shared" si="3"/>
        <v>10</v>
      </c>
      <c r="O24" s="13" t="str">
        <v>a:g]t</v>
      </c>
      <c r="P24" s="16" t="s">
        <v>752</v>
      </c>
      <c r="Q24" s="5">
        <v>66957</v>
      </c>
      <c r="S24" s="5">
        <v>66760</v>
      </c>
      <c r="T24" s="2" t="s">
        <v>2</v>
      </c>
      <c r="U24" s="2">
        <v>1</v>
      </c>
      <c r="V24" s="2">
        <v>1</v>
      </c>
      <c r="X24" t="s">
        <v>242</v>
      </c>
      <c r="Y24" t="s">
        <v>340</v>
      </c>
      <c r="Z24" t="s">
        <v>245</v>
      </c>
      <c r="AA24" s="13" t="str">
        <f>C24</f>
        <v>;lGbk kl/of/</v>
      </c>
    </row>
    <row r="25" spans="1:27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756</v>
      </c>
      <c r="G25" s="21"/>
      <c r="H25" s="16">
        <v>0</v>
      </c>
      <c r="I25" s="16">
        <f>2+(1)</f>
        <v>3</v>
      </c>
      <c r="J25" s="16">
        <v>2</v>
      </c>
      <c r="K25" s="16">
        <v>0</v>
      </c>
      <c r="L25" s="15">
        <f t="shared" si="1"/>
        <v>54.92876712328767</v>
      </c>
      <c r="M25" s="5">
        <v>46908</v>
      </c>
      <c r="N25" s="16">
        <f t="shared" si="3"/>
        <v>1</v>
      </c>
      <c r="O25" s="13" t="str">
        <v>5]qL</v>
      </c>
      <c r="P25" s="16" t="s">
        <v>750</v>
      </c>
      <c r="Q25" s="5">
        <v>66957</v>
      </c>
      <c r="S25" s="5">
        <v>66711</v>
      </c>
      <c r="T25" s="2" t="s">
        <v>2</v>
      </c>
      <c r="U25" s="2">
        <v>4</v>
      </c>
      <c r="V25" s="2">
        <v>2</v>
      </c>
      <c r="W25" s="2">
        <v>2</v>
      </c>
      <c r="X25" t="s">
        <v>238</v>
      </c>
      <c r="Y25" t="s">
        <v>320</v>
      </c>
      <c r="Z25" t="s">
        <v>245</v>
      </c>
      <c r="AA25" s="13" t="str">
        <f>C25</f>
        <v>l;tf clwsf/L</v>
      </c>
    </row>
    <row r="26" spans="1:27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756</v>
      </c>
      <c r="G26" s="21"/>
      <c r="H26" s="16"/>
      <c r="I26" s="16"/>
      <c r="J26" s="16"/>
      <c r="K26" s="16"/>
      <c r="L26" s="15">
        <f t="shared" si="1"/>
        <v>34.054794520547944</v>
      </c>
      <c r="M26" s="5">
        <v>54527</v>
      </c>
      <c r="N26" s="16">
        <f t="shared" si="3"/>
        <v>5</v>
      </c>
      <c r="O26" s="13" t="str">
        <v>9sfn</v>
      </c>
      <c r="P26" s="16" t="s">
        <v>752</v>
      </c>
      <c r="Q26" s="5">
        <v>66957</v>
      </c>
      <c r="S26" s="5"/>
      <c r="U26" s="3"/>
      <c r="V26" s="3"/>
      <c r="W26" s="3"/>
    </row>
    <row r="27" spans="1:27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756</v>
      </c>
      <c r="G27" s="21"/>
      <c r="H27" s="16"/>
      <c r="I27" s="16"/>
      <c r="J27" s="16"/>
      <c r="K27" s="16"/>
      <c r="L27" s="15">
        <f t="shared" si="1"/>
        <v>27.06027397260274</v>
      </c>
      <c r="M27" s="5">
        <v>57080</v>
      </c>
      <c r="N27" s="16">
        <f t="shared" si="3"/>
        <v>5</v>
      </c>
      <c r="O27" s="13" t="str">
        <v>rf}nfufO{</v>
      </c>
      <c r="P27" s="16" t="s">
        <v>752</v>
      </c>
      <c r="Q27" s="5">
        <v>66957</v>
      </c>
      <c r="S27" s="5"/>
      <c r="U27" s="3"/>
      <c r="V27" s="3"/>
      <c r="W27" s="3"/>
    </row>
    <row r="28" spans="1:27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757</v>
      </c>
      <c r="G28" s="21"/>
      <c r="H28" s="16"/>
      <c r="I28" s="16"/>
      <c r="J28" s="16"/>
      <c r="K28" s="16"/>
      <c r="L28" s="15">
        <f t="shared" si="1"/>
        <v>3.5287671232876714</v>
      </c>
      <c r="M28" s="5">
        <v>65669</v>
      </c>
      <c r="N28" s="16">
        <f t="shared" si="3"/>
        <v>7</v>
      </c>
      <c r="O28" s="13" t="str">
        <v>vltj8f</v>
      </c>
      <c r="P28" s="16" t="s">
        <v>752</v>
      </c>
      <c r="Q28" s="5">
        <v>66957</v>
      </c>
      <c r="S28" s="5"/>
      <c r="U28" s="3"/>
      <c r="V28" s="3"/>
      <c r="W28" s="3"/>
    </row>
    <row r="29" spans="1:27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756</v>
      </c>
      <c r="G29" s="21"/>
      <c r="H29" s="16">
        <v>0</v>
      </c>
      <c r="I29" s="16">
        <v>4</v>
      </c>
      <c r="J29" s="16">
        <v>3</v>
      </c>
      <c r="K29" s="16">
        <v>2</v>
      </c>
      <c r="L29" s="15">
        <f t="shared" si="1"/>
        <v>48.030136986301372</v>
      </c>
      <c r="M29" s="5">
        <v>49426</v>
      </c>
      <c r="N29" s="16">
        <f t="shared" si="3"/>
        <v>1</v>
      </c>
      <c r="O29" s="13" t="str">
        <v>lg/f}nf</v>
      </c>
      <c r="P29" s="16" t="s">
        <v>752</v>
      </c>
      <c r="Q29" s="5">
        <v>66957</v>
      </c>
      <c r="S29" s="5">
        <v>66689</v>
      </c>
      <c r="T29" s="2" t="s">
        <v>2</v>
      </c>
      <c r="U29" s="2">
        <v>4</v>
      </c>
      <c r="V29" s="2">
        <v>2</v>
      </c>
      <c r="W29" s="2">
        <v>2</v>
      </c>
      <c r="X29" t="s">
        <v>242</v>
      </c>
      <c r="Y29" t="s">
        <v>303</v>
      </c>
      <c r="Z29" t="s">
        <v>245</v>
      </c>
      <c r="AA29" s="13" t="str">
        <f>C29</f>
        <v>k'0o k|;fb l3ld/]</v>
      </c>
    </row>
    <row r="30" spans="1:27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756</v>
      </c>
      <c r="G30" s="21"/>
      <c r="H30" s="16"/>
      <c r="I30" s="16"/>
      <c r="J30" s="16"/>
      <c r="K30" s="16"/>
      <c r="L30" s="15">
        <f t="shared" si="1"/>
        <v>42.205479452054796</v>
      </c>
      <c r="M30" s="5">
        <v>51552</v>
      </c>
      <c r="N30" s="16">
        <f t="shared" si="3"/>
        <v>4</v>
      </c>
      <c r="O30" s="13" t="str">
        <v>af:sf]6f</v>
      </c>
      <c r="P30" s="16" t="s">
        <v>752</v>
      </c>
      <c r="Q30" s="5">
        <v>66957</v>
      </c>
      <c r="S30" s="5"/>
      <c r="U30" s="3"/>
      <c r="V30" s="3"/>
      <c r="W30" s="3"/>
    </row>
    <row r="31" spans="1:27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757</v>
      </c>
      <c r="G31" s="21"/>
      <c r="H31" s="16"/>
      <c r="I31" s="16"/>
      <c r="J31" s="16"/>
      <c r="K31" s="16"/>
      <c r="L31" s="15">
        <f t="shared" si="1"/>
        <v>19.709589041095889</v>
      </c>
      <c r="M31" s="5">
        <v>59763</v>
      </c>
      <c r="N31" s="16">
        <f t="shared" si="3"/>
        <v>4</v>
      </c>
      <c r="O31" s="13" t="str">
        <v>/fhjfxs</v>
      </c>
      <c r="P31" s="16" t="s">
        <v>751</v>
      </c>
      <c r="Q31" s="5">
        <v>66957</v>
      </c>
      <c r="S31" s="5"/>
      <c r="U31" s="3"/>
      <c r="V31" s="3"/>
      <c r="W31" s="3"/>
    </row>
    <row r="32" spans="1:27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757</v>
      </c>
      <c r="G32" s="21"/>
      <c r="H32" s="16"/>
      <c r="I32" s="16"/>
      <c r="J32" s="16"/>
      <c r="K32" s="16"/>
      <c r="L32" s="15">
        <f t="shared" si="1"/>
        <v>12.947945205479453</v>
      </c>
      <c r="M32" s="5">
        <v>62231</v>
      </c>
      <c r="N32" s="16">
        <f t="shared" si="3"/>
        <v>16</v>
      </c>
      <c r="O32" s="13" t="str">
        <v>s]=;L</v>
      </c>
      <c r="P32" s="16" t="s">
        <v>750</v>
      </c>
      <c r="Q32" s="5">
        <v>66957</v>
      </c>
      <c r="S32" s="5"/>
      <c r="U32" s="3"/>
      <c r="V32" s="3"/>
      <c r="W32" s="3"/>
    </row>
    <row r="33" spans="1:27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756</v>
      </c>
      <c r="G33" s="21"/>
      <c r="H33" s="16" t="s">
        <v>748</v>
      </c>
      <c r="I33" s="16" t="s">
        <v>748</v>
      </c>
      <c r="J33" s="16" t="s">
        <v>748</v>
      </c>
      <c r="K33" s="16" t="s">
        <v>748</v>
      </c>
      <c r="L33" s="15">
        <f t="shared" si="1"/>
        <v>183.44383561643835</v>
      </c>
      <c r="M33" s="5"/>
      <c r="N33" s="16">
        <f t="shared" si="3"/>
        <v>1</v>
      </c>
      <c r="O33" s="13" t="str">
        <v>jnDkfsL</v>
      </c>
      <c r="P33" s="16" t="s">
        <v>751</v>
      </c>
      <c r="Q33" s="5">
        <v>66957</v>
      </c>
      <c r="S33" s="5">
        <v>66687</v>
      </c>
      <c r="T33" s="2" t="s">
        <v>2</v>
      </c>
      <c r="U33" s="2">
        <v>4</v>
      </c>
      <c r="X33" t="s">
        <v>242</v>
      </c>
      <c r="AA33" s="13" t="str">
        <f>C33</f>
        <v>/fh]z s'df/ lji6</v>
      </c>
    </row>
    <row r="34" spans="1:27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756</v>
      </c>
      <c r="G34" s="21"/>
      <c r="H34" s="16">
        <v>0</v>
      </c>
      <c r="I34" s="16">
        <v>3</v>
      </c>
      <c r="J34" s="16">
        <v>0</v>
      </c>
      <c r="K34" s="16">
        <v>0</v>
      </c>
      <c r="L34" s="15">
        <f t="shared" si="1"/>
        <v>55.046575342465751</v>
      </c>
      <c r="M34" s="5">
        <v>46865</v>
      </c>
      <c r="N34" s="16">
        <f t="shared" si="3"/>
        <v>390</v>
      </c>
      <c r="O34" s="13" t="str">
        <v>&gt;]i7</v>
      </c>
      <c r="P34" s="16" t="s">
        <v>751</v>
      </c>
      <c r="Q34" s="5">
        <v>66957</v>
      </c>
      <c r="S34" s="5">
        <v>66674</v>
      </c>
      <c r="T34" s="2" t="s">
        <v>2</v>
      </c>
      <c r="U34" s="2">
        <v>8</v>
      </c>
      <c r="V34" s="2">
        <v>4</v>
      </c>
      <c r="W34" s="2">
        <v>4</v>
      </c>
      <c r="X34" t="s">
        <v>242</v>
      </c>
      <c r="Y34" t="s">
        <v>272</v>
      </c>
      <c r="Z34" t="s">
        <v>245</v>
      </c>
      <c r="AA34" s="13" t="str">
        <f>C34</f>
        <v>OlGb/f kl/of/</v>
      </c>
    </row>
    <row r="35" spans="1:27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756</v>
      </c>
      <c r="G35" s="21"/>
      <c r="H35" s="16"/>
      <c r="I35" s="16"/>
      <c r="J35" s="16"/>
      <c r="K35" s="16"/>
      <c r="L35" s="15">
        <f t="shared" si="1"/>
        <v>35.701369863013696</v>
      </c>
      <c r="M35" s="5">
        <v>53926</v>
      </c>
      <c r="N35" s="16">
        <f t="shared" si="3"/>
        <v>1</v>
      </c>
      <c r="O35" s="13" t="str">
        <v>lai6</v>
      </c>
      <c r="P35" s="16" t="s">
        <v>754</v>
      </c>
      <c r="Q35" s="5">
        <v>66957</v>
      </c>
      <c r="S35" s="5"/>
      <c r="U35" s="3"/>
      <c r="V35" s="3"/>
      <c r="W35" s="3"/>
    </row>
    <row r="36" spans="1:27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756</v>
      </c>
      <c r="G36" s="21"/>
      <c r="H36" s="16"/>
      <c r="I36" s="16"/>
      <c r="J36" s="16"/>
      <c r="K36" s="16"/>
      <c r="L36" s="15">
        <f t="shared" si="1"/>
        <v>30.602739726027398</v>
      </c>
      <c r="M36" s="5">
        <v>55787</v>
      </c>
      <c r="N36" s="16">
        <f t="shared" si="3"/>
        <v>25</v>
      </c>
      <c r="O36" s="13" t="str">
        <v>v8\sf</v>
      </c>
      <c r="P36" s="16" t="s">
        <v>750</v>
      </c>
      <c r="Q36" s="5">
        <v>66957</v>
      </c>
      <c r="S36" s="5"/>
      <c r="U36" s="3"/>
      <c r="V36" s="3"/>
      <c r="W36" s="3"/>
    </row>
    <row r="37" spans="1:27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756</v>
      </c>
      <c r="G37" s="21"/>
      <c r="H37" s="16"/>
      <c r="I37" s="16"/>
      <c r="J37" s="16"/>
      <c r="K37" s="16"/>
      <c r="L37" s="15">
        <f t="shared" si="1"/>
        <v>34.832876712328769</v>
      </c>
      <c r="M37" s="5">
        <v>54243</v>
      </c>
      <c r="N37" s="16">
        <f t="shared" si="3"/>
        <v>7</v>
      </c>
      <c r="O37" s="13" t="str">
        <v>ljZjsdf{</v>
      </c>
      <c r="P37" s="16" t="s">
        <v>754</v>
      </c>
      <c r="Q37" s="5">
        <v>66957</v>
      </c>
      <c r="S37" s="5"/>
      <c r="U37" s="3"/>
      <c r="V37" s="3"/>
      <c r="W37" s="3"/>
    </row>
    <row r="38" spans="1:27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756</v>
      </c>
      <c r="G38" s="21"/>
      <c r="H38" s="16"/>
      <c r="I38" s="16"/>
      <c r="J38" s="16"/>
      <c r="K38" s="16"/>
      <c r="L38" s="15">
        <f t="shared" si="1"/>
        <v>34.57260273972603</v>
      </c>
      <c r="M38" s="5">
        <v>54338</v>
      </c>
      <c r="N38" s="16">
        <f t="shared" si="3"/>
        <v>4</v>
      </c>
      <c r="O38" s="13" t="str">
        <v>j/fOnL</v>
      </c>
      <c r="P38" s="16" t="s">
        <v>754</v>
      </c>
      <c r="Q38" s="5">
        <v>66957</v>
      </c>
      <c r="S38" s="5"/>
      <c r="U38" s="3"/>
      <c r="V38" s="3"/>
      <c r="W38" s="3"/>
    </row>
    <row r="39" spans="1:27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757</v>
      </c>
      <c r="G39" s="21"/>
      <c r="H39" s="16"/>
      <c r="I39" s="16"/>
      <c r="J39" s="16"/>
      <c r="K39" s="16"/>
      <c r="L39" s="15">
        <f t="shared" si="1"/>
        <v>30.8</v>
      </c>
      <c r="M39" s="5">
        <v>55715</v>
      </c>
      <c r="N39" s="16">
        <f t="shared" si="3"/>
        <v>4</v>
      </c>
      <c r="O39" s="13" t="str">
        <v>z]kf{</v>
      </c>
      <c r="P39" s="16" t="s">
        <v>751</v>
      </c>
      <c r="Q39" s="5">
        <v>66957</v>
      </c>
      <c r="S39" s="5"/>
      <c r="U39" s="3"/>
      <c r="V39" s="3"/>
      <c r="W39" s="3"/>
    </row>
    <row r="40" spans="1:27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757</v>
      </c>
      <c r="G40" s="21"/>
      <c r="H40" s="16"/>
      <c r="I40" s="16"/>
      <c r="J40" s="16"/>
      <c r="K40" s="16"/>
      <c r="L40" s="15">
        <f t="shared" si="1"/>
        <v>14.90958904109589</v>
      </c>
      <c r="M40" s="5">
        <v>61515</v>
      </c>
      <c r="N40" s="16">
        <f t="shared" si="3"/>
        <v>7</v>
      </c>
      <c r="O40" s="13" t="str">
        <v>wfdL</v>
      </c>
      <c r="P40" s="16" t="s">
        <v>750</v>
      </c>
      <c r="Q40" s="5">
        <v>66957</v>
      </c>
      <c r="S40" s="5"/>
      <c r="U40" s="3"/>
      <c r="V40" s="3"/>
      <c r="W40" s="3"/>
    </row>
    <row r="41" spans="1:27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757</v>
      </c>
      <c r="G41" s="21"/>
      <c r="H41" s="16"/>
      <c r="I41" s="16"/>
      <c r="J41" s="16"/>
      <c r="K41" s="16"/>
      <c r="L41" s="15">
        <f t="shared" si="1"/>
        <v>1.0575342465753426</v>
      </c>
      <c r="M41" s="5">
        <v>66571</v>
      </c>
      <c r="N41" s="16">
        <f t="shared" si="3"/>
        <v>1</v>
      </c>
      <c r="O41" s="13" t="str">
        <v>a/fn</v>
      </c>
      <c r="P41" s="16" t="s">
        <v>752</v>
      </c>
      <c r="Q41" s="5">
        <v>66957</v>
      </c>
      <c r="S41" s="5"/>
      <c r="U41" s="3"/>
      <c r="V41" s="3"/>
      <c r="W41" s="3"/>
    </row>
    <row r="42" spans="1:27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756</v>
      </c>
      <c r="G42" s="21"/>
      <c r="H42" s="16">
        <f>1+(1)</f>
        <v>2</v>
      </c>
      <c r="I42" s="16">
        <v>3</v>
      </c>
      <c r="J42" s="16">
        <v>2</v>
      </c>
      <c r="K42" s="16">
        <v>1</v>
      </c>
      <c r="L42" s="15">
        <f t="shared" si="1"/>
        <v>47.443835616438356</v>
      </c>
      <c r="M42" s="5">
        <v>49640</v>
      </c>
      <c r="N42" s="16">
        <f t="shared" si="3"/>
        <v>4</v>
      </c>
      <c r="O42" s="13" t="str">
        <v>sF'j/</v>
      </c>
      <c r="P42" s="16" t="s">
        <v>751</v>
      </c>
      <c r="Q42" s="5">
        <v>66957</v>
      </c>
      <c r="S42" s="5">
        <v>66668</v>
      </c>
      <c r="T42" s="2" t="s">
        <v>2</v>
      </c>
      <c r="U42" s="2">
        <v>1</v>
      </c>
      <c r="V42" s="2">
        <v>1</v>
      </c>
      <c r="X42" t="s">
        <v>242</v>
      </c>
      <c r="Y42" t="s">
        <v>319</v>
      </c>
      <c r="Z42" t="s">
        <v>245</v>
      </c>
      <c r="AA42" s="13" t="str">
        <f>C42</f>
        <v>Zofd vqL</v>
      </c>
    </row>
    <row r="43" spans="1:27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756</v>
      </c>
      <c r="G43" s="21"/>
      <c r="H43" s="16">
        <v>0</v>
      </c>
      <c r="I43" s="16">
        <v>4</v>
      </c>
      <c r="J43" s="16">
        <v>3</v>
      </c>
      <c r="K43" s="16">
        <v>2</v>
      </c>
      <c r="L43" s="15">
        <f t="shared" si="1"/>
        <v>55.257534246575339</v>
      </c>
      <c r="M43" s="5">
        <v>46788</v>
      </c>
      <c r="N43" s="16">
        <f t="shared" si="3"/>
        <v>7</v>
      </c>
      <c r="O43" s="13" t="str">
        <v>kf}8]n</v>
      </c>
      <c r="P43" s="16" t="s">
        <v>752</v>
      </c>
      <c r="Q43" s="5">
        <v>66957</v>
      </c>
      <c r="S43" s="5">
        <v>66618</v>
      </c>
      <c r="T43" s="2" t="s">
        <v>2</v>
      </c>
      <c r="U43" s="2">
        <v>4</v>
      </c>
      <c r="V43" s="2">
        <v>3</v>
      </c>
      <c r="W43" s="2">
        <v>1</v>
      </c>
      <c r="X43" t="s">
        <v>242</v>
      </c>
      <c r="Y43" t="s">
        <v>327</v>
      </c>
      <c r="Z43" t="s">
        <v>245</v>
      </c>
    </row>
    <row r="44" spans="1:27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756</v>
      </c>
      <c r="G44" s="21"/>
      <c r="H44" s="16"/>
      <c r="I44" s="16"/>
      <c r="J44" s="16"/>
      <c r="K44" s="16"/>
      <c r="L44" s="15">
        <f t="shared" si="1"/>
        <v>52.909589041095892</v>
      </c>
      <c r="M44" s="5">
        <v>47645</v>
      </c>
      <c r="N44" s="16">
        <f t="shared" si="3"/>
        <v>2</v>
      </c>
      <c r="O44" s="13" t="str">
        <v>pkfWofo</v>
      </c>
      <c r="P44" s="16" t="s">
        <v>752</v>
      </c>
      <c r="Q44" s="5">
        <v>66957</v>
      </c>
      <c r="S44" s="5"/>
    </row>
    <row r="45" spans="1:27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757</v>
      </c>
      <c r="G45" s="21"/>
      <c r="H45" s="16"/>
      <c r="I45" s="16"/>
      <c r="J45" s="16"/>
      <c r="K45" s="16"/>
      <c r="L45" s="15">
        <f t="shared" si="1"/>
        <v>26.991780821917807</v>
      </c>
      <c r="M45" s="5">
        <v>57105</v>
      </c>
      <c r="N45" s="16">
        <f t="shared" si="3"/>
        <v>3</v>
      </c>
      <c r="O45" s="13" t="str">
        <v>IfqL</v>
      </c>
      <c r="P45" s="16" t="s">
        <v>750</v>
      </c>
      <c r="Q45" s="5">
        <v>66957</v>
      </c>
      <c r="S45" s="5"/>
    </row>
    <row r="46" spans="1:27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757</v>
      </c>
      <c r="G46" s="21"/>
      <c r="H46" s="16"/>
      <c r="I46" s="16"/>
      <c r="J46" s="16"/>
      <c r="K46" s="16"/>
      <c r="L46" s="15">
        <f t="shared" si="1"/>
        <v>28.079452054794519</v>
      </c>
      <c r="M46" s="5">
        <v>56708</v>
      </c>
      <c r="N46" s="16">
        <f t="shared" si="3"/>
        <v>3</v>
      </c>
      <c r="O46" s="13" t="str">
        <v>lh;L</v>
      </c>
      <c r="P46" s="16" t="s">
        <v>754</v>
      </c>
      <c r="Q46" s="5">
        <v>66957</v>
      </c>
      <c r="S46" s="5"/>
    </row>
    <row r="47" spans="1:27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756</v>
      </c>
      <c r="G47" s="21"/>
      <c r="H47" s="16">
        <v>0</v>
      </c>
      <c r="I47" s="16">
        <v>3</v>
      </c>
      <c r="J47" s="16">
        <v>0</v>
      </c>
      <c r="K47" s="16">
        <v>1</v>
      </c>
      <c r="L47" s="15">
        <f t="shared" si="1"/>
        <v>40.169863013698631</v>
      </c>
      <c r="M47" s="5">
        <v>52295</v>
      </c>
      <c r="N47" s="16">
        <f t="shared" si="3"/>
        <v>8</v>
      </c>
      <c r="O47" s="13" t="str">
        <v>tfdfª</v>
      </c>
      <c r="P47" s="16" t="s">
        <v>751</v>
      </c>
      <c r="Q47" s="5">
        <v>66957</v>
      </c>
      <c r="S47" s="5">
        <v>66605</v>
      </c>
      <c r="T47" s="2" t="s">
        <v>2</v>
      </c>
      <c r="U47" s="2">
        <v>3</v>
      </c>
      <c r="V47" s="2">
        <v>2</v>
      </c>
      <c r="W47" s="2">
        <v>1</v>
      </c>
      <c r="X47" t="s">
        <v>242</v>
      </c>
      <c r="Y47" t="s">
        <v>312</v>
      </c>
      <c r="Z47" t="s">
        <v>245</v>
      </c>
    </row>
    <row r="48" spans="1:27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756</v>
      </c>
      <c r="G48" s="21"/>
      <c r="H48" s="16"/>
      <c r="I48" s="16"/>
      <c r="J48" s="16"/>
      <c r="K48" s="16"/>
      <c r="L48" s="15">
        <f t="shared" si="1"/>
        <v>47.241095890410961</v>
      </c>
      <c r="M48" s="5">
        <v>49714</v>
      </c>
      <c r="N48" s="16">
        <f t="shared" si="3"/>
        <v>1</v>
      </c>
      <c r="O48" s="13" t="str">
        <v>la=s</v>
      </c>
      <c r="P48" s="16" t="s">
        <v>754</v>
      </c>
      <c r="Q48" s="5">
        <v>66957</v>
      </c>
      <c r="S48" s="5"/>
    </row>
    <row r="49" spans="1:26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757</v>
      </c>
      <c r="G49" s="21"/>
      <c r="H49" s="16"/>
      <c r="I49" s="16"/>
      <c r="J49" s="16"/>
      <c r="K49" s="16"/>
      <c r="L49" s="15">
        <f t="shared" si="1"/>
        <v>22.493150684931507</v>
      </c>
      <c r="M49" s="5">
        <v>58747</v>
      </c>
      <c r="N49" s="16">
        <f t="shared" si="3"/>
        <v>2</v>
      </c>
      <c r="O49" s="13" t="str">
        <v>uxt/fh</v>
      </c>
      <c r="P49" s="16" t="s">
        <v>751</v>
      </c>
      <c r="Q49" s="5">
        <v>66957</v>
      </c>
      <c r="S49" s="5"/>
    </row>
    <row r="50" spans="1:26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756</v>
      </c>
      <c r="G50" s="21"/>
      <c r="H50" s="16">
        <v>0</v>
      </c>
      <c r="I50" s="16">
        <v>3</v>
      </c>
      <c r="J50" s="16">
        <v>0</v>
      </c>
      <c r="K50" s="16">
        <v>0</v>
      </c>
      <c r="L50" s="15">
        <f t="shared" si="1"/>
        <v>57.583561643835615</v>
      </c>
      <c r="M50" s="5">
        <v>45939</v>
      </c>
      <c r="N50" s="16">
        <f t="shared" si="3"/>
        <v>2</v>
      </c>
      <c r="O50" s="13" t="str">
        <v>l;njfn</v>
      </c>
      <c r="P50" s="16" t="s">
        <v>752</v>
      </c>
      <c r="Q50" s="5">
        <v>66957</v>
      </c>
      <c r="S50" s="5">
        <v>66605</v>
      </c>
      <c r="T50" s="2" t="s">
        <v>2</v>
      </c>
      <c r="U50" s="2">
        <v>4</v>
      </c>
      <c r="V50" s="2">
        <v>2</v>
      </c>
      <c r="W50" s="2">
        <v>2</v>
      </c>
      <c r="X50" t="s">
        <v>242</v>
      </c>
      <c r="Y50" t="s">
        <v>285</v>
      </c>
      <c r="Z50" t="s">
        <v>245</v>
      </c>
    </row>
    <row r="51" spans="1:26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756</v>
      </c>
      <c r="G51" s="21"/>
      <c r="H51" s="16"/>
      <c r="I51" s="16"/>
      <c r="J51" s="16"/>
      <c r="K51" s="16"/>
      <c r="L51" s="15">
        <f t="shared" si="1"/>
        <v>52.534246575342465</v>
      </c>
      <c r="M51" s="5">
        <v>47782</v>
      </c>
      <c r="N51" s="16">
        <f t="shared" si="3"/>
        <v>7</v>
      </c>
      <c r="O51" s="13" t="str">
        <v>;fksf]6f</v>
      </c>
      <c r="P51" s="16" t="s">
        <v>752</v>
      </c>
      <c r="Q51" s="5">
        <v>66957</v>
      </c>
      <c r="S51" s="5"/>
    </row>
    <row r="52" spans="1:26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757</v>
      </c>
      <c r="G52" s="21"/>
      <c r="H52" s="16"/>
      <c r="I52" s="16"/>
      <c r="J52" s="16"/>
      <c r="K52" s="16"/>
      <c r="L52" s="15">
        <f t="shared" si="1"/>
        <v>28.583561643835615</v>
      </c>
      <c r="M52" s="5">
        <v>56524</v>
      </c>
      <c r="N52" s="16">
        <f t="shared" si="3"/>
        <v>3</v>
      </c>
      <c r="O52" s="13" t="str">
        <v>l;+v8f</v>
      </c>
      <c r="P52" s="16" t="s">
        <v>752</v>
      </c>
      <c r="Q52" s="5">
        <v>66957</v>
      </c>
      <c r="S52" s="5"/>
    </row>
    <row r="53" spans="1:26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757</v>
      </c>
      <c r="G53" s="21"/>
      <c r="H53" s="16"/>
      <c r="I53" s="16"/>
      <c r="J53" s="16"/>
      <c r="K53" s="16"/>
      <c r="L53" s="15">
        <f t="shared" si="1"/>
        <v>24.460273972602739</v>
      </c>
      <c r="M53" s="5">
        <v>58029</v>
      </c>
      <c r="N53" s="16">
        <f t="shared" si="3"/>
        <v>4</v>
      </c>
      <c r="O53" s="13" t="str">
        <v>u'?ª</v>
      </c>
      <c r="P53" s="16" t="s">
        <v>751</v>
      </c>
      <c r="Q53" s="5">
        <v>66957</v>
      </c>
      <c r="S53" s="5"/>
    </row>
    <row r="54" spans="1:26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756</v>
      </c>
      <c r="G54" s="21"/>
      <c r="H54" s="16">
        <v>0</v>
      </c>
      <c r="I54" s="16">
        <v>3</v>
      </c>
      <c r="J54" s="16">
        <v>0</v>
      </c>
      <c r="K54" s="16">
        <v>0</v>
      </c>
      <c r="L54" s="15">
        <f t="shared" si="1"/>
        <v>52.895890410958906</v>
      </c>
      <c r="M54" s="5">
        <v>47650</v>
      </c>
      <c r="N54" s="16">
        <f t="shared" si="3"/>
        <v>3</v>
      </c>
      <c r="O54" s="13" t="str">
        <v>bdfO{</v>
      </c>
      <c r="P54" s="16" t="s">
        <v>754</v>
      </c>
      <c r="Q54" s="5">
        <v>66957</v>
      </c>
      <c r="S54" s="5">
        <v>66594</v>
      </c>
      <c r="T54" s="2" t="s">
        <v>2</v>
      </c>
      <c r="U54" s="2">
        <v>3</v>
      </c>
      <c r="V54" s="2">
        <v>1</v>
      </c>
      <c r="W54" s="2">
        <v>2</v>
      </c>
      <c r="X54" t="s">
        <v>242</v>
      </c>
      <c r="Y54" t="s">
        <v>275</v>
      </c>
      <c r="Z54" t="s">
        <v>245</v>
      </c>
    </row>
    <row r="55" spans="1:26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757</v>
      </c>
      <c r="G55" s="21"/>
      <c r="H55" s="16"/>
      <c r="I55" s="16"/>
      <c r="J55" s="16"/>
      <c r="K55" s="16"/>
      <c r="L55" s="15">
        <f t="shared" si="1"/>
        <v>24.487671232876714</v>
      </c>
      <c r="M55" s="5">
        <v>58019</v>
      </c>
      <c r="N55" s="16">
        <f t="shared" si="3"/>
        <v>1</v>
      </c>
      <c r="O55" s="13" t="str">
        <v>lnDj'</v>
      </c>
      <c r="P55" s="16" t="s">
        <v>751</v>
      </c>
      <c r="Q55" s="5">
        <v>66957</v>
      </c>
      <c r="S55" s="5"/>
    </row>
    <row r="56" spans="1:26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757</v>
      </c>
      <c r="G56" s="21"/>
      <c r="H56" s="16"/>
      <c r="I56" s="16"/>
      <c r="J56" s="16"/>
      <c r="K56" s="16"/>
      <c r="L56" s="15">
        <f t="shared" si="1"/>
        <v>29.567123287671233</v>
      </c>
      <c r="M56" s="5">
        <v>56165</v>
      </c>
      <c r="N56" s="16">
        <f t="shared" si="3"/>
        <v>2</v>
      </c>
      <c r="O56" s="13" t="str">
        <v>dfb]g</v>
      </c>
      <c r="P56" s="16" t="s">
        <v>751</v>
      </c>
      <c r="Q56" s="5">
        <v>66957</v>
      </c>
      <c r="S56" s="5"/>
    </row>
    <row r="57" spans="1:26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756</v>
      </c>
      <c r="G57" s="21"/>
      <c r="H57" s="16">
        <v>1</v>
      </c>
      <c r="I57" s="16">
        <v>8</v>
      </c>
      <c r="J57" s="16">
        <v>0</v>
      </c>
      <c r="K57" s="16">
        <v>0</v>
      </c>
      <c r="L57" s="15">
        <f t="shared" si="1"/>
        <v>30.638356164383563</v>
      </c>
      <c r="M57" s="5">
        <v>55774</v>
      </c>
      <c r="N57" s="16">
        <f t="shared" si="3"/>
        <v>1</v>
      </c>
      <c r="O57" s="13" t="str">
        <v>hj]u'</v>
      </c>
      <c r="P57" s="16" t="s">
        <v>751</v>
      </c>
      <c r="Q57" s="5">
        <v>66957</v>
      </c>
      <c r="S57" s="5">
        <v>66589</v>
      </c>
      <c r="T57" s="2" t="s">
        <v>2</v>
      </c>
      <c r="U57" s="2">
        <v>6</v>
      </c>
      <c r="V57" s="2">
        <v>2</v>
      </c>
      <c r="W57" s="2">
        <v>4</v>
      </c>
      <c r="X57" t="s">
        <v>242</v>
      </c>
      <c r="Y57" t="s">
        <v>333</v>
      </c>
      <c r="Z57" t="s">
        <v>245</v>
      </c>
    </row>
    <row r="58" spans="1:26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756</v>
      </c>
      <c r="G58" s="21"/>
      <c r="H58" s="16"/>
      <c r="I58" s="16"/>
      <c r="J58" s="16"/>
      <c r="K58" s="16"/>
      <c r="L58" s="15">
        <f t="shared" si="1"/>
        <v>30.860273972602741</v>
      </c>
      <c r="M58" s="5">
        <v>55693</v>
      </c>
      <c r="N58" s="16">
        <f t="shared" si="3"/>
        <v>1</v>
      </c>
      <c r="O58" s="13" t="str">
        <v>-aflgof_</v>
      </c>
      <c r="P58" s="16" t="s">
        <v>750</v>
      </c>
      <c r="Q58" s="5">
        <v>66957</v>
      </c>
      <c r="S58" s="5"/>
    </row>
    <row r="59" spans="1:26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756</v>
      </c>
      <c r="G59" s="21"/>
      <c r="H59" s="16"/>
      <c r="I59" s="16"/>
      <c r="J59" s="16"/>
      <c r="K59" s="16"/>
      <c r="L59" s="15">
        <f t="shared" si="1"/>
        <v>56.101369863013701</v>
      </c>
      <c r="M59" s="5">
        <v>46480</v>
      </c>
      <c r="N59" s="16">
        <f t="shared" si="3"/>
        <v>1</v>
      </c>
      <c r="O59" s="13" t="str">
        <v>kf08]</v>
      </c>
      <c r="P59" s="16" t="s">
        <v>752</v>
      </c>
      <c r="Q59" s="5">
        <v>66957</v>
      </c>
      <c r="S59" s="5"/>
    </row>
    <row r="60" spans="1:26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756</v>
      </c>
      <c r="G60" s="21"/>
      <c r="H60" s="16"/>
      <c r="I60" s="16"/>
      <c r="J60" s="16"/>
      <c r="K60" s="16"/>
      <c r="L60" s="15">
        <f t="shared" si="1"/>
        <v>50.805479452054797</v>
      </c>
      <c r="M60" s="5">
        <v>48413</v>
      </c>
      <c r="N60" s="16">
        <f t="shared" si="3"/>
        <v>16</v>
      </c>
      <c r="O60" s="13" t="str">
        <v>yfkf</v>
      </c>
      <c r="P60" s="16" t="s">
        <v>750</v>
      </c>
      <c r="Q60" s="5">
        <v>66957</v>
      </c>
      <c r="S60" s="5"/>
    </row>
    <row r="61" spans="1:26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757</v>
      </c>
      <c r="G61" s="21"/>
      <c r="H61" s="16"/>
      <c r="I61" s="16"/>
      <c r="J61" s="16"/>
      <c r="K61" s="16"/>
      <c r="L61" s="15">
        <f t="shared" si="1"/>
        <v>27.432876712328767</v>
      </c>
      <c r="M61" s="5">
        <v>56944</v>
      </c>
      <c r="N61" s="16">
        <f t="shared" si="3"/>
        <v>2</v>
      </c>
      <c r="O61" s="13" t="str">
        <v>k|;fb</v>
      </c>
      <c r="P61" s="16" t="s">
        <v>750</v>
      </c>
      <c r="Q61" s="5">
        <v>66957</v>
      </c>
      <c r="S61" s="5"/>
    </row>
    <row r="62" spans="1:26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757</v>
      </c>
      <c r="G62" s="21"/>
      <c r="H62" s="16"/>
      <c r="I62" s="16"/>
      <c r="J62" s="16"/>
      <c r="K62" s="16"/>
      <c r="L62" s="15">
        <f t="shared" si="1"/>
        <v>4.4000000000000004</v>
      </c>
      <c r="M62" s="5">
        <v>65351</v>
      </c>
      <c r="N62" s="16">
        <f t="shared" si="3"/>
        <v>1</v>
      </c>
      <c r="O62" s="13" t="str">
        <v>u'Ktf</v>
      </c>
      <c r="P62" s="16" t="s">
        <v>752</v>
      </c>
      <c r="Q62" s="5">
        <v>66957</v>
      </c>
      <c r="S62" s="5"/>
    </row>
    <row r="63" spans="1:26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756</v>
      </c>
      <c r="G63" s="21"/>
      <c r="H63" s="16" t="s">
        <v>748</v>
      </c>
      <c r="I63" s="16" t="s">
        <v>748</v>
      </c>
      <c r="J63" s="16" t="s">
        <v>748</v>
      </c>
      <c r="K63" s="16" t="s">
        <v>748</v>
      </c>
      <c r="L63" s="15">
        <f t="shared" si="1"/>
        <v>46.276712328767125</v>
      </c>
      <c r="M63" s="5">
        <v>50066</v>
      </c>
      <c r="N63" s="16">
        <f t="shared" si="3"/>
        <v>1</v>
      </c>
      <c r="O63" s="13" t="str">
        <v>tfdf+u</v>
      </c>
      <c r="P63" s="16" t="s">
        <v>751</v>
      </c>
      <c r="Q63" s="5">
        <v>66957</v>
      </c>
      <c r="S63" s="5">
        <v>66587</v>
      </c>
      <c r="T63" s="2" t="s">
        <v>2</v>
      </c>
      <c r="U63" s="2">
        <v>4</v>
      </c>
      <c r="V63" s="2">
        <v>2</v>
      </c>
      <c r="W63" s="2">
        <v>2</v>
      </c>
      <c r="X63" t="s">
        <v>242</v>
      </c>
      <c r="Y63" t="s">
        <v>252</v>
      </c>
      <c r="Z63" t="s">
        <v>245</v>
      </c>
    </row>
    <row r="64" spans="1:26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756</v>
      </c>
      <c r="G64" s="21"/>
      <c r="H64" s="16"/>
      <c r="I64" s="16"/>
      <c r="J64" s="16"/>
      <c r="K64" s="16"/>
      <c r="L64" s="15">
        <f t="shared" si="1"/>
        <v>57.515068493150686</v>
      </c>
      <c r="M64" s="5">
        <v>45964</v>
      </c>
      <c r="N64" s="16">
        <f t="shared" si="3"/>
        <v>1</v>
      </c>
      <c r="O64" s="13" t="str">
        <v>/f]Ssf</v>
      </c>
      <c r="P64" s="16" t="s">
        <v>750</v>
      </c>
      <c r="Q64" s="5">
        <v>66957</v>
      </c>
      <c r="S64" s="5"/>
    </row>
    <row r="65" spans="1:26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756</v>
      </c>
      <c r="G65" s="21"/>
      <c r="H65" s="16"/>
      <c r="I65" s="16"/>
      <c r="J65" s="16"/>
      <c r="K65" s="16"/>
      <c r="L65" s="15">
        <f t="shared" si="1"/>
        <v>47.282191780821918</v>
      </c>
      <c r="M65" s="5">
        <v>49699</v>
      </c>
      <c r="N65" s="16">
        <f t="shared" si="3"/>
        <v>4</v>
      </c>
      <c r="O65" s="13" t="str">
        <v>e08f/L</v>
      </c>
      <c r="P65" s="16" t="s">
        <v>752</v>
      </c>
      <c r="Q65" s="5">
        <v>66957</v>
      </c>
      <c r="S65" s="5"/>
    </row>
    <row r="66" spans="1:26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756</v>
      </c>
      <c r="G66" s="21"/>
      <c r="H66" s="16"/>
      <c r="I66" s="16"/>
      <c r="J66" s="16"/>
      <c r="K66" s="16"/>
      <c r="L66" s="15">
        <f t="shared" si="1"/>
        <v>34.778082191780825</v>
      </c>
      <c r="M66" s="5">
        <v>54263</v>
      </c>
      <c r="N66" s="16">
        <f t="shared" si="3"/>
        <v>1</v>
      </c>
      <c r="O66" s="13" t="str">
        <v>kf7s</v>
      </c>
      <c r="P66" s="16" t="s">
        <v>750</v>
      </c>
      <c r="Q66" s="5">
        <v>66957</v>
      </c>
      <c r="S66" s="5"/>
    </row>
    <row r="67" spans="1:26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756</v>
      </c>
      <c r="G67" s="21"/>
      <c r="H67" s="16">
        <v>0</v>
      </c>
      <c r="I67" s="16">
        <v>6</v>
      </c>
      <c r="J67" s="16">
        <v>0</v>
      </c>
      <c r="K67" s="16">
        <v>2</v>
      </c>
      <c r="L67" s="15">
        <f t="shared" si="1"/>
        <v>51.975342465753428</v>
      </c>
      <c r="M67" s="5">
        <v>47986</v>
      </c>
      <c r="N67" s="16">
        <f t="shared" si="3"/>
        <v>3</v>
      </c>
      <c r="O67" s="13" t="str">
        <v>s8]n</v>
      </c>
      <c r="P67" s="16" t="s">
        <v>750</v>
      </c>
      <c r="Q67" s="5">
        <v>66957</v>
      </c>
      <c r="S67" s="5">
        <v>66573</v>
      </c>
      <c r="T67" s="2" t="s">
        <v>2</v>
      </c>
      <c r="U67" s="2">
        <v>4</v>
      </c>
      <c r="V67" s="2">
        <v>2</v>
      </c>
      <c r="W67" s="2">
        <v>2</v>
      </c>
      <c r="X67" t="s">
        <v>242</v>
      </c>
      <c r="Y67" t="s">
        <v>256</v>
      </c>
      <c r="Z67" t="s">
        <v>245</v>
      </c>
    </row>
    <row r="68" spans="1:26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756</v>
      </c>
      <c r="G68" s="21"/>
      <c r="H68" s="16"/>
      <c r="I68" s="16"/>
      <c r="J68" s="16"/>
      <c r="K68" s="16"/>
      <c r="L68" s="15">
        <f t="shared" ref="L68:L131" si="5">(Q68-M68)/365</f>
        <v>63.441095890410956</v>
      </c>
      <c r="M68" s="5">
        <v>43801</v>
      </c>
      <c r="N68" s="16">
        <f t="shared" si="3"/>
        <v>4</v>
      </c>
      <c r="O68" s="13" t="str">
        <v>If]qL</v>
      </c>
      <c r="P68" s="16" t="s">
        <v>750</v>
      </c>
      <c r="Q68" s="5">
        <v>66957</v>
      </c>
      <c r="S68" s="5"/>
    </row>
    <row r="69" spans="1:26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757</v>
      </c>
      <c r="G69" s="21"/>
      <c r="H69" s="16"/>
      <c r="I69" s="16"/>
      <c r="J69" s="16"/>
      <c r="K69" s="16"/>
      <c r="L69" s="15">
        <f t="shared" si="5"/>
        <v>32.728767123287675</v>
      </c>
      <c r="M69" s="5">
        <v>55011</v>
      </c>
      <c r="N69" s="16">
        <f t="shared" ref="N69:N89" si="7">COUNTIF($E$4:$E$416,O69)</f>
        <v>1</v>
      </c>
      <c r="O69" s="13" t="str">
        <v>dNn</v>
      </c>
      <c r="P69" s="16" t="s">
        <v>751</v>
      </c>
      <c r="Q69" s="5">
        <v>66957</v>
      </c>
      <c r="S69" s="5"/>
    </row>
    <row r="70" spans="1:26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757</v>
      </c>
      <c r="G70" s="21"/>
      <c r="H70" s="16"/>
      <c r="I70" s="16"/>
      <c r="J70" s="16"/>
      <c r="K70" s="16"/>
      <c r="L70" s="15">
        <f t="shared" si="5"/>
        <v>31.257534246575343</v>
      </c>
      <c r="M70" s="5">
        <v>55548</v>
      </c>
      <c r="N70" s="16">
        <f t="shared" si="7"/>
        <v>1</v>
      </c>
      <c r="O70" s="13" t="str">
        <v>;'a]bL</v>
      </c>
      <c r="P70" s="16" t="s">
        <v>752</v>
      </c>
      <c r="Q70" s="5">
        <v>66957</v>
      </c>
      <c r="S70" s="5"/>
    </row>
    <row r="71" spans="1:26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756</v>
      </c>
      <c r="G71" s="21"/>
      <c r="H71" s="16">
        <v>0</v>
      </c>
      <c r="I71" s="16">
        <v>3</v>
      </c>
      <c r="J71" s="16">
        <v>3</v>
      </c>
      <c r="K71" s="16">
        <v>0</v>
      </c>
      <c r="L71" s="15">
        <f t="shared" si="5"/>
        <v>76.452054794520549</v>
      </c>
      <c r="M71" s="5">
        <v>39052</v>
      </c>
      <c r="N71" s="16">
        <f t="shared" si="7"/>
        <v>5</v>
      </c>
      <c r="O71" s="13" t="str">
        <v>uf}td</v>
      </c>
      <c r="P71" s="16" t="s">
        <v>752</v>
      </c>
      <c r="Q71" s="5">
        <v>66957</v>
      </c>
      <c r="S71" s="5">
        <v>66559</v>
      </c>
      <c r="T71" s="2" t="s">
        <v>100</v>
      </c>
      <c r="U71" s="2">
        <v>1</v>
      </c>
      <c r="W71" s="2">
        <v>1</v>
      </c>
      <c r="X71" t="s">
        <v>240</v>
      </c>
      <c r="Y71" t="s">
        <v>245</v>
      </c>
      <c r="Z71" t="s">
        <v>331</v>
      </c>
    </row>
    <row r="72" spans="1:26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756</v>
      </c>
      <c r="G72" s="21"/>
      <c r="H72" s="16">
        <v>0</v>
      </c>
      <c r="I72" s="16">
        <v>3</v>
      </c>
      <c r="J72" s="16">
        <f>2+(1)</f>
        <v>3</v>
      </c>
      <c r="K72" s="16">
        <v>0</v>
      </c>
      <c r="L72" s="15">
        <f t="shared" si="5"/>
        <v>30.920547945205481</v>
      </c>
      <c r="M72" s="5">
        <v>55671</v>
      </c>
      <c r="N72" s="16">
        <f t="shared" si="7"/>
        <v>1</v>
      </c>
      <c r="O72" s="13" t="str">
        <v>af;sf]6f</v>
      </c>
      <c r="P72" s="16" t="s">
        <v>752</v>
      </c>
      <c r="Q72" s="5">
        <v>66957</v>
      </c>
      <c r="S72" s="5">
        <v>66423</v>
      </c>
      <c r="T72" s="2" t="s">
        <v>100</v>
      </c>
      <c r="U72" s="2">
        <v>5</v>
      </c>
      <c r="V72" s="2">
        <v>2</v>
      </c>
      <c r="W72" s="2">
        <v>3</v>
      </c>
      <c r="X72" t="s">
        <v>242</v>
      </c>
      <c r="Y72" t="s">
        <v>245</v>
      </c>
      <c r="Z72" t="s">
        <v>325</v>
      </c>
    </row>
    <row r="73" spans="1:26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756</v>
      </c>
      <c r="G73" s="21"/>
      <c r="H73" s="16"/>
      <c r="I73" s="16"/>
      <c r="J73" s="16"/>
      <c r="K73" s="16"/>
      <c r="L73" s="15">
        <f t="shared" si="5"/>
        <v>27.778082191780822</v>
      </c>
      <c r="M73" s="5">
        <v>56818</v>
      </c>
      <c r="N73" s="16">
        <f t="shared" si="7"/>
        <v>4</v>
      </c>
      <c r="O73" s="13" t="str">
        <v>r'8fn</v>
      </c>
      <c r="P73" s="16" t="s">
        <v>752</v>
      </c>
      <c r="Q73" s="5">
        <v>66957</v>
      </c>
      <c r="S73" s="5"/>
    </row>
    <row r="74" spans="1:26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757</v>
      </c>
      <c r="G74" s="21"/>
      <c r="H74" s="16"/>
      <c r="I74" s="16"/>
      <c r="J74" s="16"/>
      <c r="K74" s="16"/>
      <c r="L74" s="15">
        <f t="shared" si="5"/>
        <v>6.646575342465753</v>
      </c>
      <c r="M74" s="5">
        <v>64531</v>
      </c>
      <c r="N74" s="16">
        <f t="shared" si="7"/>
        <v>4</v>
      </c>
      <c r="O74" s="13" t="str">
        <v>rDnfufO{</v>
      </c>
      <c r="P74" s="16" t="s">
        <v>752</v>
      </c>
      <c r="Q74" s="5">
        <v>66957</v>
      </c>
      <c r="S74" s="5"/>
    </row>
    <row r="75" spans="1:26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757</v>
      </c>
      <c r="G75" s="21"/>
      <c r="H75" s="16"/>
      <c r="I75" s="16"/>
      <c r="J75" s="16"/>
      <c r="K75" s="16"/>
      <c r="L75" s="15">
        <f t="shared" si="5"/>
        <v>3.3397260273972602</v>
      </c>
      <c r="M75" s="5">
        <v>65738</v>
      </c>
      <c r="N75" s="16">
        <f t="shared" si="7"/>
        <v>3</v>
      </c>
      <c r="O75" s="13" t="str">
        <v>a'9fyf]sL</v>
      </c>
      <c r="P75" s="16" t="s">
        <v>752</v>
      </c>
      <c r="Q75" s="5">
        <v>66957</v>
      </c>
      <c r="S75" s="5"/>
    </row>
    <row r="76" spans="1:26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757</v>
      </c>
      <c r="G76" s="21"/>
      <c r="H76" s="16"/>
      <c r="I76" s="16"/>
      <c r="J76" s="16"/>
      <c r="K76" s="16"/>
      <c r="L76" s="15">
        <f t="shared" si="5"/>
        <v>1.9315068493150684</v>
      </c>
      <c r="M76" s="5">
        <v>66252</v>
      </c>
      <c r="N76" s="16">
        <f t="shared" si="7"/>
        <v>1</v>
      </c>
      <c r="O76" s="13" t="str">
        <v>lu/L</v>
      </c>
      <c r="P76" s="16" t="s">
        <v>750</v>
      </c>
      <c r="Q76" s="5">
        <v>66957</v>
      </c>
      <c r="S76" s="5"/>
    </row>
    <row r="77" spans="1:26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756</v>
      </c>
      <c r="G77" s="21"/>
      <c r="H77" s="16">
        <f>0</f>
        <v>0</v>
      </c>
      <c r="I77" s="16">
        <f>2+(1)</f>
        <v>3</v>
      </c>
      <c r="J77" s="16">
        <v>0</v>
      </c>
      <c r="K77" s="16">
        <v>0</v>
      </c>
      <c r="L77" s="15">
        <f t="shared" si="5"/>
        <v>39.871232876712327</v>
      </c>
      <c r="M77" s="5">
        <v>52404</v>
      </c>
      <c r="N77" s="16">
        <f t="shared" si="7"/>
        <v>1</v>
      </c>
      <c r="O77" s="13" t="str">
        <v>ld&gt;</v>
      </c>
      <c r="P77" s="16" t="s">
        <v>752</v>
      </c>
      <c r="Q77" s="5">
        <v>66957</v>
      </c>
      <c r="S77" s="5">
        <v>66408</v>
      </c>
      <c r="T77" s="2" t="s">
        <v>2</v>
      </c>
      <c r="U77" s="2">
        <v>5</v>
      </c>
      <c r="V77" s="2">
        <v>2</v>
      </c>
      <c r="W77" s="2">
        <v>3</v>
      </c>
      <c r="X77" t="s">
        <v>242</v>
      </c>
      <c r="Y77" t="s">
        <v>276</v>
      </c>
      <c r="Z77" t="s">
        <v>245</v>
      </c>
    </row>
    <row r="78" spans="1:26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757</v>
      </c>
      <c r="G78" s="21"/>
      <c r="H78" s="16"/>
      <c r="I78" s="16"/>
      <c r="J78" s="16"/>
      <c r="K78" s="16"/>
      <c r="L78" s="15">
        <f t="shared" si="5"/>
        <v>7.2520547945205482</v>
      </c>
      <c r="M78" s="5">
        <v>64310</v>
      </c>
      <c r="N78" s="16">
        <f t="shared" si="7"/>
        <v>1</v>
      </c>
      <c r="O78" s="13" t="str">
        <v>/}nf</v>
      </c>
      <c r="P78" s="16" t="s">
        <v>751</v>
      </c>
      <c r="Q78" s="5">
        <v>66957</v>
      </c>
      <c r="S78" s="5"/>
    </row>
    <row r="79" spans="1:26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756</v>
      </c>
      <c r="G79" s="21"/>
      <c r="H79" s="16"/>
      <c r="I79" s="16"/>
      <c r="J79" s="16"/>
      <c r="K79" s="16"/>
      <c r="L79" s="15">
        <f t="shared" si="5"/>
        <v>36.482191780821921</v>
      </c>
      <c r="M79" s="5">
        <v>53641</v>
      </c>
      <c r="N79" s="16">
        <f t="shared" si="7"/>
        <v>4</v>
      </c>
      <c r="O79" s="13" t="str">
        <v>rf}w/L</v>
      </c>
      <c r="P79" s="16" t="s">
        <v>751</v>
      </c>
      <c r="Q79" s="5">
        <v>66957</v>
      </c>
      <c r="S79" s="5"/>
    </row>
    <row r="80" spans="1:26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757</v>
      </c>
      <c r="G80" s="21"/>
      <c r="H80" s="16"/>
      <c r="I80" s="16"/>
      <c r="J80" s="16"/>
      <c r="K80" s="16"/>
      <c r="L80" s="15">
        <f t="shared" si="5"/>
        <v>9.7479452054794518</v>
      </c>
      <c r="M80" s="5">
        <v>63399</v>
      </c>
      <c r="N80" s="16">
        <f t="shared" si="7"/>
        <v>1</v>
      </c>
      <c r="O80" s="13" t="str">
        <v>j/fn</v>
      </c>
      <c r="P80" s="16" t="s">
        <v>752</v>
      </c>
      <c r="Q80" s="5">
        <v>66957</v>
      </c>
      <c r="S80" s="5"/>
    </row>
    <row r="81" spans="1:26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757</v>
      </c>
      <c r="G81" s="21"/>
      <c r="H81" s="16"/>
      <c r="I81" s="16"/>
      <c r="J81" s="16"/>
      <c r="K81" s="16"/>
      <c r="L81" s="15">
        <f t="shared" si="5"/>
        <v>11.764383561643836</v>
      </c>
      <c r="M81" s="5">
        <v>62663</v>
      </c>
      <c r="N81" s="16">
        <f t="shared" si="7"/>
        <v>4</v>
      </c>
      <c r="O81" s="13" t="str">
        <v>/fO{</v>
      </c>
      <c r="P81" s="16" t="s">
        <v>751</v>
      </c>
      <c r="Q81" s="5">
        <v>66957</v>
      </c>
      <c r="S81" s="5"/>
    </row>
    <row r="82" spans="1:26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756</v>
      </c>
      <c r="G82" s="21"/>
      <c r="H82" s="16">
        <v>0</v>
      </c>
      <c r="I82" s="16">
        <v>4</v>
      </c>
      <c r="J82" s="16">
        <v>0</v>
      </c>
      <c r="K82" s="16">
        <v>0</v>
      </c>
      <c r="L82" s="15">
        <f t="shared" si="5"/>
        <v>49.923287671232877</v>
      </c>
      <c r="M82" s="5">
        <v>48735</v>
      </c>
      <c r="N82" s="16">
        <f t="shared" si="7"/>
        <v>4</v>
      </c>
      <c r="O82" s="13" t="str">
        <v>b'nfn</v>
      </c>
      <c r="P82" s="16" t="s">
        <v>752</v>
      </c>
      <c r="Q82" s="5">
        <v>66957</v>
      </c>
      <c r="S82" s="5">
        <v>66392</v>
      </c>
      <c r="T82" s="2" t="s">
        <v>2</v>
      </c>
      <c r="U82" s="2">
        <v>4</v>
      </c>
      <c r="V82" s="2">
        <v>2</v>
      </c>
      <c r="W82" s="2">
        <v>2</v>
      </c>
      <c r="X82" t="s">
        <v>238</v>
      </c>
      <c r="Y82" t="s">
        <v>253</v>
      </c>
      <c r="Z82" t="s">
        <v>245</v>
      </c>
    </row>
    <row r="83" spans="1:26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756</v>
      </c>
      <c r="G83" s="21"/>
      <c r="H83" s="16"/>
      <c r="I83" s="16"/>
      <c r="J83" s="16"/>
      <c r="K83" s="16"/>
      <c r="L83" s="15">
        <f t="shared" si="5"/>
        <v>45.063013698630137</v>
      </c>
      <c r="M83" s="5">
        <v>50509</v>
      </c>
      <c r="N83" s="16">
        <f t="shared" si="7"/>
        <v>5</v>
      </c>
      <c r="O83" s="13" t="str">
        <v>;'j]bL</v>
      </c>
      <c r="P83" s="16" t="s">
        <v>752</v>
      </c>
      <c r="Q83" s="5">
        <v>66957</v>
      </c>
      <c r="S83" s="5"/>
    </row>
    <row r="84" spans="1:26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757</v>
      </c>
      <c r="G84" s="21"/>
      <c r="H84" s="16"/>
      <c r="I84" s="16"/>
      <c r="J84" s="16"/>
      <c r="K84" s="16"/>
      <c r="L84" s="15">
        <f t="shared" si="5"/>
        <v>25.657534246575342</v>
      </c>
      <c r="M84" s="5">
        <v>57592</v>
      </c>
      <c r="N84" s="16">
        <f t="shared" si="7"/>
        <v>2</v>
      </c>
      <c r="O84" s="13" t="str">
        <v>8+uf]n</v>
      </c>
      <c r="P84" s="16" t="s">
        <v>751</v>
      </c>
      <c r="Q84" s="5">
        <v>66957</v>
      </c>
      <c r="S84" s="5"/>
    </row>
    <row r="85" spans="1:26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757</v>
      </c>
      <c r="G85" s="21"/>
      <c r="H85" s="16"/>
      <c r="I85" s="16"/>
      <c r="J85" s="16"/>
      <c r="K85" s="16"/>
      <c r="L85" s="15">
        <f t="shared" si="5"/>
        <v>21.101369863013698</v>
      </c>
      <c r="M85" s="5">
        <v>59255</v>
      </c>
      <c r="N85" s="16">
        <f t="shared" si="7"/>
        <v>2</v>
      </c>
      <c r="O85" s="13" t="str">
        <v>kf]v|]n</v>
      </c>
      <c r="P85" s="16" t="s">
        <v>752</v>
      </c>
      <c r="Q85" s="5">
        <v>66957</v>
      </c>
      <c r="S85" s="5"/>
    </row>
    <row r="86" spans="1:26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756</v>
      </c>
      <c r="G86" s="21"/>
      <c r="H86" s="16">
        <v>1</v>
      </c>
      <c r="I86" s="16">
        <v>1</v>
      </c>
      <c r="J86" s="16">
        <v>0</v>
      </c>
      <c r="K86" s="16">
        <v>0</v>
      </c>
      <c r="L86" s="15">
        <f t="shared" si="5"/>
        <v>73.079452054794515</v>
      </c>
      <c r="M86" s="5">
        <v>40283</v>
      </c>
      <c r="N86" s="16">
        <f t="shared" si="7"/>
        <v>1</v>
      </c>
      <c r="O86" s="13" t="str">
        <v>yfdL</v>
      </c>
      <c r="P86" s="16" t="s">
        <v>750</v>
      </c>
      <c r="Q86" s="5">
        <v>66957</v>
      </c>
      <c r="S86" s="5">
        <v>66262</v>
      </c>
      <c r="T86" s="2" t="s">
        <v>2</v>
      </c>
      <c r="U86" s="2">
        <v>8</v>
      </c>
      <c r="V86" s="2">
        <v>5</v>
      </c>
      <c r="W86" s="2">
        <v>3</v>
      </c>
      <c r="X86" t="s">
        <v>242</v>
      </c>
      <c r="Y86" t="s">
        <v>330</v>
      </c>
      <c r="Z86" t="s">
        <v>245</v>
      </c>
    </row>
    <row r="87" spans="1:26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756</v>
      </c>
      <c r="G87" s="21"/>
      <c r="H87" s="16"/>
      <c r="I87" s="16"/>
      <c r="J87" s="16"/>
      <c r="K87" s="16"/>
      <c r="L87" s="15">
        <f t="shared" si="5"/>
        <v>61.734246575342468</v>
      </c>
      <c r="M87" s="5">
        <v>44424</v>
      </c>
      <c r="N87" s="16">
        <f t="shared" si="7"/>
        <v>2</v>
      </c>
      <c r="O87" s="13" t="str">
        <v>ltjf/L</v>
      </c>
      <c r="P87" s="16" t="s">
        <v>752</v>
      </c>
      <c r="Q87" s="5">
        <v>66957</v>
      </c>
      <c r="S87" s="5"/>
    </row>
    <row r="88" spans="1:26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756</v>
      </c>
      <c r="G88" s="21"/>
      <c r="H88" s="16"/>
      <c r="I88" s="16"/>
      <c r="J88" s="16"/>
      <c r="K88" s="16"/>
      <c r="L88" s="15">
        <f t="shared" si="5"/>
        <v>45.024657534246572</v>
      </c>
      <c r="M88" s="5">
        <v>50523</v>
      </c>
      <c r="N88" s="16">
        <f t="shared" si="7"/>
        <v>4</v>
      </c>
      <c r="O88" s="13" t="str">
        <v>zdf{</v>
      </c>
      <c r="P88" s="16" t="s">
        <v>750</v>
      </c>
      <c r="Q88" s="5">
        <v>66957</v>
      </c>
      <c r="S88" s="5"/>
    </row>
    <row r="89" spans="1:26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756</v>
      </c>
      <c r="G89" s="21"/>
      <c r="H89" s="16"/>
      <c r="I89" s="16"/>
      <c r="J89" s="16"/>
      <c r="K89" s="16"/>
      <c r="L89" s="15">
        <f t="shared" si="5"/>
        <v>37.610958904109587</v>
      </c>
      <c r="M89" s="5">
        <v>53229</v>
      </c>
      <c r="N89" s="16">
        <f t="shared" si="7"/>
        <v>2</v>
      </c>
      <c r="O89" s="13" t="str">
        <v>vgfn</v>
      </c>
      <c r="P89" s="16" t="s">
        <v>752</v>
      </c>
      <c r="Q89" s="5">
        <v>66957</v>
      </c>
      <c r="S89" s="5"/>
    </row>
    <row r="90" spans="1:26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757</v>
      </c>
      <c r="G90" s="21"/>
      <c r="H90" s="16"/>
      <c r="I90" s="16"/>
      <c r="J90" s="16"/>
      <c r="K90" s="16"/>
      <c r="L90" s="15">
        <f t="shared" si="5"/>
        <v>12.134246575342466</v>
      </c>
      <c r="M90" s="5">
        <v>62528</v>
      </c>
      <c r="N90" s="16"/>
      <c r="O90" s="13"/>
      <c r="P90" s="16"/>
      <c r="Q90" s="5">
        <v>66957</v>
      </c>
      <c r="S90" s="5"/>
    </row>
    <row r="91" spans="1:26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756</v>
      </c>
      <c r="G91" s="21"/>
      <c r="H91" s="16"/>
      <c r="I91" s="16"/>
      <c r="J91" s="16"/>
      <c r="K91" s="16"/>
      <c r="L91" s="15">
        <f t="shared" si="5"/>
        <v>43.578082191780823</v>
      </c>
      <c r="M91" s="5">
        <v>51051</v>
      </c>
      <c r="N91" s="16"/>
      <c r="O91" s="16"/>
      <c r="P91" s="16"/>
      <c r="Q91" s="5">
        <v>66957</v>
      </c>
      <c r="S91" s="5"/>
    </row>
    <row r="92" spans="1:26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756</v>
      </c>
      <c r="G92" s="21"/>
      <c r="H92" s="16"/>
      <c r="I92" s="16"/>
      <c r="J92" s="16"/>
      <c r="K92" s="16"/>
      <c r="L92" s="15">
        <f t="shared" si="5"/>
        <v>37.180821917808217</v>
      </c>
      <c r="M92" s="5">
        <v>53386</v>
      </c>
      <c r="N92" s="16"/>
      <c r="O92" s="16"/>
      <c r="P92" s="16"/>
      <c r="Q92" s="5">
        <v>66957</v>
      </c>
      <c r="S92" s="5"/>
    </row>
    <row r="93" spans="1:26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757</v>
      </c>
      <c r="G93" s="21"/>
      <c r="H93" s="16"/>
      <c r="I93" s="16"/>
      <c r="J93" s="16"/>
      <c r="K93" s="16"/>
      <c r="L93" s="15">
        <f t="shared" si="5"/>
        <v>12.608219178082193</v>
      </c>
      <c r="M93" s="5">
        <v>62355</v>
      </c>
      <c r="N93" s="16"/>
      <c r="O93" s="16"/>
      <c r="P93" s="16"/>
      <c r="Q93" s="5">
        <v>66957</v>
      </c>
      <c r="S93" s="5"/>
    </row>
    <row r="94" spans="1:26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756</v>
      </c>
      <c r="G94" s="21"/>
      <c r="H94" s="16" t="s">
        <v>748</v>
      </c>
      <c r="I94" s="16" t="s">
        <v>748</v>
      </c>
      <c r="J94" s="16" t="s">
        <v>748</v>
      </c>
      <c r="K94" s="16" t="s">
        <v>748</v>
      </c>
      <c r="L94" s="15">
        <f t="shared" si="5"/>
        <v>47.167123287671231</v>
      </c>
      <c r="M94" s="5">
        <v>49741</v>
      </c>
      <c r="N94" s="16"/>
      <c r="O94" s="16"/>
      <c r="P94" s="16"/>
      <c r="Q94" s="5">
        <v>66957</v>
      </c>
      <c r="S94" s="5">
        <v>66242</v>
      </c>
      <c r="T94" s="2" t="s">
        <v>100</v>
      </c>
      <c r="U94" s="2">
        <v>3</v>
      </c>
      <c r="V94" s="2">
        <v>1</v>
      </c>
      <c r="W94" s="2">
        <v>2</v>
      </c>
      <c r="X94" t="s">
        <v>238</v>
      </c>
      <c r="Y94" t="s">
        <v>245</v>
      </c>
      <c r="Z94" t="s">
        <v>332</v>
      </c>
    </row>
    <row r="95" spans="1:26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757</v>
      </c>
      <c r="G95" s="21"/>
      <c r="H95" s="16"/>
      <c r="I95" s="16"/>
      <c r="J95" s="16"/>
      <c r="K95" s="16"/>
      <c r="L95" s="15">
        <f t="shared" si="5"/>
        <v>17.117808219178084</v>
      </c>
      <c r="M95" s="5">
        <v>60709</v>
      </c>
      <c r="N95" s="16"/>
      <c r="O95" s="16"/>
      <c r="P95" s="16"/>
      <c r="Q95" s="5">
        <v>66957</v>
      </c>
      <c r="S95" s="5"/>
      <c r="U95" s="3"/>
      <c r="V95" s="3"/>
      <c r="W95" s="3"/>
    </row>
    <row r="96" spans="1:26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757</v>
      </c>
      <c r="G96" s="21"/>
      <c r="H96" s="16"/>
      <c r="I96" s="16"/>
      <c r="J96" s="16"/>
      <c r="K96" s="16"/>
      <c r="L96" s="15">
        <f t="shared" si="5"/>
        <v>14.632876712328768</v>
      </c>
      <c r="M96" s="5">
        <v>61616</v>
      </c>
      <c r="N96" s="16"/>
      <c r="O96" s="16"/>
      <c r="P96" s="16"/>
      <c r="Q96" s="5">
        <v>66957</v>
      </c>
      <c r="S96" s="5"/>
      <c r="U96" s="3"/>
      <c r="V96" s="3"/>
      <c r="W96" s="3"/>
    </row>
    <row r="97" spans="1:26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756</v>
      </c>
      <c r="G97" s="21"/>
      <c r="H97" s="16">
        <v>0</v>
      </c>
      <c r="I97" s="16">
        <v>4</v>
      </c>
      <c r="J97" s="16">
        <v>2</v>
      </c>
      <c r="K97" s="16">
        <v>0</v>
      </c>
      <c r="L97" s="15">
        <f t="shared" si="5"/>
        <v>61.846575342465755</v>
      </c>
      <c r="M97" s="5">
        <v>44383</v>
      </c>
      <c r="N97" s="16"/>
      <c r="O97" s="16"/>
      <c r="P97" s="16"/>
      <c r="Q97" s="5">
        <v>66957</v>
      </c>
      <c r="S97" s="5">
        <v>66240</v>
      </c>
      <c r="T97" s="2" t="s">
        <v>2</v>
      </c>
      <c r="U97" s="2">
        <v>5</v>
      </c>
      <c r="V97" s="2">
        <v>3</v>
      </c>
      <c r="W97" s="2">
        <v>2</v>
      </c>
      <c r="X97" t="s">
        <v>242</v>
      </c>
      <c r="Y97" t="s">
        <v>329</v>
      </c>
      <c r="Z97" t="s">
        <v>245</v>
      </c>
    </row>
    <row r="98" spans="1:26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756</v>
      </c>
      <c r="G98" s="21"/>
      <c r="H98" s="16"/>
      <c r="I98" s="16"/>
      <c r="J98" s="16"/>
      <c r="K98" s="16"/>
      <c r="L98" s="15">
        <f t="shared" si="5"/>
        <v>52.5013698630137</v>
      </c>
      <c r="M98" s="5">
        <v>47794</v>
      </c>
      <c r="N98" s="16"/>
      <c r="O98" s="16"/>
      <c r="P98" s="16"/>
      <c r="Q98" s="5">
        <v>66957</v>
      </c>
      <c r="S98" s="5"/>
    </row>
    <row r="99" spans="1:26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757</v>
      </c>
      <c r="G99" s="21"/>
      <c r="H99" s="16"/>
      <c r="I99" s="16"/>
      <c r="J99" s="16"/>
      <c r="K99" s="16"/>
      <c r="L99" s="15">
        <f t="shared" si="5"/>
        <v>33.898630136986299</v>
      </c>
      <c r="M99" s="5">
        <v>54584</v>
      </c>
      <c r="N99" s="16"/>
      <c r="O99" s="16"/>
      <c r="P99" s="16"/>
      <c r="Q99" s="5">
        <v>66957</v>
      </c>
      <c r="S99" s="5"/>
    </row>
    <row r="100" spans="1:26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757</v>
      </c>
      <c r="G100" s="21"/>
      <c r="H100" s="16"/>
      <c r="I100" s="16"/>
      <c r="J100" s="16"/>
      <c r="K100" s="16"/>
      <c r="L100" s="15">
        <f t="shared" si="5"/>
        <v>31.731506849315068</v>
      </c>
      <c r="M100" s="5">
        <v>55375</v>
      </c>
      <c r="N100" s="16"/>
      <c r="O100" s="16"/>
      <c r="P100" s="16"/>
      <c r="Q100" s="5">
        <v>66957</v>
      </c>
      <c r="S100" s="5"/>
    </row>
    <row r="101" spans="1:26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757</v>
      </c>
      <c r="G101" s="21"/>
      <c r="H101" s="16"/>
      <c r="I101" s="16"/>
      <c r="J101" s="16"/>
      <c r="K101" s="16"/>
      <c r="L101" s="15">
        <f t="shared" si="5"/>
        <v>26.764383561643836</v>
      </c>
      <c r="M101" s="5">
        <v>57188</v>
      </c>
      <c r="N101" s="16"/>
      <c r="O101" s="16"/>
      <c r="P101" s="16"/>
      <c r="Q101" s="5">
        <v>66957</v>
      </c>
      <c r="S101" s="5"/>
    </row>
    <row r="102" spans="1:26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756</v>
      </c>
      <c r="G102" s="21"/>
      <c r="H102" s="16">
        <v>3</v>
      </c>
      <c r="I102" s="16">
        <v>7</v>
      </c>
      <c r="J102" s="16">
        <v>2</v>
      </c>
      <c r="K102" s="16">
        <v>0</v>
      </c>
      <c r="L102" s="15">
        <f t="shared" si="5"/>
        <v>66.169863013698631</v>
      </c>
      <c r="M102" s="5">
        <v>42805</v>
      </c>
      <c r="N102" s="16"/>
      <c r="O102" s="16"/>
      <c r="P102" s="16"/>
      <c r="Q102" s="5">
        <v>66957</v>
      </c>
      <c r="S102" s="5">
        <v>66231</v>
      </c>
      <c r="T102" s="2" t="s">
        <v>2</v>
      </c>
      <c r="U102" s="2">
        <v>1</v>
      </c>
      <c r="V102" s="2">
        <v>1</v>
      </c>
      <c r="X102" t="s">
        <v>242</v>
      </c>
      <c r="Y102" t="s">
        <v>314</v>
      </c>
      <c r="Z102" t="s">
        <v>245</v>
      </c>
    </row>
    <row r="103" spans="1:26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756</v>
      </c>
      <c r="G103" s="21"/>
      <c r="H103" s="16">
        <v>0</v>
      </c>
      <c r="I103" s="16">
        <v>4</v>
      </c>
      <c r="J103" s="16">
        <v>0</v>
      </c>
      <c r="K103" s="16">
        <v>2</v>
      </c>
      <c r="L103" s="15">
        <f t="shared" si="5"/>
        <v>49.060273972602737</v>
      </c>
      <c r="M103" s="5">
        <v>49050</v>
      </c>
      <c r="N103" s="16"/>
      <c r="O103" s="16"/>
      <c r="P103" s="16"/>
      <c r="Q103" s="5">
        <v>66957</v>
      </c>
      <c r="S103" s="5">
        <v>66195</v>
      </c>
      <c r="T103" s="2" t="s">
        <v>100</v>
      </c>
      <c r="U103" s="2">
        <v>1</v>
      </c>
      <c r="V103" s="2">
        <v>1</v>
      </c>
      <c r="X103" t="s">
        <v>242</v>
      </c>
      <c r="Y103" t="s">
        <v>245</v>
      </c>
      <c r="Z103" t="s">
        <v>304</v>
      </c>
    </row>
    <row r="104" spans="1:26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756</v>
      </c>
      <c r="G104" s="21"/>
      <c r="H104" s="16">
        <v>0</v>
      </c>
      <c r="I104" s="16">
        <v>4</v>
      </c>
      <c r="J104" s="16">
        <v>0</v>
      </c>
      <c r="K104" s="16">
        <v>0</v>
      </c>
      <c r="L104" s="15">
        <f t="shared" si="5"/>
        <v>58.81095890410959</v>
      </c>
      <c r="M104" s="5">
        <v>45491</v>
      </c>
      <c r="N104" s="16"/>
      <c r="O104" s="16"/>
      <c r="P104" s="16"/>
      <c r="Q104" s="5">
        <v>66957</v>
      </c>
      <c r="S104" s="5">
        <v>66188</v>
      </c>
      <c r="T104" s="2" t="s">
        <v>2</v>
      </c>
      <c r="U104" s="2">
        <v>7</v>
      </c>
      <c r="V104" s="2">
        <v>3</v>
      </c>
      <c r="W104" s="2">
        <v>4</v>
      </c>
      <c r="X104" t="s">
        <v>242</v>
      </c>
      <c r="Y104" t="s">
        <v>254</v>
      </c>
      <c r="Z104" t="s">
        <v>245</v>
      </c>
    </row>
    <row r="105" spans="1:26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756</v>
      </c>
      <c r="G105" s="21"/>
      <c r="H105" s="16"/>
      <c r="I105" s="16"/>
      <c r="J105" s="16"/>
      <c r="K105" s="16"/>
      <c r="L105" s="15">
        <f t="shared" si="5"/>
        <v>29.986301369863014</v>
      </c>
      <c r="M105" s="5">
        <v>56012</v>
      </c>
      <c r="N105" s="16"/>
      <c r="O105" s="16"/>
      <c r="P105" s="16"/>
      <c r="Q105" s="5">
        <v>66957</v>
      </c>
      <c r="S105" s="5"/>
    </row>
    <row r="106" spans="1:26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757</v>
      </c>
      <c r="G106" s="21"/>
      <c r="H106" s="16"/>
      <c r="I106" s="16"/>
      <c r="J106" s="16"/>
      <c r="K106" s="16"/>
      <c r="L106" s="15">
        <f t="shared" si="5"/>
        <v>3.4164383561643836</v>
      </c>
      <c r="M106" s="5">
        <v>65710</v>
      </c>
      <c r="N106" s="16"/>
      <c r="O106" s="16"/>
      <c r="P106" s="16"/>
      <c r="Q106" s="5">
        <v>66957</v>
      </c>
      <c r="S106" s="5"/>
    </row>
    <row r="107" spans="1:26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756</v>
      </c>
      <c r="G107" s="21"/>
      <c r="H107" s="16"/>
      <c r="I107" s="16"/>
      <c r="J107" s="16"/>
      <c r="K107" s="16"/>
      <c r="L107" s="15">
        <f t="shared" si="5"/>
        <v>36.063013698630137</v>
      </c>
      <c r="M107" s="5">
        <v>53794</v>
      </c>
      <c r="N107" s="16"/>
      <c r="O107" s="16"/>
      <c r="P107" s="16"/>
      <c r="Q107" s="5">
        <v>66957</v>
      </c>
      <c r="S107" s="5"/>
    </row>
    <row r="108" spans="1:26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757</v>
      </c>
      <c r="G108" s="21"/>
      <c r="H108" s="16"/>
      <c r="I108" s="16"/>
      <c r="J108" s="16"/>
      <c r="K108" s="16"/>
      <c r="L108" s="15">
        <f t="shared" si="5"/>
        <v>7.1698630136986301</v>
      </c>
      <c r="M108" s="5">
        <v>64340</v>
      </c>
      <c r="N108" s="16"/>
      <c r="O108" s="16"/>
      <c r="P108" s="16"/>
      <c r="Q108" s="5">
        <v>66957</v>
      </c>
      <c r="S108" s="5"/>
    </row>
    <row r="109" spans="1:26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756</v>
      </c>
      <c r="G109" s="21"/>
      <c r="H109" s="16"/>
      <c r="I109" s="16"/>
      <c r="J109" s="16"/>
      <c r="K109" s="16"/>
      <c r="L109" s="15">
        <f t="shared" si="5"/>
        <v>92.460273972602735</v>
      </c>
      <c r="M109" s="5">
        <v>33209</v>
      </c>
      <c r="N109" s="16"/>
      <c r="O109" s="16"/>
      <c r="P109" s="16"/>
      <c r="Q109" s="5">
        <v>66957</v>
      </c>
      <c r="S109" s="5"/>
    </row>
    <row r="110" spans="1:26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756</v>
      </c>
      <c r="G110" s="21"/>
      <c r="H110" s="16"/>
      <c r="I110" s="16"/>
      <c r="J110" s="16"/>
      <c r="K110" s="16"/>
      <c r="L110" s="15">
        <f t="shared" si="5"/>
        <v>59.246575342465754</v>
      </c>
      <c r="M110" s="5">
        <v>45332</v>
      </c>
      <c r="N110" s="16"/>
      <c r="O110" s="16"/>
      <c r="P110" s="16"/>
      <c r="Q110" s="5">
        <v>66957</v>
      </c>
      <c r="S110" s="5"/>
    </row>
    <row r="111" spans="1:26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756</v>
      </c>
      <c r="G111" s="21"/>
      <c r="H111" s="16">
        <v>2</v>
      </c>
      <c r="I111" s="16">
        <v>10</v>
      </c>
      <c r="J111" s="16">
        <v>2</v>
      </c>
      <c r="K111" s="16">
        <v>0</v>
      </c>
      <c r="L111" s="15">
        <f t="shared" si="5"/>
        <v>70.167123287671231</v>
      </c>
      <c r="M111" s="5">
        <v>41346</v>
      </c>
      <c r="N111" s="16"/>
      <c r="O111" s="16"/>
      <c r="P111" s="16"/>
      <c r="Q111" s="5">
        <v>66957</v>
      </c>
      <c r="S111" s="5">
        <v>66183</v>
      </c>
      <c r="T111" s="2" t="s">
        <v>100</v>
      </c>
      <c r="U111" s="2">
        <v>1</v>
      </c>
      <c r="V111" s="2">
        <v>1</v>
      </c>
      <c r="X111" t="s">
        <v>242</v>
      </c>
      <c r="Y111" t="s">
        <v>245</v>
      </c>
      <c r="Z111" t="s">
        <v>269</v>
      </c>
    </row>
    <row r="112" spans="1:26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756</v>
      </c>
      <c r="G112" s="21"/>
      <c r="H112" s="16">
        <v>0</v>
      </c>
      <c r="I112" s="16">
        <v>3</v>
      </c>
      <c r="J112" s="16">
        <v>2</v>
      </c>
      <c r="K112" s="16">
        <v>0</v>
      </c>
      <c r="L112" s="15">
        <f t="shared" si="5"/>
        <v>55.175342465753424</v>
      </c>
      <c r="M112" s="5">
        <v>46818</v>
      </c>
      <c r="N112" s="16"/>
      <c r="O112" s="16"/>
      <c r="P112" s="16"/>
      <c r="Q112" s="5">
        <v>66957</v>
      </c>
      <c r="S112" s="5">
        <v>66182</v>
      </c>
      <c r="T112" s="2" t="s">
        <v>2</v>
      </c>
      <c r="U112" s="2">
        <v>9</v>
      </c>
      <c r="V112" s="2">
        <v>5</v>
      </c>
      <c r="W112" s="2">
        <v>4</v>
      </c>
      <c r="X112" t="s">
        <v>241</v>
      </c>
      <c r="Y112" t="s">
        <v>264</v>
      </c>
      <c r="Z112" t="s">
        <v>245</v>
      </c>
    </row>
    <row r="113" spans="1:26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756</v>
      </c>
      <c r="G113" s="21"/>
      <c r="H113" s="16"/>
      <c r="I113" s="16"/>
      <c r="J113" s="16"/>
      <c r="K113" s="16"/>
      <c r="L113" s="15">
        <f t="shared" si="5"/>
        <v>56.594520547945208</v>
      </c>
      <c r="M113" s="5">
        <v>46300</v>
      </c>
      <c r="N113" s="16"/>
      <c r="O113" s="16"/>
      <c r="P113" s="16"/>
      <c r="Q113" s="5">
        <v>66957</v>
      </c>
      <c r="S113" s="5"/>
    </row>
    <row r="114" spans="1:26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756</v>
      </c>
      <c r="G114" s="21"/>
      <c r="H114" s="16"/>
      <c r="I114" s="16"/>
      <c r="J114" s="16"/>
      <c r="K114" s="16"/>
      <c r="L114" s="15">
        <f t="shared" si="5"/>
        <v>33.473972602739728</v>
      </c>
      <c r="M114" s="5">
        <v>54739</v>
      </c>
      <c r="N114" s="16"/>
      <c r="O114" s="16"/>
      <c r="P114" s="16"/>
      <c r="Q114" s="5">
        <v>66957</v>
      </c>
      <c r="S114" s="5"/>
    </row>
    <row r="115" spans="1:26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756</v>
      </c>
      <c r="G115" s="21"/>
      <c r="H115" s="16"/>
      <c r="I115" s="16"/>
      <c r="J115" s="16"/>
      <c r="K115" s="16"/>
      <c r="L115" s="15">
        <f t="shared" si="5"/>
        <v>27.989041095890411</v>
      </c>
      <c r="M115" s="5">
        <v>56741</v>
      </c>
      <c r="N115" s="16"/>
      <c r="O115" s="16"/>
      <c r="P115" s="16"/>
      <c r="Q115" s="5">
        <v>66957</v>
      </c>
      <c r="S115" s="5"/>
    </row>
    <row r="116" spans="1:26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756</v>
      </c>
      <c r="G116" s="21"/>
      <c r="H116" s="16"/>
      <c r="I116" s="16"/>
      <c r="J116" s="16"/>
      <c r="K116" s="16"/>
      <c r="L116" s="15">
        <f t="shared" si="5"/>
        <v>34.876712328767127</v>
      </c>
      <c r="M116" s="5">
        <v>54227</v>
      </c>
      <c r="N116" s="16"/>
      <c r="O116" s="16"/>
      <c r="P116" s="16"/>
      <c r="Q116" s="5">
        <v>66957</v>
      </c>
      <c r="S116" s="5"/>
    </row>
    <row r="117" spans="1:26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756</v>
      </c>
      <c r="G117" s="21"/>
      <c r="H117" s="16"/>
      <c r="I117" s="16"/>
      <c r="J117" s="16"/>
      <c r="K117" s="16"/>
      <c r="L117" s="15">
        <f t="shared" si="5"/>
        <v>29.575342465753426</v>
      </c>
      <c r="M117" s="5">
        <v>56162</v>
      </c>
      <c r="N117" s="16"/>
      <c r="O117" s="16"/>
      <c r="P117" s="16"/>
      <c r="Q117" s="5">
        <v>66957</v>
      </c>
      <c r="S117" s="5"/>
    </row>
    <row r="118" spans="1:26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757</v>
      </c>
      <c r="G118" s="21"/>
      <c r="H118" s="16"/>
      <c r="I118" s="16"/>
      <c r="J118" s="16"/>
      <c r="K118" s="16"/>
      <c r="L118" s="15">
        <f t="shared" si="5"/>
        <v>24.243835616438357</v>
      </c>
      <c r="M118" s="5">
        <v>58108</v>
      </c>
      <c r="N118" s="16"/>
      <c r="O118" s="16"/>
      <c r="P118" s="16"/>
      <c r="Q118" s="5">
        <v>66957</v>
      </c>
      <c r="S118" s="5"/>
    </row>
    <row r="119" spans="1:26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757</v>
      </c>
      <c r="G119" s="21"/>
      <c r="H119" s="16"/>
      <c r="I119" s="16"/>
      <c r="J119" s="16"/>
      <c r="K119" s="16"/>
      <c r="L119" s="15">
        <f t="shared" si="5"/>
        <v>4.8904109589041092</v>
      </c>
      <c r="M119" s="5">
        <v>65172</v>
      </c>
      <c r="N119" s="16"/>
      <c r="O119" s="16"/>
      <c r="P119" s="16"/>
      <c r="Q119" s="5">
        <v>66957</v>
      </c>
      <c r="S119" s="5"/>
    </row>
    <row r="120" spans="1:26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757</v>
      </c>
      <c r="G120" s="21"/>
      <c r="H120" s="16"/>
      <c r="I120" s="16"/>
      <c r="J120" s="16"/>
      <c r="K120" s="16"/>
      <c r="L120" s="15">
        <f t="shared" si="5"/>
        <v>12.575342465753424</v>
      </c>
      <c r="M120" s="5">
        <v>62367</v>
      </c>
      <c r="N120" s="16"/>
      <c r="O120" s="16"/>
      <c r="P120" s="16"/>
      <c r="Q120" s="5">
        <v>66957</v>
      </c>
      <c r="S120" s="5"/>
    </row>
    <row r="121" spans="1:26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756</v>
      </c>
      <c r="G121" s="21"/>
      <c r="H121" s="16">
        <v>0</v>
      </c>
      <c r="I121" s="16">
        <v>8</v>
      </c>
      <c r="J121" s="16">
        <v>0</v>
      </c>
      <c r="K121" s="16">
        <v>0</v>
      </c>
      <c r="L121" s="15">
        <f t="shared" si="5"/>
        <v>35.783561643835618</v>
      </c>
      <c r="M121" s="5">
        <v>53896</v>
      </c>
      <c r="N121" s="16"/>
      <c r="O121" s="16"/>
      <c r="P121" s="16"/>
      <c r="Q121" s="5">
        <v>66957</v>
      </c>
      <c r="S121" s="5">
        <v>66169</v>
      </c>
      <c r="T121" s="2" t="s">
        <v>100</v>
      </c>
      <c r="U121" s="2">
        <v>6</v>
      </c>
      <c r="V121" s="2">
        <v>3</v>
      </c>
      <c r="W121" s="2">
        <v>3</v>
      </c>
      <c r="X121" t="s">
        <v>242</v>
      </c>
      <c r="Y121" t="s">
        <v>245</v>
      </c>
      <c r="Z121" t="s">
        <v>328</v>
      </c>
    </row>
    <row r="122" spans="1:26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756</v>
      </c>
      <c r="G122" s="21"/>
      <c r="H122" s="16"/>
      <c r="I122" s="16"/>
      <c r="J122" s="16"/>
      <c r="K122" s="16"/>
      <c r="L122" s="15">
        <f t="shared" si="5"/>
        <v>59.750684931506846</v>
      </c>
      <c r="M122" s="5">
        <v>45148</v>
      </c>
      <c r="N122" s="16"/>
      <c r="O122" s="16"/>
      <c r="P122" s="16"/>
      <c r="Q122" s="5">
        <v>66957</v>
      </c>
      <c r="S122" s="5"/>
    </row>
    <row r="123" spans="1:26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756</v>
      </c>
      <c r="G123" s="21"/>
      <c r="H123" s="16"/>
      <c r="I123" s="16"/>
      <c r="J123" s="16"/>
      <c r="K123" s="16"/>
      <c r="L123" s="15">
        <f t="shared" si="5"/>
        <v>56.021917808219179</v>
      </c>
      <c r="M123" s="5">
        <v>46509</v>
      </c>
      <c r="N123" s="16"/>
      <c r="O123" s="16"/>
      <c r="P123" s="16"/>
      <c r="Q123" s="5">
        <v>66957</v>
      </c>
      <c r="S123" s="5"/>
    </row>
    <row r="124" spans="1:26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756</v>
      </c>
      <c r="G124" s="21"/>
      <c r="H124" s="16"/>
      <c r="I124" s="16"/>
      <c r="J124" s="16"/>
      <c r="K124" s="16"/>
      <c r="L124" s="15">
        <f t="shared" si="5"/>
        <v>32.728767123287675</v>
      </c>
      <c r="M124" s="5">
        <v>55011</v>
      </c>
      <c r="N124" s="16"/>
      <c r="O124" s="16"/>
      <c r="P124" s="16"/>
      <c r="Q124" s="5">
        <v>66957</v>
      </c>
      <c r="S124" s="5"/>
    </row>
    <row r="125" spans="1:26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757</v>
      </c>
      <c r="G125" s="21"/>
      <c r="H125" s="16"/>
      <c r="I125" s="16"/>
      <c r="J125" s="16"/>
      <c r="K125" s="16"/>
      <c r="L125" s="15">
        <f t="shared" si="5"/>
        <v>10.265753424657534</v>
      </c>
      <c r="M125" s="5">
        <v>63210</v>
      </c>
      <c r="N125" s="16"/>
      <c r="O125" s="16"/>
      <c r="P125" s="16"/>
      <c r="Q125" s="5">
        <v>66957</v>
      </c>
      <c r="S125" s="5"/>
    </row>
    <row r="126" spans="1:26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757</v>
      </c>
      <c r="G126" s="21"/>
      <c r="H126" s="16"/>
      <c r="I126" s="16"/>
      <c r="J126" s="16"/>
      <c r="K126" s="16"/>
      <c r="L126" s="15">
        <f t="shared" si="5"/>
        <v>3.6219178082191781</v>
      </c>
      <c r="M126" s="5">
        <v>65635</v>
      </c>
      <c r="N126" s="16"/>
      <c r="O126" s="16"/>
      <c r="P126" s="16"/>
      <c r="Q126" s="5">
        <v>66957</v>
      </c>
      <c r="S126" s="5"/>
    </row>
    <row r="127" spans="1:26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756</v>
      </c>
      <c r="G127" s="21"/>
      <c r="H127" s="16">
        <v>0</v>
      </c>
      <c r="I127" s="16">
        <v>4</v>
      </c>
      <c r="J127" s="16">
        <v>0</v>
      </c>
      <c r="K127" s="16">
        <v>0</v>
      </c>
      <c r="L127" s="15">
        <f t="shared" si="5"/>
        <v>55.578082191780823</v>
      </c>
      <c r="M127" s="5">
        <v>46671</v>
      </c>
      <c r="N127" s="16"/>
      <c r="O127" s="16"/>
      <c r="P127" s="16"/>
      <c r="Q127" s="5">
        <v>66957</v>
      </c>
      <c r="S127" s="5">
        <v>66138</v>
      </c>
      <c r="T127" s="2" t="s">
        <v>2</v>
      </c>
      <c r="U127" s="2">
        <v>4</v>
      </c>
      <c r="V127" s="2">
        <v>2</v>
      </c>
      <c r="W127" s="2">
        <v>2</v>
      </c>
      <c r="X127" t="s">
        <v>242</v>
      </c>
      <c r="Y127" t="s">
        <v>266</v>
      </c>
      <c r="Z127" t="s">
        <v>245</v>
      </c>
    </row>
    <row r="128" spans="1:26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756</v>
      </c>
      <c r="G128" s="21"/>
      <c r="H128" s="16"/>
      <c r="I128" s="16"/>
      <c r="J128" s="16"/>
      <c r="K128" s="16"/>
      <c r="L128" s="15">
        <f t="shared" si="5"/>
        <v>51.553424657534244</v>
      </c>
      <c r="M128" s="5">
        <v>48140</v>
      </c>
      <c r="N128" s="16"/>
      <c r="O128" s="16"/>
      <c r="P128" s="16"/>
      <c r="Q128" s="5">
        <v>66957</v>
      </c>
      <c r="S128" s="5"/>
    </row>
    <row r="129" spans="1:26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757</v>
      </c>
      <c r="G129" s="21"/>
      <c r="H129" s="16"/>
      <c r="I129" s="16"/>
      <c r="J129" s="16"/>
      <c r="K129" s="16"/>
      <c r="L129" s="15">
        <f t="shared" si="5"/>
        <v>26.268493150684932</v>
      </c>
      <c r="M129" s="5">
        <v>57369</v>
      </c>
      <c r="N129" s="16"/>
      <c r="O129" s="16"/>
      <c r="P129" s="16"/>
      <c r="Q129" s="5">
        <v>66957</v>
      </c>
      <c r="S129" s="5"/>
    </row>
    <row r="130" spans="1:26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757</v>
      </c>
      <c r="G130" s="21"/>
      <c r="H130" s="16"/>
      <c r="I130" s="16"/>
      <c r="J130" s="16"/>
      <c r="K130" s="16"/>
      <c r="L130" s="15">
        <f t="shared" si="5"/>
        <v>22.457534246575342</v>
      </c>
      <c r="M130" s="5">
        <v>58760</v>
      </c>
      <c r="N130" s="16"/>
      <c r="O130" s="16"/>
      <c r="P130" s="16"/>
      <c r="Q130" s="5">
        <v>66957</v>
      </c>
      <c r="S130" s="5"/>
    </row>
    <row r="131" spans="1:26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756</v>
      </c>
      <c r="G131" s="21"/>
      <c r="H131" s="16">
        <v>0</v>
      </c>
      <c r="I131" s="16">
        <v>3</v>
      </c>
      <c r="J131" s="16">
        <v>0</v>
      </c>
      <c r="K131" s="16">
        <v>0</v>
      </c>
      <c r="L131" s="15">
        <f t="shared" si="5"/>
        <v>42.975342465753428</v>
      </c>
      <c r="M131" s="5">
        <v>51271</v>
      </c>
      <c r="N131" s="16"/>
      <c r="O131" s="16"/>
      <c r="P131" s="16"/>
      <c r="Q131" s="5">
        <v>66957</v>
      </c>
      <c r="S131" s="5">
        <v>66132</v>
      </c>
      <c r="T131" s="2" t="s">
        <v>2</v>
      </c>
      <c r="U131" s="2">
        <v>4</v>
      </c>
      <c r="V131" s="2">
        <v>2</v>
      </c>
      <c r="W131" s="2">
        <v>2</v>
      </c>
      <c r="X131" t="s">
        <v>242</v>
      </c>
      <c r="Y131" t="s">
        <v>287</v>
      </c>
      <c r="Z131" t="s">
        <v>245</v>
      </c>
    </row>
    <row r="132" spans="1:26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756</v>
      </c>
      <c r="G132" s="21"/>
      <c r="H132" s="16"/>
      <c r="I132" s="16"/>
      <c r="J132" s="16"/>
      <c r="K132" s="16"/>
      <c r="L132" s="15">
        <f t="shared" ref="L132:L195" si="9">(Q132-M132)/365</f>
        <v>40.178082191780824</v>
      </c>
      <c r="M132" s="5">
        <v>52292</v>
      </c>
      <c r="N132" s="16"/>
      <c r="O132" s="16"/>
      <c r="P132" s="16"/>
      <c r="Q132" s="5">
        <v>66957</v>
      </c>
      <c r="S132" s="5"/>
    </row>
    <row r="133" spans="1:26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757</v>
      </c>
      <c r="G133" s="21"/>
      <c r="H133" s="16"/>
      <c r="I133" s="16"/>
      <c r="J133" s="16"/>
      <c r="K133" s="16"/>
      <c r="L133" s="15">
        <f t="shared" si="9"/>
        <v>18.315068493150687</v>
      </c>
      <c r="M133" s="5">
        <v>60272</v>
      </c>
      <c r="N133" s="16"/>
      <c r="O133" s="16"/>
      <c r="P133" s="16"/>
      <c r="Q133" s="5">
        <v>66957</v>
      </c>
      <c r="S133" s="5"/>
    </row>
    <row r="134" spans="1:26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757</v>
      </c>
      <c r="G134" s="21"/>
      <c r="H134" s="16"/>
      <c r="I134" s="16"/>
      <c r="J134" s="16"/>
      <c r="K134" s="16"/>
      <c r="L134" s="15">
        <f t="shared" si="9"/>
        <v>14.224657534246575</v>
      </c>
      <c r="M134" s="5">
        <v>61765</v>
      </c>
      <c r="N134" s="16"/>
      <c r="O134" s="16"/>
      <c r="P134" s="16"/>
      <c r="Q134" s="5">
        <v>66957</v>
      </c>
      <c r="S134" s="5"/>
    </row>
    <row r="135" spans="1:26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756</v>
      </c>
      <c r="G135" s="21"/>
      <c r="H135" s="16">
        <v>0</v>
      </c>
      <c r="I135" s="16">
        <v>8</v>
      </c>
      <c r="J135" s="16">
        <v>4</v>
      </c>
      <c r="K135" s="16">
        <v>3</v>
      </c>
      <c r="L135" s="15">
        <f t="shared" si="9"/>
        <v>36.038356164383565</v>
      </c>
      <c r="M135" s="5">
        <v>53803</v>
      </c>
      <c r="N135" s="16"/>
      <c r="O135" s="16"/>
      <c r="P135" s="16"/>
      <c r="Q135" s="5">
        <v>66957</v>
      </c>
      <c r="S135" s="5">
        <v>66127</v>
      </c>
      <c r="T135" s="2" t="s">
        <v>2</v>
      </c>
      <c r="U135" s="2">
        <v>4</v>
      </c>
      <c r="V135" s="2">
        <v>2</v>
      </c>
      <c r="W135" s="2">
        <v>2</v>
      </c>
      <c r="X135" t="s">
        <v>242</v>
      </c>
      <c r="Y135" t="s">
        <v>275</v>
      </c>
      <c r="Z135" t="s">
        <v>245</v>
      </c>
    </row>
    <row r="136" spans="1:26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756</v>
      </c>
      <c r="G136" s="21"/>
      <c r="H136" s="16"/>
      <c r="I136" s="16"/>
      <c r="J136" s="16"/>
      <c r="K136" s="16"/>
      <c r="L136" s="15">
        <f t="shared" si="9"/>
        <v>37.769863013698632</v>
      </c>
      <c r="M136" s="5">
        <v>53171</v>
      </c>
      <c r="N136" s="16"/>
      <c r="O136" s="16"/>
      <c r="P136" s="16"/>
      <c r="Q136" s="5">
        <v>66957</v>
      </c>
      <c r="S136" s="5"/>
    </row>
    <row r="137" spans="1:26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757</v>
      </c>
      <c r="G137" s="21"/>
      <c r="H137" s="16"/>
      <c r="I137" s="16"/>
      <c r="J137" s="16"/>
      <c r="K137" s="16"/>
      <c r="L137" s="15">
        <f t="shared" si="9"/>
        <v>11.473972602739726</v>
      </c>
      <c r="M137" s="5">
        <v>62769</v>
      </c>
      <c r="N137" s="16"/>
      <c r="O137" s="16"/>
      <c r="P137" s="16"/>
      <c r="Q137" s="5">
        <v>66957</v>
      </c>
      <c r="S137" s="5"/>
    </row>
    <row r="138" spans="1:26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757</v>
      </c>
      <c r="G138" s="21"/>
      <c r="H138" s="16"/>
      <c r="I138" s="16"/>
      <c r="J138" s="16"/>
      <c r="K138" s="16"/>
      <c r="L138" s="15">
        <f t="shared" si="9"/>
        <v>6.558904109589041</v>
      </c>
      <c r="M138" s="5">
        <v>64563</v>
      </c>
      <c r="N138" s="16"/>
      <c r="O138" s="16"/>
      <c r="P138" s="16"/>
      <c r="Q138" s="5">
        <v>66957</v>
      </c>
      <c r="S138" s="5"/>
    </row>
    <row r="139" spans="1:26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756</v>
      </c>
      <c r="G139" s="21"/>
      <c r="H139" s="16" t="s">
        <v>748</v>
      </c>
      <c r="I139" s="16" t="s">
        <v>748</v>
      </c>
      <c r="J139" s="16" t="s">
        <v>748</v>
      </c>
      <c r="K139" s="16" t="s">
        <v>748</v>
      </c>
      <c r="L139" s="15">
        <f t="shared" si="9"/>
        <v>45.336986301369862</v>
      </c>
      <c r="M139" s="5">
        <v>50409</v>
      </c>
      <c r="N139" s="16"/>
      <c r="O139" s="16"/>
      <c r="P139" s="16"/>
      <c r="Q139" s="5">
        <v>66957</v>
      </c>
      <c r="S139" s="5">
        <v>66121</v>
      </c>
      <c r="T139" s="2" t="s">
        <v>2</v>
      </c>
      <c r="U139" s="2">
        <v>4</v>
      </c>
      <c r="V139" s="2">
        <v>1</v>
      </c>
      <c r="W139" s="2">
        <v>3</v>
      </c>
      <c r="X139" t="s">
        <v>242</v>
      </c>
      <c r="Y139" t="s">
        <v>290</v>
      </c>
      <c r="Z139" t="s">
        <v>245</v>
      </c>
    </row>
    <row r="140" spans="1:26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757</v>
      </c>
      <c r="G140" s="21"/>
      <c r="H140" s="16"/>
      <c r="I140" s="16"/>
      <c r="J140" s="16"/>
      <c r="K140" s="16"/>
      <c r="L140" s="15">
        <f t="shared" si="9"/>
        <v>19.098630136986301</v>
      </c>
      <c r="M140" s="5">
        <v>59986</v>
      </c>
      <c r="N140" s="16"/>
      <c r="O140" s="16"/>
      <c r="P140" s="16"/>
      <c r="Q140" s="5">
        <v>66957</v>
      </c>
      <c r="S140" s="5"/>
    </row>
    <row r="141" spans="1:26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756</v>
      </c>
      <c r="G141" s="21"/>
      <c r="H141" s="16"/>
      <c r="I141" s="16"/>
      <c r="J141" s="16"/>
      <c r="K141" s="16"/>
      <c r="L141" s="15">
        <f t="shared" si="9"/>
        <v>40.090410958904108</v>
      </c>
      <c r="M141" s="5">
        <v>52324</v>
      </c>
      <c r="N141" s="16"/>
      <c r="O141" s="16"/>
      <c r="P141" s="16"/>
      <c r="Q141" s="5">
        <v>66957</v>
      </c>
      <c r="S141" s="5"/>
    </row>
    <row r="142" spans="1:26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757</v>
      </c>
      <c r="G142" s="21"/>
      <c r="H142" s="16"/>
      <c r="I142" s="16"/>
      <c r="J142" s="16"/>
      <c r="K142" s="16"/>
      <c r="L142" s="15">
        <f t="shared" si="9"/>
        <v>22.065753424657533</v>
      </c>
      <c r="M142" s="5">
        <v>58903</v>
      </c>
      <c r="N142" s="16"/>
      <c r="O142" s="16"/>
      <c r="P142" s="16"/>
      <c r="Q142" s="5">
        <v>66957</v>
      </c>
      <c r="S142" s="5"/>
    </row>
    <row r="143" spans="1:26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756</v>
      </c>
      <c r="G143" s="21"/>
      <c r="H143" s="16" t="s">
        <v>748</v>
      </c>
      <c r="I143" s="16" t="s">
        <v>748</v>
      </c>
      <c r="J143" s="16" t="s">
        <v>748</v>
      </c>
      <c r="K143" s="16" t="s">
        <v>748</v>
      </c>
      <c r="L143" s="15">
        <f t="shared" si="9"/>
        <v>63.158904109589038</v>
      </c>
      <c r="M143" s="5">
        <v>43904</v>
      </c>
      <c r="N143" s="16"/>
      <c r="O143" s="16"/>
      <c r="P143" s="16"/>
      <c r="Q143" s="5">
        <v>66957</v>
      </c>
      <c r="S143" s="5">
        <v>66058</v>
      </c>
      <c r="T143" s="2" t="s">
        <v>100</v>
      </c>
      <c r="U143" s="2">
        <v>4</v>
      </c>
      <c r="V143" s="2">
        <v>3</v>
      </c>
      <c r="W143" s="2">
        <v>1</v>
      </c>
      <c r="X143" t="s">
        <v>242</v>
      </c>
      <c r="Y143" t="s">
        <v>245</v>
      </c>
      <c r="Z143" t="s">
        <v>280</v>
      </c>
    </row>
    <row r="144" spans="1:26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756</v>
      </c>
      <c r="G144" s="21"/>
      <c r="H144" s="16"/>
      <c r="I144" s="16"/>
      <c r="J144" s="16"/>
      <c r="K144" s="16"/>
      <c r="L144" s="15">
        <f t="shared" si="9"/>
        <v>93.589041095890408</v>
      </c>
      <c r="M144" s="5">
        <v>32797</v>
      </c>
      <c r="N144" s="16"/>
      <c r="O144" s="16"/>
      <c r="P144" s="16"/>
      <c r="Q144" s="5">
        <v>66957</v>
      </c>
      <c r="S144" s="5"/>
    </row>
    <row r="145" spans="1:26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756</v>
      </c>
      <c r="G145" s="21"/>
      <c r="H145" s="16"/>
      <c r="I145" s="16"/>
      <c r="J145" s="16"/>
      <c r="K145" s="16"/>
      <c r="L145" s="15">
        <f t="shared" si="9"/>
        <v>60.843835616438355</v>
      </c>
      <c r="M145" s="5">
        <v>44749</v>
      </c>
      <c r="N145" s="16"/>
      <c r="O145" s="16"/>
      <c r="P145" s="16"/>
      <c r="Q145" s="5">
        <v>66957</v>
      </c>
      <c r="S145" s="5"/>
    </row>
    <row r="146" spans="1:26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757</v>
      </c>
      <c r="G146" s="21"/>
      <c r="H146" s="16"/>
      <c r="I146" s="16"/>
      <c r="J146" s="16"/>
      <c r="K146" s="16"/>
      <c r="L146" s="15">
        <f t="shared" si="9"/>
        <v>33.419178082191777</v>
      </c>
      <c r="M146" s="5">
        <v>54759</v>
      </c>
      <c r="N146" s="16"/>
      <c r="O146" s="16"/>
      <c r="P146" s="16"/>
      <c r="Q146" s="5">
        <v>66957</v>
      </c>
      <c r="S146" s="5"/>
    </row>
    <row r="147" spans="1:26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756</v>
      </c>
      <c r="G147" s="21"/>
      <c r="H147" s="16">
        <v>0</v>
      </c>
      <c r="I147" s="16">
        <v>3</v>
      </c>
      <c r="J147" s="16">
        <v>1</v>
      </c>
      <c r="K147" s="16">
        <v>0</v>
      </c>
      <c r="L147" s="15">
        <f t="shared" si="9"/>
        <v>43.81095890410959</v>
      </c>
      <c r="M147" s="5">
        <v>50966</v>
      </c>
      <c r="N147" s="16"/>
      <c r="O147" s="16"/>
      <c r="P147" s="16"/>
      <c r="Q147" s="5">
        <v>66957</v>
      </c>
      <c r="S147" s="5">
        <v>66029</v>
      </c>
      <c r="T147" s="2" t="s">
        <v>2</v>
      </c>
      <c r="U147" s="2">
        <v>3</v>
      </c>
      <c r="V147" s="2">
        <v>1</v>
      </c>
      <c r="W147" s="2">
        <v>2</v>
      </c>
      <c r="X147" t="s">
        <v>242</v>
      </c>
      <c r="Y147" t="s">
        <v>255</v>
      </c>
      <c r="Z147" t="s">
        <v>245</v>
      </c>
    </row>
    <row r="148" spans="1:26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756</v>
      </c>
      <c r="G148" s="21"/>
      <c r="H148" s="16"/>
      <c r="I148" s="16"/>
      <c r="J148" s="16"/>
      <c r="K148" s="16"/>
      <c r="L148" s="15">
        <f t="shared" si="9"/>
        <v>41.961643835616435</v>
      </c>
      <c r="M148" s="5">
        <v>51641</v>
      </c>
      <c r="N148" s="16"/>
      <c r="O148" s="16"/>
      <c r="P148" s="16"/>
      <c r="Q148" s="5">
        <v>66957</v>
      </c>
      <c r="S148" s="5"/>
    </row>
    <row r="149" spans="1:26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757</v>
      </c>
      <c r="G149" s="21"/>
      <c r="H149" s="16"/>
      <c r="I149" s="16"/>
      <c r="J149" s="16"/>
      <c r="K149" s="16"/>
      <c r="L149" s="15">
        <f t="shared" si="9"/>
        <v>10.443835616438356</v>
      </c>
      <c r="M149" s="5">
        <v>63145</v>
      </c>
      <c r="N149" s="16"/>
      <c r="O149" s="16"/>
      <c r="P149" s="16"/>
      <c r="Q149" s="5">
        <v>66957</v>
      </c>
      <c r="S149" s="5"/>
    </row>
    <row r="150" spans="1:26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757</v>
      </c>
      <c r="G150" s="21"/>
      <c r="H150" s="16" t="s">
        <v>748</v>
      </c>
      <c r="I150" s="16" t="s">
        <v>748</v>
      </c>
      <c r="J150" s="16" t="s">
        <v>748</v>
      </c>
      <c r="K150" s="16" t="s">
        <v>748</v>
      </c>
      <c r="L150" s="15">
        <f t="shared" si="9"/>
        <v>22.517808219178082</v>
      </c>
      <c r="M150" s="5">
        <v>58738</v>
      </c>
      <c r="N150" s="16"/>
      <c r="O150" s="16"/>
      <c r="P150" s="16"/>
      <c r="Q150" s="5">
        <v>66957</v>
      </c>
      <c r="S150" s="5">
        <v>66029</v>
      </c>
      <c r="T150" s="2" t="s">
        <v>2</v>
      </c>
      <c r="U150" s="2">
        <v>2</v>
      </c>
      <c r="W150" s="2">
        <v>2</v>
      </c>
      <c r="X150" t="s">
        <v>242</v>
      </c>
      <c r="Y150" t="s">
        <v>302</v>
      </c>
      <c r="Z150" t="s">
        <v>245</v>
      </c>
    </row>
    <row r="151" spans="1:26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757</v>
      </c>
      <c r="G151" s="21"/>
      <c r="H151" s="16"/>
      <c r="I151" s="16"/>
      <c r="J151" s="16"/>
      <c r="K151" s="16"/>
      <c r="L151" s="15">
        <f t="shared" si="9"/>
        <v>19.884931506849316</v>
      </c>
      <c r="M151" s="5">
        <v>59699</v>
      </c>
      <c r="N151" s="16"/>
      <c r="O151" s="16"/>
      <c r="P151" s="16"/>
      <c r="Q151" s="5">
        <v>66957</v>
      </c>
      <c r="S151" s="5"/>
    </row>
    <row r="152" spans="1:26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756</v>
      </c>
      <c r="G152" s="21"/>
      <c r="H152" s="16" t="s">
        <v>748</v>
      </c>
      <c r="I152" s="16" t="s">
        <v>748</v>
      </c>
      <c r="J152" s="16" t="s">
        <v>748</v>
      </c>
      <c r="K152" s="16" t="s">
        <v>748</v>
      </c>
      <c r="L152" s="15">
        <f t="shared" si="9"/>
        <v>75.904109589041099</v>
      </c>
      <c r="M152" s="5">
        <v>39252</v>
      </c>
      <c r="N152" s="16"/>
      <c r="O152" s="16"/>
      <c r="P152" s="16"/>
      <c r="Q152" s="5">
        <v>66957</v>
      </c>
      <c r="S152" s="5">
        <v>66021</v>
      </c>
      <c r="T152" s="2" t="s">
        <v>2</v>
      </c>
      <c r="U152" s="2">
        <v>4</v>
      </c>
      <c r="V152" s="2">
        <v>2</v>
      </c>
      <c r="W152" s="2">
        <v>2</v>
      </c>
      <c r="X152" t="s">
        <v>242</v>
      </c>
      <c r="Y152" t="s">
        <v>267</v>
      </c>
      <c r="Z152" t="s">
        <v>245</v>
      </c>
    </row>
    <row r="153" spans="1:26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756</v>
      </c>
      <c r="G153" s="21"/>
      <c r="H153" s="16"/>
      <c r="I153" s="16"/>
      <c r="J153" s="16"/>
      <c r="K153" s="16"/>
      <c r="L153" s="15">
        <f t="shared" si="9"/>
        <v>59.041095890410958</v>
      </c>
      <c r="M153" s="5">
        <v>45407</v>
      </c>
      <c r="N153" s="16"/>
      <c r="O153" s="16"/>
      <c r="P153" s="16"/>
      <c r="Q153" s="5">
        <v>66957</v>
      </c>
      <c r="S153" s="5"/>
    </row>
    <row r="154" spans="1:26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756</v>
      </c>
      <c r="G154" s="21"/>
      <c r="H154" s="16"/>
      <c r="I154" s="16"/>
      <c r="J154" s="16"/>
      <c r="K154" s="16"/>
      <c r="L154" s="15">
        <f t="shared" si="9"/>
        <v>42.38356164383562</v>
      </c>
      <c r="M154" s="5">
        <v>51487</v>
      </c>
      <c r="N154" s="16"/>
      <c r="O154" s="16"/>
      <c r="P154" s="16"/>
      <c r="Q154" s="5">
        <v>66957</v>
      </c>
      <c r="S154" s="5"/>
    </row>
    <row r="155" spans="1:26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756</v>
      </c>
      <c r="G155" s="21"/>
      <c r="H155" s="16"/>
      <c r="I155" s="16"/>
      <c r="J155" s="16"/>
      <c r="K155" s="16"/>
      <c r="L155" s="15">
        <f t="shared" si="9"/>
        <v>42.158904109589038</v>
      </c>
      <c r="M155" s="5">
        <v>51569</v>
      </c>
      <c r="N155" s="16"/>
      <c r="O155" s="16"/>
      <c r="P155" s="16"/>
      <c r="Q155" s="5">
        <v>66957</v>
      </c>
      <c r="S155" s="5"/>
    </row>
    <row r="156" spans="1:26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756</v>
      </c>
      <c r="G156" s="21"/>
      <c r="H156" s="16">
        <v>0</v>
      </c>
      <c r="I156" s="16">
        <v>10</v>
      </c>
      <c r="J156" s="16">
        <v>0</v>
      </c>
      <c r="K156" s="16">
        <v>0</v>
      </c>
      <c r="L156" s="15">
        <f t="shared" si="9"/>
        <v>35.564383561643837</v>
      </c>
      <c r="M156" s="5">
        <v>53976</v>
      </c>
      <c r="N156" s="16"/>
      <c r="O156" s="16"/>
      <c r="P156" s="16"/>
      <c r="Q156" s="5">
        <v>66957</v>
      </c>
      <c r="S156" s="5">
        <v>65997</v>
      </c>
      <c r="T156" s="2" t="s">
        <v>100</v>
      </c>
      <c r="U156" s="2">
        <v>3</v>
      </c>
      <c r="V156" s="2">
        <v>1</v>
      </c>
      <c r="W156" s="2">
        <v>2</v>
      </c>
      <c r="X156" t="s">
        <v>242</v>
      </c>
      <c r="Y156" t="s">
        <v>245</v>
      </c>
      <c r="Z156" t="s">
        <v>257</v>
      </c>
    </row>
    <row r="157" spans="1:26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756</v>
      </c>
      <c r="G157" s="21"/>
      <c r="H157" s="16"/>
      <c r="I157" s="16"/>
      <c r="J157" s="16"/>
      <c r="K157" s="16"/>
      <c r="L157" s="15">
        <f t="shared" si="9"/>
        <v>27.663013698630138</v>
      </c>
      <c r="M157" s="5">
        <v>56860</v>
      </c>
      <c r="N157" s="16"/>
      <c r="O157" s="16"/>
      <c r="P157" s="16"/>
      <c r="Q157" s="5">
        <v>66957</v>
      </c>
      <c r="S157" s="5"/>
    </row>
    <row r="158" spans="1:26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757</v>
      </c>
      <c r="G158" s="21"/>
      <c r="H158" s="16"/>
      <c r="I158" s="16"/>
      <c r="J158" s="16"/>
      <c r="K158" s="16"/>
      <c r="L158" s="15">
        <f t="shared" si="9"/>
        <v>6.7095890410958905</v>
      </c>
      <c r="M158" s="5">
        <v>64508</v>
      </c>
      <c r="N158" s="16"/>
      <c r="O158" s="16"/>
      <c r="P158" s="16"/>
      <c r="Q158" s="5">
        <v>66957</v>
      </c>
      <c r="S158" s="5"/>
    </row>
    <row r="159" spans="1:26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756</v>
      </c>
      <c r="G159" s="21"/>
      <c r="H159" s="16" t="s">
        <v>748</v>
      </c>
      <c r="I159" s="16" t="s">
        <v>748</v>
      </c>
      <c r="J159" s="16" t="s">
        <v>748</v>
      </c>
      <c r="K159" s="16" t="s">
        <v>748</v>
      </c>
      <c r="L159" s="15">
        <f t="shared" si="9"/>
        <v>55.052054794520551</v>
      </c>
      <c r="M159" s="5">
        <v>46863</v>
      </c>
      <c r="N159" s="16"/>
      <c r="O159" s="16"/>
      <c r="P159" s="16"/>
      <c r="Q159" s="5">
        <v>66957</v>
      </c>
      <c r="S159" s="5">
        <v>65972</v>
      </c>
      <c r="T159" s="2" t="s">
        <v>2</v>
      </c>
      <c r="U159" s="2">
        <v>3</v>
      </c>
      <c r="V159" s="2">
        <v>2</v>
      </c>
      <c r="W159" s="2">
        <v>1</v>
      </c>
      <c r="X159" t="s">
        <v>242</v>
      </c>
      <c r="Y159" t="s">
        <v>322</v>
      </c>
      <c r="Z159" t="s">
        <v>245</v>
      </c>
    </row>
    <row r="160" spans="1:26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756</v>
      </c>
      <c r="G160" s="21"/>
      <c r="H160" s="16"/>
      <c r="I160" s="16"/>
      <c r="J160" s="16"/>
      <c r="K160" s="16"/>
      <c r="L160" s="15">
        <f t="shared" si="9"/>
        <v>60.556164383561644</v>
      </c>
      <c r="M160" s="5">
        <v>44854</v>
      </c>
      <c r="N160" s="16"/>
      <c r="O160" s="16"/>
      <c r="P160" s="16"/>
      <c r="Q160" s="5">
        <v>66957</v>
      </c>
      <c r="S160" s="5"/>
    </row>
    <row r="161" spans="1:26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756</v>
      </c>
      <c r="G161" s="21"/>
      <c r="H161" s="16"/>
      <c r="I161" s="16"/>
      <c r="J161" s="16"/>
      <c r="K161" s="16"/>
      <c r="L161" s="15">
        <f t="shared" si="9"/>
        <v>37.128767123287673</v>
      </c>
      <c r="M161" s="5">
        <v>53405</v>
      </c>
      <c r="N161" s="16"/>
      <c r="O161" s="16"/>
      <c r="P161" s="16"/>
      <c r="Q161" s="5">
        <v>66957</v>
      </c>
      <c r="S161" s="5"/>
    </row>
    <row r="162" spans="1:26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756</v>
      </c>
      <c r="G162" s="21"/>
      <c r="H162" s="16" t="s">
        <v>748</v>
      </c>
      <c r="I162" s="16" t="s">
        <v>748</v>
      </c>
      <c r="J162" s="16" t="s">
        <v>748</v>
      </c>
      <c r="K162" s="16" t="s">
        <v>748</v>
      </c>
      <c r="L162" s="15">
        <f t="shared" si="9"/>
        <v>52.079452054794523</v>
      </c>
      <c r="M162" s="5">
        <v>47948</v>
      </c>
      <c r="N162" s="16"/>
      <c r="O162" s="16"/>
      <c r="P162" s="16"/>
      <c r="Q162" s="5">
        <v>66957</v>
      </c>
      <c r="R162" t="s">
        <v>115</v>
      </c>
      <c r="S162" s="5">
        <v>65949</v>
      </c>
      <c r="T162" s="2" t="s">
        <v>2</v>
      </c>
      <c r="U162" s="2">
        <v>4</v>
      </c>
      <c r="V162" s="2">
        <v>2</v>
      </c>
      <c r="W162" s="2">
        <v>2</v>
      </c>
      <c r="X162" t="s">
        <v>242</v>
      </c>
      <c r="Y162" t="s">
        <v>313</v>
      </c>
      <c r="Z162" t="s">
        <v>245</v>
      </c>
    </row>
    <row r="163" spans="1:26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756</v>
      </c>
      <c r="G163" s="21"/>
      <c r="H163" s="16"/>
      <c r="I163" s="16"/>
      <c r="J163" s="16"/>
      <c r="K163" s="16"/>
      <c r="L163" s="15">
        <f t="shared" si="9"/>
        <v>35.594520547945208</v>
      </c>
      <c r="M163" s="5">
        <v>53965</v>
      </c>
      <c r="N163" s="16"/>
      <c r="O163" s="16"/>
      <c r="P163" s="16"/>
      <c r="Q163" s="5">
        <v>66957</v>
      </c>
      <c r="S163" s="5"/>
    </row>
    <row r="164" spans="1:26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757</v>
      </c>
      <c r="G164" s="21"/>
      <c r="H164" s="16"/>
      <c r="I164" s="16"/>
      <c r="J164" s="16"/>
      <c r="K164" s="16"/>
      <c r="L164" s="15">
        <f t="shared" si="9"/>
        <v>14.854794520547944</v>
      </c>
      <c r="M164" s="5">
        <v>61535</v>
      </c>
      <c r="N164" s="16"/>
      <c r="O164" s="16"/>
      <c r="P164" s="16"/>
      <c r="Q164" s="5">
        <v>66957</v>
      </c>
      <c r="S164" s="5"/>
    </row>
    <row r="165" spans="1:26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757</v>
      </c>
      <c r="G165" s="21"/>
      <c r="H165" s="16"/>
      <c r="I165" s="16"/>
      <c r="J165" s="16"/>
      <c r="K165" s="16"/>
      <c r="L165" s="15">
        <f t="shared" si="9"/>
        <v>10.413698630136986</v>
      </c>
      <c r="M165" s="5">
        <v>63156</v>
      </c>
      <c r="N165" s="16"/>
      <c r="O165" s="16"/>
      <c r="P165" s="16"/>
      <c r="Q165" s="5">
        <v>66957</v>
      </c>
      <c r="S165" s="5"/>
    </row>
    <row r="166" spans="1:26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756</v>
      </c>
      <c r="G166" s="21"/>
      <c r="H166" s="16">
        <v>0</v>
      </c>
      <c r="I166" s="16">
        <v>5</v>
      </c>
      <c r="J166" s="16">
        <v>1</v>
      </c>
      <c r="K166" s="16">
        <v>2</v>
      </c>
      <c r="L166" s="15">
        <f t="shared" si="9"/>
        <v>52.339726027397262</v>
      </c>
      <c r="M166" s="5">
        <v>47853</v>
      </c>
      <c r="N166" s="16"/>
      <c r="O166" s="16"/>
      <c r="P166" s="16"/>
      <c r="Q166" s="5">
        <v>66957</v>
      </c>
      <c r="R166" t="s">
        <v>114</v>
      </c>
      <c r="S166" s="5">
        <v>65877</v>
      </c>
      <c r="T166" s="2" t="s">
        <v>100</v>
      </c>
      <c r="U166" s="2">
        <v>4</v>
      </c>
      <c r="V166" s="2">
        <v>3</v>
      </c>
      <c r="W166" s="2">
        <v>1</v>
      </c>
      <c r="X166" t="s">
        <v>242</v>
      </c>
      <c r="Y166" t="s">
        <v>249</v>
      </c>
      <c r="Z166" t="s">
        <v>248</v>
      </c>
    </row>
    <row r="167" spans="1:26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756</v>
      </c>
      <c r="G167" s="21"/>
      <c r="H167" s="16"/>
      <c r="I167" s="16"/>
      <c r="J167" s="16"/>
      <c r="K167" s="16"/>
      <c r="L167" s="15">
        <f t="shared" si="9"/>
        <v>59.197260273972603</v>
      </c>
      <c r="M167" s="5">
        <v>45350</v>
      </c>
      <c r="N167" s="16"/>
      <c r="O167" s="16"/>
      <c r="P167" s="16"/>
      <c r="Q167" s="5">
        <v>66957</v>
      </c>
      <c r="S167" s="5"/>
    </row>
    <row r="168" spans="1:26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757</v>
      </c>
      <c r="G168" s="21"/>
      <c r="H168" s="16"/>
      <c r="I168" s="16"/>
      <c r="J168" s="16"/>
      <c r="K168" s="16"/>
      <c r="L168" s="15">
        <f t="shared" si="9"/>
        <v>33.172602739726024</v>
      </c>
      <c r="M168" s="5">
        <v>54849</v>
      </c>
      <c r="N168" s="16"/>
      <c r="O168" s="16"/>
      <c r="P168" s="16"/>
      <c r="Q168" s="5">
        <v>66957</v>
      </c>
      <c r="S168" s="5"/>
    </row>
    <row r="169" spans="1:26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757</v>
      </c>
      <c r="G169" s="21"/>
      <c r="H169" s="16"/>
      <c r="I169" s="16"/>
      <c r="J169" s="16"/>
      <c r="K169" s="16"/>
      <c r="L169" s="15">
        <f t="shared" si="9"/>
        <v>30.980821917808218</v>
      </c>
      <c r="M169" s="5">
        <v>55649</v>
      </c>
      <c r="N169" s="16"/>
      <c r="O169" s="16"/>
      <c r="P169" s="16"/>
      <c r="Q169" s="5">
        <v>66957</v>
      </c>
      <c r="S169" s="5"/>
    </row>
    <row r="170" spans="1:26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756</v>
      </c>
      <c r="G170" s="21"/>
      <c r="H170" s="16">
        <v>0</v>
      </c>
      <c r="I170" s="16">
        <v>4</v>
      </c>
      <c r="J170" s="16">
        <v>0</v>
      </c>
      <c r="K170" s="16">
        <v>0</v>
      </c>
      <c r="L170" s="15">
        <f t="shared" si="9"/>
        <v>57.30958904109589</v>
      </c>
      <c r="M170" s="5">
        <v>46039</v>
      </c>
      <c r="O170" s="16"/>
      <c r="P170" s="16"/>
      <c r="Q170" s="5">
        <v>66957</v>
      </c>
      <c r="R170" t="s">
        <v>113</v>
      </c>
      <c r="S170" s="5">
        <v>65858</v>
      </c>
      <c r="T170" s="2" t="s">
        <v>2</v>
      </c>
      <c r="U170" s="2">
        <v>5</v>
      </c>
      <c r="V170" s="2">
        <v>2</v>
      </c>
      <c r="W170" s="2">
        <v>3</v>
      </c>
      <c r="X170" t="s">
        <v>242</v>
      </c>
      <c r="Y170" t="s">
        <v>308</v>
      </c>
      <c r="Z170" t="s">
        <v>245</v>
      </c>
    </row>
    <row r="171" spans="1:26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756</v>
      </c>
      <c r="G171" s="21"/>
      <c r="H171" s="16"/>
      <c r="I171" s="16"/>
      <c r="J171" s="16"/>
      <c r="K171" s="16"/>
      <c r="L171" s="15">
        <f t="shared" si="9"/>
        <v>36.136986301369866</v>
      </c>
      <c r="M171" s="5">
        <v>53767</v>
      </c>
      <c r="N171" s="16"/>
      <c r="O171" s="16"/>
      <c r="P171" s="16"/>
      <c r="Q171" s="5">
        <v>66957</v>
      </c>
      <c r="S171" s="5"/>
    </row>
    <row r="172" spans="1:26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756</v>
      </c>
      <c r="G172" s="21"/>
      <c r="H172" s="16"/>
      <c r="I172" s="16"/>
      <c r="J172" s="16"/>
      <c r="K172" s="16"/>
      <c r="L172" s="15">
        <f t="shared" si="9"/>
        <v>34.665753424657531</v>
      </c>
      <c r="M172" s="5">
        <v>54304</v>
      </c>
      <c r="N172" s="16"/>
      <c r="O172" s="16"/>
      <c r="P172" s="16"/>
      <c r="Q172" s="5">
        <v>66957</v>
      </c>
      <c r="S172" s="5"/>
    </row>
    <row r="173" spans="1:26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757</v>
      </c>
      <c r="G173" s="21"/>
      <c r="H173" s="16"/>
      <c r="I173" s="16"/>
      <c r="J173" s="16"/>
      <c r="K173" s="16"/>
      <c r="L173" s="15">
        <f t="shared" si="9"/>
        <v>7.7479452054794518</v>
      </c>
      <c r="M173" s="5">
        <v>64129</v>
      </c>
      <c r="N173" s="16"/>
      <c r="O173" s="16"/>
      <c r="P173" s="16"/>
      <c r="Q173" s="5">
        <v>66957</v>
      </c>
      <c r="S173" s="5"/>
    </row>
    <row r="174" spans="1:26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757</v>
      </c>
      <c r="G174" s="21"/>
      <c r="H174" s="16"/>
      <c r="I174" s="16"/>
      <c r="J174" s="16"/>
      <c r="K174" s="16"/>
      <c r="L174" s="15">
        <f t="shared" si="9"/>
        <v>3.7863013698630139</v>
      </c>
      <c r="M174" s="5">
        <v>65575</v>
      </c>
      <c r="N174" s="16"/>
      <c r="O174" s="16"/>
      <c r="P174" s="16"/>
      <c r="Q174" s="5">
        <v>66957</v>
      </c>
      <c r="S174" s="5"/>
    </row>
    <row r="175" spans="1:26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756</v>
      </c>
      <c r="G175" s="21"/>
      <c r="H175" s="16">
        <v>0</v>
      </c>
      <c r="I175" s="16">
        <v>3</v>
      </c>
      <c r="J175" s="16">
        <v>1</v>
      </c>
      <c r="K175" s="16">
        <v>0</v>
      </c>
      <c r="L175" s="15">
        <f t="shared" si="9"/>
        <v>48.841095890410962</v>
      </c>
      <c r="M175" s="5">
        <v>49130</v>
      </c>
      <c r="N175" s="16"/>
      <c r="O175" s="16"/>
      <c r="P175" s="16"/>
      <c r="Q175" s="5">
        <v>66957</v>
      </c>
      <c r="R175" t="s">
        <v>112</v>
      </c>
      <c r="S175" s="5">
        <v>65840</v>
      </c>
      <c r="T175" s="2" t="s">
        <v>2</v>
      </c>
      <c r="U175" s="2">
        <v>4</v>
      </c>
      <c r="V175" s="2">
        <v>3</v>
      </c>
      <c r="W175" s="2">
        <v>1</v>
      </c>
      <c r="X175" t="s">
        <v>242</v>
      </c>
      <c r="Y175" t="s">
        <v>268</v>
      </c>
      <c r="Z175" t="s">
        <v>245</v>
      </c>
    </row>
    <row r="176" spans="1:26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757</v>
      </c>
      <c r="G176" s="21"/>
      <c r="H176" s="16"/>
      <c r="I176" s="16"/>
      <c r="J176" s="16"/>
      <c r="K176" s="16"/>
      <c r="L176" s="15">
        <f t="shared" si="9"/>
        <v>20.12054794520548</v>
      </c>
      <c r="M176" s="5">
        <v>59613</v>
      </c>
      <c r="N176" s="16"/>
      <c r="O176" s="16"/>
      <c r="P176" s="16"/>
      <c r="Q176" s="5">
        <v>66957</v>
      </c>
      <c r="S176" s="5"/>
    </row>
    <row r="177" spans="1:26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756</v>
      </c>
      <c r="G177" s="21"/>
      <c r="H177" s="16"/>
      <c r="I177" s="16"/>
      <c r="J177" s="16"/>
      <c r="K177" s="16"/>
      <c r="L177" s="15">
        <f t="shared" si="9"/>
        <v>51.076712328767123</v>
      </c>
      <c r="M177" s="5">
        <v>48314</v>
      </c>
      <c r="N177" s="16"/>
      <c r="O177" s="16"/>
      <c r="P177" s="16"/>
      <c r="Q177" s="5">
        <v>66957</v>
      </c>
      <c r="S177" s="5"/>
    </row>
    <row r="178" spans="1:26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757</v>
      </c>
      <c r="G178" s="21"/>
      <c r="H178" s="16"/>
      <c r="I178" s="16"/>
      <c r="J178" s="16"/>
      <c r="K178" s="16"/>
      <c r="L178" s="15">
        <f t="shared" si="9"/>
        <v>21.520547945205479</v>
      </c>
      <c r="M178" s="5">
        <v>59102</v>
      </c>
      <c r="N178" s="16"/>
      <c r="O178" s="16"/>
      <c r="P178" s="16"/>
      <c r="Q178" s="5">
        <v>66957</v>
      </c>
      <c r="S178" s="5"/>
    </row>
    <row r="179" spans="1:26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756</v>
      </c>
      <c r="G179" s="21"/>
      <c r="H179" s="16" t="s">
        <v>748</v>
      </c>
      <c r="I179" s="16" t="s">
        <v>748</v>
      </c>
      <c r="J179" s="16" t="s">
        <v>748</v>
      </c>
      <c r="K179" s="16" t="s">
        <v>748</v>
      </c>
      <c r="L179" s="15">
        <f t="shared" si="9"/>
        <v>44.482191780821921</v>
      </c>
      <c r="M179" s="5">
        <v>50721</v>
      </c>
      <c r="N179" s="16"/>
      <c r="O179" s="16"/>
      <c r="P179" s="16"/>
      <c r="Q179" s="5">
        <v>66957</v>
      </c>
      <c r="R179" t="s">
        <v>111</v>
      </c>
      <c r="S179" s="5">
        <v>65826</v>
      </c>
      <c r="T179" s="2" t="s">
        <v>100</v>
      </c>
      <c r="U179" s="2">
        <v>3</v>
      </c>
      <c r="V179" s="2">
        <v>2</v>
      </c>
      <c r="W179" s="2">
        <v>1</v>
      </c>
      <c r="X179" t="s">
        <v>242</v>
      </c>
      <c r="Y179" t="s">
        <v>245</v>
      </c>
      <c r="Z179" t="s">
        <v>298</v>
      </c>
    </row>
    <row r="180" spans="1:26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756</v>
      </c>
      <c r="G180" s="21"/>
      <c r="H180" s="16"/>
      <c r="I180" s="16"/>
      <c r="J180" s="16"/>
      <c r="K180" s="16"/>
      <c r="L180" s="15">
        <f t="shared" si="9"/>
        <v>45.56712328767123</v>
      </c>
      <c r="M180" s="5">
        <v>50325</v>
      </c>
      <c r="N180" s="16"/>
      <c r="O180" s="16"/>
      <c r="P180" s="16"/>
      <c r="Q180" s="5">
        <v>66957</v>
      </c>
      <c r="S180" s="5"/>
    </row>
    <row r="181" spans="1:26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757</v>
      </c>
      <c r="G181" s="21"/>
      <c r="H181" s="16"/>
      <c r="I181" s="16"/>
      <c r="J181" s="16"/>
      <c r="K181" s="16"/>
      <c r="L181" s="15">
        <f t="shared" si="9"/>
        <v>21.717808219178082</v>
      </c>
      <c r="M181" s="5">
        <v>59030</v>
      </c>
      <c r="N181" s="16"/>
      <c r="O181" s="16"/>
      <c r="P181" s="16"/>
      <c r="Q181" s="5">
        <v>66957</v>
      </c>
      <c r="S181" s="5"/>
    </row>
    <row r="182" spans="1:26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756</v>
      </c>
      <c r="G182" s="21"/>
      <c r="H182" s="16" t="s">
        <v>748</v>
      </c>
      <c r="I182" s="16" t="s">
        <v>748</v>
      </c>
      <c r="J182" s="16" t="s">
        <v>748</v>
      </c>
      <c r="K182" s="16" t="s">
        <v>748</v>
      </c>
      <c r="L182" s="15">
        <f t="shared" si="9"/>
        <v>47.624657534246573</v>
      </c>
      <c r="M182" s="5">
        <v>49574</v>
      </c>
      <c r="N182" s="16"/>
      <c r="O182" s="16"/>
      <c r="P182" s="16"/>
      <c r="Q182" s="5">
        <v>66957</v>
      </c>
      <c r="R182" t="s">
        <v>110</v>
      </c>
      <c r="S182" s="5">
        <v>65825</v>
      </c>
      <c r="T182" s="2" t="s">
        <v>2</v>
      </c>
      <c r="U182" s="2">
        <v>4</v>
      </c>
      <c r="V182" s="2">
        <v>3</v>
      </c>
      <c r="W182" s="2">
        <v>1</v>
      </c>
      <c r="X182" t="s">
        <v>242</v>
      </c>
      <c r="Y182" t="s">
        <v>317</v>
      </c>
      <c r="Z182" t="s">
        <v>245</v>
      </c>
    </row>
    <row r="183" spans="1:26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756</v>
      </c>
      <c r="G183" s="21"/>
      <c r="H183" s="16"/>
      <c r="I183" s="16"/>
      <c r="J183" s="16"/>
      <c r="K183" s="16"/>
      <c r="L183" s="15">
        <f t="shared" si="9"/>
        <v>52.397260273972606</v>
      </c>
      <c r="M183" s="5">
        <v>47832</v>
      </c>
      <c r="N183" s="16"/>
      <c r="O183" s="16"/>
      <c r="P183" s="16"/>
      <c r="Q183" s="5">
        <v>66957</v>
      </c>
      <c r="S183" s="5"/>
    </row>
    <row r="184" spans="1:26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757</v>
      </c>
      <c r="G184" s="21"/>
      <c r="H184" s="16"/>
      <c r="I184" s="16"/>
      <c r="J184" s="16"/>
      <c r="K184" s="16"/>
      <c r="L184" s="15">
        <f t="shared" si="9"/>
        <v>27.742465753424657</v>
      </c>
      <c r="M184" s="5">
        <v>56831</v>
      </c>
      <c r="N184" s="16"/>
      <c r="O184" s="16"/>
      <c r="P184" s="16"/>
      <c r="Q184" s="5">
        <v>66957</v>
      </c>
      <c r="S184" s="5"/>
    </row>
    <row r="185" spans="1:26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757</v>
      </c>
      <c r="G185" s="21"/>
      <c r="H185" s="16"/>
      <c r="I185" s="16"/>
      <c r="J185" s="16"/>
      <c r="K185" s="16"/>
      <c r="L185" s="15">
        <f t="shared" si="9"/>
        <v>23.55890410958904</v>
      </c>
      <c r="M185" s="5">
        <v>58358</v>
      </c>
      <c r="N185" s="16"/>
      <c r="O185" s="16"/>
      <c r="P185" s="16"/>
      <c r="Q185" s="5">
        <v>66957</v>
      </c>
      <c r="S185" s="5"/>
    </row>
    <row r="186" spans="1:26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756</v>
      </c>
      <c r="G186" s="21"/>
      <c r="H186" s="16" t="s">
        <v>748</v>
      </c>
      <c r="I186" s="16" t="s">
        <v>748</v>
      </c>
      <c r="J186" s="16" t="s">
        <v>748</v>
      </c>
      <c r="K186" s="16" t="s">
        <v>748</v>
      </c>
      <c r="L186" s="15">
        <f t="shared" si="9"/>
        <v>37.728767123287675</v>
      </c>
      <c r="M186" s="5">
        <v>53186</v>
      </c>
      <c r="N186" s="16"/>
      <c r="O186" s="16"/>
      <c r="P186" s="16"/>
      <c r="Q186" s="5">
        <v>66957</v>
      </c>
      <c r="R186" t="s">
        <v>109</v>
      </c>
      <c r="S186" s="5">
        <v>65800</v>
      </c>
      <c r="T186" s="2" t="s">
        <v>100</v>
      </c>
      <c r="U186" s="2">
        <v>3</v>
      </c>
      <c r="V186" s="2">
        <v>2</v>
      </c>
      <c r="W186" s="2">
        <v>1</v>
      </c>
      <c r="X186" t="s">
        <v>242</v>
      </c>
      <c r="Y186" t="s">
        <v>245</v>
      </c>
      <c r="Z186" t="s">
        <v>244</v>
      </c>
    </row>
    <row r="187" spans="1:26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756</v>
      </c>
      <c r="G187" s="21"/>
      <c r="H187" s="16"/>
      <c r="I187" s="16"/>
      <c r="J187" s="16"/>
      <c r="K187" s="16"/>
      <c r="L187" s="15">
        <f t="shared" si="9"/>
        <v>38.156164383561645</v>
      </c>
      <c r="M187" s="5">
        <v>53030</v>
      </c>
      <c r="N187" s="16"/>
      <c r="O187" s="16"/>
      <c r="P187" s="16"/>
      <c r="Q187" s="5">
        <v>66957</v>
      </c>
      <c r="S187" s="5"/>
    </row>
    <row r="188" spans="1:26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757</v>
      </c>
      <c r="G188" s="21"/>
      <c r="H188" s="16"/>
      <c r="I188" s="16"/>
      <c r="J188" s="16"/>
      <c r="K188" s="16"/>
      <c r="L188" s="15">
        <f t="shared" si="9"/>
        <v>31.857534246575341</v>
      </c>
      <c r="M188" s="5">
        <v>55329</v>
      </c>
      <c r="N188" s="16"/>
      <c r="O188" s="16"/>
      <c r="P188" s="16"/>
      <c r="Q188" s="5">
        <v>66957</v>
      </c>
      <c r="S188" s="5"/>
    </row>
    <row r="189" spans="1:26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756</v>
      </c>
      <c r="G189" s="21"/>
      <c r="H189" s="16">
        <v>0</v>
      </c>
      <c r="I189" s="16">
        <v>4</v>
      </c>
      <c r="J189" s="16">
        <v>0</v>
      </c>
      <c r="K189" s="16">
        <v>0</v>
      </c>
      <c r="L189" s="15">
        <f t="shared" si="9"/>
        <v>69.06575342465753</v>
      </c>
      <c r="M189" s="5">
        <v>41748</v>
      </c>
      <c r="N189" s="16"/>
      <c r="O189" s="16"/>
      <c r="P189" s="16"/>
      <c r="Q189" s="5">
        <v>66957</v>
      </c>
      <c r="R189" t="s">
        <v>108</v>
      </c>
      <c r="S189" s="5">
        <v>65762</v>
      </c>
      <c r="T189" s="2" t="s">
        <v>2</v>
      </c>
      <c r="U189" s="2">
        <v>2</v>
      </c>
      <c r="V189" s="2">
        <v>1</v>
      </c>
      <c r="W189" s="2">
        <v>1</v>
      </c>
      <c r="X189" t="s">
        <v>242</v>
      </c>
      <c r="Y189" t="s">
        <v>321</v>
      </c>
      <c r="Z189" t="s">
        <v>245</v>
      </c>
    </row>
    <row r="190" spans="1:26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756</v>
      </c>
      <c r="G190" s="21"/>
      <c r="H190" s="16"/>
      <c r="I190" s="16"/>
      <c r="J190" s="16"/>
      <c r="K190" s="16"/>
      <c r="L190" s="15">
        <f t="shared" si="9"/>
        <v>65.991780821917814</v>
      </c>
      <c r="M190" s="5">
        <v>42870</v>
      </c>
      <c r="N190" s="16"/>
      <c r="O190" s="16"/>
      <c r="P190" s="16"/>
      <c r="Q190" s="5">
        <v>66957</v>
      </c>
      <c r="S190" s="5"/>
    </row>
    <row r="191" spans="1:26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756</v>
      </c>
      <c r="G191" s="21"/>
      <c r="H191" s="16" t="s">
        <v>748</v>
      </c>
      <c r="I191" s="16" t="s">
        <v>748</v>
      </c>
      <c r="J191" s="16" t="s">
        <v>748</v>
      </c>
      <c r="K191" s="16" t="s">
        <v>748</v>
      </c>
      <c r="L191" s="15">
        <f t="shared" si="9"/>
        <v>59.336986301369862</v>
      </c>
      <c r="M191" s="5">
        <v>45299</v>
      </c>
      <c r="N191" s="16"/>
      <c r="O191" s="16"/>
      <c r="P191" s="16"/>
      <c r="Q191" s="5">
        <v>66957</v>
      </c>
      <c r="R191" t="s">
        <v>215</v>
      </c>
      <c r="S191" s="5">
        <v>65736</v>
      </c>
      <c r="T191" s="2" t="s">
        <v>2</v>
      </c>
      <c r="U191" s="2">
        <v>3</v>
      </c>
      <c r="V191" s="2">
        <v>2</v>
      </c>
      <c r="W191" s="2">
        <v>1</v>
      </c>
      <c r="X191" t="s">
        <v>242</v>
      </c>
      <c r="Y191" t="s">
        <v>305</v>
      </c>
      <c r="Z191" t="s">
        <v>245</v>
      </c>
    </row>
    <row r="192" spans="1:26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756</v>
      </c>
      <c r="G192" s="21"/>
      <c r="H192" s="16"/>
      <c r="I192" s="16"/>
      <c r="J192" s="16"/>
      <c r="K192" s="16"/>
      <c r="L192" s="15">
        <f t="shared" si="9"/>
        <v>51.509589041095893</v>
      </c>
      <c r="M192" s="5">
        <v>48156</v>
      </c>
      <c r="N192" s="16"/>
      <c r="O192" s="16"/>
      <c r="P192" s="16"/>
      <c r="Q192" s="5">
        <v>66957</v>
      </c>
      <c r="S192" s="5"/>
    </row>
    <row r="193" spans="1:26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757</v>
      </c>
      <c r="G193" s="21"/>
      <c r="H193" s="16"/>
      <c r="I193" s="16"/>
      <c r="J193" s="16"/>
      <c r="K193" s="16"/>
      <c r="L193" s="15">
        <f t="shared" si="9"/>
        <v>30.578082191780823</v>
      </c>
      <c r="M193" s="5">
        <v>55796</v>
      </c>
      <c r="N193" s="16"/>
      <c r="O193" s="16"/>
      <c r="P193" s="16"/>
      <c r="Q193" s="5">
        <v>66957</v>
      </c>
      <c r="S193" s="5"/>
    </row>
    <row r="194" spans="1:26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756</v>
      </c>
      <c r="G194" s="21"/>
      <c r="H194" s="16" t="s">
        <v>748</v>
      </c>
      <c r="I194" s="16" t="s">
        <v>748</v>
      </c>
      <c r="J194" s="16" t="s">
        <v>748</v>
      </c>
      <c r="K194" s="16" t="s">
        <v>748</v>
      </c>
      <c r="L194" s="15">
        <f t="shared" si="9"/>
        <v>44.967123287671235</v>
      </c>
      <c r="M194" s="5">
        <v>50544</v>
      </c>
      <c r="N194" s="16"/>
      <c r="O194" s="16"/>
      <c r="P194" s="16"/>
      <c r="Q194" s="5">
        <v>66957</v>
      </c>
      <c r="S194" s="5">
        <v>65695</v>
      </c>
      <c r="T194" s="2" t="s">
        <v>2</v>
      </c>
      <c r="U194" s="2">
        <v>4</v>
      </c>
      <c r="V194" s="2">
        <v>2</v>
      </c>
      <c r="W194" s="2">
        <v>2</v>
      </c>
      <c r="X194" t="s">
        <v>242</v>
      </c>
      <c r="Y194" t="s">
        <v>309</v>
      </c>
      <c r="Z194" t="s">
        <v>245</v>
      </c>
    </row>
    <row r="195" spans="1:26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756</v>
      </c>
      <c r="G195" s="21"/>
      <c r="H195" s="16"/>
      <c r="I195" s="16"/>
      <c r="J195" s="16"/>
      <c r="K195" s="16"/>
      <c r="L195" s="15">
        <f t="shared" si="9"/>
        <v>48.254794520547946</v>
      </c>
      <c r="M195" s="5">
        <v>49344</v>
      </c>
      <c r="N195" s="16"/>
      <c r="O195" s="16"/>
      <c r="P195" s="16"/>
      <c r="Q195" s="5">
        <v>66957</v>
      </c>
      <c r="S195" s="5"/>
    </row>
    <row r="196" spans="1:26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757</v>
      </c>
      <c r="G196" s="21"/>
      <c r="H196" s="16"/>
      <c r="I196" s="16"/>
      <c r="J196" s="16"/>
      <c r="K196" s="16"/>
      <c r="L196" s="15">
        <f t="shared" ref="L196:L259" si="12">(Q196-M196)/365</f>
        <v>20.778082191780822</v>
      </c>
      <c r="M196" s="5">
        <v>59373</v>
      </c>
      <c r="N196" s="16"/>
      <c r="O196" s="16"/>
      <c r="P196" s="16"/>
      <c r="Q196" s="5">
        <v>66957</v>
      </c>
      <c r="S196" s="5"/>
    </row>
    <row r="197" spans="1:26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757</v>
      </c>
      <c r="G197" s="21"/>
      <c r="H197" s="16"/>
      <c r="I197" s="16"/>
      <c r="J197" s="16"/>
      <c r="K197" s="16"/>
      <c r="L197" s="15">
        <f t="shared" si="12"/>
        <v>10.375342465753425</v>
      </c>
      <c r="M197" s="5">
        <v>63170</v>
      </c>
      <c r="N197" s="16"/>
      <c r="O197" s="16"/>
      <c r="P197" s="16"/>
      <c r="Q197" s="5">
        <v>66957</v>
      </c>
      <c r="S197" s="5"/>
    </row>
    <row r="198" spans="1:26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757</v>
      </c>
      <c r="G198" s="21"/>
      <c r="H198" s="16">
        <v>0</v>
      </c>
      <c r="I198" s="16">
        <v>6</v>
      </c>
      <c r="J198" s="16">
        <v>0</v>
      </c>
      <c r="K198" s="16">
        <v>0</v>
      </c>
      <c r="L198" s="15">
        <f t="shared" si="12"/>
        <v>29.583561643835615</v>
      </c>
      <c r="M198" s="5">
        <v>56159</v>
      </c>
      <c r="N198" s="16"/>
      <c r="O198" s="16"/>
      <c r="P198" s="16"/>
      <c r="Q198" s="5">
        <v>66957</v>
      </c>
      <c r="S198" s="5">
        <v>65644</v>
      </c>
      <c r="T198" s="2" t="s">
        <v>2</v>
      </c>
      <c r="U198" s="2">
        <v>3</v>
      </c>
      <c r="V198" s="2">
        <v>1</v>
      </c>
      <c r="W198" s="2">
        <v>2</v>
      </c>
      <c r="X198" t="s">
        <v>242</v>
      </c>
      <c r="Y198" t="s">
        <v>310</v>
      </c>
      <c r="Z198" t="s">
        <v>245</v>
      </c>
    </row>
    <row r="199" spans="1:26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756</v>
      </c>
      <c r="G199" s="21"/>
      <c r="H199" s="16"/>
      <c r="I199" s="16"/>
      <c r="J199" s="16"/>
      <c r="K199" s="16"/>
      <c r="L199" s="15">
        <f t="shared" si="12"/>
        <v>52.983561643835614</v>
      </c>
      <c r="M199" s="5">
        <v>47618</v>
      </c>
      <c r="N199" s="16"/>
      <c r="O199" s="16"/>
      <c r="P199" s="16"/>
      <c r="Q199" s="5">
        <v>66957</v>
      </c>
      <c r="S199" s="5"/>
    </row>
    <row r="200" spans="1:26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757</v>
      </c>
      <c r="G200" s="21"/>
      <c r="H200" s="16"/>
      <c r="I200" s="16"/>
      <c r="J200" s="16"/>
      <c r="K200" s="16"/>
      <c r="L200" s="15">
        <f t="shared" si="12"/>
        <v>25.016438356164382</v>
      </c>
      <c r="M200" s="5">
        <v>57826</v>
      </c>
      <c r="N200" s="16"/>
      <c r="O200" s="16"/>
      <c r="P200" s="16"/>
      <c r="Q200" s="5">
        <v>66957</v>
      </c>
      <c r="S200" s="5"/>
    </row>
    <row r="201" spans="1:26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756</v>
      </c>
      <c r="G201" s="21"/>
      <c r="H201" s="16">
        <v>0</v>
      </c>
      <c r="I201" s="16">
        <v>7</v>
      </c>
      <c r="J201" s="16">
        <v>0</v>
      </c>
      <c r="K201" s="16">
        <v>0</v>
      </c>
      <c r="L201" s="15">
        <f t="shared" si="12"/>
        <v>58.18904109589041</v>
      </c>
      <c r="M201" s="5">
        <v>45718</v>
      </c>
      <c r="N201" s="16"/>
      <c r="O201" s="16"/>
      <c r="P201" s="16"/>
      <c r="Q201" s="5">
        <v>66957</v>
      </c>
      <c r="S201" s="5">
        <v>65631</v>
      </c>
      <c r="T201" s="2" t="s">
        <v>2</v>
      </c>
      <c r="U201" s="2">
        <v>4</v>
      </c>
      <c r="V201" s="2">
        <v>3</v>
      </c>
      <c r="W201" s="2">
        <v>1</v>
      </c>
      <c r="X201" t="s">
        <v>242</v>
      </c>
      <c r="Y201" t="s">
        <v>324</v>
      </c>
      <c r="Z201" t="s">
        <v>245</v>
      </c>
    </row>
    <row r="202" spans="1:26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757</v>
      </c>
      <c r="G202" s="21"/>
      <c r="H202" s="16"/>
      <c r="I202" s="16"/>
      <c r="J202" s="16"/>
      <c r="K202" s="16"/>
      <c r="L202" s="15">
        <f t="shared" si="12"/>
        <v>23.556164383561644</v>
      </c>
      <c r="M202" s="5">
        <v>58359</v>
      </c>
      <c r="N202" s="16"/>
      <c r="O202" s="16"/>
      <c r="P202" s="16"/>
      <c r="Q202" s="5">
        <v>66957</v>
      </c>
      <c r="S202" s="5"/>
    </row>
    <row r="203" spans="1:26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757</v>
      </c>
      <c r="G203" s="21"/>
      <c r="H203" s="16"/>
      <c r="I203" s="16"/>
      <c r="J203" s="16"/>
      <c r="K203" s="16"/>
      <c r="L203" s="15">
        <f t="shared" si="12"/>
        <v>18.597260273972601</v>
      </c>
      <c r="M203" s="5">
        <v>60169</v>
      </c>
      <c r="N203" s="16"/>
      <c r="O203" s="16"/>
      <c r="P203" s="16"/>
      <c r="Q203" s="5">
        <v>66957</v>
      </c>
      <c r="S203" s="5"/>
    </row>
    <row r="204" spans="1:26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756</v>
      </c>
      <c r="G204" s="21"/>
      <c r="H204" s="16"/>
      <c r="I204" s="16"/>
      <c r="J204" s="16"/>
      <c r="K204" s="16"/>
      <c r="L204" s="15">
        <f t="shared" si="12"/>
        <v>45.701369863013696</v>
      </c>
      <c r="M204" s="5">
        <v>50276</v>
      </c>
      <c r="N204" s="16"/>
      <c r="O204" s="16"/>
      <c r="P204" s="16"/>
      <c r="Q204" s="5">
        <v>66957</v>
      </c>
      <c r="S204" s="5"/>
    </row>
    <row r="205" spans="1:26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756</v>
      </c>
      <c r="G205" s="21"/>
      <c r="H205" s="16">
        <v>0</v>
      </c>
      <c r="I205" s="16">
        <v>3</v>
      </c>
      <c r="J205" s="16">
        <v>0</v>
      </c>
      <c r="K205" s="16">
        <v>0</v>
      </c>
      <c r="L205" s="15">
        <f t="shared" si="12"/>
        <v>51.778082191780825</v>
      </c>
      <c r="M205" s="5">
        <v>48058</v>
      </c>
      <c r="N205" s="16"/>
      <c r="O205" s="16"/>
      <c r="P205" s="16"/>
      <c r="Q205" s="5">
        <v>66957</v>
      </c>
      <c r="S205" s="5">
        <v>65631</v>
      </c>
      <c r="T205" s="2" t="s">
        <v>2</v>
      </c>
      <c r="U205" s="2">
        <v>7</v>
      </c>
      <c r="V205" s="2">
        <v>5</v>
      </c>
      <c r="W205" s="2">
        <v>2</v>
      </c>
      <c r="X205" t="s">
        <v>242</v>
      </c>
      <c r="Y205" t="s">
        <v>326</v>
      </c>
      <c r="Z205" t="s">
        <v>245</v>
      </c>
    </row>
    <row r="206" spans="1:26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756</v>
      </c>
      <c r="G206" s="21"/>
      <c r="H206" s="16"/>
      <c r="I206" s="16"/>
      <c r="J206" s="16"/>
      <c r="K206" s="16"/>
      <c r="L206" s="15">
        <f t="shared" si="12"/>
        <v>76.271232876712332</v>
      </c>
      <c r="M206" s="5">
        <v>39118</v>
      </c>
      <c r="N206" s="16"/>
      <c r="O206" s="16"/>
      <c r="P206" s="16"/>
      <c r="Q206" s="5">
        <v>66957</v>
      </c>
      <c r="S206" s="5"/>
    </row>
    <row r="207" spans="1:26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756</v>
      </c>
      <c r="G207" s="21"/>
      <c r="H207" s="16"/>
      <c r="I207" s="16"/>
      <c r="J207" s="16"/>
      <c r="K207" s="16"/>
      <c r="L207" s="15">
        <f t="shared" si="12"/>
        <v>73.084931506849315</v>
      </c>
      <c r="M207" s="5">
        <v>40281</v>
      </c>
      <c r="N207" s="16"/>
      <c r="O207" s="16"/>
      <c r="P207" s="16"/>
      <c r="Q207" s="5">
        <v>66957</v>
      </c>
      <c r="S207" s="5"/>
    </row>
    <row r="208" spans="1:26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756</v>
      </c>
      <c r="G208" s="21"/>
      <c r="H208" s="16"/>
      <c r="I208" s="16"/>
      <c r="J208" s="16"/>
      <c r="K208" s="16"/>
      <c r="L208" s="15">
        <f t="shared" si="12"/>
        <v>42.794520547945204</v>
      </c>
      <c r="M208" s="5">
        <v>51337</v>
      </c>
      <c r="N208" s="16"/>
      <c r="O208" s="16"/>
      <c r="P208" s="16"/>
      <c r="Q208" s="5">
        <v>66957</v>
      </c>
      <c r="S208" s="5"/>
    </row>
    <row r="209" spans="1:26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756</v>
      </c>
      <c r="G209" s="21"/>
      <c r="H209" s="16"/>
      <c r="I209" s="16"/>
      <c r="J209" s="16"/>
      <c r="K209" s="16"/>
      <c r="L209" s="15">
        <f t="shared" si="12"/>
        <v>50.731506849315068</v>
      </c>
      <c r="M209" s="5">
        <v>48440</v>
      </c>
      <c r="N209" s="16"/>
      <c r="O209" s="16"/>
      <c r="P209" s="16"/>
      <c r="Q209" s="5">
        <v>66957</v>
      </c>
      <c r="S209" s="5"/>
    </row>
    <row r="210" spans="1:26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757</v>
      </c>
      <c r="G210" s="21"/>
      <c r="H210" s="16"/>
      <c r="I210" s="16"/>
      <c r="J210" s="16"/>
      <c r="K210" s="16"/>
      <c r="L210" s="15">
        <f t="shared" si="12"/>
        <v>15.358904109589041</v>
      </c>
      <c r="M210" s="5">
        <v>61351</v>
      </c>
      <c r="N210" s="16"/>
      <c r="O210" s="16"/>
      <c r="P210" s="16"/>
      <c r="Q210" s="5">
        <v>66957</v>
      </c>
      <c r="S210" s="5"/>
    </row>
    <row r="211" spans="1:26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757</v>
      </c>
      <c r="G211" s="21"/>
      <c r="H211" s="16"/>
      <c r="I211" s="16"/>
      <c r="J211" s="16"/>
      <c r="K211" s="16"/>
      <c r="L211" s="15">
        <f t="shared" si="12"/>
        <v>5.3452054794520549</v>
      </c>
      <c r="M211" s="5">
        <v>65006</v>
      </c>
      <c r="N211" s="16"/>
      <c r="O211" s="16"/>
      <c r="P211" s="16"/>
      <c r="Q211" s="5">
        <v>66957</v>
      </c>
      <c r="S211" s="5"/>
    </row>
    <row r="212" spans="1:26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756</v>
      </c>
      <c r="G212" s="21"/>
      <c r="H212" s="16">
        <v>0</v>
      </c>
      <c r="I212" s="16">
        <v>3</v>
      </c>
      <c r="J212" s="16">
        <v>2</v>
      </c>
      <c r="K212" s="16">
        <v>0</v>
      </c>
      <c r="L212" s="15">
        <f t="shared" si="12"/>
        <v>41.136986301369866</v>
      </c>
      <c r="M212" s="5">
        <v>51942</v>
      </c>
      <c r="N212" s="16"/>
      <c r="O212" s="16"/>
      <c r="P212" s="16"/>
      <c r="Q212" s="5">
        <v>66957</v>
      </c>
      <c r="S212" s="5">
        <v>65582</v>
      </c>
      <c r="T212" s="2" t="s">
        <v>2</v>
      </c>
      <c r="U212" s="2">
        <v>3</v>
      </c>
      <c r="V212" s="2">
        <v>1</v>
      </c>
      <c r="W212" s="2">
        <v>2</v>
      </c>
      <c r="X212" t="s">
        <v>242</v>
      </c>
      <c r="Y212" t="s">
        <v>293</v>
      </c>
      <c r="Z212" t="s">
        <v>245</v>
      </c>
    </row>
    <row r="213" spans="1:26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757</v>
      </c>
      <c r="G213" s="21"/>
      <c r="H213" s="16"/>
      <c r="I213" s="16"/>
      <c r="J213" s="16"/>
      <c r="K213" s="16"/>
      <c r="L213" s="15">
        <f t="shared" si="12"/>
        <v>21.142465753424659</v>
      </c>
      <c r="M213" s="5">
        <v>59240</v>
      </c>
      <c r="N213" s="16"/>
      <c r="O213" s="16"/>
      <c r="P213" s="16"/>
      <c r="Q213" s="5">
        <v>66957</v>
      </c>
      <c r="S213" s="5"/>
    </row>
    <row r="214" spans="1:26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757</v>
      </c>
      <c r="G214" s="21"/>
      <c r="H214" s="16"/>
      <c r="I214" s="16"/>
      <c r="J214" s="16"/>
      <c r="K214" s="16"/>
      <c r="L214" s="15">
        <f t="shared" si="12"/>
        <v>16.435616438356163</v>
      </c>
      <c r="M214" s="5">
        <v>60958</v>
      </c>
      <c r="N214" s="16"/>
      <c r="O214" s="16"/>
      <c r="P214" s="16"/>
      <c r="Q214" s="5">
        <v>66957</v>
      </c>
      <c r="S214" s="5"/>
    </row>
    <row r="215" spans="1:26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756</v>
      </c>
      <c r="G215" s="21"/>
      <c r="H215" s="16">
        <v>0</v>
      </c>
      <c r="I215" s="16">
        <v>12</v>
      </c>
      <c r="J215" s="16">
        <v>2</v>
      </c>
      <c r="K215" s="16">
        <v>0</v>
      </c>
      <c r="L215" s="15">
        <f t="shared" si="12"/>
        <v>30.402739726027399</v>
      </c>
      <c r="M215" s="5">
        <v>55860</v>
      </c>
      <c r="N215" s="16"/>
      <c r="O215" s="16"/>
      <c r="P215" s="16"/>
      <c r="Q215" s="5">
        <v>66957</v>
      </c>
      <c r="S215" s="5">
        <v>65533</v>
      </c>
      <c r="T215" s="2" t="s">
        <v>2</v>
      </c>
      <c r="U215" s="2">
        <v>5</v>
      </c>
      <c r="V215" s="2">
        <v>2</v>
      </c>
      <c r="W215" s="2">
        <v>3</v>
      </c>
      <c r="X215" t="s">
        <v>242</v>
      </c>
      <c r="Y215" t="s">
        <v>254</v>
      </c>
      <c r="Z215" t="s">
        <v>245</v>
      </c>
    </row>
    <row r="216" spans="1:26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756</v>
      </c>
      <c r="G216" s="21"/>
      <c r="H216" s="16"/>
      <c r="I216" s="16"/>
      <c r="J216" s="16"/>
      <c r="K216" s="16"/>
      <c r="L216" s="15">
        <f t="shared" si="12"/>
        <v>53.024657534246572</v>
      </c>
      <c r="M216" s="5">
        <v>47603</v>
      </c>
      <c r="N216" s="16"/>
      <c r="O216" s="16"/>
      <c r="P216" s="16"/>
      <c r="Q216" s="5">
        <v>66957</v>
      </c>
      <c r="S216" s="5"/>
    </row>
    <row r="217" spans="1:26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756</v>
      </c>
      <c r="G217" s="21"/>
      <c r="H217" s="16"/>
      <c r="I217" s="16"/>
      <c r="J217" s="16"/>
      <c r="K217" s="16"/>
      <c r="L217" s="15">
        <f t="shared" si="12"/>
        <v>53.30684931506849</v>
      </c>
      <c r="M217" s="5">
        <v>47500</v>
      </c>
      <c r="N217" s="16"/>
      <c r="O217" s="16"/>
      <c r="P217" s="16"/>
      <c r="Q217" s="5">
        <v>66957</v>
      </c>
      <c r="S217" s="5"/>
    </row>
    <row r="218" spans="1:26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756</v>
      </c>
      <c r="G218" s="21"/>
      <c r="H218" s="16"/>
      <c r="I218" s="16"/>
      <c r="J218" s="16"/>
      <c r="K218" s="16"/>
      <c r="L218" s="15">
        <f t="shared" si="12"/>
        <v>31.4986301369863</v>
      </c>
      <c r="M218" s="5">
        <v>55460</v>
      </c>
      <c r="N218" s="16"/>
      <c r="O218" s="16"/>
      <c r="P218" s="16"/>
      <c r="Q218" s="5">
        <v>66957</v>
      </c>
      <c r="S218" s="5"/>
    </row>
    <row r="219" spans="1:26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757</v>
      </c>
      <c r="G219" s="21"/>
      <c r="H219" s="16"/>
      <c r="I219" s="16"/>
      <c r="J219" s="16"/>
      <c r="K219" s="16"/>
      <c r="L219" s="15">
        <f t="shared" si="12"/>
        <v>29.197260273972603</v>
      </c>
      <c r="M219" s="5">
        <v>56300</v>
      </c>
      <c r="N219" s="16"/>
      <c r="O219" s="16"/>
      <c r="P219" s="16"/>
      <c r="Q219" s="5">
        <v>66957</v>
      </c>
      <c r="S219" s="5"/>
    </row>
    <row r="220" spans="1:26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756</v>
      </c>
      <c r="G220" s="21"/>
      <c r="H220" s="16">
        <v>0</v>
      </c>
      <c r="I220" s="16">
        <v>5</v>
      </c>
      <c r="J220" s="16">
        <v>1</v>
      </c>
      <c r="K220" s="16">
        <v>0</v>
      </c>
      <c r="L220" s="15">
        <f t="shared" si="12"/>
        <v>49.183561643835617</v>
      </c>
      <c r="M220" s="5">
        <v>49005</v>
      </c>
      <c r="N220" s="16"/>
      <c r="O220" s="16"/>
      <c r="P220" s="16"/>
      <c r="Q220" s="5">
        <v>66957</v>
      </c>
      <c r="S220" s="5">
        <v>65527</v>
      </c>
      <c r="T220" s="2" t="s">
        <v>2</v>
      </c>
      <c r="U220" s="2">
        <v>5</v>
      </c>
      <c r="V220" s="2">
        <v>3</v>
      </c>
      <c r="W220" s="2">
        <v>2</v>
      </c>
      <c r="X220" t="s">
        <v>242</v>
      </c>
      <c r="Y220" t="s">
        <v>254</v>
      </c>
      <c r="Z220" t="s">
        <v>245</v>
      </c>
    </row>
    <row r="221" spans="1:26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756</v>
      </c>
      <c r="G221" s="21"/>
      <c r="H221" s="16"/>
      <c r="I221" s="16"/>
      <c r="J221" s="16"/>
      <c r="K221" s="16"/>
      <c r="L221" s="15">
        <f t="shared" si="12"/>
        <v>35.868493150684934</v>
      </c>
      <c r="M221" s="5">
        <v>53865</v>
      </c>
      <c r="N221" s="16"/>
      <c r="O221" s="16"/>
      <c r="P221" s="16"/>
      <c r="Q221" s="5">
        <v>66957</v>
      </c>
      <c r="S221" s="5"/>
    </row>
    <row r="222" spans="1:26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757</v>
      </c>
      <c r="G222" s="21"/>
      <c r="H222" s="16"/>
      <c r="I222" s="16"/>
      <c r="J222" s="16"/>
      <c r="K222" s="16"/>
      <c r="L222" s="15">
        <f t="shared" si="12"/>
        <v>30.602739726027398</v>
      </c>
      <c r="M222" s="5">
        <v>55787</v>
      </c>
      <c r="N222" s="16"/>
      <c r="O222" s="16"/>
      <c r="P222" s="16"/>
      <c r="Q222" s="5">
        <v>66957</v>
      </c>
      <c r="S222" s="5"/>
    </row>
    <row r="223" spans="1:26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757</v>
      </c>
      <c r="G223" s="21"/>
      <c r="H223" s="16"/>
      <c r="I223" s="16"/>
      <c r="J223" s="16"/>
      <c r="K223" s="16"/>
      <c r="L223" s="15">
        <f t="shared" si="12"/>
        <v>21.139726027397259</v>
      </c>
      <c r="M223" s="5">
        <v>59241</v>
      </c>
      <c r="N223" s="16"/>
      <c r="O223" s="16"/>
      <c r="P223" s="16"/>
      <c r="Q223" s="5">
        <v>66957</v>
      </c>
      <c r="S223" s="5"/>
    </row>
    <row r="224" spans="1:26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757</v>
      </c>
      <c r="G224" s="21"/>
      <c r="H224" s="16"/>
      <c r="I224" s="16"/>
      <c r="J224" s="16"/>
      <c r="K224" s="16"/>
      <c r="L224" s="15">
        <f t="shared" si="12"/>
        <v>6.7260273972602738</v>
      </c>
      <c r="M224" s="5">
        <v>64502</v>
      </c>
      <c r="N224" s="16"/>
      <c r="O224" s="16"/>
      <c r="P224" s="16"/>
      <c r="Q224" s="5">
        <v>66957</v>
      </c>
      <c r="S224" s="5"/>
    </row>
    <row r="225" spans="1:26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756</v>
      </c>
      <c r="G225" s="21"/>
      <c r="H225" s="16">
        <v>0</v>
      </c>
      <c r="I225" s="16">
        <v>3</v>
      </c>
      <c r="J225" s="16">
        <v>1</v>
      </c>
      <c r="K225" s="16">
        <v>2</v>
      </c>
      <c r="L225" s="15">
        <f t="shared" si="12"/>
        <v>69.665753424657538</v>
      </c>
      <c r="M225" s="5">
        <v>41529</v>
      </c>
      <c r="N225" s="16"/>
      <c r="O225" s="16"/>
      <c r="P225" s="16"/>
      <c r="Q225" s="5">
        <v>66957</v>
      </c>
      <c r="S225" s="5">
        <v>65512</v>
      </c>
      <c r="T225" s="2" t="s">
        <v>100</v>
      </c>
      <c r="U225" s="2">
        <v>2</v>
      </c>
      <c r="V225" s="2">
        <v>1</v>
      </c>
      <c r="W225" s="2">
        <v>1</v>
      </c>
      <c r="X225" t="s">
        <v>242</v>
      </c>
      <c r="Y225" t="s">
        <v>245</v>
      </c>
      <c r="Z225" t="s">
        <v>271</v>
      </c>
    </row>
    <row r="226" spans="1:26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756</v>
      </c>
      <c r="G226" s="21"/>
      <c r="H226" s="16"/>
      <c r="I226" s="16"/>
      <c r="J226" s="16"/>
      <c r="K226" s="16"/>
      <c r="L226" s="15">
        <f t="shared" si="12"/>
        <v>62.005479452054793</v>
      </c>
      <c r="M226" s="5">
        <v>44325</v>
      </c>
      <c r="N226" s="16"/>
      <c r="O226" s="16"/>
      <c r="P226" s="16"/>
      <c r="Q226" s="5">
        <v>66957</v>
      </c>
      <c r="S226" s="5"/>
    </row>
    <row r="227" spans="1:26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756</v>
      </c>
      <c r="G227" s="21"/>
      <c r="H227" s="16">
        <v>0</v>
      </c>
      <c r="I227" s="16">
        <v>8</v>
      </c>
      <c r="J227" s="16">
        <v>0</v>
      </c>
      <c r="K227" s="16">
        <v>3</v>
      </c>
      <c r="L227" s="15">
        <f t="shared" si="12"/>
        <v>64.68767123287671</v>
      </c>
      <c r="M227" s="5">
        <v>43346</v>
      </c>
      <c r="N227" s="16"/>
      <c r="O227" s="16"/>
      <c r="P227" s="16"/>
      <c r="Q227" s="5">
        <v>66957</v>
      </c>
      <c r="S227" s="5">
        <v>65490</v>
      </c>
      <c r="T227" s="2" t="s">
        <v>2</v>
      </c>
      <c r="U227" s="2">
        <v>4</v>
      </c>
      <c r="V227" s="2">
        <v>3</v>
      </c>
      <c r="W227" s="2">
        <v>1</v>
      </c>
      <c r="X227" t="s">
        <v>242</v>
      </c>
      <c r="Y227" t="s">
        <v>296</v>
      </c>
      <c r="Z227" t="s">
        <v>245</v>
      </c>
    </row>
    <row r="228" spans="1:26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756</v>
      </c>
      <c r="G228" s="21"/>
      <c r="H228" s="16"/>
      <c r="I228" s="16"/>
      <c r="J228" s="16"/>
      <c r="K228" s="16"/>
      <c r="L228" s="15">
        <f t="shared" si="12"/>
        <v>45.564383561643837</v>
      </c>
      <c r="M228" s="5">
        <v>50326</v>
      </c>
      <c r="N228" s="16"/>
      <c r="O228" s="16"/>
      <c r="P228" s="16"/>
      <c r="Q228" s="5">
        <v>66957</v>
      </c>
      <c r="S228" s="5"/>
    </row>
    <row r="229" spans="1:26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757</v>
      </c>
      <c r="G229" s="21"/>
      <c r="H229" s="16"/>
      <c r="I229" s="16"/>
      <c r="J229" s="16"/>
      <c r="K229" s="16"/>
      <c r="L229" s="15">
        <f t="shared" si="12"/>
        <v>34.087671232876716</v>
      </c>
      <c r="M229" s="5">
        <v>54515</v>
      </c>
      <c r="N229" s="16"/>
      <c r="O229" s="16"/>
      <c r="P229" s="16"/>
      <c r="Q229" s="5">
        <v>66957</v>
      </c>
      <c r="S229" s="5"/>
    </row>
    <row r="230" spans="1:26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756</v>
      </c>
      <c r="G230" s="21"/>
      <c r="H230" s="16"/>
      <c r="I230" s="16"/>
      <c r="J230" s="16"/>
      <c r="K230" s="16"/>
      <c r="L230" s="15">
        <f t="shared" si="12"/>
        <v>32.646575342465752</v>
      </c>
      <c r="M230" s="5">
        <v>55041</v>
      </c>
      <c r="N230" s="16"/>
      <c r="O230" s="16"/>
      <c r="P230" s="16"/>
      <c r="Q230" s="5">
        <v>66957</v>
      </c>
      <c r="S230" s="5"/>
    </row>
    <row r="231" spans="1:26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756</v>
      </c>
      <c r="G231" s="21"/>
      <c r="H231" s="16">
        <v>1</v>
      </c>
      <c r="I231" s="16">
        <v>4</v>
      </c>
      <c r="J231" s="16">
        <v>0</v>
      </c>
      <c r="K231" s="16">
        <v>0</v>
      </c>
      <c r="L231" s="15">
        <f t="shared" si="12"/>
        <v>44.005479452054793</v>
      </c>
      <c r="M231" s="5">
        <v>50895</v>
      </c>
      <c r="N231" s="16"/>
      <c r="O231" s="16"/>
      <c r="P231" s="16"/>
      <c r="Q231" s="5">
        <v>66957</v>
      </c>
      <c r="S231" s="5">
        <v>65479</v>
      </c>
      <c r="T231" s="2" t="s">
        <v>2</v>
      </c>
      <c r="U231" s="2">
        <v>4</v>
      </c>
      <c r="V231" s="2">
        <v>3</v>
      </c>
      <c r="W231" s="2">
        <v>1</v>
      </c>
      <c r="X231" t="s">
        <v>242</v>
      </c>
      <c r="Y231" t="s">
        <v>294</v>
      </c>
      <c r="Z231" t="s">
        <v>245</v>
      </c>
    </row>
    <row r="232" spans="1:26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757</v>
      </c>
      <c r="G232" s="21"/>
      <c r="H232" s="16"/>
      <c r="I232" s="16"/>
      <c r="J232" s="16"/>
      <c r="K232" s="16"/>
      <c r="L232" s="15">
        <f t="shared" si="12"/>
        <v>22.80821917808219</v>
      </c>
      <c r="M232" s="5">
        <v>58632</v>
      </c>
      <c r="N232" s="16"/>
      <c r="O232" s="16"/>
      <c r="P232" s="16"/>
      <c r="Q232" s="5">
        <v>66957</v>
      </c>
      <c r="S232" s="5"/>
    </row>
    <row r="233" spans="1:26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757</v>
      </c>
      <c r="G233" s="21"/>
      <c r="H233" s="16"/>
      <c r="I233" s="16"/>
      <c r="J233" s="16"/>
      <c r="K233" s="16"/>
      <c r="L233" s="15">
        <f t="shared" si="12"/>
        <v>20.6</v>
      </c>
      <c r="M233" s="5">
        <v>59438</v>
      </c>
      <c r="N233" s="16"/>
      <c r="O233" s="16"/>
      <c r="P233" s="16"/>
      <c r="Q233" s="5">
        <v>66957</v>
      </c>
      <c r="S233" s="5"/>
    </row>
    <row r="234" spans="1:26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756</v>
      </c>
      <c r="G234" s="21"/>
      <c r="H234" s="16"/>
      <c r="I234" s="16"/>
      <c r="J234" s="16"/>
      <c r="K234" s="16"/>
      <c r="L234" s="15">
        <f t="shared" si="12"/>
        <v>46.893150684931506</v>
      </c>
      <c r="M234" s="5">
        <v>49841</v>
      </c>
      <c r="N234" s="16"/>
      <c r="O234" s="16"/>
      <c r="P234" s="16"/>
      <c r="Q234" s="5">
        <v>66957</v>
      </c>
      <c r="S234" s="5"/>
    </row>
    <row r="235" spans="1:26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756</v>
      </c>
      <c r="G235" s="21"/>
      <c r="H235" s="16">
        <v>1</v>
      </c>
      <c r="I235" s="16">
        <v>13</v>
      </c>
      <c r="J235" s="16">
        <v>0</v>
      </c>
      <c r="K235" s="16">
        <v>0</v>
      </c>
      <c r="L235" s="15">
        <f t="shared" si="12"/>
        <v>44.205479452054796</v>
      </c>
      <c r="M235" s="5">
        <v>50822</v>
      </c>
      <c r="N235" s="16"/>
      <c r="O235" s="16"/>
      <c r="P235" s="16"/>
      <c r="Q235" s="5">
        <v>66957</v>
      </c>
      <c r="S235" s="5">
        <v>65478</v>
      </c>
      <c r="T235" s="2" t="s">
        <v>2</v>
      </c>
      <c r="U235" s="2">
        <v>4</v>
      </c>
      <c r="V235" s="2">
        <v>3</v>
      </c>
      <c r="W235" s="2">
        <v>1</v>
      </c>
      <c r="X235" t="s">
        <v>242</v>
      </c>
      <c r="Y235" t="s">
        <v>294</v>
      </c>
      <c r="Z235" t="s">
        <v>245</v>
      </c>
    </row>
    <row r="236" spans="1:26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756</v>
      </c>
      <c r="G236" s="21"/>
      <c r="H236" s="16"/>
      <c r="I236" s="16"/>
      <c r="J236" s="16"/>
      <c r="K236" s="16"/>
      <c r="L236" s="15">
        <f t="shared" si="12"/>
        <v>48.18904109589041</v>
      </c>
      <c r="M236" s="5">
        <v>49368</v>
      </c>
      <c r="N236" s="16"/>
      <c r="O236" s="16"/>
      <c r="P236" s="16"/>
      <c r="Q236" s="5">
        <v>66957</v>
      </c>
      <c r="S236" s="5"/>
    </row>
    <row r="237" spans="1:26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757</v>
      </c>
      <c r="G237" s="21"/>
      <c r="H237" s="16"/>
      <c r="I237" s="16"/>
      <c r="J237" s="16"/>
      <c r="K237" s="16"/>
      <c r="L237" s="15">
        <f t="shared" si="12"/>
        <v>27.627397260273973</v>
      </c>
      <c r="M237" s="5">
        <v>56873</v>
      </c>
      <c r="N237" s="16"/>
      <c r="O237" s="16"/>
      <c r="P237" s="16"/>
      <c r="Q237" s="5">
        <v>66957</v>
      </c>
      <c r="S237" s="5"/>
    </row>
    <row r="238" spans="1:26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757</v>
      </c>
      <c r="G238" s="21"/>
      <c r="H238" s="16"/>
      <c r="I238" s="16"/>
      <c r="J238" s="16"/>
      <c r="K238" s="16"/>
      <c r="L238" s="15">
        <f t="shared" si="12"/>
        <v>21.238356164383561</v>
      </c>
      <c r="M238" s="5">
        <v>59205</v>
      </c>
      <c r="N238" s="16"/>
      <c r="O238" s="16"/>
      <c r="P238" s="16"/>
      <c r="Q238" s="5">
        <v>66957</v>
      </c>
      <c r="S238" s="5"/>
    </row>
    <row r="239" spans="1:26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756</v>
      </c>
      <c r="G239" s="21"/>
      <c r="H239" s="16">
        <v>6</v>
      </c>
      <c r="I239" s="16">
        <v>12</v>
      </c>
      <c r="J239" s="16">
        <v>3</v>
      </c>
      <c r="K239" s="16">
        <v>2</v>
      </c>
      <c r="L239" s="15">
        <f t="shared" si="12"/>
        <v>57.484931506849314</v>
      </c>
      <c r="M239" s="5">
        <v>45975</v>
      </c>
      <c r="N239" s="16"/>
      <c r="O239" s="16"/>
      <c r="P239" s="16"/>
      <c r="Q239" s="5">
        <v>66957</v>
      </c>
      <c r="S239" s="5">
        <v>65466</v>
      </c>
      <c r="T239" s="2" t="s">
        <v>2</v>
      </c>
      <c r="U239" s="2">
        <v>4</v>
      </c>
      <c r="V239" s="2">
        <v>1</v>
      </c>
      <c r="W239" s="2">
        <v>3</v>
      </c>
      <c r="X239" t="s">
        <v>242</v>
      </c>
      <c r="Y239" t="s">
        <v>311</v>
      </c>
      <c r="Z239" t="s">
        <v>245</v>
      </c>
    </row>
    <row r="240" spans="1:26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756</v>
      </c>
      <c r="G240" s="21"/>
      <c r="H240" s="16"/>
      <c r="I240" s="16"/>
      <c r="J240" s="16"/>
      <c r="K240" s="16"/>
      <c r="L240" s="15">
        <f t="shared" si="12"/>
        <v>42.726027397260275</v>
      </c>
      <c r="M240" s="5">
        <v>51362</v>
      </c>
      <c r="N240" s="16"/>
      <c r="O240" s="16"/>
      <c r="P240" s="16"/>
      <c r="Q240" s="5">
        <v>66957</v>
      </c>
      <c r="S240" s="5"/>
    </row>
    <row r="241" spans="1:26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757</v>
      </c>
      <c r="G241" s="21"/>
      <c r="H241" s="16"/>
      <c r="I241" s="16"/>
      <c r="J241" s="16"/>
      <c r="K241" s="16"/>
      <c r="L241" s="15">
        <f t="shared" si="12"/>
        <v>21.92876712328767</v>
      </c>
      <c r="M241" s="5">
        <v>58953</v>
      </c>
      <c r="N241" s="16"/>
      <c r="O241" s="16"/>
      <c r="P241" s="16"/>
      <c r="Q241" s="5">
        <v>66957</v>
      </c>
      <c r="S241" s="5"/>
    </row>
    <row r="242" spans="1:26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757</v>
      </c>
      <c r="G242" s="21"/>
      <c r="H242" s="16"/>
      <c r="I242" s="16"/>
      <c r="J242" s="16"/>
      <c r="K242" s="16"/>
      <c r="L242" s="15">
        <f t="shared" si="12"/>
        <v>19.073972602739726</v>
      </c>
      <c r="M242" s="5">
        <v>59995</v>
      </c>
      <c r="N242" s="16"/>
      <c r="O242" s="16"/>
      <c r="P242" s="16"/>
      <c r="Q242" s="5">
        <v>66957</v>
      </c>
      <c r="S242" s="5"/>
    </row>
    <row r="243" spans="1:26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756</v>
      </c>
      <c r="G243" s="21"/>
      <c r="H243" s="16">
        <v>0</v>
      </c>
      <c r="I243" s="16">
        <v>4</v>
      </c>
      <c r="J243" s="16">
        <v>1</v>
      </c>
      <c r="K243" s="16">
        <v>0</v>
      </c>
      <c r="L243" s="15">
        <f t="shared" si="12"/>
        <v>62.42739726027397</v>
      </c>
      <c r="M243" s="5">
        <v>44171</v>
      </c>
      <c r="N243" s="16"/>
      <c r="O243" s="16"/>
      <c r="P243" s="16"/>
      <c r="Q243" s="5">
        <v>66957</v>
      </c>
      <c r="S243" s="5">
        <v>65447</v>
      </c>
      <c r="T243" s="2" t="s">
        <v>2</v>
      </c>
      <c r="U243" s="2">
        <v>5</v>
      </c>
      <c r="V243" s="2">
        <v>3</v>
      </c>
      <c r="W243" s="2">
        <v>2</v>
      </c>
      <c r="X243" t="s">
        <v>239</v>
      </c>
      <c r="Y243" t="s">
        <v>300</v>
      </c>
      <c r="Z243" t="s">
        <v>245</v>
      </c>
    </row>
    <row r="244" spans="1:26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756</v>
      </c>
      <c r="G244" s="21"/>
      <c r="H244" s="16"/>
      <c r="I244" s="16"/>
      <c r="J244" s="16"/>
      <c r="K244" s="16"/>
      <c r="L244" s="15">
        <f t="shared" si="12"/>
        <v>53.361643835616441</v>
      </c>
      <c r="M244" s="5">
        <v>47480</v>
      </c>
      <c r="N244" s="16"/>
      <c r="O244" s="16"/>
      <c r="P244" s="16"/>
      <c r="Q244" s="5">
        <v>66957</v>
      </c>
      <c r="S244" s="5"/>
    </row>
    <row r="245" spans="1:26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756</v>
      </c>
      <c r="G245" s="21"/>
      <c r="H245" s="16"/>
      <c r="I245" s="16"/>
      <c r="J245" s="16"/>
      <c r="K245" s="16"/>
      <c r="L245" s="15">
        <f t="shared" si="12"/>
        <v>35.005479452054793</v>
      </c>
      <c r="M245" s="5">
        <v>54180</v>
      </c>
      <c r="N245" s="16"/>
      <c r="O245" s="16"/>
      <c r="P245" s="16"/>
      <c r="Q245" s="5">
        <v>66957</v>
      </c>
      <c r="S245" s="5"/>
    </row>
    <row r="246" spans="1:26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757</v>
      </c>
      <c r="G246" s="21"/>
      <c r="H246" s="16"/>
      <c r="I246" s="16"/>
      <c r="J246" s="16"/>
      <c r="K246" s="16"/>
      <c r="L246" s="15">
        <f t="shared" si="12"/>
        <v>28.906849315068492</v>
      </c>
      <c r="M246" s="5">
        <v>56406</v>
      </c>
      <c r="N246" s="16"/>
      <c r="O246" s="16"/>
      <c r="P246" s="16"/>
      <c r="Q246" s="5">
        <v>66957</v>
      </c>
      <c r="S246" s="5"/>
    </row>
    <row r="247" spans="1:26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756</v>
      </c>
      <c r="G247" s="21"/>
      <c r="H247" s="16"/>
      <c r="I247" s="16"/>
      <c r="J247" s="16"/>
      <c r="K247" s="16"/>
      <c r="L247" s="15">
        <f t="shared" si="12"/>
        <v>34.463013698630135</v>
      </c>
      <c r="M247" s="5">
        <v>54378</v>
      </c>
      <c r="N247" s="16"/>
      <c r="O247" s="16"/>
      <c r="P247" s="16"/>
      <c r="Q247" s="5">
        <v>66957</v>
      </c>
      <c r="S247" s="5"/>
    </row>
    <row r="248" spans="1:26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756</v>
      </c>
      <c r="G248" s="21"/>
      <c r="H248" s="16">
        <v>0</v>
      </c>
      <c r="I248" s="16">
        <v>8</v>
      </c>
      <c r="J248" s="16">
        <v>0</v>
      </c>
      <c r="K248" s="16">
        <v>0</v>
      </c>
      <c r="L248" s="15">
        <f t="shared" si="12"/>
        <v>47.742465753424661</v>
      </c>
      <c r="M248" s="5">
        <v>49531</v>
      </c>
      <c r="N248" s="16"/>
      <c r="O248" s="16"/>
      <c r="P248" s="16"/>
      <c r="Q248" s="5">
        <v>66957</v>
      </c>
      <c r="S248" s="5">
        <v>65440</v>
      </c>
      <c r="T248" s="2" t="s">
        <v>2</v>
      </c>
      <c r="U248" s="2">
        <v>6</v>
      </c>
      <c r="V248" s="2">
        <v>2</v>
      </c>
      <c r="W248" s="2">
        <v>4</v>
      </c>
      <c r="X248" t="s">
        <v>242</v>
      </c>
      <c r="Y248" t="s">
        <v>252</v>
      </c>
      <c r="Z248" t="s">
        <v>245</v>
      </c>
    </row>
    <row r="249" spans="1:26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756</v>
      </c>
      <c r="G249" s="21"/>
      <c r="H249" s="16"/>
      <c r="I249" s="16"/>
      <c r="J249" s="16"/>
      <c r="K249" s="16"/>
      <c r="L249" s="15">
        <f t="shared" si="12"/>
        <v>44.021917808219179</v>
      </c>
      <c r="M249" s="5">
        <v>50889</v>
      </c>
      <c r="N249" s="16"/>
      <c r="O249" s="16"/>
      <c r="P249" s="16"/>
      <c r="Q249" s="5">
        <v>66957</v>
      </c>
      <c r="S249" s="5"/>
    </row>
    <row r="250" spans="1:26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756</v>
      </c>
      <c r="G250" s="21"/>
      <c r="H250" s="16"/>
      <c r="I250" s="16"/>
      <c r="J250" s="16"/>
      <c r="K250" s="16"/>
      <c r="L250" s="15">
        <f t="shared" si="12"/>
        <v>32.131506849315066</v>
      </c>
      <c r="M250" s="5">
        <v>55229</v>
      </c>
      <c r="N250" s="16"/>
      <c r="O250" s="16"/>
      <c r="P250" s="16"/>
      <c r="Q250" s="5">
        <v>66957</v>
      </c>
      <c r="S250" s="5"/>
    </row>
    <row r="251" spans="1:26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756</v>
      </c>
      <c r="G251" s="21"/>
      <c r="H251" s="16"/>
      <c r="I251" s="16"/>
      <c r="J251" s="16"/>
      <c r="K251" s="16"/>
      <c r="L251" s="15">
        <f t="shared" si="12"/>
        <v>33.635616438356166</v>
      </c>
      <c r="M251" s="5">
        <v>54680</v>
      </c>
      <c r="N251" s="16"/>
      <c r="O251" s="16"/>
      <c r="P251" s="16"/>
      <c r="Q251" s="5">
        <v>66957</v>
      </c>
      <c r="S251" s="5"/>
    </row>
    <row r="252" spans="1:26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757</v>
      </c>
      <c r="G252" s="21"/>
      <c r="H252" s="16"/>
      <c r="I252" s="16"/>
      <c r="J252" s="16"/>
      <c r="K252" s="16"/>
      <c r="L252" s="15">
        <f t="shared" si="12"/>
        <v>11.112328767123287</v>
      </c>
      <c r="M252" s="5">
        <v>62901</v>
      </c>
      <c r="N252" s="16"/>
      <c r="O252" s="16"/>
      <c r="P252" s="16"/>
      <c r="Q252" s="5">
        <v>66957</v>
      </c>
      <c r="S252" s="5"/>
    </row>
    <row r="253" spans="1:26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757</v>
      </c>
      <c r="G253" s="21"/>
      <c r="H253" s="16"/>
      <c r="I253" s="16"/>
      <c r="J253" s="16"/>
      <c r="K253" s="16"/>
      <c r="L253" s="15">
        <f t="shared" si="12"/>
        <v>6.6986301369863011</v>
      </c>
      <c r="M253" s="5">
        <v>64512</v>
      </c>
      <c r="N253" s="16"/>
      <c r="O253" s="16"/>
      <c r="P253" s="16"/>
      <c r="Q253" s="5">
        <v>66957</v>
      </c>
      <c r="S253" s="5"/>
    </row>
    <row r="254" spans="1:26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756</v>
      </c>
      <c r="G254" s="21"/>
      <c r="H254" s="16" t="s">
        <v>748</v>
      </c>
      <c r="I254" s="16" t="s">
        <v>748</v>
      </c>
      <c r="J254" s="16" t="s">
        <v>748</v>
      </c>
      <c r="K254" s="16" t="s">
        <v>748</v>
      </c>
      <c r="L254" s="15">
        <f t="shared" si="12"/>
        <v>61.276712328767125</v>
      </c>
      <c r="M254" s="5">
        <v>44591</v>
      </c>
      <c r="N254" s="16"/>
      <c r="O254" s="16"/>
      <c r="P254" s="16"/>
      <c r="Q254" s="5">
        <v>66957</v>
      </c>
      <c r="S254" s="5">
        <v>65369</v>
      </c>
      <c r="T254" s="2" t="s">
        <v>2</v>
      </c>
      <c r="U254" s="2">
        <v>3</v>
      </c>
      <c r="V254" s="2">
        <v>2</v>
      </c>
      <c r="W254" s="2">
        <v>1</v>
      </c>
      <c r="X254" t="s">
        <v>242</v>
      </c>
      <c r="Y254" t="s">
        <v>292</v>
      </c>
      <c r="Z254" t="s">
        <v>245</v>
      </c>
    </row>
    <row r="255" spans="1:26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756</v>
      </c>
      <c r="G255" s="21"/>
      <c r="H255" s="16"/>
      <c r="I255" s="16"/>
      <c r="J255" s="16"/>
      <c r="K255" s="16"/>
      <c r="L255" s="15">
        <f t="shared" si="12"/>
        <v>56.18904109589041</v>
      </c>
      <c r="M255" s="5">
        <v>46448</v>
      </c>
      <c r="N255" s="16"/>
      <c r="O255" s="16"/>
      <c r="P255" s="16"/>
      <c r="Q255" s="5">
        <v>66957</v>
      </c>
      <c r="S255" s="5"/>
    </row>
    <row r="256" spans="1:26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757</v>
      </c>
      <c r="G256" s="21"/>
      <c r="H256" s="16"/>
      <c r="I256" s="16"/>
      <c r="J256" s="16"/>
      <c r="K256" s="16"/>
      <c r="L256" s="15">
        <f t="shared" si="12"/>
        <v>35.832876712328769</v>
      </c>
      <c r="M256" s="5">
        <v>53878</v>
      </c>
      <c r="N256" s="16"/>
      <c r="O256" s="16"/>
      <c r="P256" s="16"/>
      <c r="Q256" s="5">
        <v>66957</v>
      </c>
      <c r="S256" s="5"/>
    </row>
    <row r="257" spans="1:26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756</v>
      </c>
      <c r="G257" s="21"/>
      <c r="H257" s="16">
        <v>0</v>
      </c>
      <c r="I257" s="16">
        <v>3</v>
      </c>
      <c r="J257" s="16">
        <v>0</v>
      </c>
      <c r="K257" s="16">
        <v>0</v>
      </c>
      <c r="L257" s="15">
        <f t="shared" si="12"/>
        <v>38.991780821917807</v>
      </c>
      <c r="M257" s="5">
        <v>52725</v>
      </c>
      <c r="N257" s="16"/>
      <c r="O257" s="16"/>
      <c r="P257" s="16"/>
      <c r="Q257" s="5">
        <v>66957</v>
      </c>
      <c r="S257" s="5">
        <v>65366</v>
      </c>
      <c r="T257" s="2" t="s">
        <v>2</v>
      </c>
      <c r="U257" s="2">
        <v>4</v>
      </c>
      <c r="V257" s="2">
        <f>U257-W257</f>
        <v>2</v>
      </c>
      <c r="W257" s="2">
        <v>2</v>
      </c>
      <c r="X257" t="s">
        <v>242</v>
      </c>
      <c r="Y257" t="s">
        <v>235</v>
      </c>
      <c r="Z257" t="s">
        <v>245</v>
      </c>
    </row>
    <row r="258" spans="1:26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756</v>
      </c>
      <c r="G258" s="21"/>
      <c r="H258" s="16"/>
      <c r="I258" s="16"/>
      <c r="J258" s="16"/>
      <c r="K258" s="16"/>
      <c r="L258" s="15">
        <f t="shared" si="12"/>
        <v>50.515068493150686</v>
      </c>
      <c r="M258" s="5">
        <v>48519</v>
      </c>
      <c r="N258" s="16"/>
      <c r="O258" s="16"/>
      <c r="P258" s="16"/>
      <c r="Q258" s="5">
        <v>66957</v>
      </c>
      <c r="S258" s="5"/>
    </row>
    <row r="259" spans="1:26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757</v>
      </c>
      <c r="G259" s="21"/>
      <c r="H259" s="16"/>
      <c r="I259" s="16"/>
      <c r="J259" s="16"/>
      <c r="K259" s="16"/>
      <c r="L259" s="15">
        <f t="shared" si="12"/>
        <v>30.246575342465754</v>
      </c>
      <c r="M259" s="5">
        <v>55917</v>
      </c>
      <c r="N259" s="16"/>
      <c r="O259" s="16"/>
      <c r="P259" s="16"/>
      <c r="Q259" s="5">
        <v>66957</v>
      </c>
      <c r="S259" s="5"/>
    </row>
    <row r="260" spans="1:26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757</v>
      </c>
      <c r="G260" s="21"/>
      <c r="H260" s="16"/>
      <c r="I260" s="16"/>
      <c r="J260" s="16"/>
      <c r="K260" s="16"/>
      <c r="L260" s="15">
        <f t="shared" ref="L260:L323" si="15">(Q260-M260)/365</f>
        <v>16.287671232876711</v>
      </c>
      <c r="M260" s="5">
        <v>61012</v>
      </c>
      <c r="N260" s="16"/>
      <c r="O260" s="16"/>
      <c r="P260" s="16"/>
      <c r="Q260" s="5">
        <v>66957</v>
      </c>
      <c r="S260" s="5"/>
    </row>
    <row r="261" spans="1:26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756</v>
      </c>
      <c r="G261" s="21"/>
      <c r="H261" s="16" t="s">
        <v>748</v>
      </c>
      <c r="I261" s="16" t="s">
        <v>748</v>
      </c>
      <c r="J261" s="16" t="s">
        <v>748</v>
      </c>
      <c r="K261" s="16" t="s">
        <v>748</v>
      </c>
      <c r="L261" s="15">
        <f t="shared" si="15"/>
        <v>74.37534246575342</v>
      </c>
      <c r="M261" s="5">
        <v>39810</v>
      </c>
      <c r="N261" s="16"/>
      <c r="O261" s="16"/>
      <c r="P261" s="16"/>
      <c r="Q261" s="5">
        <v>66957</v>
      </c>
      <c r="S261" s="5">
        <v>65365</v>
      </c>
      <c r="T261" s="2" t="s">
        <v>100</v>
      </c>
      <c r="U261" s="2">
        <v>1</v>
      </c>
      <c r="V261" s="2">
        <v>1</v>
      </c>
      <c r="X261" t="s">
        <v>242</v>
      </c>
      <c r="Y261" t="s">
        <v>245</v>
      </c>
      <c r="Z261" t="s">
        <v>258</v>
      </c>
    </row>
    <row r="262" spans="1:26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756</v>
      </c>
      <c r="G262" s="21"/>
      <c r="H262" s="16">
        <v>0</v>
      </c>
      <c r="I262" s="16">
        <v>3</v>
      </c>
      <c r="J262" s="16">
        <v>1</v>
      </c>
      <c r="K262" s="16">
        <v>0</v>
      </c>
      <c r="L262" s="15">
        <f t="shared" si="15"/>
        <v>43.402739726027399</v>
      </c>
      <c r="M262" s="5">
        <v>51115</v>
      </c>
      <c r="N262" s="16"/>
      <c r="O262" s="16"/>
      <c r="P262" s="16"/>
      <c r="Q262" s="5">
        <v>66957</v>
      </c>
      <c r="S262" s="5">
        <v>65356</v>
      </c>
      <c r="T262" s="2" t="s">
        <v>2</v>
      </c>
      <c r="U262" s="2">
        <v>5</v>
      </c>
      <c r="V262" s="2">
        <v>2</v>
      </c>
      <c r="W262" s="2">
        <v>3</v>
      </c>
      <c r="X262" t="s">
        <v>242</v>
      </c>
      <c r="Y262" t="s">
        <v>283</v>
      </c>
      <c r="Z262" t="s">
        <v>245</v>
      </c>
    </row>
    <row r="263" spans="1:26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756</v>
      </c>
      <c r="G263" s="21"/>
      <c r="H263" s="16"/>
      <c r="I263" s="16"/>
      <c r="J263" s="16"/>
      <c r="K263" s="16"/>
      <c r="L263" s="15">
        <f t="shared" si="15"/>
        <v>41.479452054794521</v>
      </c>
      <c r="M263" s="5">
        <v>51817</v>
      </c>
      <c r="N263" s="16"/>
      <c r="O263" s="16"/>
      <c r="P263" s="16"/>
      <c r="Q263" s="5">
        <v>66957</v>
      </c>
      <c r="S263" s="5"/>
    </row>
    <row r="264" spans="1:26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757</v>
      </c>
      <c r="G264" s="21"/>
      <c r="H264" s="16"/>
      <c r="I264" s="16"/>
      <c r="J264" s="16"/>
      <c r="K264" s="16"/>
      <c r="L264" s="15">
        <f t="shared" si="15"/>
        <v>21.104109589041094</v>
      </c>
      <c r="M264" s="5">
        <v>59254</v>
      </c>
      <c r="N264" s="16"/>
      <c r="O264" s="16"/>
      <c r="P264" s="16"/>
      <c r="Q264" s="5">
        <v>66957</v>
      </c>
      <c r="S264" s="5"/>
    </row>
    <row r="265" spans="1:26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757</v>
      </c>
      <c r="G265" s="21"/>
      <c r="H265" s="16"/>
      <c r="I265" s="16"/>
      <c r="J265" s="16"/>
      <c r="K265" s="16"/>
      <c r="L265" s="15">
        <f t="shared" si="15"/>
        <v>14.331506849315069</v>
      </c>
      <c r="M265" s="5">
        <v>61726</v>
      </c>
      <c r="N265" s="16"/>
      <c r="O265" s="16"/>
      <c r="P265" s="16"/>
      <c r="Q265" s="5">
        <v>66957</v>
      </c>
      <c r="S265" s="5"/>
    </row>
    <row r="266" spans="1:26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757</v>
      </c>
      <c r="G266" s="21"/>
      <c r="H266" s="16"/>
      <c r="I266" s="16"/>
      <c r="J266" s="16"/>
      <c r="K266" s="16"/>
      <c r="L266" s="15">
        <f t="shared" si="15"/>
        <v>12.668493150684931</v>
      </c>
      <c r="M266" s="5">
        <v>62333</v>
      </c>
      <c r="N266" s="16"/>
      <c r="O266" s="16"/>
      <c r="P266" s="16"/>
      <c r="Q266" s="5">
        <v>66957</v>
      </c>
      <c r="S266" s="5"/>
    </row>
    <row r="267" spans="1:26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756</v>
      </c>
      <c r="G267" s="21"/>
      <c r="H267" s="16" t="s">
        <v>748</v>
      </c>
      <c r="I267" s="16" t="s">
        <v>748</v>
      </c>
      <c r="J267" s="16" t="s">
        <v>748</v>
      </c>
      <c r="K267" s="16" t="s">
        <v>748</v>
      </c>
      <c r="L267" s="15">
        <f t="shared" si="15"/>
        <v>41.975342465753428</v>
      </c>
      <c r="M267" s="5">
        <v>51636</v>
      </c>
      <c r="N267" s="16"/>
      <c r="O267" s="16"/>
      <c r="P267" s="16"/>
      <c r="Q267" s="5">
        <v>66957</v>
      </c>
      <c r="S267" s="5">
        <v>65356</v>
      </c>
      <c r="T267" s="2" t="s">
        <v>100</v>
      </c>
      <c r="U267" s="2">
        <v>4</v>
      </c>
      <c r="V267" s="2">
        <v>3</v>
      </c>
      <c r="W267" s="2">
        <v>1</v>
      </c>
      <c r="X267" t="s">
        <v>242</v>
      </c>
      <c r="Y267" t="s">
        <v>245</v>
      </c>
      <c r="Z267" t="s">
        <v>318</v>
      </c>
    </row>
    <row r="268" spans="1:26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756</v>
      </c>
      <c r="G268" s="21"/>
      <c r="H268" s="16"/>
      <c r="I268" s="16"/>
      <c r="J268" s="16"/>
      <c r="K268" s="16"/>
      <c r="L268" s="15">
        <f t="shared" si="15"/>
        <v>49.42739726027397</v>
      </c>
      <c r="M268" s="5">
        <v>48916</v>
      </c>
      <c r="N268" s="16"/>
      <c r="O268" s="16"/>
      <c r="P268" s="16"/>
      <c r="Q268" s="5">
        <v>66957</v>
      </c>
      <c r="S268" s="5"/>
    </row>
    <row r="269" spans="1:26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757</v>
      </c>
      <c r="G269" s="21"/>
      <c r="H269" s="16"/>
      <c r="I269" s="16"/>
      <c r="J269" s="16"/>
      <c r="K269" s="16"/>
      <c r="L269" s="15">
        <f t="shared" si="15"/>
        <v>21.852054794520548</v>
      </c>
      <c r="M269" s="5">
        <v>58981</v>
      </c>
      <c r="N269" s="16"/>
      <c r="O269" s="16"/>
      <c r="P269" s="16"/>
      <c r="Q269" s="5">
        <v>66957</v>
      </c>
      <c r="S269" s="5"/>
    </row>
    <row r="270" spans="1:26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757</v>
      </c>
      <c r="G270" s="21"/>
      <c r="H270" s="16"/>
      <c r="I270" s="16"/>
      <c r="J270" s="16"/>
      <c r="K270" s="16"/>
      <c r="L270" s="15">
        <f t="shared" si="15"/>
        <v>20.87123287671233</v>
      </c>
      <c r="M270" s="5">
        <v>59339</v>
      </c>
      <c r="N270" s="16"/>
      <c r="O270" s="16"/>
      <c r="P270" s="16"/>
      <c r="Q270" s="5">
        <v>66957</v>
      </c>
      <c r="S270" s="5"/>
    </row>
    <row r="271" spans="1:26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756</v>
      </c>
      <c r="G271" s="21"/>
      <c r="H271" s="16">
        <v>0</v>
      </c>
      <c r="I271" s="16">
        <v>1</v>
      </c>
      <c r="J271" s="16">
        <v>0</v>
      </c>
      <c r="K271" s="16">
        <v>0</v>
      </c>
      <c r="L271" s="15">
        <f t="shared" si="15"/>
        <v>62.838356164383562</v>
      </c>
      <c r="M271" s="5">
        <v>44021</v>
      </c>
      <c r="N271" s="16"/>
      <c r="O271" s="16"/>
      <c r="P271" s="16"/>
      <c r="Q271" s="5">
        <v>66957</v>
      </c>
      <c r="S271" s="5">
        <v>65350</v>
      </c>
      <c r="T271" s="2" t="s">
        <v>2</v>
      </c>
      <c r="U271" s="2">
        <v>2</v>
      </c>
      <c r="V271" s="2">
        <v>1</v>
      </c>
      <c r="W271" s="2">
        <v>1</v>
      </c>
      <c r="X271" t="s">
        <v>242</v>
      </c>
      <c r="Y271" t="s">
        <v>254</v>
      </c>
      <c r="Z271" t="s">
        <v>245</v>
      </c>
    </row>
    <row r="272" spans="1:26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756</v>
      </c>
      <c r="G272" s="21"/>
      <c r="H272" s="16"/>
      <c r="I272" s="16"/>
      <c r="J272" s="16"/>
      <c r="K272" s="16"/>
      <c r="L272" s="15">
        <f t="shared" si="15"/>
        <v>56.238356164383561</v>
      </c>
      <c r="M272" s="5">
        <v>46430</v>
      </c>
      <c r="N272" s="16"/>
      <c r="O272" s="16"/>
      <c r="P272" s="16"/>
      <c r="Q272" s="5">
        <v>66957</v>
      </c>
      <c r="S272" s="5"/>
    </row>
    <row r="273" spans="1:26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756</v>
      </c>
      <c r="G273" s="21"/>
      <c r="H273" s="16">
        <v>0</v>
      </c>
      <c r="I273" s="16">
        <v>3</v>
      </c>
      <c r="J273" s="16">
        <v>0</v>
      </c>
      <c r="K273" s="16">
        <v>0</v>
      </c>
      <c r="L273" s="15">
        <f t="shared" si="15"/>
        <v>46.775342465753425</v>
      </c>
      <c r="M273" s="5">
        <v>49884</v>
      </c>
      <c r="N273" s="16"/>
      <c r="O273" s="16"/>
      <c r="P273" s="16"/>
      <c r="Q273" s="5">
        <v>66957</v>
      </c>
      <c r="S273" s="5">
        <v>65328</v>
      </c>
      <c r="T273" s="2" t="s">
        <v>2</v>
      </c>
      <c r="U273" s="2">
        <v>4</v>
      </c>
      <c r="V273" s="2">
        <v>3</v>
      </c>
      <c r="W273" s="2">
        <v>1</v>
      </c>
      <c r="X273" t="s">
        <v>242</v>
      </c>
      <c r="Y273" t="s">
        <v>270</v>
      </c>
      <c r="Z273" t="s">
        <v>245</v>
      </c>
    </row>
    <row r="274" spans="1:26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756</v>
      </c>
      <c r="G274" s="21"/>
      <c r="H274" s="16"/>
      <c r="I274" s="16"/>
      <c r="J274" s="16"/>
      <c r="K274" s="16"/>
      <c r="L274" s="15">
        <f t="shared" si="15"/>
        <v>42.980821917808221</v>
      </c>
      <c r="M274" s="5">
        <v>51269</v>
      </c>
      <c r="N274" s="16"/>
      <c r="O274" s="16"/>
      <c r="P274" s="16"/>
      <c r="Q274" s="5">
        <v>66957</v>
      </c>
      <c r="S274" s="5"/>
    </row>
    <row r="275" spans="1:26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757</v>
      </c>
      <c r="G275" s="21"/>
      <c r="H275" s="16"/>
      <c r="I275" s="16"/>
      <c r="J275" s="16"/>
      <c r="K275" s="16"/>
      <c r="L275" s="15">
        <f t="shared" si="15"/>
        <v>14.263013698630138</v>
      </c>
      <c r="M275" s="5">
        <v>61751</v>
      </c>
      <c r="N275" s="16"/>
      <c r="O275" s="16"/>
      <c r="P275" s="16"/>
      <c r="Q275" s="5">
        <v>66957</v>
      </c>
      <c r="S275" s="5"/>
    </row>
    <row r="276" spans="1:26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757</v>
      </c>
      <c r="G276" s="21"/>
      <c r="H276" s="16"/>
      <c r="I276" s="16"/>
      <c r="J276" s="16"/>
      <c r="K276" s="16"/>
      <c r="L276" s="15">
        <f t="shared" si="15"/>
        <v>8.3534246575342461</v>
      </c>
      <c r="M276" s="5">
        <v>63908</v>
      </c>
      <c r="N276" s="16"/>
      <c r="O276" s="16"/>
      <c r="P276" s="16"/>
      <c r="Q276" s="5">
        <v>66957</v>
      </c>
      <c r="S276" s="5"/>
    </row>
    <row r="277" spans="1:26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756</v>
      </c>
      <c r="G277" s="21"/>
      <c r="H277" s="16">
        <v>0</v>
      </c>
      <c r="I277" s="16">
        <v>5</v>
      </c>
      <c r="J277" s="16">
        <v>2</v>
      </c>
      <c r="K277" s="16">
        <v>0</v>
      </c>
      <c r="L277" s="15">
        <f t="shared" si="15"/>
        <v>34.452054794520549</v>
      </c>
      <c r="M277" s="5">
        <v>54382</v>
      </c>
      <c r="N277" s="16"/>
      <c r="O277" s="16"/>
      <c r="P277" s="16"/>
      <c r="Q277" s="5">
        <v>66957</v>
      </c>
      <c r="S277" s="5">
        <v>65306</v>
      </c>
      <c r="T277" s="2" t="s">
        <v>2</v>
      </c>
      <c r="U277" s="2">
        <v>4</v>
      </c>
      <c r="V277" s="2">
        <v>2</v>
      </c>
      <c r="W277" s="2">
        <v>2</v>
      </c>
      <c r="X277" t="s">
        <v>242</v>
      </c>
      <c r="Y277" t="s">
        <v>263</v>
      </c>
      <c r="Z277" t="s">
        <v>245</v>
      </c>
    </row>
    <row r="278" spans="1:26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756</v>
      </c>
      <c r="G278" s="21"/>
      <c r="H278" s="16"/>
      <c r="I278" s="16"/>
      <c r="J278" s="16"/>
      <c r="K278" s="16"/>
      <c r="L278" s="15">
        <f t="shared" si="15"/>
        <v>43.413698630136984</v>
      </c>
      <c r="M278" s="5">
        <v>51111</v>
      </c>
      <c r="N278" s="16"/>
      <c r="O278" s="16"/>
      <c r="P278" s="16"/>
      <c r="Q278" s="5">
        <v>66957</v>
      </c>
      <c r="S278" s="5"/>
    </row>
    <row r="279" spans="1:26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757</v>
      </c>
      <c r="G279" s="21"/>
      <c r="H279" s="16"/>
      <c r="I279" s="16"/>
      <c r="J279" s="16"/>
      <c r="K279" s="16"/>
      <c r="L279" s="15">
        <f t="shared" si="15"/>
        <v>16.846575342465755</v>
      </c>
      <c r="M279" s="5">
        <v>60808</v>
      </c>
      <c r="N279" s="16"/>
      <c r="O279" s="16"/>
      <c r="P279" s="16"/>
      <c r="Q279" s="5">
        <v>66957</v>
      </c>
      <c r="S279" s="5"/>
    </row>
    <row r="280" spans="1:26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757</v>
      </c>
      <c r="G280" s="21"/>
      <c r="H280" s="16"/>
      <c r="I280" s="16"/>
      <c r="J280" s="16"/>
      <c r="K280" s="16"/>
      <c r="L280" s="15">
        <f t="shared" si="15"/>
        <v>12.191780821917808</v>
      </c>
      <c r="M280" s="5">
        <v>62507</v>
      </c>
      <c r="N280" s="16"/>
      <c r="O280" s="16"/>
      <c r="P280" s="16"/>
      <c r="Q280" s="5">
        <v>66957</v>
      </c>
      <c r="S280" s="5"/>
    </row>
    <row r="281" spans="1:26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756</v>
      </c>
      <c r="G281" s="21"/>
      <c r="H281" s="16" t="s">
        <v>748</v>
      </c>
      <c r="I281" s="16" t="s">
        <v>748</v>
      </c>
      <c r="J281" s="16" t="s">
        <v>748</v>
      </c>
      <c r="K281" s="16" t="s">
        <v>748</v>
      </c>
      <c r="L281" s="15">
        <f t="shared" si="15"/>
        <v>63.441095890410956</v>
      </c>
      <c r="M281" s="5">
        <v>43801</v>
      </c>
      <c r="N281" s="16"/>
      <c r="O281" s="16"/>
      <c r="P281" s="16"/>
      <c r="Q281" s="5">
        <v>66957</v>
      </c>
      <c r="S281" s="5">
        <v>65304</v>
      </c>
      <c r="T281" s="2" t="s">
        <v>2</v>
      </c>
      <c r="U281" s="2">
        <v>1</v>
      </c>
      <c r="V281" s="2">
        <v>1</v>
      </c>
      <c r="X281" t="s">
        <v>242</v>
      </c>
      <c r="Y281" t="s">
        <v>334</v>
      </c>
      <c r="Z281" t="s">
        <v>245</v>
      </c>
    </row>
    <row r="282" spans="1:26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757</v>
      </c>
      <c r="G282" s="21"/>
      <c r="H282" s="16">
        <v>0</v>
      </c>
      <c r="I282" s="16">
        <v>3</v>
      </c>
      <c r="J282" s="16">
        <v>2</v>
      </c>
      <c r="K282" s="16">
        <v>0</v>
      </c>
      <c r="L282" s="15">
        <f t="shared" si="15"/>
        <v>36.860273972602741</v>
      </c>
      <c r="M282" s="5">
        <v>53503</v>
      </c>
      <c r="N282" s="16"/>
      <c r="O282" s="16"/>
      <c r="P282" s="16"/>
      <c r="Q282" s="5">
        <v>66957</v>
      </c>
      <c r="S282" s="5">
        <v>65302</v>
      </c>
      <c r="T282" s="2" t="s">
        <v>2</v>
      </c>
      <c r="U282" s="2">
        <v>3</v>
      </c>
      <c r="V282" s="2">
        <v>2</v>
      </c>
      <c r="W282" s="2">
        <v>1</v>
      </c>
      <c r="X282" t="s">
        <v>241</v>
      </c>
      <c r="Y282" t="s">
        <v>273</v>
      </c>
      <c r="Z282" t="s">
        <v>245</v>
      </c>
    </row>
    <row r="283" spans="1:26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757</v>
      </c>
      <c r="G283" s="21"/>
      <c r="H283" s="16"/>
      <c r="I283" s="16"/>
      <c r="J283" s="16"/>
      <c r="K283" s="16"/>
      <c r="L283" s="15">
        <f t="shared" si="15"/>
        <v>27.12876712328767</v>
      </c>
      <c r="M283" s="5">
        <v>57055</v>
      </c>
      <c r="N283" s="16"/>
      <c r="O283" s="16"/>
      <c r="P283" s="16"/>
      <c r="Q283" s="5">
        <v>66957</v>
      </c>
      <c r="S283" s="5"/>
    </row>
    <row r="284" spans="1:26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757</v>
      </c>
      <c r="G284" s="21"/>
      <c r="H284" s="16"/>
      <c r="I284" s="16"/>
      <c r="J284" s="16"/>
      <c r="K284" s="16"/>
      <c r="L284" s="15">
        <f t="shared" si="15"/>
        <v>34.178082191780824</v>
      </c>
      <c r="M284" s="5">
        <v>54482</v>
      </c>
      <c r="N284" s="16"/>
      <c r="O284" s="16"/>
      <c r="P284" s="16"/>
      <c r="Q284" s="5">
        <v>66957</v>
      </c>
      <c r="S284" s="5"/>
    </row>
    <row r="285" spans="1:26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756</v>
      </c>
      <c r="G285" s="21"/>
      <c r="H285" s="16">
        <v>0</v>
      </c>
      <c r="I285" s="16">
        <v>4</v>
      </c>
      <c r="J285" s="16">
        <v>0</v>
      </c>
      <c r="K285" s="16">
        <v>0</v>
      </c>
      <c r="L285" s="15">
        <f t="shared" si="15"/>
        <v>54.484931506849314</v>
      </c>
      <c r="M285" s="5">
        <v>47070</v>
      </c>
      <c r="N285" s="16"/>
      <c r="O285" s="16"/>
      <c r="P285" s="16"/>
      <c r="Q285" s="5">
        <v>66957</v>
      </c>
      <c r="S285" s="5">
        <v>65291</v>
      </c>
      <c r="T285" s="2" t="s">
        <v>2</v>
      </c>
      <c r="U285" s="2">
        <v>4</v>
      </c>
      <c r="V285" s="2">
        <v>1</v>
      </c>
      <c r="W285" s="2">
        <v>3</v>
      </c>
      <c r="X285" t="s">
        <v>242</v>
      </c>
      <c r="Y285" t="s">
        <v>316</v>
      </c>
      <c r="Z285" t="s">
        <v>245</v>
      </c>
    </row>
    <row r="286" spans="1:26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756</v>
      </c>
      <c r="G286" s="21"/>
      <c r="H286" s="16"/>
      <c r="I286" s="16"/>
      <c r="J286" s="16"/>
      <c r="K286" s="16"/>
      <c r="L286" s="15">
        <f t="shared" si="15"/>
        <v>42.339726027397262</v>
      </c>
      <c r="M286" s="5">
        <v>51503</v>
      </c>
      <c r="N286" s="16"/>
      <c r="O286" s="16"/>
      <c r="P286" s="16"/>
      <c r="Q286" s="5">
        <v>66957</v>
      </c>
      <c r="S286" s="5"/>
    </row>
    <row r="287" spans="1:26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757</v>
      </c>
      <c r="G287" s="21"/>
      <c r="H287" s="16"/>
      <c r="I287" s="16"/>
      <c r="J287" s="16"/>
      <c r="K287" s="16"/>
      <c r="L287" s="15">
        <f t="shared" si="15"/>
        <v>29.972602739726028</v>
      </c>
      <c r="M287" s="5">
        <v>56017</v>
      </c>
      <c r="N287" s="16"/>
      <c r="O287" s="16"/>
      <c r="P287" s="16"/>
      <c r="Q287" s="5">
        <v>66957</v>
      </c>
      <c r="S287" s="5"/>
    </row>
    <row r="288" spans="1:26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757</v>
      </c>
      <c r="G288" s="21"/>
      <c r="H288" s="16"/>
      <c r="I288" s="16"/>
      <c r="J288" s="16"/>
      <c r="K288" s="16"/>
      <c r="L288" s="15">
        <f t="shared" si="15"/>
        <v>22.816438356164383</v>
      </c>
      <c r="M288" s="5">
        <v>58629</v>
      </c>
      <c r="N288" s="16"/>
      <c r="O288" s="16"/>
      <c r="P288" s="16"/>
      <c r="Q288" s="5">
        <v>66957</v>
      </c>
      <c r="S288" s="5"/>
    </row>
    <row r="289" spans="1:26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756</v>
      </c>
      <c r="G289" s="21"/>
      <c r="H289" s="16" t="s">
        <v>748</v>
      </c>
      <c r="I289" s="16" t="s">
        <v>748</v>
      </c>
      <c r="J289" s="16" t="s">
        <v>748</v>
      </c>
      <c r="K289" s="16" t="s">
        <v>748</v>
      </c>
      <c r="L289" s="15">
        <f t="shared" si="15"/>
        <v>44.482191780821921</v>
      </c>
      <c r="M289" s="5">
        <v>50721</v>
      </c>
      <c r="N289" s="16"/>
      <c r="O289" s="16"/>
      <c r="P289" s="16"/>
      <c r="Q289" s="5">
        <v>66957</v>
      </c>
      <c r="S289" s="5">
        <v>65290</v>
      </c>
      <c r="T289" s="2" t="s">
        <v>2</v>
      </c>
      <c r="U289" s="2">
        <v>3</v>
      </c>
      <c r="V289" s="2">
        <v>2</v>
      </c>
      <c r="W289" s="2">
        <v>1</v>
      </c>
      <c r="X289" t="s">
        <v>242</v>
      </c>
      <c r="Y289" t="s">
        <v>299</v>
      </c>
      <c r="Z289" t="s">
        <v>245</v>
      </c>
    </row>
    <row r="290" spans="1:26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756</v>
      </c>
      <c r="G290" s="21"/>
      <c r="H290" s="16"/>
      <c r="I290" s="16"/>
      <c r="J290" s="16"/>
      <c r="K290" s="16"/>
      <c r="L290" s="15">
        <f t="shared" si="15"/>
        <v>45.56712328767123</v>
      </c>
      <c r="M290" s="5">
        <v>50325</v>
      </c>
      <c r="N290" s="16"/>
      <c r="O290" s="16"/>
      <c r="P290" s="16"/>
      <c r="Q290" s="5">
        <v>66957</v>
      </c>
      <c r="S290" s="5"/>
    </row>
    <row r="291" spans="1:26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757</v>
      </c>
      <c r="G291" s="21"/>
      <c r="H291" s="16"/>
      <c r="I291" s="16"/>
      <c r="J291" s="16"/>
      <c r="K291" s="16"/>
      <c r="L291" s="15">
        <f t="shared" si="15"/>
        <v>21.717808219178082</v>
      </c>
      <c r="M291" s="5">
        <v>59030</v>
      </c>
      <c r="N291" s="16"/>
      <c r="O291" s="16"/>
      <c r="P291" s="16"/>
      <c r="Q291" s="5">
        <v>66957</v>
      </c>
      <c r="S291" s="5"/>
    </row>
    <row r="292" spans="1:26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756</v>
      </c>
      <c r="G292" s="21"/>
      <c r="H292" s="16">
        <v>0</v>
      </c>
      <c r="I292" s="16">
        <v>3</v>
      </c>
      <c r="J292" s="16">
        <v>0</v>
      </c>
      <c r="K292" s="16">
        <v>0</v>
      </c>
      <c r="L292" s="15">
        <f t="shared" si="15"/>
        <v>51.326027397260276</v>
      </c>
      <c r="M292" s="5">
        <v>48223</v>
      </c>
      <c r="N292" s="16"/>
      <c r="O292" s="16"/>
      <c r="P292" s="16"/>
      <c r="Q292" s="5">
        <v>66957</v>
      </c>
      <c r="S292" s="5">
        <v>65287</v>
      </c>
      <c r="T292" s="2" t="s">
        <v>2</v>
      </c>
      <c r="U292" s="2">
        <v>3</v>
      </c>
      <c r="V292" s="2">
        <v>2</v>
      </c>
      <c r="W292" s="2">
        <v>1</v>
      </c>
      <c r="X292" t="s">
        <v>242</v>
      </c>
      <c r="Y292" t="s">
        <v>291</v>
      </c>
      <c r="Z292" t="s">
        <v>245</v>
      </c>
    </row>
    <row r="293" spans="1:26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756</v>
      </c>
      <c r="G293" s="21"/>
      <c r="H293" s="16"/>
      <c r="I293" s="16"/>
      <c r="J293" s="16"/>
      <c r="K293" s="16"/>
      <c r="L293" s="15">
        <f t="shared" si="15"/>
        <v>45.073972602739723</v>
      </c>
      <c r="M293" s="5">
        <v>50505</v>
      </c>
      <c r="N293" s="16"/>
      <c r="O293" s="16"/>
      <c r="P293" s="16"/>
      <c r="Q293" s="5">
        <v>66957</v>
      </c>
      <c r="S293" s="5"/>
    </row>
    <row r="294" spans="1:26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757</v>
      </c>
      <c r="G294" s="21"/>
      <c r="H294" s="16"/>
      <c r="I294" s="16"/>
      <c r="J294" s="16"/>
      <c r="K294" s="16"/>
      <c r="L294" s="15">
        <f t="shared" si="15"/>
        <v>24.076712328767123</v>
      </c>
      <c r="M294" s="5">
        <v>58169</v>
      </c>
      <c r="N294" s="16"/>
      <c r="O294" s="16"/>
      <c r="P294" s="16"/>
      <c r="Q294" s="5">
        <v>66957</v>
      </c>
      <c r="S294" s="5"/>
    </row>
    <row r="295" spans="1:26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756</v>
      </c>
      <c r="G295" s="21"/>
      <c r="H295" s="16" t="s">
        <v>748</v>
      </c>
      <c r="I295" s="16" t="s">
        <v>748</v>
      </c>
      <c r="J295" s="16" t="s">
        <v>748</v>
      </c>
      <c r="K295" s="16" t="s">
        <v>748</v>
      </c>
      <c r="L295" s="15">
        <f t="shared" si="15"/>
        <v>40.5013698630137</v>
      </c>
      <c r="M295" s="5">
        <v>52174</v>
      </c>
      <c r="N295" s="16"/>
      <c r="O295" s="16"/>
      <c r="P295" s="16"/>
      <c r="Q295" s="5">
        <v>66957</v>
      </c>
      <c r="S295" s="5">
        <v>65265</v>
      </c>
      <c r="T295" s="2" t="s">
        <v>100</v>
      </c>
      <c r="U295" s="2">
        <v>4</v>
      </c>
      <c r="V295" s="2">
        <v>2</v>
      </c>
      <c r="W295" s="2">
        <v>2</v>
      </c>
      <c r="X295" t="s">
        <v>242</v>
      </c>
      <c r="Y295" t="s">
        <v>245</v>
      </c>
      <c r="Z295" t="s">
        <v>289</v>
      </c>
    </row>
    <row r="296" spans="1:26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756</v>
      </c>
      <c r="G296" s="21"/>
      <c r="H296" s="16"/>
      <c r="I296" s="16"/>
      <c r="J296" s="16"/>
      <c r="K296" s="16"/>
      <c r="L296" s="15">
        <f t="shared" si="15"/>
        <v>39.082191780821915</v>
      </c>
      <c r="M296" s="5">
        <v>52692</v>
      </c>
      <c r="N296" s="16"/>
      <c r="O296" s="16"/>
      <c r="P296" s="16"/>
      <c r="Q296" s="5">
        <v>66957</v>
      </c>
      <c r="S296" s="5"/>
    </row>
    <row r="297" spans="1:26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757</v>
      </c>
      <c r="G297" s="21"/>
      <c r="H297" s="16"/>
      <c r="I297" s="16"/>
      <c r="J297" s="16"/>
      <c r="K297" s="16"/>
      <c r="L297" s="15">
        <f t="shared" si="15"/>
        <v>14.96986301369863</v>
      </c>
      <c r="M297" s="5">
        <v>61493</v>
      </c>
      <c r="N297" s="16"/>
      <c r="O297" s="16"/>
      <c r="P297" s="16"/>
      <c r="Q297" s="5">
        <v>66957</v>
      </c>
      <c r="S297" s="5"/>
    </row>
    <row r="298" spans="1:26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757</v>
      </c>
      <c r="G298" s="21"/>
      <c r="H298" s="16"/>
      <c r="I298" s="16"/>
      <c r="J298" s="16"/>
      <c r="K298" s="16"/>
      <c r="L298" s="15">
        <f t="shared" si="15"/>
        <v>10.268493150684931</v>
      </c>
      <c r="M298" s="5">
        <v>63209</v>
      </c>
      <c r="N298" s="16"/>
      <c r="O298" s="16"/>
      <c r="P298" s="16"/>
      <c r="Q298" s="5">
        <v>66957</v>
      </c>
      <c r="S298" s="5"/>
    </row>
    <row r="299" spans="1:26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756</v>
      </c>
      <c r="G299" s="21"/>
      <c r="H299" s="16">
        <v>2</v>
      </c>
      <c r="I299" s="16">
        <v>5</v>
      </c>
      <c r="J299" s="16">
        <v>0</v>
      </c>
      <c r="K299" s="16">
        <f>0</f>
        <v>0</v>
      </c>
      <c r="L299" s="15">
        <f t="shared" si="15"/>
        <v>53.405479452054792</v>
      </c>
      <c r="M299" s="5">
        <v>47464</v>
      </c>
      <c r="N299" s="16"/>
      <c r="O299" s="16"/>
      <c r="P299" s="16"/>
      <c r="Q299" s="5">
        <v>66957</v>
      </c>
      <c r="S299" s="5">
        <v>65173</v>
      </c>
      <c r="T299" s="2" t="s">
        <v>100</v>
      </c>
      <c r="U299" s="2">
        <v>4</v>
      </c>
      <c r="V299" s="2">
        <v>2</v>
      </c>
      <c r="W299" s="2">
        <v>2</v>
      </c>
      <c r="X299" t="s">
        <v>241</v>
      </c>
      <c r="Y299" t="s">
        <v>245</v>
      </c>
      <c r="Z299" t="s">
        <v>252</v>
      </c>
    </row>
    <row r="300" spans="1:26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757</v>
      </c>
      <c r="G300" s="21"/>
      <c r="H300" s="16"/>
      <c r="I300" s="16"/>
      <c r="J300" s="16"/>
      <c r="K300" s="16"/>
      <c r="L300" s="15">
        <f t="shared" si="15"/>
        <v>32.402739726027399</v>
      </c>
      <c r="M300" s="5">
        <v>55130</v>
      </c>
      <c r="N300" s="16"/>
      <c r="O300" s="16"/>
      <c r="P300" s="16"/>
      <c r="Q300" s="5">
        <v>66957</v>
      </c>
      <c r="S300" s="5"/>
    </row>
    <row r="301" spans="1:26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757</v>
      </c>
      <c r="G301" s="21"/>
      <c r="H301" s="16"/>
      <c r="I301" s="16"/>
      <c r="J301" s="16"/>
      <c r="K301" s="16"/>
      <c r="L301" s="15">
        <f t="shared" si="15"/>
        <v>30.353424657534248</v>
      </c>
      <c r="M301" s="5">
        <v>55878</v>
      </c>
      <c r="N301" s="16"/>
      <c r="O301" s="16"/>
      <c r="P301" s="16"/>
      <c r="Q301" s="5">
        <v>66957</v>
      </c>
      <c r="S301" s="5"/>
    </row>
    <row r="302" spans="1:26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757</v>
      </c>
      <c r="G302" s="21"/>
      <c r="H302" s="16"/>
      <c r="I302" s="16"/>
      <c r="J302" s="16"/>
      <c r="K302" s="16"/>
      <c r="L302" s="15">
        <f t="shared" si="15"/>
        <v>18.654794520547945</v>
      </c>
      <c r="M302" s="5">
        <v>60148</v>
      </c>
      <c r="N302" s="16"/>
      <c r="O302" s="16"/>
      <c r="P302" s="16"/>
      <c r="Q302" s="5">
        <v>66957</v>
      </c>
      <c r="S302" s="5"/>
    </row>
    <row r="303" spans="1:26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756</v>
      </c>
      <c r="G303" s="21"/>
      <c r="H303" s="16" t="s">
        <v>748</v>
      </c>
      <c r="I303" s="16" t="s">
        <v>748</v>
      </c>
      <c r="J303" s="16" t="s">
        <v>748</v>
      </c>
      <c r="K303" s="16" t="s">
        <v>748</v>
      </c>
      <c r="L303" s="15">
        <f t="shared" si="15"/>
        <v>37.452054794520549</v>
      </c>
      <c r="M303" s="5">
        <v>53287</v>
      </c>
      <c r="N303" s="16"/>
      <c r="O303" s="16"/>
      <c r="P303" s="16"/>
      <c r="Q303" s="5">
        <v>66957</v>
      </c>
      <c r="S303" s="5">
        <v>65146</v>
      </c>
      <c r="T303" s="2" t="s">
        <v>2</v>
      </c>
      <c r="U303" s="2">
        <v>4</v>
      </c>
      <c r="V303" s="2">
        <v>2</v>
      </c>
      <c r="W303" s="2">
        <v>2</v>
      </c>
      <c r="X303" t="s">
        <v>242</v>
      </c>
      <c r="Y303" t="s">
        <v>277</v>
      </c>
      <c r="Z303" t="s">
        <v>245</v>
      </c>
    </row>
    <row r="304" spans="1:26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756</v>
      </c>
      <c r="G304" s="21"/>
      <c r="H304" s="16"/>
      <c r="I304" s="16"/>
      <c r="J304" s="16"/>
      <c r="K304" s="16"/>
      <c r="L304" s="15">
        <f t="shared" si="15"/>
        <v>35.504109589041093</v>
      </c>
      <c r="M304" s="5">
        <v>53998</v>
      </c>
      <c r="N304" s="16"/>
      <c r="O304" s="16"/>
      <c r="P304" s="16"/>
      <c r="Q304" s="5">
        <v>66957</v>
      </c>
      <c r="S304" s="5"/>
    </row>
    <row r="305" spans="1:26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757</v>
      </c>
      <c r="G305" s="21"/>
      <c r="H305" s="16"/>
      <c r="I305" s="16"/>
      <c r="J305" s="16"/>
      <c r="K305" s="16"/>
      <c r="L305" s="15">
        <f t="shared" si="15"/>
        <v>11.764383561643836</v>
      </c>
      <c r="M305" s="5">
        <v>62663</v>
      </c>
      <c r="N305" s="16"/>
      <c r="O305" s="16"/>
      <c r="P305" s="16"/>
      <c r="Q305" s="5">
        <v>66957</v>
      </c>
      <c r="S305" s="5"/>
    </row>
    <row r="306" spans="1:26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757</v>
      </c>
      <c r="G306" s="21"/>
      <c r="H306" s="16"/>
      <c r="I306" s="16"/>
      <c r="J306" s="16"/>
      <c r="K306" s="16"/>
      <c r="L306" s="15">
        <f t="shared" si="15"/>
        <v>6.8739726027397259</v>
      </c>
      <c r="M306" s="5">
        <v>64448</v>
      </c>
      <c r="N306" s="16"/>
      <c r="O306" s="16"/>
      <c r="P306" s="16"/>
      <c r="Q306" s="5">
        <v>66957</v>
      </c>
      <c r="S306" s="5"/>
    </row>
    <row r="307" spans="1:26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756</v>
      </c>
      <c r="G307" s="21"/>
      <c r="H307" s="16" t="s">
        <v>748</v>
      </c>
      <c r="I307" s="16" t="s">
        <v>748</v>
      </c>
      <c r="J307" s="16" t="s">
        <v>748</v>
      </c>
      <c r="K307" s="16" t="s">
        <v>748</v>
      </c>
      <c r="L307" s="15">
        <f t="shared" si="15"/>
        <v>37.791780821917811</v>
      </c>
      <c r="M307" s="5">
        <v>53163</v>
      </c>
      <c r="N307" s="16"/>
      <c r="O307" s="16"/>
      <c r="P307" s="16"/>
      <c r="Q307" s="5">
        <v>66957</v>
      </c>
      <c r="S307" s="5">
        <v>64977</v>
      </c>
      <c r="T307" s="2" t="s">
        <v>2</v>
      </c>
      <c r="U307" s="2">
        <v>2</v>
      </c>
      <c r="V307" s="2">
        <v>1</v>
      </c>
      <c r="W307" s="2">
        <v>1</v>
      </c>
      <c r="X307" t="s">
        <v>240</v>
      </c>
      <c r="Y307" t="s">
        <v>315</v>
      </c>
      <c r="Z307" t="s">
        <v>245</v>
      </c>
    </row>
    <row r="308" spans="1:26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757</v>
      </c>
      <c r="G308" s="21"/>
      <c r="H308" s="16"/>
      <c r="I308" s="16"/>
      <c r="J308" s="16"/>
      <c r="K308" s="16"/>
      <c r="L308" s="15">
        <f t="shared" si="15"/>
        <v>11.602739726027398</v>
      </c>
      <c r="M308" s="5">
        <v>62722</v>
      </c>
      <c r="N308" s="16"/>
      <c r="O308" s="16"/>
      <c r="P308" s="16"/>
      <c r="Q308" s="5">
        <v>66957</v>
      </c>
      <c r="S308" s="5"/>
    </row>
    <row r="309" spans="1:26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756</v>
      </c>
      <c r="G309" s="21"/>
      <c r="H309" s="16" t="s">
        <v>748</v>
      </c>
      <c r="I309" s="16" t="s">
        <v>748</v>
      </c>
      <c r="J309" s="16" t="s">
        <v>748</v>
      </c>
      <c r="K309" s="16" t="s">
        <v>748</v>
      </c>
      <c r="L309" s="15">
        <f t="shared" si="15"/>
        <v>55.589041095890408</v>
      </c>
      <c r="M309" s="5">
        <v>46667</v>
      </c>
      <c r="N309" s="16"/>
      <c r="O309" s="16"/>
      <c r="P309" s="16"/>
      <c r="Q309" s="5">
        <v>66957</v>
      </c>
      <c r="S309" s="5">
        <v>64935</v>
      </c>
      <c r="T309" s="2" t="s">
        <v>100</v>
      </c>
      <c r="U309" s="2">
        <v>4</v>
      </c>
      <c r="V309" s="2">
        <v>2</v>
      </c>
      <c r="W309" s="2">
        <v>2</v>
      </c>
      <c r="X309" t="s">
        <v>242</v>
      </c>
      <c r="Y309" t="s">
        <v>245</v>
      </c>
      <c r="Z309" t="s">
        <v>260</v>
      </c>
    </row>
    <row r="310" spans="1:26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756</v>
      </c>
      <c r="G310" s="21"/>
      <c r="H310" s="16"/>
      <c r="I310" s="16"/>
      <c r="J310" s="16"/>
      <c r="K310" s="16"/>
      <c r="L310" s="15">
        <f t="shared" si="15"/>
        <v>42.750684931506846</v>
      </c>
      <c r="M310" s="5">
        <v>51353</v>
      </c>
      <c r="N310" s="16"/>
      <c r="O310" s="16"/>
      <c r="P310" s="16"/>
      <c r="Q310" s="5">
        <v>66957</v>
      </c>
      <c r="S310" s="5"/>
    </row>
    <row r="311" spans="1:26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757</v>
      </c>
      <c r="G311" s="21"/>
      <c r="H311" s="16"/>
      <c r="I311" s="16"/>
      <c r="J311" s="16"/>
      <c r="K311" s="16"/>
      <c r="L311" s="15">
        <f t="shared" si="15"/>
        <v>20.235616438356164</v>
      </c>
      <c r="M311" s="5">
        <v>59571</v>
      </c>
      <c r="N311" s="16"/>
      <c r="O311" s="16"/>
      <c r="P311" s="16"/>
      <c r="Q311" s="5">
        <v>66957</v>
      </c>
      <c r="S311" s="5"/>
    </row>
    <row r="312" spans="1:26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757</v>
      </c>
      <c r="G312" s="21"/>
      <c r="H312" s="16"/>
      <c r="I312" s="16"/>
      <c r="J312" s="16"/>
      <c r="K312" s="16"/>
      <c r="L312" s="15">
        <f t="shared" si="15"/>
        <v>19.013698630136986</v>
      </c>
      <c r="M312" s="5">
        <v>60017</v>
      </c>
      <c r="N312" s="16"/>
      <c r="O312" s="16"/>
      <c r="P312" s="16"/>
      <c r="Q312" s="5">
        <v>66957</v>
      </c>
      <c r="S312" s="5"/>
    </row>
    <row r="313" spans="1:26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756</v>
      </c>
      <c r="G313" s="21"/>
      <c r="H313" s="16">
        <v>2</v>
      </c>
      <c r="I313" s="16">
        <v>6</v>
      </c>
      <c r="J313" s="16">
        <v>1</v>
      </c>
      <c r="K313" s="16">
        <v>1</v>
      </c>
      <c r="L313" s="15">
        <f t="shared" si="15"/>
        <v>46.334246575342469</v>
      </c>
      <c r="M313" s="5">
        <v>50045</v>
      </c>
      <c r="N313" s="16"/>
      <c r="O313" s="16"/>
      <c r="P313" s="16"/>
      <c r="Q313" s="5">
        <v>66957</v>
      </c>
      <c r="S313" s="5">
        <v>64887</v>
      </c>
      <c r="T313" s="2" t="s">
        <v>2</v>
      </c>
      <c r="U313" s="2">
        <v>4</v>
      </c>
      <c r="V313" s="2">
        <v>2</v>
      </c>
      <c r="W313" s="2">
        <v>2</v>
      </c>
      <c r="X313" t="s">
        <v>242</v>
      </c>
      <c r="Y313" t="s">
        <v>286</v>
      </c>
      <c r="Z313" t="s">
        <v>245</v>
      </c>
    </row>
    <row r="314" spans="1:26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756</v>
      </c>
      <c r="G314" s="21"/>
      <c r="H314" s="16"/>
      <c r="I314" s="16"/>
      <c r="J314" s="16"/>
      <c r="K314" s="16"/>
      <c r="L314" s="15">
        <f t="shared" si="15"/>
        <v>43.893150684931506</v>
      </c>
      <c r="M314" s="5">
        <v>50936</v>
      </c>
      <c r="N314" s="16"/>
      <c r="O314" s="16"/>
      <c r="P314" s="16"/>
      <c r="Q314" s="5">
        <v>66957</v>
      </c>
      <c r="S314" s="5"/>
    </row>
    <row r="315" spans="1:26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757</v>
      </c>
      <c r="G315" s="21"/>
      <c r="H315" s="16"/>
      <c r="I315" s="16"/>
      <c r="J315" s="16"/>
      <c r="K315" s="16"/>
      <c r="L315" s="15">
        <f t="shared" si="15"/>
        <v>22.761643835616439</v>
      </c>
      <c r="M315" s="5">
        <v>58649</v>
      </c>
      <c r="N315" s="16"/>
      <c r="O315" s="16"/>
      <c r="P315" s="16"/>
      <c r="Q315" s="5">
        <v>66957</v>
      </c>
      <c r="S315" s="5"/>
    </row>
    <row r="316" spans="1:26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757</v>
      </c>
      <c r="G316" s="21"/>
      <c r="H316" s="16"/>
      <c r="I316" s="16"/>
      <c r="J316" s="16"/>
      <c r="K316" s="16"/>
      <c r="L316" s="15">
        <f t="shared" si="15"/>
        <v>20.339726027397262</v>
      </c>
      <c r="M316" s="5">
        <v>59533</v>
      </c>
      <c r="N316" s="16"/>
      <c r="O316" s="16"/>
      <c r="P316" s="16"/>
      <c r="Q316" s="5">
        <v>66957</v>
      </c>
      <c r="S316" s="5"/>
    </row>
    <row r="317" spans="1:26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756</v>
      </c>
      <c r="G317" s="21"/>
      <c r="H317" s="16" t="s">
        <v>748</v>
      </c>
      <c r="I317" s="16" t="s">
        <v>748</v>
      </c>
      <c r="J317" s="16" t="s">
        <v>748</v>
      </c>
      <c r="K317" s="16" t="s">
        <v>748</v>
      </c>
      <c r="L317" s="15">
        <f t="shared" si="15"/>
        <v>41.128767123287673</v>
      </c>
      <c r="M317" s="5">
        <v>51945</v>
      </c>
      <c r="N317" s="16"/>
      <c r="O317" s="16"/>
      <c r="P317" s="16"/>
      <c r="Q317" s="5">
        <v>66957</v>
      </c>
      <c r="S317" s="5">
        <v>64813</v>
      </c>
      <c r="T317" s="2" t="s">
        <v>100</v>
      </c>
      <c r="U317" s="2">
        <v>4</v>
      </c>
      <c r="V317" s="2">
        <v>2</v>
      </c>
      <c r="W317" s="2">
        <v>2</v>
      </c>
      <c r="X317" t="s">
        <v>242</v>
      </c>
      <c r="Y317" t="s">
        <v>245</v>
      </c>
      <c r="Z317" t="s">
        <v>294</v>
      </c>
    </row>
    <row r="318" spans="1:26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756</v>
      </c>
      <c r="G318" s="21"/>
      <c r="H318" s="16"/>
      <c r="I318" s="16"/>
      <c r="J318" s="16"/>
      <c r="K318" s="16"/>
      <c r="L318" s="15">
        <f t="shared" si="15"/>
        <v>37.284931506849318</v>
      </c>
      <c r="M318" s="5">
        <v>53348</v>
      </c>
      <c r="N318" s="16"/>
      <c r="O318" s="16"/>
      <c r="P318" s="16"/>
      <c r="Q318" s="5">
        <v>66957</v>
      </c>
      <c r="S318" s="5"/>
    </row>
    <row r="319" spans="1:26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757</v>
      </c>
      <c r="G319" s="21"/>
      <c r="H319" s="16"/>
      <c r="I319" s="16"/>
      <c r="J319" s="16"/>
      <c r="K319" s="16"/>
      <c r="L319" s="15">
        <f t="shared" si="15"/>
        <v>17.095890410958905</v>
      </c>
      <c r="M319" s="5">
        <v>60717</v>
      </c>
      <c r="N319" s="16"/>
      <c r="O319" s="16"/>
      <c r="P319" s="16"/>
      <c r="Q319" s="5">
        <v>66957</v>
      </c>
      <c r="S319" s="5"/>
    </row>
    <row r="320" spans="1:26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757</v>
      </c>
      <c r="G320" s="21"/>
      <c r="H320" s="16"/>
      <c r="I320" s="16"/>
      <c r="J320" s="16"/>
      <c r="K320" s="16"/>
      <c r="L320" s="15">
        <f t="shared" si="15"/>
        <v>14.597260273972603</v>
      </c>
      <c r="M320" s="5">
        <v>61629</v>
      </c>
      <c r="N320" s="16"/>
      <c r="O320" s="16"/>
      <c r="P320" s="16"/>
      <c r="Q320" s="5">
        <v>66957</v>
      </c>
      <c r="S320" s="5"/>
    </row>
    <row r="321" spans="1:26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756</v>
      </c>
      <c r="G321" s="21"/>
      <c r="H321" s="16">
        <v>0</v>
      </c>
      <c r="I321" s="16">
        <v>5</v>
      </c>
      <c r="J321" s="16">
        <v>1</v>
      </c>
      <c r="K321" s="16">
        <v>2</v>
      </c>
      <c r="L321" s="15">
        <f t="shared" si="15"/>
        <v>52.339726027397262</v>
      </c>
      <c r="M321" s="5">
        <v>47853</v>
      </c>
      <c r="N321" s="16"/>
      <c r="O321" s="16"/>
      <c r="P321" s="16"/>
      <c r="Q321" s="5">
        <v>66957</v>
      </c>
      <c r="S321" s="5">
        <v>64618</v>
      </c>
      <c r="T321" s="2" t="s">
        <v>2</v>
      </c>
      <c r="U321" s="2">
        <v>4</v>
      </c>
      <c r="V321" s="2">
        <v>3</v>
      </c>
      <c r="W321" s="2">
        <v>1</v>
      </c>
      <c r="X321" t="s">
        <v>241</v>
      </c>
      <c r="Y321" t="s">
        <v>250</v>
      </c>
      <c r="Z321" t="s">
        <v>245</v>
      </c>
    </row>
    <row r="322" spans="1:26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756</v>
      </c>
      <c r="G322" s="21"/>
      <c r="H322" s="16"/>
      <c r="I322" s="16"/>
      <c r="J322" s="16"/>
      <c r="K322" s="16"/>
      <c r="L322" s="15">
        <f t="shared" si="15"/>
        <v>59.197260273972603</v>
      </c>
      <c r="M322" s="5">
        <v>45350</v>
      </c>
      <c r="N322" s="16"/>
      <c r="O322" s="16"/>
      <c r="P322" s="16"/>
      <c r="Q322" s="5">
        <v>66957</v>
      </c>
      <c r="S322" s="5"/>
    </row>
    <row r="323" spans="1:26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757</v>
      </c>
      <c r="G323" s="21"/>
      <c r="H323" s="16"/>
      <c r="I323" s="16"/>
      <c r="J323" s="16"/>
      <c r="K323" s="16"/>
      <c r="L323" s="15">
        <f t="shared" si="15"/>
        <v>33.172602739726024</v>
      </c>
      <c r="M323" s="5">
        <v>54849</v>
      </c>
      <c r="N323" s="16"/>
      <c r="O323" s="16"/>
      <c r="P323" s="16"/>
      <c r="Q323" s="5">
        <v>66957</v>
      </c>
      <c r="S323" s="5"/>
    </row>
    <row r="324" spans="1:26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757</v>
      </c>
      <c r="G324" s="21"/>
      <c r="H324" s="16"/>
      <c r="I324" s="16"/>
      <c r="J324" s="16"/>
      <c r="K324" s="16"/>
      <c r="L324" s="15">
        <f t="shared" ref="L324:L387" si="18">(Q324-M324)/365</f>
        <v>30.980821917808218</v>
      </c>
      <c r="M324" s="5">
        <v>55649</v>
      </c>
      <c r="N324" s="16"/>
      <c r="O324" s="16"/>
      <c r="P324" s="16"/>
      <c r="Q324" s="5">
        <v>66957</v>
      </c>
      <c r="S324" s="5"/>
    </row>
    <row r="325" spans="1:26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756</v>
      </c>
      <c r="G325" s="21"/>
      <c r="H325" s="16" t="s">
        <v>748</v>
      </c>
      <c r="I325" s="16" t="s">
        <v>748</v>
      </c>
      <c r="J325" s="16" t="s">
        <v>748</v>
      </c>
      <c r="K325" s="16" t="s">
        <v>748</v>
      </c>
      <c r="L325" s="15">
        <f t="shared" si="18"/>
        <v>44.709589041095889</v>
      </c>
      <c r="M325" s="5">
        <v>50638</v>
      </c>
      <c r="N325" s="16"/>
      <c r="O325" s="16"/>
      <c r="P325" s="16"/>
      <c r="Q325" s="5">
        <v>66957</v>
      </c>
      <c r="S325" s="5">
        <v>64618</v>
      </c>
      <c r="T325" s="2" t="s">
        <v>2</v>
      </c>
      <c r="U325" s="2">
        <v>1</v>
      </c>
      <c r="W325" s="2">
        <v>1</v>
      </c>
      <c r="X325" t="s">
        <v>242</v>
      </c>
      <c r="Y325" t="s">
        <v>301</v>
      </c>
      <c r="Z325" t="s">
        <v>245</v>
      </c>
    </row>
    <row r="326" spans="1:26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756</v>
      </c>
      <c r="G326" s="21"/>
      <c r="H326" s="16">
        <v>0</v>
      </c>
      <c r="I326" s="16">
        <v>4</v>
      </c>
      <c r="J326" s="16">
        <v>0</v>
      </c>
      <c r="K326" s="20">
        <v>2</v>
      </c>
      <c r="L326" s="15">
        <f t="shared" si="18"/>
        <v>58.126027397260273</v>
      </c>
      <c r="M326" s="5">
        <v>45741</v>
      </c>
      <c r="N326" s="16"/>
      <c r="O326" s="16"/>
      <c r="P326" s="16"/>
      <c r="Q326" s="5">
        <v>66957</v>
      </c>
      <c r="S326" s="5">
        <v>64571</v>
      </c>
      <c r="T326" s="2" t="s">
        <v>2</v>
      </c>
      <c r="U326" s="2">
        <v>5</v>
      </c>
      <c r="V326" s="2">
        <v>3</v>
      </c>
      <c r="W326" s="2">
        <v>2</v>
      </c>
      <c r="X326" t="s">
        <v>242</v>
      </c>
      <c r="Y326" t="s">
        <v>281</v>
      </c>
      <c r="Z326" t="s">
        <v>245</v>
      </c>
    </row>
    <row r="327" spans="1:26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757</v>
      </c>
      <c r="G327" s="21"/>
      <c r="H327" s="16"/>
      <c r="I327" s="16"/>
      <c r="J327" s="16"/>
      <c r="K327" s="16"/>
      <c r="L327" s="15">
        <f t="shared" si="18"/>
        <v>31.054794520547944</v>
      </c>
      <c r="M327" s="5">
        <v>55622</v>
      </c>
      <c r="N327" s="16"/>
      <c r="O327" s="16"/>
      <c r="P327" s="16"/>
      <c r="Q327" s="5">
        <v>66957</v>
      </c>
      <c r="S327" s="5"/>
    </row>
    <row r="328" spans="1:26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757</v>
      </c>
      <c r="G328" s="21"/>
      <c r="H328" s="16"/>
      <c r="I328" s="16"/>
      <c r="J328" s="16"/>
      <c r="K328" s="16"/>
      <c r="L328" s="15">
        <f t="shared" si="18"/>
        <v>28.641095890410959</v>
      </c>
      <c r="M328" s="5">
        <v>56503</v>
      </c>
      <c r="N328" s="16"/>
      <c r="O328" s="16"/>
      <c r="P328" s="16"/>
      <c r="Q328" s="5">
        <v>66957</v>
      </c>
      <c r="S328" s="5"/>
    </row>
    <row r="329" spans="1:26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756</v>
      </c>
      <c r="G329" s="21"/>
      <c r="H329" s="16"/>
      <c r="I329" s="16"/>
      <c r="J329" s="16"/>
      <c r="K329" s="16"/>
      <c r="L329" s="15">
        <f t="shared" si="18"/>
        <v>52.9972602739726</v>
      </c>
      <c r="M329" s="5">
        <v>47613</v>
      </c>
      <c r="N329" s="16"/>
      <c r="O329" s="16"/>
      <c r="P329" s="16"/>
      <c r="Q329" s="5">
        <v>66957</v>
      </c>
      <c r="S329" s="5"/>
    </row>
    <row r="330" spans="1:26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757</v>
      </c>
      <c r="G330" s="21"/>
      <c r="H330" s="16"/>
      <c r="I330" s="16"/>
      <c r="J330" s="16"/>
      <c r="K330" s="16"/>
      <c r="L330" s="15">
        <f t="shared" si="18"/>
        <v>23.641095890410959</v>
      </c>
      <c r="M330" s="5">
        <v>58328</v>
      </c>
      <c r="N330" s="16"/>
      <c r="O330" s="16"/>
      <c r="P330" s="16"/>
      <c r="Q330" s="5">
        <v>66957</v>
      </c>
      <c r="S330" s="5"/>
    </row>
    <row r="331" spans="1:26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756</v>
      </c>
      <c r="G331" s="21"/>
      <c r="H331" s="16">
        <v>0</v>
      </c>
      <c r="I331" s="16">
        <v>13</v>
      </c>
      <c r="J331" s="16">
        <v>3</v>
      </c>
      <c r="K331" s="16">
        <v>0</v>
      </c>
      <c r="L331" s="15">
        <f t="shared" si="18"/>
        <v>56.019178082191779</v>
      </c>
      <c r="M331" s="5">
        <v>46510</v>
      </c>
      <c r="N331" s="16"/>
      <c r="O331" s="16"/>
      <c r="P331" s="16"/>
      <c r="Q331" s="5">
        <v>66957</v>
      </c>
      <c r="S331" s="5">
        <v>64532</v>
      </c>
      <c r="T331" s="2" t="s">
        <v>100</v>
      </c>
      <c r="U331" s="2">
        <v>4</v>
      </c>
      <c r="V331" s="2">
        <v>2</v>
      </c>
      <c r="W331" s="2">
        <v>2</v>
      </c>
      <c r="X331" t="s">
        <v>242</v>
      </c>
      <c r="Y331" t="s">
        <v>245</v>
      </c>
      <c r="Z331" t="s">
        <v>259</v>
      </c>
    </row>
    <row r="332" spans="1:26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756</v>
      </c>
      <c r="G332" s="21"/>
      <c r="H332" s="16"/>
      <c r="I332" s="16"/>
      <c r="J332" s="16"/>
      <c r="K332" s="16"/>
      <c r="L332" s="15">
        <f t="shared" si="18"/>
        <v>38.706849315068496</v>
      </c>
      <c r="M332" s="5">
        <v>52829</v>
      </c>
      <c r="N332" s="16"/>
      <c r="O332" s="16"/>
      <c r="P332" s="16"/>
      <c r="Q332" s="5">
        <v>66957</v>
      </c>
      <c r="S332" s="5"/>
    </row>
    <row r="333" spans="1:26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757</v>
      </c>
      <c r="G333" s="21"/>
      <c r="H333" s="16"/>
      <c r="I333" s="16"/>
      <c r="J333" s="16"/>
      <c r="K333" s="16"/>
      <c r="L333" s="15">
        <f t="shared" si="18"/>
        <v>14.169863013698631</v>
      </c>
      <c r="M333" s="5">
        <v>61785</v>
      </c>
      <c r="N333" s="16"/>
      <c r="O333" s="16"/>
      <c r="P333" s="16"/>
      <c r="Q333" s="5">
        <v>66957</v>
      </c>
      <c r="S333" s="5"/>
    </row>
    <row r="334" spans="1:26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757</v>
      </c>
      <c r="G334" s="21"/>
      <c r="H334" s="16"/>
      <c r="I334" s="16"/>
      <c r="J334" s="16"/>
      <c r="K334" s="16"/>
      <c r="L334" s="15">
        <f t="shared" si="18"/>
        <v>7.3917808219178083</v>
      </c>
      <c r="M334" s="5">
        <v>64259</v>
      </c>
      <c r="N334" s="16"/>
      <c r="O334" s="16"/>
      <c r="P334" s="16"/>
      <c r="Q334" s="5">
        <v>66957</v>
      </c>
      <c r="S334" s="5"/>
    </row>
    <row r="335" spans="1:26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756</v>
      </c>
      <c r="G335" s="21"/>
      <c r="H335" s="16">
        <v>1</v>
      </c>
      <c r="I335" s="16">
        <v>5</v>
      </c>
      <c r="J335" s="16">
        <v>0</v>
      </c>
      <c r="K335" s="16">
        <v>0</v>
      </c>
      <c r="L335" s="15">
        <f t="shared" si="18"/>
        <v>55.610958904109587</v>
      </c>
      <c r="M335" s="5">
        <v>46659</v>
      </c>
      <c r="N335" s="16"/>
      <c r="O335" s="16"/>
      <c r="P335" s="16"/>
      <c r="Q335" s="5">
        <v>66957</v>
      </c>
      <c r="S335" s="5">
        <v>64446</v>
      </c>
      <c r="T335" s="2" t="s">
        <v>2</v>
      </c>
      <c r="U335" s="2">
        <v>4</v>
      </c>
      <c r="V335" s="2">
        <v>1</v>
      </c>
      <c r="W335" s="2">
        <v>3</v>
      </c>
      <c r="X335" t="s">
        <v>242</v>
      </c>
      <c r="Y335" t="s">
        <v>294</v>
      </c>
      <c r="Z335" t="s">
        <v>245</v>
      </c>
    </row>
    <row r="336" spans="1:26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756</v>
      </c>
      <c r="G336" s="21"/>
      <c r="H336" s="16"/>
      <c r="I336" s="16"/>
      <c r="J336" s="16"/>
      <c r="K336" s="16"/>
      <c r="L336" s="15">
        <f t="shared" si="18"/>
        <v>51.843835616438355</v>
      </c>
      <c r="M336" s="5">
        <v>48034</v>
      </c>
      <c r="N336" s="16"/>
      <c r="O336" s="16"/>
      <c r="P336" s="16"/>
      <c r="Q336" s="5">
        <v>66957</v>
      </c>
      <c r="S336" s="5"/>
    </row>
    <row r="337" spans="1:26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757</v>
      </c>
      <c r="G337" s="21"/>
      <c r="H337" s="16"/>
      <c r="I337" s="16"/>
      <c r="J337" s="16"/>
      <c r="K337" s="16"/>
      <c r="L337" s="15">
        <f t="shared" si="18"/>
        <v>29.605479452054794</v>
      </c>
      <c r="M337" s="5">
        <v>56151</v>
      </c>
      <c r="N337" s="16"/>
      <c r="O337" s="16"/>
      <c r="P337" s="16"/>
      <c r="Q337" s="5">
        <v>66957</v>
      </c>
      <c r="S337" s="5"/>
    </row>
    <row r="338" spans="1:26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757</v>
      </c>
      <c r="G338" s="21"/>
      <c r="H338" s="16"/>
      <c r="I338" s="16"/>
      <c r="J338" s="16"/>
      <c r="K338" s="16"/>
      <c r="L338" s="15">
        <f t="shared" si="18"/>
        <v>26.709589041095889</v>
      </c>
      <c r="M338" s="5">
        <v>57208</v>
      </c>
      <c r="N338" s="16"/>
      <c r="O338" s="16"/>
      <c r="P338" s="16"/>
      <c r="Q338" s="5">
        <v>66957</v>
      </c>
      <c r="S338" s="5"/>
    </row>
    <row r="339" spans="1:26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756</v>
      </c>
      <c r="G339" s="21"/>
      <c r="H339" s="16">
        <v>1</v>
      </c>
      <c r="I339" s="16">
        <v>6</v>
      </c>
      <c r="J339" s="16">
        <f>2</f>
        <v>2</v>
      </c>
      <c r="K339" s="16">
        <f>2</f>
        <v>2</v>
      </c>
      <c r="L339" s="15">
        <f t="shared" si="18"/>
        <v>59.750684931506846</v>
      </c>
      <c r="M339" s="5">
        <v>45148</v>
      </c>
      <c r="N339" s="16"/>
      <c r="O339" s="16"/>
      <c r="P339" s="16"/>
      <c r="Q339" s="5">
        <v>66957</v>
      </c>
      <c r="S339" s="5">
        <v>64444</v>
      </c>
      <c r="T339" s="2" t="s">
        <v>2</v>
      </c>
      <c r="U339" s="2">
        <v>4</v>
      </c>
      <c r="V339" s="2">
        <v>3</v>
      </c>
      <c r="W339" s="2">
        <v>1</v>
      </c>
      <c r="X339" t="s">
        <v>242</v>
      </c>
      <c r="Y339" t="s">
        <v>262</v>
      </c>
      <c r="Z339" t="s">
        <v>245</v>
      </c>
    </row>
    <row r="340" spans="1:26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757</v>
      </c>
      <c r="G340" s="21"/>
      <c r="H340" s="16"/>
      <c r="I340" s="16"/>
      <c r="J340" s="16"/>
      <c r="K340" s="16"/>
      <c r="L340" s="15">
        <f t="shared" si="18"/>
        <v>30.416438356164385</v>
      </c>
      <c r="M340" s="5">
        <v>55855</v>
      </c>
      <c r="N340" s="16"/>
      <c r="O340" s="16"/>
      <c r="P340" s="16"/>
      <c r="Q340" s="5">
        <v>66957</v>
      </c>
      <c r="S340" s="5"/>
    </row>
    <row r="341" spans="1:26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757</v>
      </c>
      <c r="G341" s="21"/>
      <c r="H341" s="16"/>
      <c r="I341" s="16"/>
      <c r="J341" s="16"/>
      <c r="K341" s="16"/>
      <c r="L341" s="15">
        <f t="shared" si="18"/>
        <v>22.758904109589039</v>
      </c>
      <c r="M341" s="5">
        <v>58650</v>
      </c>
      <c r="N341" s="16"/>
      <c r="O341" s="16"/>
      <c r="P341" s="16"/>
      <c r="Q341" s="5">
        <v>66957</v>
      </c>
      <c r="S341" s="5"/>
    </row>
    <row r="342" spans="1:26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756</v>
      </c>
      <c r="G342" s="21"/>
      <c r="H342" s="16"/>
      <c r="I342" s="16"/>
      <c r="J342" s="16"/>
      <c r="K342" s="16"/>
      <c r="L342" s="15">
        <f t="shared" si="18"/>
        <v>51.063013698630137</v>
      </c>
      <c r="M342" s="5">
        <v>48319</v>
      </c>
      <c r="N342" s="16"/>
      <c r="O342" s="16"/>
      <c r="P342" s="16"/>
      <c r="Q342" s="5">
        <v>66957</v>
      </c>
      <c r="S342" s="5"/>
    </row>
    <row r="343" spans="1:26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756</v>
      </c>
      <c r="G343" s="21"/>
      <c r="H343" s="16">
        <v>0</v>
      </c>
      <c r="I343" s="16">
        <v>8</v>
      </c>
      <c r="J343" s="16">
        <v>0</v>
      </c>
      <c r="K343" s="16">
        <v>0</v>
      </c>
      <c r="L343" s="15">
        <f t="shared" si="18"/>
        <v>47.073972602739723</v>
      </c>
      <c r="M343" s="5">
        <v>49775</v>
      </c>
      <c r="N343" s="16"/>
      <c r="O343" s="16"/>
      <c r="P343" s="16"/>
      <c r="Q343" s="5">
        <v>66957</v>
      </c>
      <c r="S343" s="5">
        <v>64424</v>
      </c>
      <c r="T343" s="2" t="s">
        <v>2</v>
      </c>
      <c r="U343" s="2">
        <v>4</v>
      </c>
      <c r="V343" s="2">
        <v>2</v>
      </c>
      <c r="W343" s="2">
        <v>2</v>
      </c>
      <c r="X343" t="s">
        <v>242</v>
      </c>
      <c r="Y343" t="s">
        <v>265</v>
      </c>
      <c r="Z343" t="s">
        <v>245</v>
      </c>
    </row>
    <row r="344" spans="1:26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756</v>
      </c>
      <c r="G344" s="21"/>
      <c r="H344" s="16"/>
      <c r="I344" s="16"/>
      <c r="J344" s="16"/>
      <c r="K344" s="16"/>
      <c r="L344" s="15">
        <f t="shared" si="18"/>
        <v>62.156164383561645</v>
      </c>
      <c r="M344" s="5">
        <v>44270</v>
      </c>
      <c r="N344" s="16"/>
      <c r="O344" s="16"/>
      <c r="P344" s="16"/>
      <c r="Q344" s="5">
        <v>66957</v>
      </c>
      <c r="S344" s="5"/>
    </row>
    <row r="345" spans="1:26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757</v>
      </c>
      <c r="G345" s="21"/>
      <c r="H345" s="16"/>
      <c r="I345" s="16"/>
      <c r="J345" s="16"/>
      <c r="K345" s="16"/>
      <c r="L345" s="15">
        <f t="shared" si="18"/>
        <v>25.246575342465754</v>
      </c>
      <c r="M345" s="5">
        <v>57742</v>
      </c>
      <c r="N345" s="16"/>
      <c r="O345" s="16"/>
      <c r="P345" s="16"/>
      <c r="Q345" s="5">
        <v>66957</v>
      </c>
      <c r="S345" s="5"/>
    </row>
    <row r="346" spans="1:26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757</v>
      </c>
      <c r="G346" s="21"/>
      <c r="H346" s="16"/>
      <c r="I346" s="16"/>
      <c r="J346" s="16"/>
      <c r="K346" s="16"/>
      <c r="L346" s="15">
        <f t="shared" si="18"/>
        <v>20.646575342465752</v>
      </c>
      <c r="M346" s="5">
        <v>59421</v>
      </c>
      <c r="N346" s="16"/>
      <c r="O346" s="16"/>
      <c r="P346" s="16"/>
      <c r="Q346" s="5">
        <v>66957</v>
      </c>
      <c r="S346" s="5"/>
    </row>
    <row r="347" spans="1:26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756</v>
      </c>
      <c r="G347" s="21"/>
      <c r="H347" s="16">
        <v>1</v>
      </c>
      <c r="I347" s="16">
        <v>0</v>
      </c>
      <c r="J347" s="16">
        <v>3</v>
      </c>
      <c r="K347" s="16">
        <v>0</v>
      </c>
      <c r="L347" s="15">
        <f t="shared" si="18"/>
        <v>39.731506849315068</v>
      </c>
      <c r="M347" s="5">
        <v>52455</v>
      </c>
      <c r="N347" s="16"/>
      <c r="O347" s="16"/>
      <c r="P347" s="16"/>
      <c r="Q347" s="5">
        <v>66957</v>
      </c>
      <c r="S347" s="5">
        <v>64395</v>
      </c>
      <c r="T347" s="2" t="s">
        <v>2</v>
      </c>
      <c r="U347" s="2">
        <v>2</v>
      </c>
      <c r="V347" s="2">
        <v>1</v>
      </c>
      <c r="W347" s="2">
        <v>1</v>
      </c>
      <c r="X347" t="s">
        <v>242</v>
      </c>
      <c r="Y347" t="s">
        <v>335</v>
      </c>
      <c r="Z347" t="s">
        <v>245</v>
      </c>
    </row>
    <row r="348" spans="1:26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756</v>
      </c>
      <c r="G348" s="21"/>
      <c r="H348" s="16"/>
      <c r="I348" s="16"/>
      <c r="J348" s="16"/>
      <c r="K348" s="16"/>
      <c r="L348" s="15">
        <f t="shared" si="18"/>
        <v>35.895890410958906</v>
      </c>
      <c r="M348" s="5">
        <v>53855</v>
      </c>
      <c r="N348" s="16"/>
      <c r="O348" s="16"/>
      <c r="P348" s="16"/>
      <c r="Q348" s="5">
        <v>66957</v>
      </c>
      <c r="S348" s="5"/>
    </row>
    <row r="349" spans="1:26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756</v>
      </c>
      <c r="G349" s="21"/>
      <c r="H349" s="16" t="s">
        <v>748</v>
      </c>
      <c r="I349" s="16" t="s">
        <v>748</v>
      </c>
      <c r="J349" s="16" t="s">
        <v>748</v>
      </c>
      <c r="K349" s="16" t="s">
        <v>748</v>
      </c>
      <c r="L349" s="15">
        <f t="shared" si="18"/>
        <v>56.457534246575342</v>
      </c>
      <c r="M349" s="5">
        <v>46350</v>
      </c>
      <c r="N349" s="16"/>
      <c r="O349" s="16"/>
      <c r="P349" s="16"/>
      <c r="Q349" s="5">
        <v>66957</v>
      </c>
      <c r="S349" s="5">
        <v>64320</v>
      </c>
      <c r="T349" s="2" t="s">
        <v>2</v>
      </c>
      <c r="U349" s="2">
        <v>4</v>
      </c>
      <c r="V349" s="2">
        <v>1</v>
      </c>
      <c r="W349" s="2">
        <v>3</v>
      </c>
      <c r="X349" t="s">
        <v>241</v>
      </c>
      <c r="Y349" t="s">
        <v>323</v>
      </c>
      <c r="Z349" t="s">
        <v>245</v>
      </c>
    </row>
    <row r="350" spans="1:26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757</v>
      </c>
      <c r="G350" s="21"/>
      <c r="H350" s="16"/>
      <c r="I350" s="16"/>
      <c r="J350" s="16"/>
      <c r="K350" s="16"/>
      <c r="L350" s="15">
        <f t="shared" si="18"/>
        <v>29.830136986301369</v>
      </c>
      <c r="M350" s="5">
        <v>56069</v>
      </c>
      <c r="N350" s="16"/>
      <c r="O350" s="16"/>
      <c r="P350" s="16"/>
      <c r="Q350" s="5">
        <v>66957</v>
      </c>
      <c r="S350" s="5"/>
    </row>
    <row r="351" spans="1:26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757</v>
      </c>
      <c r="G351" s="21"/>
      <c r="H351" s="16"/>
      <c r="I351" s="16"/>
      <c r="J351" s="16"/>
      <c r="K351" s="16"/>
      <c r="L351" s="15">
        <f t="shared" si="18"/>
        <v>25.095890410958905</v>
      </c>
      <c r="M351" s="5">
        <v>57797</v>
      </c>
      <c r="N351" s="16"/>
      <c r="O351" s="16"/>
      <c r="P351" s="16"/>
      <c r="Q351" s="5">
        <v>66957</v>
      </c>
      <c r="S351" s="5"/>
    </row>
    <row r="352" spans="1:26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756</v>
      </c>
      <c r="G352" s="21"/>
      <c r="H352" s="16"/>
      <c r="I352" s="16"/>
      <c r="J352" s="16"/>
      <c r="K352" s="16"/>
      <c r="L352" s="15">
        <f t="shared" si="18"/>
        <v>59.5013698630137</v>
      </c>
      <c r="M352" s="5">
        <v>45239</v>
      </c>
      <c r="N352" s="16"/>
      <c r="O352" s="16"/>
      <c r="P352" s="16"/>
      <c r="Q352" s="5">
        <v>66957</v>
      </c>
      <c r="S352" s="5"/>
    </row>
    <row r="353" spans="1:26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756</v>
      </c>
      <c r="G353" s="21"/>
      <c r="H353" s="16">
        <v>0</v>
      </c>
      <c r="I353" s="16">
        <v>3</v>
      </c>
      <c r="J353" s="16">
        <v>3</v>
      </c>
      <c r="K353" s="16">
        <v>0</v>
      </c>
      <c r="L353" s="15">
        <f t="shared" si="18"/>
        <v>81.454794520547949</v>
      </c>
      <c r="M353" s="5">
        <v>37226</v>
      </c>
      <c r="N353" s="16"/>
      <c r="O353" s="16"/>
      <c r="P353" s="16"/>
      <c r="Q353" s="5">
        <v>66957</v>
      </c>
      <c r="S353" s="5">
        <v>64167</v>
      </c>
      <c r="T353" s="2" t="s">
        <v>2</v>
      </c>
      <c r="U353" s="2">
        <v>2</v>
      </c>
      <c r="V353" s="2">
        <v>1</v>
      </c>
      <c r="W353" s="2">
        <v>1</v>
      </c>
      <c r="X353" t="s">
        <v>242</v>
      </c>
      <c r="Y353" t="s">
        <v>306</v>
      </c>
      <c r="Z353" t="s">
        <v>245</v>
      </c>
    </row>
    <row r="354" spans="1:26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756</v>
      </c>
      <c r="G354" s="21"/>
      <c r="H354" s="16"/>
      <c r="I354" s="16"/>
      <c r="J354" s="16"/>
      <c r="K354" s="16"/>
      <c r="L354" s="15">
        <f t="shared" si="18"/>
        <v>76.452054794520549</v>
      </c>
      <c r="M354" s="5">
        <v>39052</v>
      </c>
      <c r="N354" s="16"/>
      <c r="O354" s="16"/>
      <c r="P354" s="16"/>
      <c r="Q354" s="5">
        <v>66957</v>
      </c>
      <c r="S354" s="5"/>
    </row>
    <row r="355" spans="1:26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756</v>
      </c>
      <c r="G355" s="21"/>
      <c r="H355" s="16">
        <v>0</v>
      </c>
      <c r="I355" s="16">
        <v>3</v>
      </c>
      <c r="J355" s="16">
        <v>0</v>
      </c>
      <c r="K355" s="16">
        <v>0</v>
      </c>
      <c r="L355" s="15">
        <f t="shared" si="18"/>
        <v>50.564383561643837</v>
      </c>
      <c r="M355" s="5">
        <v>48501</v>
      </c>
      <c r="N355" s="16"/>
      <c r="O355" s="16"/>
      <c r="P355" s="16"/>
      <c r="Q355" s="5">
        <v>66957</v>
      </c>
      <c r="S355" s="5">
        <v>64166</v>
      </c>
      <c r="T355" s="2" t="s">
        <v>100</v>
      </c>
      <c r="U355" s="2">
        <v>5</v>
      </c>
      <c r="V355" s="2">
        <v>2</v>
      </c>
      <c r="W355" s="2">
        <v>3</v>
      </c>
      <c r="X355" t="s">
        <v>242</v>
      </c>
      <c r="Y355" t="s">
        <v>245</v>
      </c>
      <c r="Z355" t="s">
        <v>257</v>
      </c>
    </row>
    <row r="356" spans="1:26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756</v>
      </c>
      <c r="G356" s="21"/>
      <c r="H356" s="16"/>
      <c r="I356" s="16"/>
      <c r="J356" s="16"/>
      <c r="K356" s="16"/>
      <c r="L356" s="15">
        <f t="shared" si="18"/>
        <v>56.643835616438359</v>
      </c>
      <c r="M356" s="5">
        <v>46282</v>
      </c>
      <c r="N356" s="16"/>
      <c r="O356" s="16"/>
      <c r="P356" s="16"/>
      <c r="Q356" s="5">
        <v>66957</v>
      </c>
      <c r="S356" s="5"/>
    </row>
    <row r="357" spans="1:26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756</v>
      </c>
      <c r="G357" s="21"/>
      <c r="H357" s="16"/>
      <c r="I357" s="16"/>
      <c r="J357" s="16"/>
      <c r="K357" s="16"/>
      <c r="L357" s="15">
        <f t="shared" si="18"/>
        <v>82.320547945205476</v>
      </c>
      <c r="M357" s="5">
        <v>36910</v>
      </c>
      <c r="N357" s="16"/>
      <c r="O357" s="16"/>
      <c r="P357" s="16"/>
      <c r="Q357" s="5">
        <v>66957</v>
      </c>
      <c r="S357" s="5"/>
    </row>
    <row r="358" spans="1:26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757</v>
      </c>
      <c r="G358" s="21"/>
      <c r="H358" s="16"/>
      <c r="I358" s="16"/>
      <c r="J358" s="16"/>
      <c r="K358" s="16"/>
      <c r="L358" s="15">
        <f t="shared" si="18"/>
        <v>28.797260273972604</v>
      </c>
      <c r="M358" s="5">
        <v>56446</v>
      </c>
      <c r="N358" s="16"/>
      <c r="O358" s="16"/>
      <c r="P358" s="16"/>
      <c r="Q358" s="5">
        <v>66957</v>
      </c>
      <c r="S358" s="5"/>
    </row>
    <row r="359" spans="1:26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757</v>
      </c>
      <c r="G359" s="21"/>
      <c r="H359" s="16"/>
      <c r="I359" s="16"/>
      <c r="J359" s="16"/>
      <c r="K359" s="16"/>
      <c r="L359" s="15">
        <f t="shared" si="18"/>
        <v>23.347945205479451</v>
      </c>
      <c r="M359" s="5">
        <v>58435</v>
      </c>
      <c r="N359" s="16"/>
      <c r="O359" s="16"/>
      <c r="P359" s="16"/>
      <c r="Q359" s="5">
        <v>66957</v>
      </c>
      <c r="S359" s="5"/>
    </row>
    <row r="360" spans="1:26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756</v>
      </c>
      <c r="G360" s="21"/>
      <c r="H360" s="16" t="s">
        <v>748</v>
      </c>
      <c r="I360" s="16" t="s">
        <v>748</v>
      </c>
      <c r="J360" s="16" t="s">
        <v>748</v>
      </c>
      <c r="K360" s="16" t="s">
        <v>748</v>
      </c>
      <c r="L360" s="15">
        <f t="shared" si="18"/>
        <v>59.457534246575342</v>
      </c>
      <c r="M360" s="5">
        <v>45255</v>
      </c>
      <c r="N360" s="16"/>
      <c r="O360" s="16"/>
      <c r="P360" s="16"/>
      <c r="Q360" s="5">
        <v>66957</v>
      </c>
      <c r="S360" s="5">
        <v>64099</v>
      </c>
      <c r="T360" s="2" t="s">
        <v>2</v>
      </c>
      <c r="U360" s="2">
        <v>5</v>
      </c>
      <c r="V360" s="2">
        <v>3</v>
      </c>
      <c r="W360" s="2">
        <v>2</v>
      </c>
      <c r="X360" t="s">
        <v>242</v>
      </c>
      <c r="Y360" t="s">
        <v>284</v>
      </c>
      <c r="Z360" t="s">
        <v>245</v>
      </c>
    </row>
    <row r="361" spans="1:26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756</v>
      </c>
      <c r="G361" s="21"/>
      <c r="H361" s="16"/>
      <c r="I361" s="16"/>
      <c r="J361" s="16"/>
      <c r="K361" s="16"/>
      <c r="L361" s="15">
        <f t="shared" si="18"/>
        <v>54.821917808219176</v>
      </c>
      <c r="M361" s="5">
        <v>46947</v>
      </c>
      <c r="N361" s="16"/>
      <c r="O361" s="16"/>
      <c r="P361" s="16"/>
      <c r="Q361" s="5">
        <v>66957</v>
      </c>
      <c r="S361" s="5"/>
    </row>
    <row r="362" spans="1:26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757</v>
      </c>
      <c r="G362" s="21"/>
      <c r="H362" s="16"/>
      <c r="I362" s="16"/>
      <c r="J362" s="16"/>
      <c r="K362" s="16"/>
      <c r="L362" s="15">
        <f t="shared" si="18"/>
        <v>32.438356164383563</v>
      </c>
      <c r="M362" s="5">
        <v>55117</v>
      </c>
      <c r="N362" s="16"/>
      <c r="O362" s="16"/>
      <c r="P362" s="16"/>
      <c r="Q362" s="5">
        <v>66957</v>
      </c>
      <c r="S362" s="5"/>
    </row>
    <row r="363" spans="1:26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757</v>
      </c>
      <c r="G363" s="21"/>
      <c r="H363" s="16"/>
      <c r="I363" s="16"/>
      <c r="J363" s="16"/>
      <c r="K363" s="16"/>
      <c r="L363" s="15">
        <f t="shared" si="18"/>
        <v>28.715068493150685</v>
      </c>
      <c r="M363" s="5">
        <v>56476</v>
      </c>
      <c r="N363" s="16"/>
      <c r="O363" s="16"/>
      <c r="P363" s="16"/>
      <c r="Q363" s="5">
        <v>66957</v>
      </c>
      <c r="S363" s="5"/>
    </row>
    <row r="364" spans="1:26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757</v>
      </c>
      <c r="G364" s="21"/>
      <c r="H364" s="16"/>
      <c r="I364" s="16"/>
      <c r="J364" s="16"/>
      <c r="K364" s="16"/>
      <c r="L364" s="15">
        <f t="shared" si="18"/>
        <v>23.339726027397262</v>
      </c>
      <c r="M364" s="5">
        <v>58438</v>
      </c>
      <c r="N364" s="16"/>
      <c r="O364" s="16"/>
      <c r="P364" s="16"/>
      <c r="Q364" s="5">
        <v>66957</v>
      </c>
      <c r="S364" s="5"/>
    </row>
    <row r="365" spans="1:26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756</v>
      </c>
      <c r="G365" s="21"/>
      <c r="H365" s="16">
        <v>0</v>
      </c>
      <c r="I365" s="16">
        <v>8</v>
      </c>
      <c r="J365" s="16">
        <v>0</v>
      </c>
      <c r="K365" s="16">
        <v>0</v>
      </c>
      <c r="L365" s="15">
        <f t="shared" si="18"/>
        <v>59.750684931506846</v>
      </c>
      <c r="M365" s="5">
        <v>45148</v>
      </c>
      <c r="N365" s="16"/>
      <c r="O365" s="16"/>
      <c r="P365" s="16"/>
      <c r="Q365" s="5">
        <v>66957</v>
      </c>
      <c r="S365" s="5">
        <v>64032</v>
      </c>
      <c r="T365" s="2" t="s">
        <v>100</v>
      </c>
      <c r="U365" s="2">
        <v>5</v>
      </c>
      <c r="V365" s="2">
        <v>3</v>
      </c>
      <c r="W365" s="2">
        <v>2</v>
      </c>
      <c r="X365" t="s">
        <v>242</v>
      </c>
      <c r="Y365" t="s">
        <v>245</v>
      </c>
      <c r="Z365" t="s">
        <v>278</v>
      </c>
    </row>
    <row r="366" spans="1:26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756</v>
      </c>
      <c r="G366" s="21"/>
      <c r="H366" s="16"/>
      <c r="I366" s="16"/>
      <c r="J366" s="16"/>
      <c r="K366" s="16"/>
      <c r="L366" s="15">
        <f t="shared" si="18"/>
        <v>56.021917808219179</v>
      </c>
      <c r="M366" s="5">
        <v>46509</v>
      </c>
      <c r="N366" s="16"/>
      <c r="O366" s="16"/>
      <c r="P366" s="16"/>
      <c r="Q366" s="5">
        <v>66957</v>
      </c>
      <c r="S366" s="5"/>
    </row>
    <row r="367" spans="1:26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756</v>
      </c>
      <c r="G367" s="21"/>
      <c r="H367" s="16"/>
      <c r="I367" s="16"/>
      <c r="J367" s="16"/>
      <c r="K367" s="16"/>
      <c r="L367" s="15">
        <f t="shared" si="18"/>
        <v>35.783561643835618</v>
      </c>
      <c r="M367" s="5">
        <v>53896</v>
      </c>
      <c r="N367" s="16"/>
      <c r="O367" s="16"/>
      <c r="P367" s="16"/>
      <c r="Q367" s="5">
        <v>66957</v>
      </c>
      <c r="S367" s="5"/>
    </row>
    <row r="368" spans="1:26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756</v>
      </c>
      <c r="G368" s="21"/>
      <c r="H368" s="16"/>
      <c r="I368" s="16"/>
      <c r="J368" s="16"/>
      <c r="K368" s="16"/>
      <c r="L368" s="15">
        <f t="shared" si="18"/>
        <v>32.728767123287675</v>
      </c>
      <c r="M368" s="5">
        <v>55011</v>
      </c>
      <c r="N368" s="16"/>
      <c r="O368" s="16"/>
      <c r="P368" s="16"/>
      <c r="Q368" s="5">
        <v>66957</v>
      </c>
      <c r="S368" s="5"/>
    </row>
    <row r="369" spans="1:26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757</v>
      </c>
      <c r="G369" s="21"/>
      <c r="H369" s="16"/>
      <c r="I369" s="16"/>
      <c r="J369" s="16"/>
      <c r="K369" s="16"/>
      <c r="L369" s="15">
        <f t="shared" si="18"/>
        <v>10.265753424657534</v>
      </c>
      <c r="M369" s="5">
        <v>63210</v>
      </c>
      <c r="N369" s="16"/>
      <c r="O369" s="16"/>
      <c r="P369" s="16"/>
      <c r="Q369" s="5">
        <v>66957</v>
      </c>
      <c r="S369" s="5"/>
    </row>
    <row r="370" spans="1:26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756</v>
      </c>
      <c r="G370" s="21"/>
      <c r="H370" s="16">
        <v>0</v>
      </c>
      <c r="I370" s="16">
        <v>5</v>
      </c>
      <c r="J370" s="16">
        <v>3</v>
      </c>
      <c r="K370" s="16">
        <v>0</v>
      </c>
      <c r="L370" s="15">
        <f t="shared" si="18"/>
        <v>67.523287671232879</v>
      </c>
      <c r="M370" s="5">
        <v>42311</v>
      </c>
      <c r="N370" s="16"/>
      <c r="O370" s="16"/>
      <c r="P370" s="16"/>
      <c r="Q370" s="5">
        <v>66957</v>
      </c>
      <c r="S370" s="5">
        <v>63997</v>
      </c>
      <c r="T370" s="2" t="s">
        <v>2</v>
      </c>
      <c r="U370" s="2">
        <v>4</v>
      </c>
      <c r="V370" s="2">
        <v>2</v>
      </c>
      <c r="W370" s="2">
        <v>2</v>
      </c>
      <c r="X370" t="s">
        <v>242</v>
      </c>
      <c r="Y370" t="s">
        <v>282</v>
      </c>
      <c r="Z370" t="s">
        <v>245</v>
      </c>
    </row>
    <row r="371" spans="1:26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756</v>
      </c>
      <c r="G371" s="21"/>
      <c r="H371" s="16"/>
      <c r="I371" s="16"/>
      <c r="J371" s="16"/>
      <c r="K371" s="16"/>
      <c r="L371" s="15">
        <f t="shared" si="18"/>
        <v>55.509589041095893</v>
      </c>
      <c r="M371" s="5">
        <v>46696</v>
      </c>
      <c r="N371" s="16"/>
      <c r="O371" s="16"/>
      <c r="P371" s="16"/>
      <c r="Q371" s="5">
        <v>66957</v>
      </c>
      <c r="S371" s="5"/>
    </row>
    <row r="372" spans="1:26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757</v>
      </c>
      <c r="G372" s="21"/>
      <c r="H372" s="16"/>
      <c r="I372" s="16"/>
      <c r="J372" s="16"/>
      <c r="K372" s="16"/>
      <c r="L372" s="15">
        <f t="shared" si="18"/>
        <v>33.704109589041096</v>
      </c>
      <c r="M372" s="5">
        <v>54655</v>
      </c>
      <c r="N372" s="16"/>
      <c r="O372" s="16"/>
      <c r="P372" s="16"/>
      <c r="Q372" s="5">
        <v>66957</v>
      </c>
      <c r="S372" s="5"/>
    </row>
    <row r="373" spans="1:26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757</v>
      </c>
      <c r="G373" s="21"/>
      <c r="H373" s="16"/>
      <c r="I373" s="16"/>
      <c r="J373" s="16"/>
      <c r="K373" s="16"/>
      <c r="L373" s="15">
        <f t="shared" si="18"/>
        <v>36.046575342465751</v>
      </c>
      <c r="M373" s="5">
        <v>53800</v>
      </c>
      <c r="N373" s="16"/>
      <c r="O373" s="16"/>
      <c r="P373" s="16"/>
      <c r="Q373" s="5">
        <v>66957</v>
      </c>
      <c r="S373" s="5"/>
    </row>
    <row r="374" spans="1:26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756</v>
      </c>
      <c r="G374" s="21"/>
      <c r="H374" s="16" t="s">
        <v>748</v>
      </c>
      <c r="I374" s="16" t="s">
        <v>748</v>
      </c>
      <c r="J374" s="16" t="s">
        <v>748</v>
      </c>
      <c r="K374" s="16" t="s">
        <v>748</v>
      </c>
      <c r="L374" s="15">
        <f t="shared" si="18"/>
        <v>84.205479452054789</v>
      </c>
      <c r="M374" s="5">
        <v>36222</v>
      </c>
      <c r="N374" s="16"/>
      <c r="O374" s="16"/>
      <c r="P374" s="16"/>
      <c r="Q374" s="5">
        <v>66957</v>
      </c>
      <c r="R374" t="s">
        <v>214</v>
      </c>
      <c r="S374" s="5">
        <v>63944</v>
      </c>
      <c r="T374" s="2" t="s">
        <v>2</v>
      </c>
      <c r="U374" s="2">
        <v>2</v>
      </c>
      <c r="V374" s="2">
        <v>1</v>
      </c>
      <c r="W374" s="2">
        <v>1</v>
      </c>
      <c r="X374" t="s">
        <v>242</v>
      </c>
      <c r="Y374" t="s">
        <v>269</v>
      </c>
      <c r="Z374" t="s">
        <v>245</v>
      </c>
    </row>
    <row r="375" spans="1:26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756</v>
      </c>
      <c r="G375" s="21"/>
      <c r="H375" s="16"/>
      <c r="I375" s="16"/>
      <c r="J375" s="16"/>
      <c r="K375" s="16"/>
      <c r="L375" s="15">
        <f t="shared" si="18"/>
        <v>149.04931506849314</v>
      </c>
      <c r="M375" s="5">
        <v>12554</v>
      </c>
      <c r="N375" s="16"/>
      <c r="O375" s="16"/>
      <c r="P375" s="16"/>
      <c r="Q375" s="5">
        <v>66957</v>
      </c>
      <c r="S375" s="5"/>
    </row>
    <row r="376" spans="1:26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756</v>
      </c>
      <c r="G376" s="21"/>
      <c r="H376" s="16">
        <v>0</v>
      </c>
      <c r="I376" s="16">
        <v>5</v>
      </c>
      <c r="J376" s="16">
        <v>1</v>
      </c>
      <c r="K376" s="16">
        <v>0</v>
      </c>
      <c r="L376" s="15">
        <f t="shared" si="18"/>
        <v>47.323287671232876</v>
      </c>
      <c r="M376" s="5">
        <v>49684</v>
      </c>
      <c r="N376" s="16"/>
      <c r="O376" s="16"/>
      <c r="P376" s="16"/>
      <c r="Q376" s="5">
        <v>66957</v>
      </c>
      <c r="R376" t="s">
        <v>230</v>
      </c>
      <c r="S376" s="5">
        <v>63928</v>
      </c>
      <c r="T376" s="2" t="s">
        <v>2</v>
      </c>
      <c r="U376" s="2">
        <v>4</v>
      </c>
      <c r="V376" s="2">
        <v>2</v>
      </c>
      <c r="W376" s="2">
        <v>2</v>
      </c>
      <c r="X376" t="s">
        <v>237</v>
      </c>
      <c r="Y376" t="s">
        <v>297</v>
      </c>
      <c r="Z376" t="s">
        <v>245</v>
      </c>
    </row>
    <row r="377" spans="1:26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756</v>
      </c>
      <c r="G377" s="21"/>
      <c r="H377" s="16"/>
      <c r="I377" s="16"/>
      <c r="J377" s="16"/>
      <c r="K377" s="16"/>
      <c r="L377" s="15">
        <f t="shared" si="18"/>
        <v>44.098630136986301</v>
      </c>
      <c r="M377" s="5">
        <v>50861</v>
      </c>
      <c r="N377" s="16"/>
      <c r="O377" s="16"/>
      <c r="P377" s="16"/>
      <c r="Q377" s="5">
        <v>66957</v>
      </c>
      <c r="S377" s="5"/>
    </row>
    <row r="378" spans="1:26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756</v>
      </c>
      <c r="G378" s="21"/>
      <c r="H378" s="16"/>
      <c r="I378" s="16"/>
      <c r="J378" s="16"/>
      <c r="K378" s="16"/>
      <c r="L378" s="15">
        <f t="shared" si="18"/>
        <v>75.331506849315062</v>
      </c>
      <c r="M378" s="5">
        <v>39461</v>
      </c>
      <c r="N378" s="16"/>
      <c r="O378" s="16"/>
      <c r="P378" s="16"/>
      <c r="Q378" s="5">
        <v>66957</v>
      </c>
      <c r="S378" s="5"/>
    </row>
    <row r="379" spans="1:26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757</v>
      </c>
      <c r="G379" s="21"/>
      <c r="H379" s="16"/>
      <c r="I379" s="16"/>
      <c r="J379" s="16"/>
      <c r="K379" s="16"/>
      <c r="L379" s="15">
        <f t="shared" si="18"/>
        <v>23.945205479452056</v>
      </c>
      <c r="M379" s="5">
        <v>58217</v>
      </c>
      <c r="N379" s="16"/>
      <c r="O379" s="16"/>
      <c r="P379" s="16"/>
      <c r="Q379" s="5">
        <v>66957</v>
      </c>
      <c r="S379" s="5"/>
    </row>
    <row r="380" spans="1:26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756</v>
      </c>
      <c r="G380" s="21"/>
      <c r="H380" s="16" t="s">
        <v>748</v>
      </c>
      <c r="I380" s="16" t="s">
        <v>748</v>
      </c>
      <c r="J380" s="16" t="s">
        <v>748</v>
      </c>
      <c r="K380" s="16" t="s">
        <v>748</v>
      </c>
      <c r="L380" s="15">
        <f t="shared" si="18"/>
        <v>40.5013698630137</v>
      </c>
      <c r="M380" s="5">
        <v>52174</v>
      </c>
      <c r="N380" s="16"/>
      <c r="O380" s="16"/>
      <c r="P380" s="16"/>
      <c r="Q380" s="5">
        <v>66957</v>
      </c>
      <c r="S380" s="5">
        <v>63834</v>
      </c>
      <c r="T380" s="2" t="s">
        <v>2</v>
      </c>
      <c r="U380" s="2">
        <v>4</v>
      </c>
      <c r="V380" s="2">
        <v>2</v>
      </c>
      <c r="W380" s="2">
        <v>2</v>
      </c>
      <c r="X380" t="s">
        <v>241</v>
      </c>
      <c r="Y380" t="s">
        <v>288</v>
      </c>
      <c r="Z380" t="s">
        <v>245</v>
      </c>
    </row>
    <row r="381" spans="1:26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756</v>
      </c>
      <c r="G381" s="21"/>
      <c r="H381" s="16"/>
      <c r="I381" s="16"/>
      <c r="J381" s="16"/>
      <c r="K381" s="16"/>
      <c r="L381" s="15">
        <f t="shared" si="18"/>
        <v>39.082191780821915</v>
      </c>
      <c r="M381" s="5">
        <v>52692</v>
      </c>
      <c r="N381" s="16"/>
      <c r="O381" s="16"/>
      <c r="P381" s="16"/>
      <c r="Q381" s="5">
        <v>66957</v>
      </c>
      <c r="S381" s="5"/>
    </row>
    <row r="382" spans="1:26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757</v>
      </c>
      <c r="G382" s="21"/>
      <c r="H382" s="16"/>
      <c r="I382" s="16"/>
      <c r="J382" s="16"/>
      <c r="K382" s="16"/>
      <c r="L382" s="15">
        <f t="shared" si="18"/>
        <v>14.96986301369863</v>
      </c>
      <c r="M382" s="5">
        <v>61493</v>
      </c>
      <c r="N382" s="16"/>
      <c r="O382" s="16"/>
      <c r="P382" s="16"/>
      <c r="Q382" s="5">
        <v>66957</v>
      </c>
      <c r="S382" s="5"/>
    </row>
    <row r="383" spans="1:26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757</v>
      </c>
      <c r="G383" s="21"/>
      <c r="H383" s="16"/>
      <c r="I383" s="16"/>
      <c r="J383" s="16"/>
      <c r="K383" s="16"/>
      <c r="L383" s="15">
        <f t="shared" si="18"/>
        <v>10.268493150684931</v>
      </c>
      <c r="M383" s="5">
        <v>63209</v>
      </c>
      <c r="N383" s="16"/>
      <c r="O383" s="16"/>
      <c r="P383" s="16"/>
      <c r="Q383" s="5">
        <v>66957</v>
      </c>
      <c r="S383" s="5"/>
    </row>
    <row r="384" spans="1:26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756</v>
      </c>
      <c r="G384" s="21"/>
      <c r="H384" s="16" t="s">
        <v>748</v>
      </c>
      <c r="I384" s="16" t="s">
        <v>748</v>
      </c>
      <c r="J384" s="16" t="s">
        <v>748</v>
      </c>
      <c r="K384" s="16" t="s">
        <v>748</v>
      </c>
      <c r="L384" s="15">
        <f t="shared" si="18"/>
        <v>48.4986301369863</v>
      </c>
      <c r="M384" s="5">
        <v>49255</v>
      </c>
      <c r="N384" s="16"/>
      <c r="O384" s="16"/>
      <c r="P384" s="16"/>
      <c r="Q384" s="5">
        <v>66957</v>
      </c>
      <c r="S384" s="5">
        <v>63817</v>
      </c>
      <c r="T384" s="2" t="s">
        <v>2</v>
      </c>
      <c r="U384" s="2">
        <v>3</v>
      </c>
      <c r="V384" s="2">
        <v>1</v>
      </c>
      <c r="W384" s="2">
        <v>2</v>
      </c>
      <c r="X384" t="s">
        <v>242</v>
      </c>
      <c r="Y384" t="s">
        <v>295</v>
      </c>
      <c r="Z384" t="s">
        <v>245</v>
      </c>
    </row>
    <row r="385" spans="1:26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756</v>
      </c>
      <c r="G385" s="21"/>
      <c r="H385" s="16"/>
      <c r="I385" s="16"/>
      <c r="J385" s="16"/>
      <c r="K385" s="16"/>
      <c r="L385" s="15">
        <f t="shared" si="18"/>
        <v>39.490410958904107</v>
      </c>
      <c r="M385" s="5">
        <v>52543</v>
      </c>
      <c r="N385" s="16"/>
      <c r="O385" s="16"/>
      <c r="P385" s="16"/>
      <c r="Q385" s="5">
        <v>66957</v>
      </c>
      <c r="S385" s="5"/>
    </row>
    <row r="386" spans="1:26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757</v>
      </c>
      <c r="G386" s="21"/>
      <c r="H386" s="16"/>
      <c r="I386" s="16"/>
      <c r="J386" s="16"/>
      <c r="K386" s="16"/>
      <c r="L386" s="15">
        <f t="shared" si="18"/>
        <v>9.8547945205479444</v>
      </c>
      <c r="M386" s="5">
        <v>63360</v>
      </c>
      <c r="N386" s="16"/>
      <c r="O386" s="16"/>
      <c r="P386" s="16"/>
      <c r="Q386" s="5">
        <v>66957</v>
      </c>
      <c r="S386" s="5"/>
    </row>
    <row r="387" spans="1:26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756</v>
      </c>
      <c r="G387" s="21"/>
      <c r="H387" s="16">
        <v>0</v>
      </c>
      <c r="I387" s="16">
        <v>4</v>
      </c>
      <c r="J387" s="16">
        <v>0</v>
      </c>
      <c r="K387" s="16">
        <v>1</v>
      </c>
      <c r="L387" s="15">
        <f t="shared" si="18"/>
        <v>63.073972602739723</v>
      </c>
      <c r="M387" s="5">
        <v>43935</v>
      </c>
      <c r="N387" s="16"/>
      <c r="O387" s="16"/>
      <c r="P387" s="16"/>
      <c r="Q387" s="5">
        <v>66957</v>
      </c>
      <c r="S387" s="5">
        <v>63725</v>
      </c>
      <c r="T387" s="2" t="s">
        <v>2</v>
      </c>
      <c r="U387" s="2">
        <v>5</v>
      </c>
      <c r="V387" s="2">
        <v>3</v>
      </c>
      <c r="W387" s="2">
        <v>2</v>
      </c>
      <c r="X387" t="s">
        <v>239</v>
      </c>
      <c r="Y387" t="s">
        <v>279</v>
      </c>
      <c r="Z387" t="s">
        <v>245</v>
      </c>
    </row>
    <row r="388" spans="1:26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756</v>
      </c>
      <c r="G388" s="21"/>
      <c r="H388" s="16"/>
      <c r="I388" s="16"/>
      <c r="J388" s="16"/>
      <c r="K388" s="16"/>
      <c r="L388" s="15">
        <f t="shared" ref="L388:L416" si="21">(Q388-M388)/365</f>
        <v>94.589041095890408</v>
      </c>
      <c r="M388" s="5">
        <v>32432</v>
      </c>
      <c r="N388" s="16"/>
      <c r="O388" s="16"/>
      <c r="P388" s="16"/>
      <c r="Q388" s="5">
        <v>66957</v>
      </c>
      <c r="S388" s="5"/>
    </row>
    <row r="389" spans="1:26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756</v>
      </c>
      <c r="G389" s="21"/>
      <c r="H389" s="16"/>
      <c r="I389" s="16"/>
      <c r="J389" s="16"/>
      <c r="K389" s="16"/>
      <c r="L389" s="15">
        <f t="shared" si="21"/>
        <v>92.964383561643842</v>
      </c>
      <c r="M389" s="5">
        <v>33025</v>
      </c>
      <c r="N389" s="16"/>
      <c r="O389" s="16"/>
      <c r="P389" s="16"/>
      <c r="Q389" s="5">
        <v>66957</v>
      </c>
      <c r="S389" s="5"/>
    </row>
    <row r="390" spans="1:26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756</v>
      </c>
      <c r="G390" s="21"/>
      <c r="H390" s="16"/>
      <c r="I390" s="16"/>
      <c r="J390" s="16"/>
      <c r="K390" s="16"/>
      <c r="L390" s="15">
        <f t="shared" si="21"/>
        <v>60.843835616438355</v>
      </c>
      <c r="M390" s="5">
        <v>44749</v>
      </c>
      <c r="N390" s="16"/>
      <c r="O390" s="16"/>
      <c r="P390" s="16"/>
      <c r="Q390" s="5">
        <v>66957</v>
      </c>
      <c r="S390" s="5"/>
    </row>
    <row r="391" spans="1:26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757</v>
      </c>
      <c r="G391" s="21"/>
      <c r="H391" s="16"/>
      <c r="I391" s="16"/>
      <c r="J391" s="16"/>
      <c r="K391" s="16"/>
      <c r="L391" s="15">
        <f t="shared" si="21"/>
        <v>33.421917808219177</v>
      </c>
      <c r="M391" s="5">
        <v>54758</v>
      </c>
      <c r="N391" s="16"/>
      <c r="O391" s="16"/>
      <c r="P391" s="16"/>
      <c r="Q391" s="5">
        <v>66957</v>
      </c>
      <c r="S391" s="5"/>
    </row>
    <row r="392" spans="1:26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756</v>
      </c>
      <c r="G392" s="21"/>
      <c r="H392" s="16">
        <v>0</v>
      </c>
      <c r="I392" s="16">
        <v>8</v>
      </c>
      <c r="J392" s="16">
        <v>3</v>
      </c>
      <c r="K392" s="16">
        <v>2</v>
      </c>
      <c r="L392" s="15">
        <f t="shared" si="21"/>
        <v>68.575342465753423</v>
      </c>
      <c r="M392" s="5">
        <v>41927</v>
      </c>
      <c r="N392" s="16"/>
      <c r="O392" s="16"/>
      <c r="P392" s="16"/>
      <c r="Q392" s="5">
        <v>66957</v>
      </c>
      <c r="S392" s="5">
        <v>63683</v>
      </c>
      <c r="T392" s="2" t="s">
        <v>2</v>
      </c>
      <c r="U392" s="2">
        <v>3</v>
      </c>
      <c r="V392" s="2">
        <v>2</v>
      </c>
      <c r="W392" s="2">
        <v>1</v>
      </c>
      <c r="X392" t="s">
        <v>242</v>
      </c>
      <c r="Y392" t="s">
        <v>269</v>
      </c>
      <c r="Z392" t="s">
        <v>245</v>
      </c>
    </row>
    <row r="393" spans="1:26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756</v>
      </c>
      <c r="G393" s="21"/>
      <c r="H393" s="16"/>
      <c r="I393" s="16"/>
      <c r="J393" s="16"/>
      <c r="K393" s="16"/>
      <c r="L393" s="15">
        <f t="shared" si="21"/>
        <v>63.936986301369863</v>
      </c>
      <c r="M393" s="5">
        <v>43620</v>
      </c>
      <c r="N393" s="16"/>
      <c r="O393" s="16"/>
      <c r="P393" s="16"/>
      <c r="Q393" s="5">
        <v>66957</v>
      </c>
      <c r="S393" s="5"/>
    </row>
    <row r="394" spans="1:26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757</v>
      </c>
      <c r="G394" s="21"/>
      <c r="H394" s="16"/>
      <c r="I394" s="16"/>
      <c r="J394" s="16"/>
      <c r="K394" s="16"/>
      <c r="L394" s="15">
        <f t="shared" si="21"/>
        <v>26.073972602739726</v>
      </c>
      <c r="M394" s="5">
        <v>57440</v>
      </c>
      <c r="N394" s="16"/>
      <c r="O394" s="16"/>
      <c r="P394" s="16"/>
      <c r="Q394" s="5">
        <v>66957</v>
      </c>
      <c r="S394" s="5"/>
    </row>
    <row r="395" spans="1:26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756</v>
      </c>
      <c r="G395" s="21"/>
      <c r="H395" s="16">
        <v>0</v>
      </c>
      <c r="I395" s="16">
        <v>4</v>
      </c>
      <c r="J395" s="16">
        <v>0</v>
      </c>
      <c r="K395" s="16">
        <v>0</v>
      </c>
      <c r="L395" s="15">
        <f t="shared" si="21"/>
        <v>83.295890410958904</v>
      </c>
      <c r="M395" s="5">
        <v>36554</v>
      </c>
      <c r="N395" s="16"/>
      <c r="O395" s="16"/>
      <c r="P395" s="16"/>
      <c r="Q395" s="5">
        <v>66957</v>
      </c>
      <c r="S395" s="5">
        <v>63673</v>
      </c>
      <c r="T395" s="2" t="s">
        <v>2</v>
      </c>
      <c r="U395" s="2">
        <v>5</v>
      </c>
      <c r="V395" s="2">
        <v>2</v>
      </c>
      <c r="W395" s="2">
        <v>3</v>
      </c>
      <c r="X395" t="s">
        <v>242</v>
      </c>
      <c r="Y395" t="s">
        <v>307</v>
      </c>
      <c r="Z395" t="s">
        <v>245</v>
      </c>
    </row>
    <row r="396" spans="1:26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756</v>
      </c>
      <c r="G396" s="21"/>
      <c r="H396" s="16"/>
      <c r="I396" s="16"/>
      <c r="J396" s="16"/>
      <c r="K396" s="16"/>
      <c r="L396" s="15">
        <f t="shared" si="21"/>
        <v>44.778082191780825</v>
      </c>
      <c r="M396" s="5">
        <v>50613</v>
      </c>
      <c r="N396" s="16"/>
      <c r="O396" s="16"/>
      <c r="P396" s="16"/>
      <c r="Q396" s="5">
        <v>66957</v>
      </c>
      <c r="S396" s="5"/>
    </row>
    <row r="397" spans="1:26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756</v>
      </c>
      <c r="G397" s="21"/>
      <c r="H397" s="16"/>
      <c r="I397" s="16"/>
      <c r="J397" s="16"/>
      <c r="K397" s="16"/>
      <c r="L397" s="15">
        <f t="shared" si="21"/>
        <v>37.671232876712331</v>
      </c>
      <c r="M397" s="5">
        <v>53207</v>
      </c>
      <c r="N397" s="16"/>
      <c r="O397" s="16"/>
      <c r="P397" s="16"/>
      <c r="Q397" s="5">
        <v>66957</v>
      </c>
      <c r="S397" s="5"/>
    </row>
    <row r="398" spans="1:26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757</v>
      </c>
      <c r="G398" s="21"/>
      <c r="H398" s="16"/>
      <c r="I398" s="16"/>
      <c r="J398" s="16"/>
      <c r="K398" s="16"/>
      <c r="L398" s="15">
        <f t="shared" si="21"/>
        <v>19.671232876712327</v>
      </c>
      <c r="M398" s="5">
        <v>59777</v>
      </c>
      <c r="N398" s="16"/>
      <c r="O398" s="16"/>
      <c r="P398" s="16"/>
      <c r="Q398" s="5">
        <v>66957</v>
      </c>
      <c r="S398" s="5"/>
    </row>
    <row r="399" spans="1:26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757</v>
      </c>
      <c r="G399" s="21"/>
      <c r="H399" s="16"/>
      <c r="I399" s="16"/>
      <c r="J399" s="16"/>
      <c r="K399" s="16"/>
      <c r="L399" s="15">
        <f t="shared" si="21"/>
        <v>15.917808219178083</v>
      </c>
      <c r="M399" s="5">
        <v>61147</v>
      </c>
      <c r="N399" s="16"/>
      <c r="O399" s="16"/>
      <c r="P399" s="16"/>
      <c r="Q399" s="5">
        <v>66957</v>
      </c>
      <c r="S399" s="5"/>
    </row>
    <row r="400" spans="1:26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756</v>
      </c>
      <c r="G400" s="21"/>
      <c r="H400" s="16">
        <v>0</v>
      </c>
      <c r="I400" s="16">
        <v>11</v>
      </c>
      <c r="J400" s="16">
        <v>1</v>
      </c>
      <c r="K400" s="16">
        <v>0</v>
      </c>
      <c r="L400" s="15">
        <f t="shared" si="21"/>
        <v>77</v>
      </c>
      <c r="M400" s="5">
        <v>38852</v>
      </c>
      <c r="N400" s="16"/>
      <c r="O400" s="16"/>
      <c r="P400" s="16"/>
      <c r="Q400" s="5">
        <v>66957</v>
      </c>
      <c r="S400" s="5">
        <v>63649</v>
      </c>
      <c r="T400" s="2" t="s">
        <v>2</v>
      </c>
      <c r="U400" s="2">
        <v>6</v>
      </c>
      <c r="V400" s="2">
        <v>1</v>
      </c>
      <c r="W400" s="2">
        <v>5</v>
      </c>
      <c r="X400" t="s">
        <v>239</v>
      </c>
      <c r="Y400" t="s">
        <v>274</v>
      </c>
      <c r="Z400" t="s">
        <v>245</v>
      </c>
    </row>
    <row r="401" spans="1:26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756</v>
      </c>
      <c r="G401" s="21"/>
      <c r="H401" s="16"/>
      <c r="I401" s="16"/>
      <c r="J401" s="16"/>
      <c r="K401" s="16"/>
      <c r="L401" s="15">
        <f t="shared" si="21"/>
        <v>73.205479452054789</v>
      </c>
      <c r="M401" s="5">
        <v>40237</v>
      </c>
      <c r="N401" s="16"/>
      <c r="O401" s="16"/>
      <c r="P401" s="16"/>
      <c r="Q401" s="5">
        <v>66957</v>
      </c>
      <c r="S401" s="5"/>
    </row>
    <row r="402" spans="1:26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757</v>
      </c>
      <c r="G402" s="21"/>
      <c r="H402" s="16"/>
      <c r="I402" s="16"/>
      <c r="J402" s="16"/>
      <c r="K402" s="16"/>
      <c r="L402" s="15">
        <f t="shared" si="21"/>
        <v>40.06849315068493</v>
      </c>
      <c r="M402" s="5">
        <v>52332</v>
      </c>
      <c r="N402" s="16"/>
      <c r="O402" s="16"/>
      <c r="P402" s="16"/>
      <c r="Q402" s="5">
        <v>66957</v>
      </c>
      <c r="S402" s="5"/>
    </row>
    <row r="403" spans="1:26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757</v>
      </c>
      <c r="G403" s="21"/>
      <c r="H403" s="16"/>
      <c r="I403" s="16"/>
      <c r="J403" s="16"/>
      <c r="K403" s="16"/>
      <c r="L403" s="15">
        <f t="shared" si="21"/>
        <v>33.090410958904108</v>
      </c>
      <c r="M403" s="5">
        <v>54879</v>
      </c>
      <c r="N403" s="16"/>
      <c r="O403" s="16"/>
      <c r="P403" s="16"/>
      <c r="Q403" s="5">
        <v>66957</v>
      </c>
      <c r="S403" s="5"/>
    </row>
    <row r="404" spans="1:26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757</v>
      </c>
      <c r="G404" s="21"/>
      <c r="H404" s="16"/>
      <c r="I404" s="16"/>
      <c r="J404" s="16"/>
      <c r="K404" s="16"/>
      <c r="L404" s="15">
        <f t="shared" si="21"/>
        <v>31.791780821917808</v>
      </c>
      <c r="M404" s="5">
        <v>55353</v>
      </c>
      <c r="N404" s="16"/>
      <c r="O404" s="16"/>
      <c r="P404" s="16"/>
      <c r="Q404" s="5">
        <v>66957</v>
      </c>
      <c r="S404" s="5"/>
    </row>
    <row r="405" spans="1:26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757</v>
      </c>
      <c r="G405" s="21"/>
      <c r="H405" s="16"/>
      <c r="I405" s="16"/>
      <c r="J405" s="16"/>
      <c r="K405" s="16"/>
      <c r="L405" s="15">
        <f t="shared" si="21"/>
        <v>50.441095890410956</v>
      </c>
      <c r="M405" s="5">
        <v>48546</v>
      </c>
      <c r="N405" s="16"/>
      <c r="O405" s="16"/>
      <c r="P405" s="16"/>
      <c r="Q405" s="5">
        <v>66957</v>
      </c>
      <c r="S405" s="5"/>
    </row>
    <row r="406" spans="1:26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756</v>
      </c>
      <c r="G406" s="21"/>
      <c r="H406" s="16" t="s">
        <v>748</v>
      </c>
      <c r="I406" s="16" t="s">
        <v>748</v>
      </c>
      <c r="J406" s="16" t="s">
        <v>748</v>
      </c>
      <c r="K406" s="16" t="s">
        <v>748</v>
      </c>
      <c r="L406" s="15">
        <f t="shared" si="21"/>
        <v>55.589041095890408</v>
      </c>
      <c r="M406" s="5">
        <v>46667</v>
      </c>
      <c r="N406" s="16"/>
      <c r="O406" s="16"/>
      <c r="P406" s="16"/>
      <c r="Q406" s="5">
        <v>66957</v>
      </c>
      <c r="S406" s="5">
        <v>63601</v>
      </c>
      <c r="T406" s="2" t="s">
        <v>2</v>
      </c>
      <c r="U406" s="2">
        <v>4</v>
      </c>
      <c r="V406" s="2">
        <v>2</v>
      </c>
      <c r="W406" s="2">
        <v>2</v>
      </c>
      <c r="X406" t="s">
        <v>242</v>
      </c>
      <c r="Y406" t="s">
        <v>260</v>
      </c>
      <c r="Z406" t="s">
        <v>245</v>
      </c>
    </row>
    <row r="407" spans="1:26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756</v>
      </c>
      <c r="G407" s="21"/>
      <c r="H407" s="16"/>
      <c r="I407" s="16"/>
      <c r="J407" s="16"/>
      <c r="K407" s="16"/>
      <c r="L407" s="15">
        <f t="shared" si="21"/>
        <v>42.750684931506846</v>
      </c>
      <c r="M407" s="5">
        <v>51353</v>
      </c>
      <c r="N407" s="16"/>
      <c r="O407" s="16"/>
      <c r="P407" s="16"/>
      <c r="Q407" s="5">
        <v>66957</v>
      </c>
      <c r="S407" s="5"/>
    </row>
    <row r="408" spans="1:26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757</v>
      </c>
      <c r="G408" s="21"/>
      <c r="H408" s="16"/>
      <c r="I408" s="16"/>
      <c r="J408" s="16"/>
      <c r="K408" s="16"/>
      <c r="L408" s="15">
        <f t="shared" si="21"/>
        <v>20.235616438356164</v>
      </c>
      <c r="M408" s="5">
        <v>59571</v>
      </c>
      <c r="N408" s="16"/>
      <c r="O408" s="16"/>
      <c r="P408" s="16"/>
      <c r="Q408" s="5">
        <v>66957</v>
      </c>
      <c r="S408" s="5"/>
    </row>
    <row r="409" spans="1:26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757</v>
      </c>
      <c r="G409" s="21"/>
      <c r="H409" s="16"/>
      <c r="I409" s="16"/>
      <c r="J409" s="16"/>
      <c r="K409" s="16"/>
      <c r="L409" s="15">
        <f t="shared" si="21"/>
        <v>19.013698630136986</v>
      </c>
      <c r="M409" s="5">
        <v>60017</v>
      </c>
      <c r="N409" s="16"/>
      <c r="O409" s="16"/>
      <c r="P409" s="16"/>
      <c r="Q409" s="5">
        <v>66957</v>
      </c>
      <c r="S409" s="5"/>
    </row>
    <row r="410" spans="1:26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756</v>
      </c>
      <c r="G410" s="21"/>
      <c r="H410" s="16" t="s">
        <v>748</v>
      </c>
      <c r="I410" s="16" t="s">
        <v>748</v>
      </c>
      <c r="J410" s="16" t="s">
        <v>748</v>
      </c>
      <c r="K410" s="16" t="s">
        <v>748</v>
      </c>
      <c r="L410" s="15">
        <f t="shared" si="21"/>
        <v>51.819178082191783</v>
      </c>
      <c r="M410" s="5">
        <v>48043</v>
      </c>
      <c r="N410" s="16"/>
      <c r="O410" s="16"/>
      <c r="P410" s="16"/>
      <c r="Q410" s="5">
        <v>66957</v>
      </c>
      <c r="S410" s="5">
        <v>63569</v>
      </c>
      <c r="T410" s="2" t="s">
        <v>2</v>
      </c>
      <c r="U410" s="2">
        <v>3</v>
      </c>
      <c r="V410" s="2">
        <v>2</v>
      </c>
      <c r="W410" s="2">
        <v>1</v>
      </c>
      <c r="X410" t="s">
        <v>242</v>
      </c>
      <c r="Y410" t="s">
        <v>261</v>
      </c>
      <c r="Z410" t="s">
        <v>245</v>
      </c>
    </row>
    <row r="411" spans="1:26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756</v>
      </c>
      <c r="G411" s="21"/>
      <c r="H411" s="16"/>
      <c r="I411" s="16"/>
      <c r="J411" s="16"/>
      <c r="K411" s="16"/>
      <c r="L411" s="15">
        <f t="shared" si="21"/>
        <v>50.320547945205476</v>
      </c>
      <c r="M411" s="5">
        <v>48590</v>
      </c>
      <c r="N411" s="16"/>
      <c r="O411" s="16"/>
      <c r="P411" s="16"/>
      <c r="Q411" s="5">
        <v>66957</v>
      </c>
      <c r="S411" s="5"/>
    </row>
    <row r="412" spans="1:26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757</v>
      </c>
      <c r="G412" s="21"/>
      <c r="H412" s="16"/>
      <c r="I412" s="16"/>
      <c r="J412" s="16"/>
      <c r="K412" s="16"/>
      <c r="L412" s="15">
        <f t="shared" si="21"/>
        <v>22.07123287671233</v>
      </c>
      <c r="M412" s="5">
        <v>58901</v>
      </c>
      <c r="N412" s="16"/>
      <c r="O412" s="16"/>
      <c r="P412" s="16"/>
      <c r="Q412" s="5">
        <v>66957</v>
      </c>
      <c r="S412" s="5"/>
    </row>
    <row r="413" spans="1:26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756</v>
      </c>
      <c r="G413" s="21"/>
      <c r="H413" s="16">
        <v>1</v>
      </c>
      <c r="I413" s="16">
        <v>10</v>
      </c>
      <c r="J413" s="16">
        <v>0</v>
      </c>
      <c r="K413" s="16">
        <v>0</v>
      </c>
      <c r="L413" s="15">
        <f t="shared" si="21"/>
        <v>54.293150684931504</v>
      </c>
      <c r="M413" s="5">
        <v>47140</v>
      </c>
      <c r="N413" s="16"/>
      <c r="O413" s="16"/>
      <c r="P413" s="16"/>
      <c r="Q413" s="5">
        <v>66957</v>
      </c>
      <c r="R413" t="s">
        <v>229</v>
      </c>
      <c r="S413" s="5">
        <v>63566</v>
      </c>
      <c r="T413" s="2" t="s">
        <v>2</v>
      </c>
      <c r="U413" s="2">
        <v>4</v>
      </c>
      <c r="V413" s="2">
        <v>2</v>
      </c>
      <c r="W413" s="2">
        <v>2</v>
      </c>
      <c r="X413" t="s">
        <v>242</v>
      </c>
      <c r="Y413" t="s">
        <v>295</v>
      </c>
      <c r="Z413" t="s">
        <v>245</v>
      </c>
    </row>
    <row r="414" spans="1:26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756</v>
      </c>
      <c r="G414" s="21"/>
      <c r="H414" s="16"/>
      <c r="I414" s="16"/>
      <c r="J414" s="16"/>
      <c r="K414" s="16"/>
      <c r="L414" s="15">
        <f t="shared" si="21"/>
        <v>49.035616438356165</v>
      </c>
      <c r="M414" s="5">
        <v>49059</v>
      </c>
      <c r="N414" s="16"/>
      <c r="O414" s="16"/>
      <c r="P414" s="16"/>
      <c r="Q414" s="5">
        <v>66957</v>
      </c>
      <c r="S414" s="5"/>
    </row>
    <row r="415" spans="1:26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757</v>
      </c>
      <c r="G415" s="21"/>
      <c r="H415" s="16"/>
      <c r="I415" s="16"/>
      <c r="J415" s="16"/>
      <c r="K415" s="16"/>
      <c r="L415" s="15">
        <f t="shared" si="21"/>
        <v>21.641095890410959</v>
      </c>
      <c r="M415" s="5">
        <v>59058</v>
      </c>
      <c r="N415" s="16"/>
      <c r="O415" s="16"/>
      <c r="P415" s="16"/>
      <c r="Q415" s="5">
        <v>66957</v>
      </c>
      <c r="S415" s="5"/>
    </row>
    <row r="416" spans="1:26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757</v>
      </c>
      <c r="G416" s="21"/>
      <c r="H416" s="16"/>
      <c r="I416" s="16"/>
      <c r="J416" s="16"/>
      <c r="K416" s="16"/>
      <c r="L416" s="15">
        <f t="shared" si="21"/>
        <v>13.282191780821918</v>
      </c>
      <c r="M416" s="5">
        <v>62109</v>
      </c>
      <c r="N416" s="16"/>
      <c r="O416" s="16"/>
      <c r="P416" s="16"/>
      <c r="Q416" s="5">
        <v>66957</v>
      </c>
      <c r="S416" s="5"/>
    </row>
    <row r="417" spans="21:23" x14ac:dyDescent="0.25">
      <c r="U417" s="3">
        <f>SUM(U4:U416)</f>
        <v>416</v>
      </c>
      <c r="V417" s="3">
        <f t="shared" ref="V417:W417" si="23">SUM(V4:V416)</f>
        <v>219</v>
      </c>
      <c r="W417" s="3">
        <f t="shared" si="23"/>
        <v>193</v>
      </c>
    </row>
  </sheetData>
  <sortState xmlns:xlrd2="http://schemas.microsoft.com/office/spreadsheetml/2017/richdata2" ref="A3:Z410">
    <sortCondition ref="A3"/>
  </sortState>
  <mergeCells count="21">
    <mergeCell ref="U1:W1"/>
    <mergeCell ref="Y1:Y2"/>
    <mergeCell ref="X1:X2"/>
    <mergeCell ref="Z1:Z2"/>
    <mergeCell ref="AA1:AA2"/>
    <mergeCell ref="A1:A2"/>
    <mergeCell ref="C1:C2"/>
    <mergeCell ref="D1:D2"/>
    <mergeCell ref="E1:E2"/>
    <mergeCell ref="N1:N2"/>
    <mergeCell ref="F1:F2"/>
    <mergeCell ref="G1:G2"/>
    <mergeCell ref="T1:T2"/>
    <mergeCell ref="H1:K1"/>
    <mergeCell ref="P1:P2"/>
    <mergeCell ref="M1:M2"/>
    <mergeCell ref="Q1:Q2"/>
    <mergeCell ref="L1:L2"/>
    <mergeCell ref="R1:R2"/>
    <mergeCell ref="S1:S2"/>
    <mergeCell ref="O1:O2"/>
  </mergeCells>
  <phoneticPr fontId="4" type="noConversion"/>
  <dataValidations disablePrompts="1" count="1">
    <dataValidation type="list" allowBlank="1" showInputMessage="1" showErrorMessage="1" sqref="T4:T416" xr:uid="{00000000-0002-0000-0000-000000000000}">
      <formula1>$T$4:$T$71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X4:X416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Reasons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2026-08-13T07:39:04Z</cp:lastPrinted>
  <dcterms:created xsi:type="dcterms:W3CDTF">2015-06-05T18:17:20Z</dcterms:created>
  <dcterms:modified xsi:type="dcterms:W3CDTF">2026-08-25T06:49:34Z</dcterms:modified>
</cp:coreProperties>
</file>