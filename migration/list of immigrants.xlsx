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FAFBA3EE-3305-4A9A-9F66-B344FABD092C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1" hidden="1">'for graph'!$A$1:$W$92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S92" i="4"/>
  <c r="T92" i="4"/>
  <c r="R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68" authorId="0" shapeId="0" xr:uid="{A9C57277-4C03-4FCB-9AB9-28B090320FA5}">
      <text>
        <r>
          <rPr>
            <b/>
            <sz val="9"/>
            <color indexed="81"/>
            <rFont val="Tahoma"/>
          </rPr>
          <t>like a caretaker</t>
        </r>
      </text>
    </comment>
    <comment ref="N71" authorId="0" shapeId="0" xr:uid="{9ED12369-3AA9-41A4-8DAB-A66AFE157BF9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husband at bidesh</t>
        </r>
      </text>
    </comment>
    <comment ref="N78" authorId="0" shapeId="0" xr:uid="{B81932AE-F3FC-461E-9E7C-EAA4D5C90CD1}">
      <text>
        <r>
          <rPr>
            <b/>
            <sz val="9"/>
            <color indexed="81"/>
            <rFont val="Tahoma"/>
          </rPr>
          <t>briddha bhattaa</t>
        </r>
      </text>
    </comment>
    <comment ref="N81" authorId="0" shapeId="0" xr:uid="{FD4B8E0F-B837-4B60-B0F6-E0BB53658D2F}">
      <text>
        <r>
          <rPr>
            <b/>
            <sz val="9"/>
            <color indexed="81"/>
            <rFont val="Tahoma"/>
          </rPr>
          <t>User:</t>
        </r>
        <r>
          <rPr>
            <sz val="9"/>
            <color indexed="81"/>
            <rFont val="Tahoma"/>
          </rPr>
          <t xml:space="preserve">
bhattaa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<sst xmlns="http://schemas.openxmlformats.org/spreadsheetml/2006/main" count="9422" uniqueCount="953">
  <si>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</si>
  <si>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</si>
  <si>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</si>
  <si>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</si>
  <si>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</si>
  <si>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</si>
  <si>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</si>
  <si>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</si>
  <si>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</si>
  <si>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</si>
  <si>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</si>
  <si>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</si>
  <si>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</si>
  <si>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</si>
  <si>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</si>
  <si>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</si>
  <si>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</si>
  <si>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</si>
  <si>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</si>
  <si>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</si>
  <si>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</si>
  <si>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</si>
  <si>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</si>
  <si>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</si>
  <si>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</si>
  <si>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</si>
  <si>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</si>
  <si>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</si>
  <si>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</si>
  <si>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</si>
  <si>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</si>
  <si>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</si>
  <si>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</si>
  <si>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</si>
  <si>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</si>
  <si>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</si>
  <si>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</si>
  <si>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</si>
  <si>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</si>
  <si>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</si>
  <si>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</si>
  <si>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</si>
  <si>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</si>
  <si>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</si>
  <si>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</si>
  <si>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</si>
  <si>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</si>
  <si>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</si>
  <si>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</si>
  <si>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</si>
  <si>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</si>
  <si>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</si>
  <si>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</si>
  <si>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</si>
  <si>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</si>
  <si>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</si>
  <si>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</si>
  <si>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</si>
  <si>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</si>
  <si>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</si>
  <si>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</si>
  <si>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</si>
  <si>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</si>
  <si>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</si>
  <si>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</si>
  <si>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</si>
  <si>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</si>
  <si>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</si>
  <si>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</si>
  <si>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</si>
  <si>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</si>
  <si>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</si>
  <si>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</si>
  <si>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</si>
  <si>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</si>
  <si>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</si>
  <si>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</si>
  <si>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</si>
  <si>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</si>
  <si>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</si>
  <si>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</si>
  <si>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</si>
  <si>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</si>
  <si>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</si>
  <si>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</si>
  <si>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</si>
  <si>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</si>
  <si>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</si>
  <si>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</si>
  <si>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</si>
  <si>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</si>
  <si>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</si>
  <si>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</si>
  <si>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</si>
  <si>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</si>
  <si>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</si>
  <si>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</si>
  <si>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</si>
  <si>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</si>
  <si>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</si>
  <si>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</si>
  <si>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</si>
  <si>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</si>
  <si>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</si>
  <si>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</si>
  <si>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</si>
  <si>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</si>
  <si>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</si>
  <si>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</si>
  <si>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</si>
  <si>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</si>
  <si>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</si>
  <si>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</si>
  <si>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</si>
  <si>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</si>
  <si>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</si>
  <si>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</si>
  <si>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</si>
  <si>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</si>
  <si>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</si>
  <si>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</si>
  <si>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</si>
  <si>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</si>
  <si>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</si>
  <si>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</si>
  <si>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</si>
  <si>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</si>
  <si>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</si>
  <si>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</si>
  <si>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</si>
  <si>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</si>
  <si>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</si>
  <si>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</si>
  <si>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</si>
  <si>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</si>
  <si>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</si>
  <si>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</si>
  <si>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</si>
  <si>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</si>
  <si>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</si>
  <si>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</si>
  <si>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</si>
  <si>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</si>
  <si>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</si>
  <si>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</si>
  <si>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</si>
  <si>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</si>
  <si>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</si>
  <si>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</si>
  <si>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</si>
  <si>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</si>
  <si>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</si>
  <si>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</si>
  <si>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</si>
  <si>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</si>
  <si>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</si>
  <si>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</si>
  <si>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</si>
  <si>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</si>
  <si>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</si>
  <si>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</si>
  <si>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</si>
  <si>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</si>
  <si>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</si>
  <si>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</si>
  <si>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</si>
  <si>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</si>
  <si>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</si>
  <si>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</si>
  <si>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</si>
  <si>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</si>
  <si>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</si>
  <si>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</si>
  <si>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</si>
  <si>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</si>
  <si>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</si>
  <si>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</si>
  <si>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</si>
  <si>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</si>
  <si>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</si>
  <si>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</si>
  <si>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</si>
  <si>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</si>
  <si>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</si>
  <si>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</si>
  <si>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</si>
  <si>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</si>
  <si>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</si>
  <si>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</si>
  <si>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</si>
  <si>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</si>
  <si>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</si>
  <si>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</si>
  <si>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</si>
  <si>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</si>
  <si>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</si>
  <si>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</si>
  <si>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</si>
  <si>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</si>
  <si>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</si>
  <si>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</si>
  <si>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</si>
  <si>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</si>
  <si>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</si>
  <si>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</si>
  <si>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</si>
  <si>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</si>
  <si>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</si>
  <si>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</si>
  <si>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</si>
  <si>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</si>
  <si>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</si>
  <si>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</si>
  <si>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</si>
  <si>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</si>
  <si>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</si>
  <si>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</si>
  <si>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</si>
  <si>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</si>
  <si>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</si>
  <si>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</si>
  <si>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</si>
  <si>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</si>
  <si>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</si>
  <si>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</si>
  <si>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</si>
  <si>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</si>
  <si>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</si>
  <si>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</si>
  <si>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</si>
  <si>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</si>
  <si>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</si>
  <si>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</si>
  <si>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</si>
  <si>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</si>
  <si>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</si>
  <si>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</si>
  <si>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</si>
  <si>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</si>
  <si>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</si>
  <si>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</si>
  <si>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</si>
  <si>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</si>
  <si>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</si>
  <si>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</si>
  <si>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</si>
  <si>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</si>
  <si>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</si>
  <si>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</si>
  <si>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</si>
  <si>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</si>
  <si>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</si>
  <si>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</si>
  <si>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</si>
  <si>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</si>
  <si>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</si>
  <si>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</si>
  <si>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</si>
  <si>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</si>
  <si>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</si>
  <si>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</si>
  <si>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</si>
  <si>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</si>
  <si>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</si>
  <si>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</si>
  <si>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</si>
  <si>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</si>
  <si>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</si>
  <si>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</si>
  <si>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</si>
  <si>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</si>
  <si>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</si>
  <si>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</si>
  <si>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</si>
  <si>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</si>
  <si>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</si>
  <si>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</si>
  <si>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</si>
  <si>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</si>
  <si>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</si>
  <si>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</si>
  <si>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</si>
  <si>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</si>
  <si>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</si>
  <si>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</si>
  <si>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</si>
  <si>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</si>
  <si>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</si>
  <si>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</si>
  <si>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</si>
  <si>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</si>
  <si>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</si>
  <si>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</si>
  <si>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</si>
  <si>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</si>
  <si>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</si>
  <si>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</si>
  <si>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</si>
  <si>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</si>
  <si>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</si>
  <si>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</si>
  <si>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</si>
  <si>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</si>
  <si>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</si>
  <si>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</si>
  <si>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</si>
  <si>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</si>
  <si>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</si>
  <si>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</si>
  <si>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</si>
  <si>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</si>
  <si>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</si>
  <si>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</si>
  <si>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</si>
  <si>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</si>
  <si>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</si>
  <si>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</si>
  <si>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</si>
  <si>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</si>
  <si>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</si>
  <si>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</si>
  <si>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</si>
  <si>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</si>
  <si>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</si>
  <si>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</si>
  <si>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</si>
  <si>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</si>
  <si>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</si>
  <si>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</si>
  <si>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</si>
  <si>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</si>
  <si>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</si>
  <si>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</si>
  <si>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</si>
  <si>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</si>
  <si>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</si>
  <si>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</si>
  <si>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</si>
  <si>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</si>
  <si>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</si>
  <si>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</si>
  <si>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</si>
  <si>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</si>
  <si>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</si>
  <si>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</si>
  <si>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</si>
  <si>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</si>
  <si>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</si>
  <si>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</si>
  <si>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</si>
  <si>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</si>
  <si>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</si>
  <si>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</si>
  <si>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</si>
  <si>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</si>
  <si>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</si>
  <si>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</si>
  <si>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</si>
  <si>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</si>
  <si>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</si>
  <si>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</si>
  <si>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</si>
  <si>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</si>
  <si>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</si>
  <si>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</si>
  <si>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</si>
  <si>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</si>
  <si>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</si>
  <si>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</si>
  <si>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</si>
  <si>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</si>
  <si>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</si>
  <si>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</si>
  <si>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</si>
  <si>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</si>
  <si>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</si>
  <si>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</si>
  <si>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</si>
  <si>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</si>
  <si>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</si>
  <si>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</si>
  <si>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</si>
  <si>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</si>
  <si>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</si>
  <si>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</si>
  <si>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</si>
  <si>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</si>
  <si>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</si>
  <si>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</si>
  <si>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</si>
  <si>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</si>
  <si>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</si>
  <si>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</si>
  <si>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</si>
  <si>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</si>
  <si>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</si>
  <si>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</si>
  <si>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</si>
  <si>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</si>
  <si>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</si>
  <si>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</si>
  <si>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</si>
  <si>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</si>
  <si>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</si>
  <si>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</si>
  <si>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</si>
  <si>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</si>
  <si>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</si>
  <si>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</si>
  <si>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</si>
  <si>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</si>
  <si>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</si>
  <si>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</si>
  <si>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</si>
  <si>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</si>
  <si>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</si>
  <si>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</si>
  <si>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</si>
  <si>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</si>
  <si>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</si>
  <si>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</si>
  <si>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</si>
  <si>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</si>
  <si>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</si>
  <si>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</si>
  <si>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</si>
  <si>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</si>
  <si>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</si>
  <si>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</si>
  <si>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</si>
  <si>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</si>
  <si>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</si>
  <si>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</si>
  <si>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</si>
  <si>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</si>
  <si>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</si>
  <si>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</si>
  <si>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</si>
  <si>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</si>
  <si>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</si>
  <si>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</si>
  <si>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</si>
  <si>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</si>
  <si>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</si>
  <si>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</si>
  <si>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</si>
  <si>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</si>
  <si>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</si>
  <si>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</si>
  <si>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</si>
  <si>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</si>
  <si>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</si>
  <si>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</si>
  <si>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</si>
  <si>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</si>
  <si>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</si>
  <si>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</si>
  <si>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</si>
  <si>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</si>
  <si>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</si>
  <si>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</si>
  <si>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</si>
  <si>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</si>
  <si>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</si>
  <si>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</si>
  <si>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</si>
  <si>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</si>
  <si>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</si>
  <si>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</si>
  <si>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</si>
  <si>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</si>
  <si>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</si>
  <si>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</si>
  <si>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</si>
  <si>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</si>
  <si>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</si>
  <si>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</si>
  <si>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</si>
  <si>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</si>
  <si>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</si>
  <si>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</si>
  <si>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</si>
  <si>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</si>
  <si>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</si>
  <si>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</si>
  <si>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</si>
  <si>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</si>
  <si>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</si>
  <si>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</si>
  <si>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</si>
  <si>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</si>
  <si>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</si>
  <si>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</si>
  <si>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</si>
  <si>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</si>
  <si>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</si>
  <si>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</si>
  <si>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</si>
  <si>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</si>
  <si>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</si>
  <si>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</si>
  <si>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</si>
  <si>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</si>
  <si>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</si>
  <si>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</si>
  <si>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</si>
  <si>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</si>
  <si>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</si>
  <si>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</si>
  <si>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</si>
  <si>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</si>
  <si>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</si>
  <si>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</si>
  <si>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</si>
  <si>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</si>
  <si>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</si>
  <si>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</si>
  <si>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</si>
  <si>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</si>
  <si>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</si>
  <si>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</si>
  <si>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</si>
  <si>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</si>
  <si>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</si>
  <si>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</si>
  <si>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</si>
  <si>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</si>
  <si>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</si>
  <si>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</si>
  <si>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</si>
  <si>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</si>
  <si>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</si>
  <si>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</si>
  <si>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</si>
  <si>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</si>
  <si>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</si>
  <si>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</si>
  <si>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</si>
  <si>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</si>
  <si>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</si>
  <si>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</si>
  <si>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</si>
  <si>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</si>
  <si>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</si>
  <si>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</si>
  <si>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</si>
  <si>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</si>
  <si>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</si>
  <si>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</si>
  <si>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</si>
  <si>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</si>
  <si>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</si>
  <si>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</si>
  <si>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</si>
  <si>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</si>
  <si>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</si>
  <si>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</si>
  <si>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</si>
  <si>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</si>
  <si>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</si>
  <si>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</si>
  <si>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</si>
  <si>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</si>
  <si>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</si>
  <si>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</si>
  <si>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</si>
  <si>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</si>
  <si>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</si>
  <si>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</si>
  <si>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</si>
  <si>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</si>
  <si>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</si>
  <si>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</si>
  <si>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</si>
  <si>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</si>
  <si>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</si>
  <si>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</si>
  <si>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</si>
  <si>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</si>
  <si>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</si>
  <si>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</si>
  <si>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</si>
  <si>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</si>
  <si>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</si>
  <si>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</si>
  <si>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</si>
  <si>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</si>
  <si>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</si>
  <si>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</si>
  <si>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</si>
  <si>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</si>
  <si>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</si>
  <si>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</si>
  <si>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</si>
  <si>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</si>
  <si>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</si>
  <si>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</si>
  <si>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</si>
  <si>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</si>
  <si>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</si>
  <si>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</si>
  <si>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</si>
  <si>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</si>
  <si>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</si>
  <si>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</si>
  <si>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</si>
  <si>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</si>
  <si>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</si>
  <si>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</si>
  <si>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</si>
  <si>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</si>
  <si>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</si>
  <si>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</si>
  <si>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</si>
  <si>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</si>
  <si>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</si>
  <si>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</si>
  <si>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</si>
  <si>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</si>
  <si>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</si>
  <si>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</si>
  <si>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</si>
  <si>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</si>
  <si>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</si>
  <si>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</si>
  <si>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</si>
  <si>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</si>
  <si>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</si>
  <si>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</si>
  <si>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</si>
  <si>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</si>
  <si>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</si>
  <si>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</si>
  <si>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</si>
  <si>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</si>
  <si>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</si>
  <si>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</si>
  <si>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</si>
  <si>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</si>
  <si>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</si>
  <si>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</si>
  <si>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</si>
  <si>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</si>
  <si>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</si>
  <si>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</si>
  <si>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</si>
  <si>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</si>
  <si>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</si>
  <si>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</si>
  <si>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</si>
  <si>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</si>
  <si>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</si>
  <si>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</si>
  <si>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</si>
  <si>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</si>
  <si>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</si>
  <si>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</si>
  <si>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</si>
  <si>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</si>
  <si>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</si>
  <si>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</si>
  <si>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</si>
  <si>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</si>
  <si>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</si>
  <si>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</si>
  <si>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</si>
  <si>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</si>
  <si>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</si>
  <si>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</si>
  <si>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</si>
  <si>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</si>
  <si>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</si>
  <si>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</si>
  <si>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</si>
  <si>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</si>
  <si>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</si>
  <si>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</si>
  <si>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</si>
  <si>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</si>
  <si>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</si>
  <si>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</si>
  <si>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</si>
  <si>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</si>
  <si>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</si>
  <si>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</si>
  <si>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</si>
  <si>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</si>
  <si>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</si>
  <si>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</si>
  <si>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</si>
  <si>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</si>
  <si>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</si>
  <si>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</si>
  <si>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</si>
  <si>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</si>
  <si>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</si>
  <si>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</si>
  <si>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</si>
  <si>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</si>
  <si>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</si>
  <si>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</si>
  <si>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</si>
  <si>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</si>
  <si>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</si>
  <si>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</si>
  <si>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</si>
  <si>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</si>
  <si>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</si>
  <si>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</si>
  <si>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</si>
  <si>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</si>
  <si>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</si>
  <si>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</si>
  <si>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</si>
  <si>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</si>
  <si>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</si>
  <si>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</si>
  <si>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</si>
  <si>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</si>
  <si>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</si>
  <si>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</si>
  <si>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</si>
  <si>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</si>
  <si>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</si>
  <si>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</si>
  <si>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</si>
  <si>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</si>
  <si>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</si>
  <si>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</si>
  <si>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</si>
  <si>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</si>
  <si>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</si>
  <si>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</si>
  <si>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</si>
  <si>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</si>
  <si>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</si>
  <si>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</si>
  <si>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</si>
  <si>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</si>
  <si>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</si>
  <si>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</si>
  <si>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</si>
  <si>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</si>
  <si>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</si>
  <si>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</si>
  <si>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</si>
  <si>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</si>
  <si>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</si>
  <si>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</si>
  <si>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</si>
  <si>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</si>
  <si>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</si>
  <si>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</si>
  <si>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</si>
  <si>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</si>
  <si>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</si>
  <si>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</si>
  <si>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</si>
  <si>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</si>
  <si>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</si>
  <si>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</si>
  <si>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</si>
  <si>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</si>
  <si>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</si>
  <si>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</si>
  <si>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</si>
  <si>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</si>
  <si>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</si>
  <si>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</si>
  <si>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</si>
  <si>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</si>
  <si>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</si>
  <si>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</si>
  <si>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</si>
  <si>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</si>
  <si>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</si>
  <si>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</si>
  <si>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</si>
  <si>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</si>
  <si>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</si>
  <si>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</si>
  <si>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</si>
  <si>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</si>
  <si>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</si>
  <si>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</si>
  <si>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</si>
  <si>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</si>
  <si>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</si>
  <si>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</si>
  <si>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</si>
  <si>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</si>
  <si>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</si>
  <si>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</si>
  <si>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</si>
  <si>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</si>
  <si>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</si>
  <si>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</si>
  <si>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</si>
  <si>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</si>
  <si>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</si>
  <si>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</si>
  <si>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</si>
  <si>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</si>
  <si>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</si>
  <si>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</si>
  <si>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</si>
  <si>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</si>
  <si>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</si>
  <si>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</si>
  <si>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</si>
  <si>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</si>
  <si>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</si>
  <si>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</si>
  <si>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</si>
  <si>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</si>
  <si>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</si>
  <si>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</si>
  <si>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</si>
  <si>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</si>
  <si>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</si>
  <si>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</si>
  <si>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</si>
  <si>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</si>
  <si>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</si>
  <si>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</si>
  <si>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</si>
  <si>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</si>
  <si>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</si>
  <si>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</si>
  <si>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</si>
  <si>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</si>
  <si>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</si>
  <si>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</si>
  <si>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</si>
  <si>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</si>
  <si>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</si>
  <si>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</si>
  <si>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</si>
  <si>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</si>
  <si>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</si>
  <si>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</si>
  <si>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</si>
  <si>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</si>
  <si>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</si>
  <si>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</si>
  <si>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</si>
  <si>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</si>
  <si>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</si>
  <si>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</si>
  <si>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</si>
  <si>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</si>
  <si>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</si>
  <si>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</si>
  <si>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</si>
  <si>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</si>
  <si>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</si>
  <si>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</si>
  <si>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</si>
  <si>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</si>
  <si>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</si>
  <si>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</si>
  <si>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</si>
  <si>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</si>
  <si>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</si>
  <si>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</si>
  <si>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</si>
  <si>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</si>
  <si>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</si>
  <si>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</si>
  <si>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</si>
  <si>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</si>
  <si>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</si>
  <si>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</si>
  <si>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</si>
  <si>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</si>
  <si>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</si>
  <si>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</si>
  <si>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</si>
  <si>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</si>
  <si>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</si>
  <si>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</si>
  <si>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</si>
  <si>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</si>
  <si>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</si>
  <si>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</si>
  <si>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</si>
  <si>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</si>
  <si>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</si>
  <si>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</si>
  <si>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</si>
  <si>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</si>
  <si>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</si>
  <si>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</si>
  <si>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</si>
  <si>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</si>
  <si>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</si>
  <si>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</si>
  <si>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</si>
  <si>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</si>
  <si>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</si>
  <si>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</si>
  <si>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</si>
  <si>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</si>
  <si>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</si>
  <si>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</si>
  <si>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</si>
  <si>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</si>
  <si>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</si>
  <si>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</si>
  <si>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</si>
  <si>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</si>
  <si>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</si>
  <si>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</si>
  <si>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</si>
  <si>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</si>
  <si>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</si>
  <si>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</si>
  <si>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</si>
  <si>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</si>
  <si>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</si>
  <si>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</si>
  <si>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</si>
  <si>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</si>
  <si>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</si>
  <si>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</si>
  <si>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</si>
  <si>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</si>
  <si>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</si>
  <si>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</si>
  <si>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</si>
  <si>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</si>
  <si>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</si>
  <si>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</si>
  <si>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</si>
  <si>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</si>
  <si>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</si>
  <si>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</si>
  <si>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</si>
  <si>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</si>
  <si>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</si>
  <si>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</si>
  <si>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</si>
  <si>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</si>
  <si>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</si>
  <si>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</si>
  <si>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</si>
  <si>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</si>
  <si>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</si>
  <si>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</si>
  <si>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current job</t>
  </si>
  <si>
    <t>Private job</t>
  </si>
  <si>
    <t>Government job</t>
  </si>
  <si>
    <t>Foreign Employment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</si>
</sst>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  <font>
      <sz val="9"/>
      <color indexed="81"/>
      <name val="Tahoma"/>
    </font>
    <font>
      <b/>
      <sz val="9"/>
      <color indexed="81"/>
      <name val="Tahoma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0" fillId="0" borderId="1" xfId="0" applyBorder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9" customWidth="1"/>
    <col min="7" max="7" width="10.28515625" customWidth="1"/>
    <col min="8" max="8" width="10.28515625" hidden="1" customWidth="1"/>
    <col min="9" max="9" width="7.140625" hidden="1" customWidth="1"/>
    <col min="10" max="10" width="5.42578125" hidden="1" customWidth="1"/>
    <col min="11" max="11" width="6" hidden="1" customWidth="1"/>
    <col min="12" max="12" width="5.85546875" hidden="1" customWidth="1"/>
    <col min="13" max="13" width="11.5703125" hidden="1" customWidth="1"/>
    <col min="14" max="14" width="11.5703125" bestFit="1" customWidth="1"/>
    <col min="15" max="17" width="9" customWidth="1"/>
    <col min="18" max="18" width="11.5703125" bestFit="1" customWidth="1"/>
    <col min="19" max="19" width="18" bestFit="1" customWidth="1"/>
    <col min="20" max="20" width="11.5703125" bestFit="1" customWidth="1"/>
    <col min="21" max="21" width="17.7109375" style="2" bestFit="1" customWidth="1"/>
    <col min="22" max="22" width="5.42578125" style="2" bestFit="1" customWidth="1"/>
    <col min="23" max="23" width="5.5703125" style="2" bestFit="1" customWidth="1"/>
    <col min="24" max="24" width="7.5703125" style="2" bestFit="1" customWidth="1"/>
    <col min="25" max="25" width="14.85546875" bestFit="1" customWidth="1"/>
    <col min="26" max="26" width="35.28515625" bestFit="1" customWidth="1"/>
    <col min="27" max="27" width="33.140625" bestFit="1" customWidth="1"/>
    <col min="28" max="28" width="19.5703125" bestFit="1" customWidth="1"/>
  </cols>
  <sheetData>
    <row r="1" spans="1:28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5" t="s">
        <v>755</v>
      </c>
      <c r="H1" s="35" t="s">
        <v>758</v>
      </c>
      <c r="I1" s="37" t="s">
        <v>743</v>
      </c>
      <c r="J1" s="38"/>
      <c r="K1" s="38"/>
      <c r="L1" s="39"/>
      <c r="M1" s="40" t="s">
        <v>733</v>
      </c>
      <c r="N1" s="40" t="s">
        <v>342</v>
      </c>
      <c r="O1" s="42" t="s">
        <v>738</v>
      </c>
      <c r="P1" s="42" t="s">
        <v>737</v>
      </c>
      <c r="Q1" s="42" t="s">
        <v>749</v>
      </c>
      <c r="R1" s="40" t="s">
        <v>732</v>
      </c>
      <c r="S1" s="42" t="s">
        <v>106</v>
      </c>
      <c r="T1" s="42" t="s">
        <v>107</v>
      </c>
      <c r="U1" s="42" t="s">
        <v>101</v>
      </c>
      <c r="V1" s="50" t="s">
        <v>105</v>
      </c>
      <c r="W1" s="51"/>
      <c r="X1" s="52"/>
      <c r="Y1" s="46" t="s">
        <v>236</v>
      </c>
      <c r="Z1" s="47" t="s">
        <v>246</v>
      </c>
      <c r="AA1" s="48" t="s">
        <v>243</v>
      </c>
      <c r="AB1" s="49" t="s">
        <v>247</v>
      </c>
    </row>
    <row r="2" spans="1:28" x14ac:dyDescent="0.25">
      <c r="A2" s="43"/>
      <c r="B2" s="7"/>
      <c r="C2" s="43"/>
      <c r="D2" s="43"/>
      <c r="E2" s="43"/>
      <c r="F2" s="43"/>
      <c r="G2" s="36"/>
      <c r="H2" s="36"/>
      <c r="I2" s="18" t="s">
        <v>744</v>
      </c>
      <c r="J2" s="17" t="s">
        <v>745</v>
      </c>
      <c r="K2" s="17" t="s">
        <v>746</v>
      </c>
      <c r="L2" s="17" t="s">
        <v>747</v>
      </c>
      <c r="M2" s="41"/>
      <c r="N2" s="41"/>
      <c r="O2" s="43"/>
      <c r="P2" s="43"/>
      <c r="Q2" s="43"/>
      <c r="R2" s="41"/>
      <c r="S2" s="43"/>
      <c r="T2" s="43"/>
      <c r="U2" s="43"/>
      <c r="V2" s="7" t="s">
        <v>232</v>
      </c>
      <c r="W2" s="7" t="s">
        <v>233</v>
      </c>
      <c r="X2" s="7" t="s">
        <v>234</v>
      </c>
      <c r="Y2" s="46"/>
      <c r="Z2" s="47"/>
      <c r="AA2" s="48"/>
      <c r="AB2" s="49"/>
    </row>
    <row r="3" spans="1:28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25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V1:X1"/>
    <mergeCell ref="Z1:Z2"/>
    <mergeCell ref="Y1:Y2"/>
    <mergeCell ref="AA1:AA2"/>
    <mergeCell ref="AB1:AB2"/>
    <mergeCell ref="A1:A2"/>
    <mergeCell ref="C1:C2"/>
    <mergeCell ref="D1:D2"/>
    <mergeCell ref="E1:E2"/>
    <mergeCell ref="O1:O2"/>
    <mergeCell ref="G1:G2"/>
    <mergeCell ref="H1:H2"/>
    <mergeCell ref="F1:F2"/>
    <mergeCell ref="U1:U2"/>
    <mergeCell ref="I1:L1"/>
    <mergeCell ref="Q1:Q2"/>
    <mergeCell ref="N1:N2"/>
    <mergeCell ref="R1:R2"/>
    <mergeCell ref="M1:M2"/>
    <mergeCell ref="S1:S2"/>
    <mergeCell ref="T1:T2"/>
    <mergeCell ref="P1:P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8"/>
  <sheetViews>
    <sheetView tabSelected="1" zoomScaleNormal="100" workbookViewId="0">
      <selection activeCell="R79" sqref="R79"/>
    </sheetView>
  </sheetViews>
  <sheetFormatPr defaultRowHeight="15" x14ac:dyDescent="0.25"/>
  <cols>
    <col min="1" max="1" width="4.28515625" bestFit="1" customWidth="1"/>
    <col min="2" max="2" width="27.42578125" hidden="1" customWidth="1"/>
    <col min="3" max="3" width="23.7109375" bestFit="1" customWidth="1"/>
    <col min="4" max="4" width="10.5703125" hidden="1" customWidth="1"/>
    <col min="5" max="5" width="8.85546875" hidden="1" customWidth="1"/>
    <col min="6" max="6" width="8.140625" hidden="1" customWidth="1"/>
    <col min="7" max="7" width="6.28515625" hidden="1" customWidth="1"/>
    <col min="8" max="8" width="8.7109375" hidden="1" customWidth="1"/>
    <col min="9" max="9" width="6.28515625" hidden="1" customWidth="1"/>
    <col min="10" max="10" width="8.5703125" hidden="1" customWidth="1"/>
    <col min="11" max="11" width="6.28515625" hidden="1" customWidth="1"/>
    <col min="12" max="12" width="12.85546875" bestFit="1" customWidth="1"/>
    <col min="13" max="13" width="6.28515625" bestFit="1" customWidth="1"/>
    <col min="14" max="14" width="19.140625" bestFit="1" customWidth="1"/>
    <col min="15" max="15" width="18" hidden="1" customWidth="1"/>
    <col min="16" max="16" width="11.5703125" hidden="1" customWidth="1"/>
    <col min="17" max="17" width="10.5703125" hidden="1" customWidth="1"/>
    <col min="18" max="18" width="5.42578125" bestFit="1" customWidth="1"/>
    <col min="19" max="19" width="5.5703125" bestFit="1" customWidth="1"/>
    <col min="20" max="20" width="7.5703125" bestFit="1" customWidth="1"/>
    <col min="21" max="21" width="7.7109375" bestFit="1" customWidth="1"/>
    <col min="22" max="22" width="14.42578125" bestFit="1" customWidth="1"/>
    <col min="23" max="23" width="35.28515625" bestFit="1" customWidth="1"/>
    <col min="24" max="24" width="26.5703125" bestFit="1" customWidth="1"/>
  </cols>
  <sheetData>
    <row r="1" spans="1:24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 t="s">
        <v>949</v>
      </c>
      <c r="R1" s="50" t="s">
        <v>105</v>
      </c>
      <c r="S1" s="51"/>
      <c r="T1" s="52"/>
      <c r="U1" s="53"/>
      <c r="V1" s="46" t="s">
        <v>236</v>
      </c>
      <c r="W1" s="47" t="s">
        <v>246</v>
      </c>
      <c r="X1" s="48" t="s">
        <v>243</v>
      </c>
    </row>
    <row r="2" spans="1:24" x14ac:dyDescent="0.25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R2" s="7" t="s">
        <v>232</v>
      </c>
      <c r="S2" s="7" t="s">
        <v>233</v>
      </c>
      <c r="T2" s="7" t="s">
        <v>234</v>
      </c>
      <c r="U2" s="53"/>
      <c r="V2" s="46"/>
      <c r="W2" s="47"/>
      <c r="X2" s="48"/>
    </row>
    <row r="3" spans="1:24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 t="s">
        <v>944</v>
      </c>
      <c r="O3" t="s">
        <v>1</v>
      </c>
      <c r="P3" s="5">
        <v>66897</v>
      </c>
      <c r="Q3" s="2" t="s">
        <v>2</v>
      </c>
      <c r="R3" s="3">
        <v>4</v>
      </c>
      <c r="S3" s="3">
        <v>3</v>
      </c>
      <c r="T3" s="3">
        <v>1</v>
      </c>
      <c r="V3" t="s">
        <v>242</v>
      </c>
      <c r="W3" t="s">
        <v>339</v>
      </c>
      <c r="X3" t="s">
        <v>245</v>
      </c>
    </row>
    <row r="4" spans="1:24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 t="s">
        <v>945</v>
      </c>
      <c r="O4" t="s">
        <v>4</v>
      </c>
      <c r="P4" s="5">
        <v>66890</v>
      </c>
      <c r="Q4" s="2" t="s">
        <v>2</v>
      </c>
      <c r="R4" s="2">
        <v>4</v>
      </c>
      <c r="S4" s="2">
        <v>2</v>
      </c>
      <c r="T4" s="2">
        <v>2</v>
      </c>
      <c r="V4" t="s">
        <v>242</v>
      </c>
      <c r="W4" t="s">
        <v>332</v>
      </c>
    </row>
    <row r="5" spans="1:24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 t="s">
        <v>944</v>
      </c>
      <c r="P5" s="5">
        <v>66876</v>
      </c>
      <c r="Q5" s="2" t="s">
        <v>2</v>
      </c>
      <c r="R5" s="2">
        <v>5</v>
      </c>
      <c r="S5" s="2">
        <v>3</v>
      </c>
      <c r="T5" s="2">
        <v>2</v>
      </c>
      <c r="V5" t="s">
        <v>242</v>
      </c>
      <c r="W5" t="s">
        <v>338</v>
      </c>
    </row>
    <row r="6" spans="1:24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 t="s">
        <v>943</v>
      </c>
      <c r="P6" s="5">
        <v>66828</v>
      </c>
      <c r="Q6" s="2" t="s">
        <v>2</v>
      </c>
      <c r="R6" s="2">
        <v>2</v>
      </c>
      <c r="S6" s="2">
        <v>1</v>
      </c>
      <c r="T6" s="2">
        <v>1</v>
      </c>
      <c r="V6" t="s">
        <v>242</v>
      </c>
      <c r="W6" t="s">
        <v>337</v>
      </c>
    </row>
    <row r="7" spans="1:24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 t="s">
        <v>945</v>
      </c>
      <c r="P7" s="5">
        <v>66809</v>
      </c>
      <c r="Q7" s="2" t="s">
        <v>2</v>
      </c>
      <c r="R7" s="2">
        <v>4</v>
      </c>
      <c r="S7" s="2">
        <v>3</v>
      </c>
      <c r="T7" s="2">
        <v>1</v>
      </c>
      <c r="V7" t="s">
        <v>238</v>
      </c>
      <c r="W7" t="s">
        <v>336</v>
      </c>
      <c r="X7" t="s">
        <v>245</v>
      </c>
    </row>
    <row r="8" spans="1:24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 t="s">
        <v>944</v>
      </c>
      <c r="P8" s="5">
        <v>66762</v>
      </c>
      <c r="Q8" s="2" t="s">
        <v>2</v>
      </c>
      <c r="R8" s="2">
        <v>1</v>
      </c>
      <c r="S8" s="2">
        <v>1</v>
      </c>
      <c r="T8" s="2"/>
      <c r="V8" t="s">
        <v>242</v>
      </c>
      <c r="W8" t="s">
        <v>341</v>
      </c>
    </row>
    <row r="9" spans="1:24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 t="s">
        <v>944</v>
      </c>
      <c r="P9" s="5">
        <v>66760</v>
      </c>
      <c r="Q9" s="2" t="s">
        <v>2</v>
      </c>
      <c r="R9" s="2">
        <v>1</v>
      </c>
      <c r="S9" s="2">
        <v>1</v>
      </c>
      <c r="T9" s="2"/>
      <c r="V9" t="s">
        <v>242</v>
      </c>
      <c r="W9" t="s">
        <v>340</v>
      </c>
    </row>
    <row r="10" spans="1:24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 t="s">
        <v>945</v>
      </c>
      <c r="P10" s="5">
        <v>66711</v>
      </c>
      <c r="Q10" s="2" t="s">
        <v>2</v>
      </c>
      <c r="R10" s="2">
        <v>4</v>
      </c>
      <c r="S10" s="2">
        <v>2</v>
      </c>
      <c r="T10" s="2">
        <v>2</v>
      </c>
      <c r="V10" t="s">
        <v>238</v>
      </c>
      <c r="W10" t="s">
        <v>320</v>
      </c>
    </row>
    <row r="11" spans="1:24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 t="s">
        <v>944</v>
      </c>
      <c r="P11" s="5">
        <v>66689</v>
      </c>
      <c r="Q11" s="2" t="s">
        <v>2</v>
      </c>
      <c r="R11" s="2">
        <v>4</v>
      </c>
      <c r="S11" s="2">
        <v>2</v>
      </c>
      <c r="T11" s="2">
        <v>2</v>
      </c>
      <c r="V11" t="s">
        <v>242</v>
      </c>
      <c r="W11" t="s">
        <v>303</v>
      </c>
      <c r="X11" t="s">
        <v>245</v>
      </c>
    </row>
    <row r="12" spans="1:24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 t="s">
        <v>952</v>
      </c>
      <c r="P12" s="5">
        <v>66687</v>
      </c>
      <c r="Q12" s="2" t="s">
        <v>2</v>
      </c>
      <c r="R12" s="2">
        <v>4</v>
      </c>
      <c r="S12" s="24">
        <v>2</v>
      </c>
      <c r="T12" s="24">
        <v>2</v>
      </c>
      <c r="V12" t="s">
        <v>242</v>
      </c>
    </row>
    <row r="13" spans="1:24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 t="s">
        <v>943</v>
      </c>
      <c r="P13" s="5">
        <v>66674</v>
      </c>
      <c r="Q13" s="2" t="s">
        <v>2</v>
      </c>
      <c r="R13" s="2">
        <v>8</v>
      </c>
      <c r="S13" s="2">
        <v>4</v>
      </c>
      <c r="T13" s="2">
        <v>4</v>
      </c>
      <c r="V13" t="s">
        <v>242</v>
      </c>
      <c r="W13" t="s">
        <v>272</v>
      </c>
    </row>
    <row r="14" spans="1:24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 t="s">
        <v>945</v>
      </c>
      <c r="P14" s="5">
        <v>66668</v>
      </c>
      <c r="Q14" s="2" t="s">
        <v>2</v>
      </c>
      <c r="R14" s="2">
        <v>1</v>
      </c>
      <c r="S14" s="2">
        <v>1</v>
      </c>
      <c r="T14" s="2"/>
      <c r="V14" t="s">
        <v>242</v>
      </c>
      <c r="W14" t="s">
        <v>319</v>
      </c>
    </row>
    <row r="15" spans="1:24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 t="s">
        <v>943</v>
      </c>
      <c r="P15" s="5">
        <v>66618</v>
      </c>
      <c r="Q15" s="2" t="s">
        <v>2</v>
      </c>
      <c r="R15" s="2">
        <v>4</v>
      </c>
      <c r="S15" s="2">
        <v>3</v>
      </c>
      <c r="T15" s="2">
        <v>1</v>
      </c>
      <c r="V15" t="s">
        <v>242</v>
      </c>
      <c r="W15" t="s">
        <v>327</v>
      </c>
    </row>
    <row r="16" spans="1:24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 t="s">
        <v>944</v>
      </c>
      <c r="P16" s="5">
        <v>66605</v>
      </c>
      <c r="Q16" s="2" t="s">
        <v>2</v>
      </c>
      <c r="R16" s="2">
        <v>3</v>
      </c>
      <c r="S16" s="2">
        <v>2</v>
      </c>
      <c r="T16" s="2">
        <v>1</v>
      </c>
      <c r="V16" t="s">
        <v>242</v>
      </c>
      <c r="W16" t="s">
        <v>312</v>
      </c>
      <c r="X16" t="s">
        <v>245</v>
      </c>
    </row>
    <row r="17" spans="1:24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 t="s">
        <v>950</v>
      </c>
      <c r="P17" s="5">
        <v>66605</v>
      </c>
      <c r="Q17" s="2" t="s">
        <v>2</v>
      </c>
      <c r="R17" s="2">
        <v>4</v>
      </c>
      <c r="S17" s="2">
        <v>2</v>
      </c>
      <c r="T17" s="2">
        <v>2</v>
      </c>
      <c r="V17" t="s">
        <v>242</v>
      </c>
      <c r="W17" t="s">
        <v>285</v>
      </c>
    </row>
    <row r="18" spans="1:24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 t="s">
        <v>944</v>
      </c>
      <c r="P18" s="5">
        <v>66594</v>
      </c>
      <c r="Q18" s="2" t="s">
        <v>2</v>
      </c>
      <c r="R18" s="2">
        <v>3</v>
      </c>
      <c r="S18" s="2">
        <v>1</v>
      </c>
      <c r="T18" s="2">
        <v>2</v>
      </c>
      <c r="V18" t="s">
        <v>242</v>
      </c>
      <c r="W18" t="s">
        <v>275</v>
      </c>
      <c r="X18" t="s">
        <v>245</v>
      </c>
    </row>
    <row r="19" spans="1:24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 t="s">
        <v>944</v>
      </c>
      <c r="P19" s="5">
        <v>66589</v>
      </c>
      <c r="Q19" s="2" t="s">
        <v>2</v>
      </c>
      <c r="R19" s="2">
        <v>6</v>
      </c>
      <c r="S19" s="2">
        <v>2</v>
      </c>
      <c r="T19" s="2">
        <v>4</v>
      </c>
      <c r="V19" t="s">
        <v>242</v>
      </c>
      <c r="W19" t="s">
        <v>333</v>
      </c>
    </row>
    <row r="20" spans="1:24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 t="s">
        <v>944</v>
      </c>
      <c r="P20" s="5">
        <v>66587</v>
      </c>
      <c r="Q20" s="2" t="s">
        <v>2</v>
      </c>
      <c r="R20" s="2">
        <v>4</v>
      </c>
      <c r="S20" s="2">
        <v>2</v>
      </c>
      <c r="T20" s="2">
        <v>2</v>
      </c>
      <c r="V20" t="s">
        <v>242</v>
      </c>
      <c r="W20" t="s">
        <v>252</v>
      </c>
    </row>
    <row r="21" spans="1:24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 t="s">
        <v>952</v>
      </c>
      <c r="P21" s="5">
        <v>66573</v>
      </c>
      <c r="Q21" s="2" t="s">
        <v>2</v>
      </c>
      <c r="R21" s="2">
        <v>4</v>
      </c>
      <c r="S21" s="2">
        <v>2</v>
      </c>
      <c r="T21" s="2">
        <v>2</v>
      </c>
      <c r="V21" t="s">
        <v>242</v>
      </c>
      <c r="W21" t="s">
        <v>256</v>
      </c>
    </row>
    <row r="22" spans="1:24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 t="s">
        <v>951</v>
      </c>
      <c r="P22" s="5">
        <v>66408</v>
      </c>
      <c r="Q22" s="2" t="s">
        <v>2</v>
      </c>
      <c r="R22" s="2">
        <v>5</v>
      </c>
      <c r="S22" s="2">
        <v>2</v>
      </c>
      <c r="T22" s="2">
        <v>3</v>
      </c>
      <c r="V22" t="s">
        <v>242</v>
      </c>
      <c r="W22" t="s">
        <v>276</v>
      </c>
      <c r="X22" t="s">
        <v>245</v>
      </c>
    </row>
    <row r="23" spans="1:24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 t="s">
        <v>945</v>
      </c>
      <c r="P23" s="5">
        <v>66392</v>
      </c>
      <c r="Q23" s="2" t="s">
        <v>2</v>
      </c>
      <c r="R23" s="2">
        <v>4</v>
      </c>
      <c r="S23" s="2">
        <v>2</v>
      </c>
      <c r="T23" s="2">
        <v>2</v>
      </c>
      <c r="V23" t="s">
        <v>238</v>
      </c>
      <c r="W23" t="s">
        <v>253</v>
      </c>
      <c r="X23" t="s">
        <v>245</v>
      </c>
    </row>
    <row r="24" spans="1:24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 t="s">
        <v>951</v>
      </c>
      <c r="P24" s="5">
        <v>66262</v>
      </c>
      <c r="Q24" s="2" t="s">
        <v>2</v>
      </c>
      <c r="R24" s="2">
        <v>8</v>
      </c>
      <c r="S24" s="2">
        <v>5</v>
      </c>
      <c r="T24" s="2">
        <v>3</v>
      </c>
      <c r="V24" t="s">
        <v>242</v>
      </c>
      <c r="W24" t="s">
        <v>330</v>
      </c>
      <c r="X24" t="s">
        <v>245</v>
      </c>
    </row>
    <row r="25" spans="1:24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 t="s">
        <v>944</v>
      </c>
      <c r="P25" s="5">
        <v>66240</v>
      </c>
      <c r="Q25" s="2" t="s">
        <v>2</v>
      </c>
      <c r="R25" s="2">
        <v>5</v>
      </c>
      <c r="S25" s="2">
        <v>3</v>
      </c>
      <c r="T25" s="2">
        <v>2</v>
      </c>
      <c r="V25" t="s">
        <v>242</v>
      </c>
      <c r="W25" t="s">
        <v>329</v>
      </c>
    </row>
    <row r="26" spans="1:24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 t="s">
        <v>944</v>
      </c>
      <c r="P26" s="5">
        <v>66231</v>
      </c>
      <c r="Q26" s="2" t="s">
        <v>2</v>
      </c>
      <c r="R26" s="2">
        <v>1</v>
      </c>
      <c r="S26" s="2">
        <v>1</v>
      </c>
      <c r="T26" s="2"/>
      <c r="V26" t="s">
        <v>242</v>
      </c>
      <c r="W26" t="s">
        <v>314</v>
      </c>
    </row>
    <row r="27" spans="1:24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 t="s">
        <v>944</v>
      </c>
      <c r="P27" s="5">
        <v>66188</v>
      </c>
      <c r="Q27" s="2" t="s">
        <v>2</v>
      </c>
      <c r="R27" s="2">
        <v>7</v>
      </c>
      <c r="S27" s="2">
        <v>3</v>
      </c>
      <c r="T27" s="2">
        <v>4</v>
      </c>
      <c r="V27" t="s">
        <v>242</v>
      </c>
      <c r="W27" t="s">
        <v>254</v>
      </c>
    </row>
    <row r="28" spans="1:24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 t="s">
        <v>950</v>
      </c>
      <c r="P28" s="5">
        <v>66182</v>
      </c>
      <c r="Q28" s="2" t="s">
        <v>2</v>
      </c>
      <c r="R28" s="2">
        <v>9</v>
      </c>
      <c r="S28" s="2">
        <v>5</v>
      </c>
      <c r="T28" s="2">
        <v>4</v>
      </c>
      <c r="V28" t="s">
        <v>241</v>
      </c>
      <c r="W28" t="s">
        <v>264</v>
      </c>
      <c r="X28" t="s">
        <v>245</v>
      </c>
    </row>
    <row r="29" spans="1:24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 t="s">
        <v>945</v>
      </c>
      <c r="P29" s="5">
        <v>66138</v>
      </c>
      <c r="Q29" s="2" t="s">
        <v>2</v>
      </c>
      <c r="R29" s="2">
        <v>4</v>
      </c>
      <c r="S29" s="2">
        <v>2</v>
      </c>
      <c r="T29" s="2">
        <v>2</v>
      </c>
      <c r="V29" t="s">
        <v>242</v>
      </c>
      <c r="W29" t="s">
        <v>266</v>
      </c>
    </row>
    <row r="30" spans="1:24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 t="s">
        <v>944</v>
      </c>
      <c r="P30" s="5">
        <v>66132</v>
      </c>
      <c r="Q30" s="2" t="s">
        <v>2</v>
      </c>
      <c r="R30" s="2">
        <v>4</v>
      </c>
      <c r="S30" s="2">
        <v>2</v>
      </c>
      <c r="T30" s="2">
        <v>2</v>
      </c>
      <c r="V30" t="s">
        <v>242</v>
      </c>
      <c r="W30" t="s">
        <v>287</v>
      </c>
    </row>
    <row r="31" spans="1:24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 t="s">
        <v>945</v>
      </c>
      <c r="P31" s="5">
        <v>66127</v>
      </c>
      <c r="Q31" s="2" t="s">
        <v>2</v>
      </c>
      <c r="R31" s="2">
        <v>4</v>
      </c>
      <c r="S31" s="2">
        <v>2</v>
      </c>
      <c r="T31" s="2">
        <v>2</v>
      </c>
      <c r="V31" t="s">
        <v>242</v>
      </c>
      <c r="W31" t="s">
        <v>275</v>
      </c>
    </row>
    <row r="32" spans="1:24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/>
      <c r="P32" s="5">
        <v>66121</v>
      </c>
      <c r="Q32" s="2" t="s">
        <v>2</v>
      </c>
      <c r="R32" s="2">
        <v>4</v>
      </c>
      <c r="S32" s="2">
        <v>1</v>
      </c>
      <c r="T32" s="2">
        <v>3</v>
      </c>
      <c r="V32" t="s">
        <v>242</v>
      </c>
      <c r="W32" t="s">
        <v>290</v>
      </c>
      <c r="X32" t="s">
        <v>245</v>
      </c>
    </row>
    <row r="33" spans="1:24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/>
      <c r="P33" s="5">
        <v>66029</v>
      </c>
      <c r="Q33" s="2" t="s">
        <v>2</v>
      </c>
      <c r="R33" s="2">
        <v>3</v>
      </c>
      <c r="S33" s="2">
        <v>1</v>
      </c>
      <c r="T33" s="2">
        <v>2</v>
      </c>
      <c r="V33" t="s">
        <v>242</v>
      </c>
      <c r="W33" t="s">
        <v>255</v>
      </c>
    </row>
    <row r="34" spans="1:24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22"/>
      <c r="P34" s="5">
        <v>66029</v>
      </c>
      <c r="Q34" s="2" t="s">
        <v>2</v>
      </c>
      <c r="R34" s="2">
        <v>2</v>
      </c>
      <c r="S34" s="2"/>
      <c r="T34" s="2">
        <v>2</v>
      </c>
      <c r="V34" t="s">
        <v>242</v>
      </c>
      <c r="W34" t="s">
        <v>302</v>
      </c>
    </row>
    <row r="35" spans="1:24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22"/>
      <c r="P35" s="5">
        <v>66021</v>
      </c>
      <c r="Q35" s="2" t="s">
        <v>2</v>
      </c>
      <c r="R35" s="2">
        <v>4</v>
      </c>
      <c r="S35" s="2">
        <v>2</v>
      </c>
      <c r="T35" s="2">
        <v>2</v>
      </c>
      <c r="V35" t="s">
        <v>242</v>
      </c>
      <c r="W35" t="s">
        <v>267</v>
      </c>
    </row>
    <row r="36" spans="1:24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22"/>
      <c r="P36" s="5">
        <v>65972</v>
      </c>
      <c r="Q36" s="2" t="s">
        <v>2</v>
      </c>
      <c r="R36" s="2">
        <v>3</v>
      </c>
      <c r="S36" s="2">
        <v>2</v>
      </c>
      <c r="T36" s="2">
        <v>1</v>
      </c>
      <c r="V36" t="s">
        <v>242</v>
      </c>
      <c r="W36" t="s">
        <v>322</v>
      </c>
      <c r="X36" t="s">
        <v>245</v>
      </c>
    </row>
    <row r="37" spans="1:24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22"/>
      <c r="O37" t="s">
        <v>115</v>
      </c>
      <c r="P37" s="5">
        <v>65949</v>
      </c>
      <c r="Q37" s="2" t="s">
        <v>2</v>
      </c>
      <c r="R37" s="2">
        <v>4</v>
      </c>
      <c r="S37" s="2">
        <v>2</v>
      </c>
      <c r="T37" s="2">
        <v>2</v>
      </c>
      <c r="V37" t="s">
        <v>242</v>
      </c>
      <c r="W37" t="s">
        <v>313</v>
      </c>
    </row>
    <row r="38" spans="1:24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/>
      <c r="O38" t="s">
        <v>113</v>
      </c>
      <c r="P38" s="5">
        <v>65858</v>
      </c>
      <c r="Q38" s="2" t="s">
        <v>2</v>
      </c>
      <c r="R38" s="2">
        <v>5</v>
      </c>
      <c r="S38" s="2">
        <v>2</v>
      </c>
      <c r="T38" s="2">
        <v>3</v>
      </c>
      <c r="V38" t="s">
        <v>242</v>
      </c>
      <c r="W38" t="s">
        <v>308</v>
      </c>
    </row>
    <row r="39" spans="1:24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/>
      <c r="O39" t="s">
        <v>112</v>
      </c>
      <c r="P39" s="5">
        <v>65840</v>
      </c>
      <c r="Q39" s="2" t="s">
        <v>2</v>
      </c>
      <c r="R39" s="2">
        <v>4</v>
      </c>
      <c r="S39" s="2">
        <v>3</v>
      </c>
      <c r="T39" s="2">
        <v>1</v>
      </c>
      <c r="V39" t="s">
        <v>242</v>
      </c>
      <c r="W39" t="s">
        <v>268</v>
      </c>
    </row>
    <row r="40" spans="1:24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22"/>
      <c r="O40" t="s">
        <v>110</v>
      </c>
      <c r="P40" s="5">
        <v>65825</v>
      </c>
      <c r="Q40" s="2" t="s">
        <v>2</v>
      </c>
      <c r="R40" s="2">
        <v>4</v>
      </c>
      <c r="S40" s="2">
        <v>3</v>
      </c>
      <c r="T40" s="2">
        <v>1</v>
      </c>
      <c r="V40" t="s">
        <v>242</v>
      </c>
      <c r="W40" t="s">
        <v>317</v>
      </c>
    </row>
    <row r="41" spans="1:24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/>
      <c r="O41" t="s">
        <v>108</v>
      </c>
      <c r="P41" s="5">
        <v>65762</v>
      </c>
      <c r="Q41" s="2" t="s">
        <v>2</v>
      </c>
      <c r="R41" s="2">
        <v>2</v>
      </c>
      <c r="S41" s="2">
        <v>1</v>
      </c>
      <c r="T41" s="2">
        <v>1</v>
      </c>
      <c r="V41" t="s">
        <v>242</v>
      </c>
      <c r="W41" t="s">
        <v>321</v>
      </c>
    </row>
    <row r="42" spans="1:24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22"/>
      <c r="O42" t="s">
        <v>215</v>
      </c>
      <c r="P42" s="5">
        <v>65736</v>
      </c>
      <c r="Q42" s="2" t="s">
        <v>2</v>
      </c>
      <c r="R42" s="2">
        <v>3</v>
      </c>
      <c r="S42" s="2">
        <v>2</v>
      </c>
      <c r="T42" s="2">
        <v>1</v>
      </c>
      <c r="V42" t="s">
        <v>242</v>
      </c>
      <c r="W42" t="s">
        <v>305</v>
      </c>
    </row>
    <row r="43" spans="1:24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22"/>
      <c r="P43" s="5">
        <v>65695</v>
      </c>
      <c r="Q43" s="2" t="s">
        <v>2</v>
      </c>
      <c r="R43" s="2">
        <v>4</v>
      </c>
      <c r="S43" s="2">
        <v>2</v>
      </c>
      <c r="T43" s="2">
        <v>2</v>
      </c>
      <c r="V43" t="s">
        <v>242</v>
      </c>
      <c r="W43" t="s">
        <v>309</v>
      </c>
    </row>
    <row r="44" spans="1:24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22"/>
      <c r="P44" s="5">
        <v>65644</v>
      </c>
      <c r="Q44" s="2" t="s">
        <v>2</v>
      </c>
      <c r="R44" s="2">
        <v>3</v>
      </c>
      <c r="S44" s="2">
        <v>1</v>
      </c>
      <c r="T44" s="2">
        <v>2</v>
      </c>
      <c r="V44" t="s">
        <v>242</v>
      </c>
      <c r="W44" t="s">
        <v>310</v>
      </c>
      <c r="X44" t="s">
        <v>245</v>
      </c>
    </row>
    <row r="45" spans="1:24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22"/>
      <c r="P45" s="5">
        <v>65631</v>
      </c>
      <c r="Q45" s="2" t="s">
        <v>2</v>
      </c>
      <c r="R45" s="2">
        <v>4</v>
      </c>
      <c r="S45" s="2">
        <v>3</v>
      </c>
      <c r="T45" s="2">
        <v>1</v>
      </c>
      <c r="V45" t="s">
        <v>242</v>
      </c>
      <c r="W45" t="s">
        <v>324</v>
      </c>
      <c r="X45" t="s">
        <v>245</v>
      </c>
    </row>
    <row r="46" spans="1:24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22"/>
      <c r="P46" s="5">
        <v>65631</v>
      </c>
      <c r="Q46" s="2" t="s">
        <v>2</v>
      </c>
      <c r="R46" s="2">
        <v>7</v>
      </c>
      <c r="S46" s="2">
        <v>5</v>
      </c>
      <c r="T46" s="2">
        <v>2</v>
      </c>
      <c r="V46" t="s">
        <v>242</v>
      </c>
      <c r="W46" t="s">
        <v>326</v>
      </c>
    </row>
    <row r="47" spans="1:24" ht="18" x14ac:dyDescent="0.25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22"/>
      <c r="P47" s="5">
        <v>65582</v>
      </c>
      <c r="Q47" s="2" t="s">
        <v>2</v>
      </c>
      <c r="R47" s="2">
        <v>3</v>
      </c>
      <c r="S47" s="2">
        <v>1</v>
      </c>
      <c r="T47" s="2">
        <v>2</v>
      </c>
      <c r="V47" t="s">
        <v>242</v>
      </c>
      <c r="W47" t="s">
        <v>293</v>
      </c>
    </row>
    <row r="48" spans="1:24" ht="18" x14ac:dyDescent="0.25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/>
      <c r="P48" s="5">
        <v>65533</v>
      </c>
      <c r="Q48" s="2" t="s">
        <v>2</v>
      </c>
      <c r="R48" s="2">
        <v>5</v>
      </c>
      <c r="S48" s="2">
        <v>2</v>
      </c>
      <c r="T48" s="2">
        <v>3</v>
      </c>
      <c r="V48" t="s">
        <v>242</v>
      </c>
      <c r="W48" t="s">
        <v>254</v>
      </c>
    </row>
    <row r="49" spans="1:24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/>
      <c r="P49" s="5">
        <v>65527</v>
      </c>
      <c r="Q49" s="2" t="s">
        <v>2</v>
      </c>
      <c r="R49" s="2">
        <v>5</v>
      </c>
      <c r="S49" s="2">
        <v>3</v>
      </c>
      <c r="T49" s="2">
        <v>2</v>
      </c>
      <c r="V49" t="s">
        <v>242</v>
      </c>
      <c r="W49" t="s">
        <v>254</v>
      </c>
      <c r="X49" t="s">
        <v>245</v>
      </c>
    </row>
    <row r="50" spans="1:24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22"/>
      <c r="P50" s="5">
        <v>65490</v>
      </c>
      <c r="Q50" s="2" t="s">
        <v>2</v>
      </c>
      <c r="R50" s="2">
        <v>4</v>
      </c>
      <c r="S50" s="2">
        <v>3</v>
      </c>
      <c r="T50" s="2">
        <v>1</v>
      </c>
      <c r="V50" t="s">
        <v>242</v>
      </c>
      <c r="W50" t="s">
        <v>296</v>
      </c>
    </row>
    <row r="51" spans="1:24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 t="s">
        <v>944</v>
      </c>
      <c r="P51" s="5">
        <v>65479</v>
      </c>
      <c r="Q51" s="2" t="s">
        <v>2</v>
      </c>
      <c r="R51" s="2">
        <v>4</v>
      </c>
      <c r="S51" s="2">
        <v>3</v>
      </c>
      <c r="T51" s="2">
        <v>1</v>
      </c>
      <c r="V51" t="s">
        <v>242</v>
      </c>
      <c r="W51" t="s">
        <v>294</v>
      </c>
    </row>
    <row r="52" spans="1:24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 t="s">
        <v>944</v>
      </c>
      <c r="P52" s="5">
        <v>65478</v>
      </c>
      <c r="Q52" s="2" t="s">
        <v>2</v>
      </c>
      <c r="R52" s="2">
        <v>4</v>
      </c>
      <c r="S52" s="2">
        <v>3</v>
      </c>
      <c r="T52" s="2">
        <v>1</v>
      </c>
      <c r="V52" t="s">
        <v>242</v>
      </c>
      <c r="W52" t="s">
        <v>294</v>
      </c>
      <c r="X52" t="s">
        <v>245</v>
      </c>
    </row>
    <row r="53" spans="1:24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 t="s">
        <v>945</v>
      </c>
      <c r="P53" s="5">
        <v>65466</v>
      </c>
      <c r="Q53" s="2" t="s">
        <v>2</v>
      </c>
      <c r="R53" s="2">
        <v>4</v>
      </c>
      <c r="S53" s="2">
        <v>1</v>
      </c>
      <c r="T53" s="2">
        <v>3</v>
      </c>
      <c r="V53" t="s">
        <v>242</v>
      </c>
      <c r="W53" t="s">
        <v>311</v>
      </c>
    </row>
    <row r="54" spans="1:24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/>
      <c r="P54" s="5">
        <v>65447</v>
      </c>
      <c r="Q54" s="2" t="s">
        <v>2</v>
      </c>
      <c r="R54" s="2">
        <v>5</v>
      </c>
      <c r="S54" s="2">
        <v>3</v>
      </c>
      <c r="T54" s="2">
        <v>2</v>
      </c>
      <c r="V54" t="s">
        <v>239</v>
      </c>
      <c r="W54" t="s">
        <v>300</v>
      </c>
    </row>
    <row r="55" spans="1:24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/>
      <c r="P55" s="5">
        <v>65440</v>
      </c>
      <c r="Q55" s="2" t="s">
        <v>2</v>
      </c>
      <c r="R55" s="2">
        <v>6</v>
      </c>
      <c r="S55" s="2">
        <v>2</v>
      </c>
      <c r="T55" s="2">
        <v>4</v>
      </c>
      <c r="V55" t="s">
        <v>242</v>
      </c>
      <c r="W55" t="s">
        <v>252</v>
      </c>
    </row>
    <row r="56" spans="1:24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22"/>
      <c r="P56" s="5">
        <v>65369</v>
      </c>
      <c r="Q56" s="2" t="s">
        <v>2</v>
      </c>
      <c r="R56" s="2">
        <v>3</v>
      </c>
      <c r="S56" s="2">
        <v>2</v>
      </c>
      <c r="T56" s="2">
        <v>1</v>
      </c>
      <c r="V56" t="s">
        <v>242</v>
      </c>
      <c r="W56" t="s">
        <v>292</v>
      </c>
      <c r="X56" t="s">
        <v>245</v>
      </c>
    </row>
    <row r="57" spans="1:24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/>
      <c r="P57" s="5">
        <v>65366</v>
      </c>
      <c r="Q57" s="2" t="s">
        <v>2</v>
      </c>
      <c r="R57" s="2">
        <v>4</v>
      </c>
      <c r="S57" s="2">
        <v>2</v>
      </c>
      <c r="T57" s="2">
        <v>2</v>
      </c>
      <c r="U57" t="s">
        <v>235</v>
      </c>
      <c r="V57" t="s">
        <v>242</v>
      </c>
      <c r="W57" t="s">
        <v>235</v>
      </c>
    </row>
    <row r="58" spans="1:24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22"/>
      <c r="P58" s="5">
        <v>65356</v>
      </c>
      <c r="Q58" s="2" t="s">
        <v>2</v>
      </c>
      <c r="R58" s="2">
        <v>5</v>
      </c>
      <c r="S58" s="2">
        <v>2</v>
      </c>
      <c r="T58" s="2">
        <v>3</v>
      </c>
      <c r="V58" t="s">
        <v>242</v>
      </c>
      <c r="W58" t="s">
        <v>283</v>
      </c>
    </row>
    <row r="59" spans="1:24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22"/>
      <c r="P59" s="5">
        <v>65350</v>
      </c>
      <c r="Q59" s="2" t="s">
        <v>2</v>
      </c>
      <c r="R59" s="2">
        <v>2</v>
      </c>
      <c r="S59" s="2">
        <v>1</v>
      </c>
      <c r="T59" s="2">
        <v>1</v>
      </c>
      <c r="V59" t="s">
        <v>242</v>
      </c>
      <c r="W59" t="s">
        <v>254</v>
      </c>
      <c r="X59" t="s">
        <v>245</v>
      </c>
    </row>
    <row r="60" spans="1:24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/>
      <c r="P60" s="5">
        <v>65328</v>
      </c>
      <c r="Q60" s="2" t="s">
        <v>2</v>
      </c>
      <c r="R60" s="2">
        <v>4</v>
      </c>
      <c r="S60" s="2">
        <v>3</v>
      </c>
      <c r="T60" s="2">
        <v>1</v>
      </c>
      <c r="V60" t="s">
        <v>242</v>
      </c>
      <c r="W60" t="s">
        <v>270</v>
      </c>
    </row>
    <row r="61" spans="1:24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/>
      <c r="P61" s="5">
        <v>65306</v>
      </c>
      <c r="Q61" s="2" t="s">
        <v>2</v>
      </c>
      <c r="R61" s="2">
        <v>4</v>
      </c>
      <c r="S61" s="2">
        <v>2</v>
      </c>
      <c r="T61" s="2">
        <v>2</v>
      </c>
      <c r="V61" t="s">
        <v>242</v>
      </c>
      <c r="W61" t="s">
        <v>263</v>
      </c>
    </row>
    <row r="62" spans="1:24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/>
      <c r="P62" s="5">
        <v>65304</v>
      </c>
      <c r="Q62" s="2" t="s">
        <v>2</v>
      </c>
      <c r="R62" s="2">
        <v>1</v>
      </c>
      <c r="S62" s="2">
        <v>1</v>
      </c>
      <c r="T62" s="2"/>
      <c r="V62" t="s">
        <v>242</v>
      </c>
      <c r="W62" t="s">
        <v>334</v>
      </c>
    </row>
    <row r="63" spans="1:24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 t="s">
        <v>944</v>
      </c>
      <c r="P63" s="5">
        <v>65302</v>
      </c>
      <c r="Q63" s="2" t="s">
        <v>2</v>
      </c>
      <c r="R63" s="2">
        <v>3</v>
      </c>
      <c r="S63" s="2">
        <v>2</v>
      </c>
      <c r="T63" s="2">
        <v>1</v>
      </c>
      <c r="V63" t="s">
        <v>241</v>
      </c>
      <c r="W63" t="s">
        <v>273</v>
      </c>
    </row>
    <row r="64" spans="1:24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/>
      <c r="P64" s="5">
        <v>65291</v>
      </c>
      <c r="Q64" s="2" t="s">
        <v>2</v>
      </c>
      <c r="R64" s="2">
        <v>4</v>
      </c>
      <c r="S64" s="2">
        <v>1</v>
      </c>
      <c r="T64" s="2">
        <v>3</v>
      </c>
      <c r="V64" t="s">
        <v>242</v>
      </c>
      <c r="W64" t="s">
        <v>316</v>
      </c>
    </row>
    <row r="65" spans="1:24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/>
      <c r="P65" s="5">
        <v>65290</v>
      </c>
      <c r="Q65" s="2" t="s">
        <v>2</v>
      </c>
      <c r="R65" s="2">
        <v>3</v>
      </c>
      <c r="S65" s="2">
        <v>2</v>
      </c>
      <c r="T65" s="2">
        <v>1</v>
      </c>
      <c r="V65" t="s">
        <v>242</v>
      </c>
      <c r="W65" t="s">
        <v>299</v>
      </c>
      <c r="X65" t="s">
        <v>245</v>
      </c>
    </row>
    <row r="66" spans="1:24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/>
      <c r="P66" s="5">
        <v>65287</v>
      </c>
      <c r="Q66" s="2" t="s">
        <v>2</v>
      </c>
      <c r="R66" s="2">
        <v>3</v>
      </c>
      <c r="S66" s="2">
        <v>2</v>
      </c>
      <c r="T66" s="2">
        <v>1</v>
      </c>
      <c r="V66" t="s">
        <v>242</v>
      </c>
      <c r="W66" t="s">
        <v>291</v>
      </c>
    </row>
    <row r="67" spans="1:24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/>
      <c r="P67" s="5">
        <v>65146</v>
      </c>
      <c r="Q67" s="2" t="s">
        <v>2</v>
      </c>
      <c r="R67" s="2">
        <v>4</v>
      </c>
      <c r="S67" s="2">
        <v>2</v>
      </c>
      <c r="T67" s="2">
        <v>2</v>
      </c>
      <c r="V67" t="s">
        <v>242</v>
      </c>
      <c r="W67" t="s">
        <v>277</v>
      </c>
    </row>
    <row r="68" spans="1:24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 t="s">
        <v>950</v>
      </c>
      <c r="P68" s="5">
        <v>64977</v>
      </c>
      <c r="Q68" s="2" t="s">
        <v>2</v>
      </c>
      <c r="R68" s="2">
        <v>2</v>
      </c>
      <c r="S68" s="2">
        <v>1</v>
      </c>
      <c r="T68" s="2">
        <v>1</v>
      </c>
      <c r="V68" t="s">
        <v>240</v>
      </c>
      <c r="W68" t="s">
        <v>315</v>
      </c>
    </row>
    <row r="69" spans="1:24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 t="s">
        <v>944</v>
      </c>
      <c r="P69" s="5">
        <v>64887</v>
      </c>
      <c r="Q69" s="2" t="s">
        <v>2</v>
      </c>
      <c r="R69" s="2">
        <v>4</v>
      </c>
      <c r="S69" s="2">
        <v>2</v>
      </c>
      <c r="T69" s="2">
        <v>2</v>
      </c>
      <c r="V69" t="s">
        <v>242</v>
      </c>
      <c r="W69" t="s">
        <v>286</v>
      </c>
      <c r="X69" t="s">
        <v>245</v>
      </c>
    </row>
    <row r="70" spans="1:24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 t="s">
        <v>945</v>
      </c>
      <c r="P70" s="5">
        <v>64618</v>
      </c>
      <c r="Q70" s="2" t="s">
        <v>2</v>
      </c>
      <c r="R70" s="2">
        <v>4</v>
      </c>
      <c r="S70" s="2">
        <v>3</v>
      </c>
      <c r="T70" s="2">
        <v>1</v>
      </c>
      <c r="V70" t="s">
        <v>241</v>
      </c>
      <c r="W70" t="s">
        <v>250</v>
      </c>
    </row>
    <row r="71" spans="1:24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 t="s">
        <v>943</v>
      </c>
      <c r="P71" s="5">
        <v>64618</v>
      </c>
      <c r="Q71" s="2" t="s">
        <v>2</v>
      </c>
      <c r="R71" s="2">
        <v>1</v>
      </c>
      <c r="S71" s="2"/>
      <c r="T71" s="2">
        <v>1</v>
      </c>
      <c r="V71" t="s">
        <v>242</v>
      </c>
      <c r="W71" t="s">
        <v>301</v>
      </c>
    </row>
    <row r="72" spans="1:24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 t="s">
        <v>945</v>
      </c>
      <c r="P72" s="5">
        <v>64571</v>
      </c>
      <c r="Q72" s="2" t="s">
        <v>2</v>
      </c>
      <c r="R72" s="2">
        <v>5</v>
      </c>
      <c r="S72" s="2">
        <v>3</v>
      </c>
      <c r="T72" s="2">
        <v>2</v>
      </c>
      <c r="V72" t="s">
        <v>242</v>
      </c>
      <c r="W72" t="s">
        <v>281</v>
      </c>
    </row>
    <row r="73" spans="1:24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 t="s">
        <v>945</v>
      </c>
      <c r="P73" s="5">
        <v>64446</v>
      </c>
      <c r="Q73" s="2" t="s">
        <v>2</v>
      </c>
      <c r="R73" s="2">
        <v>4</v>
      </c>
      <c r="S73" s="2">
        <v>1</v>
      </c>
      <c r="T73" s="2">
        <v>3</v>
      </c>
      <c r="V73" t="s">
        <v>242</v>
      </c>
      <c r="W73" t="s">
        <v>294</v>
      </c>
      <c r="X73" t="s">
        <v>245</v>
      </c>
    </row>
    <row r="74" spans="1:24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 t="s">
        <v>945</v>
      </c>
      <c r="P74" s="5">
        <v>64444</v>
      </c>
      <c r="Q74" s="2" t="s">
        <v>2</v>
      </c>
      <c r="R74" s="2">
        <v>4</v>
      </c>
      <c r="S74" s="2">
        <v>3</v>
      </c>
      <c r="T74" s="2">
        <v>1</v>
      </c>
      <c r="V74" t="s">
        <v>242</v>
      </c>
      <c r="W74" t="s">
        <v>262</v>
      </c>
    </row>
    <row r="75" spans="1:24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 t="s">
        <v>944</v>
      </c>
      <c r="P75" s="5">
        <v>64424</v>
      </c>
      <c r="Q75" s="2" t="s">
        <v>2</v>
      </c>
      <c r="R75" s="2">
        <v>4</v>
      </c>
      <c r="S75" s="2">
        <v>2</v>
      </c>
      <c r="T75" s="2">
        <v>2</v>
      </c>
      <c r="V75" t="s">
        <v>242</v>
      </c>
      <c r="W75" t="s">
        <v>265</v>
      </c>
    </row>
    <row r="76" spans="1:24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 t="s">
        <v>944</v>
      </c>
      <c r="P76" s="5">
        <v>64395</v>
      </c>
      <c r="Q76" s="2" t="s">
        <v>2</v>
      </c>
      <c r="R76" s="2">
        <v>2</v>
      </c>
      <c r="S76" s="2">
        <v>1</v>
      </c>
      <c r="T76" s="2">
        <v>1</v>
      </c>
      <c r="V76" t="s">
        <v>242</v>
      </c>
      <c r="W76" t="s">
        <v>335</v>
      </c>
    </row>
    <row r="77" spans="1:24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 t="s">
        <v>945</v>
      </c>
      <c r="P77" s="5">
        <v>64320</v>
      </c>
      <c r="Q77" s="2" t="s">
        <v>2</v>
      </c>
      <c r="R77" s="2">
        <v>4</v>
      </c>
      <c r="S77" s="2">
        <v>1</v>
      </c>
      <c r="T77" s="2">
        <v>3</v>
      </c>
      <c r="V77" t="s">
        <v>241</v>
      </c>
      <c r="W77" t="s">
        <v>323</v>
      </c>
    </row>
    <row r="78" spans="1:24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 t="s">
        <v>943</v>
      </c>
      <c r="P78" s="5">
        <v>64167</v>
      </c>
      <c r="Q78" s="2" t="s">
        <v>2</v>
      </c>
      <c r="R78" s="2">
        <v>2</v>
      </c>
      <c r="S78" s="2">
        <v>1</v>
      </c>
      <c r="T78" s="2">
        <v>1</v>
      </c>
      <c r="V78" t="s">
        <v>242</v>
      </c>
      <c r="W78" t="s">
        <v>306</v>
      </c>
      <c r="X78" t="s">
        <v>245</v>
      </c>
    </row>
    <row r="79" spans="1:24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 t="s">
        <v>944</v>
      </c>
      <c r="P79" s="5">
        <v>64099</v>
      </c>
      <c r="Q79" s="2" t="s">
        <v>2</v>
      </c>
      <c r="R79" s="2">
        <v>5</v>
      </c>
      <c r="S79" s="2">
        <v>3</v>
      </c>
      <c r="T79" s="2">
        <v>2</v>
      </c>
      <c r="V79" t="s">
        <v>242</v>
      </c>
      <c r="W79" t="s">
        <v>284</v>
      </c>
    </row>
    <row r="80" spans="1:24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 t="s">
        <v>944</v>
      </c>
      <c r="P80" s="5">
        <v>63997</v>
      </c>
      <c r="Q80" s="2" t="s">
        <v>2</v>
      </c>
      <c r="R80" s="2">
        <v>4</v>
      </c>
      <c r="S80" s="2">
        <v>2</v>
      </c>
      <c r="T80" s="2">
        <v>2</v>
      </c>
      <c r="V80" t="s">
        <v>242</v>
      </c>
      <c r="W80" t="s">
        <v>282</v>
      </c>
    </row>
    <row r="81" spans="1:24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 t="s">
        <v>943</v>
      </c>
      <c r="O81" t="s">
        <v>214</v>
      </c>
      <c r="P81" s="5">
        <v>63944</v>
      </c>
      <c r="Q81" s="2" t="s">
        <v>2</v>
      </c>
      <c r="R81" s="2">
        <v>2</v>
      </c>
      <c r="S81" s="2">
        <v>1</v>
      </c>
      <c r="T81" s="2">
        <v>1</v>
      </c>
      <c r="V81" t="s">
        <v>242</v>
      </c>
      <c r="W81" t="s">
        <v>269</v>
      </c>
    </row>
    <row r="82" spans="1:24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 t="s">
        <v>944</v>
      </c>
      <c r="O82" t="s">
        <v>230</v>
      </c>
      <c r="P82" s="5">
        <v>63928</v>
      </c>
      <c r="Q82" s="2" t="s">
        <v>2</v>
      </c>
      <c r="R82" s="2">
        <v>4</v>
      </c>
      <c r="S82" s="2">
        <v>2</v>
      </c>
      <c r="T82" s="2">
        <v>2</v>
      </c>
      <c r="V82" t="s">
        <v>237</v>
      </c>
      <c r="W82" t="s">
        <v>297</v>
      </c>
      <c r="X82" t="s">
        <v>245</v>
      </c>
    </row>
    <row r="83" spans="1:24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 t="s">
        <v>950</v>
      </c>
      <c r="P83" s="5">
        <v>63834</v>
      </c>
      <c r="Q83" s="2" t="s">
        <v>2</v>
      </c>
      <c r="R83" s="2">
        <v>4</v>
      </c>
      <c r="S83" s="2">
        <v>2</v>
      </c>
      <c r="T83" s="2">
        <v>2</v>
      </c>
      <c r="V83" t="s">
        <v>241</v>
      </c>
      <c r="W83" t="s">
        <v>288</v>
      </c>
    </row>
    <row r="84" spans="1:24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 t="s">
        <v>945</v>
      </c>
      <c r="P84" s="5">
        <v>63817</v>
      </c>
      <c r="Q84" s="2" t="s">
        <v>2</v>
      </c>
      <c r="R84" s="2">
        <v>3</v>
      </c>
      <c r="S84" s="2">
        <v>1</v>
      </c>
      <c r="T84" s="2">
        <v>2</v>
      </c>
      <c r="V84" t="s">
        <v>242</v>
      </c>
      <c r="W84" t="s">
        <v>295</v>
      </c>
    </row>
    <row r="85" spans="1:24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 t="s">
        <v>950</v>
      </c>
      <c r="P85" s="5">
        <v>63725</v>
      </c>
      <c r="Q85" s="2" t="s">
        <v>2</v>
      </c>
      <c r="R85" s="2">
        <v>5</v>
      </c>
      <c r="S85" s="2">
        <v>3</v>
      </c>
      <c r="T85" s="2">
        <v>2</v>
      </c>
      <c r="V85" t="s">
        <v>239</v>
      </c>
      <c r="W85" t="s">
        <v>279</v>
      </c>
    </row>
    <row r="86" spans="1:24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 t="s">
        <v>945</v>
      </c>
      <c r="P86" s="5">
        <v>63683</v>
      </c>
      <c r="Q86" s="2" t="s">
        <v>2</v>
      </c>
      <c r="R86" s="2">
        <v>3</v>
      </c>
      <c r="S86" s="2">
        <v>2</v>
      </c>
      <c r="T86" s="2">
        <v>1</v>
      </c>
      <c r="V86" t="s">
        <v>242</v>
      </c>
      <c r="W86" t="s">
        <v>269</v>
      </c>
    </row>
    <row r="87" spans="1:24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 t="s">
        <v>944</v>
      </c>
      <c r="P87" s="5">
        <v>63673</v>
      </c>
      <c r="Q87" s="2" t="s">
        <v>2</v>
      </c>
      <c r="R87" s="2">
        <v>5</v>
      </c>
      <c r="S87" s="2">
        <v>2</v>
      </c>
      <c r="T87" s="2">
        <v>3</v>
      </c>
      <c r="V87" t="s">
        <v>242</v>
      </c>
      <c r="W87" t="s">
        <v>307</v>
      </c>
    </row>
    <row r="88" spans="1:24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 t="s">
        <v>950</v>
      </c>
      <c r="P88" s="5">
        <v>63649</v>
      </c>
      <c r="Q88" s="2" t="s">
        <v>2</v>
      </c>
      <c r="R88" s="2">
        <v>6</v>
      </c>
      <c r="S88" s="2">
        <v>1</v>
      </c>
      <c r="T88" s="2">
        <v>5</v>
      </c>
      <c r="V88" t="s">
        <v>239</v>
      </c>
      <c r="W88" t="s">
        <v>274</v>
      </c>
    </row>
    <row r="89" spans="1:24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 t="s">
        <v>944</v>
      </c>
      <c r="P89" s="5">
        <v>63601</v>
      </c>
      <c r="Q89" s="2" t="s">
        <v>2</v>
      </c>
      <c r="R89" s="2">
        <v>4</v>
      </c>
      <c r="S89" s="2">
        <v>2</v>
      </c>
      <c r="T89" s="2">
        <v>2</v>
      </c>
      <c r="V89" t="s">
        <v>242</v>
      </c>
      <c r="W89" t="s">
        <v>260</v>
      </c>
    </row>
    <row r="90" spans="1:24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 t="s">
        <v>950</v>
      </c>
      <c r="P90" s="5">
        <v>63569</v>
      </c>
      <c r="Q90" s="2" t="s">
        <v>2</v>
      </c>
      <c r="R90" s="2">
        <v>3</v>
      </c>
      <c r="S90" s="2">
        <v>2</v>
      </c>
      <c r="T90" s="2">
        <v>1</v>
      </c>
      <c r="V90" t="s">
        <v>242</v>
      </c>
      <c r="W90" t="s">
        <v>261</v>
      </c>
      <c r="X90" t="s">
        <v>245</v>
      </c>
    </row>
    <row r="91" spans="1:24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 t="s">
        <v>944</v>
      </c>
      <c r="O91" t="s">
        <v>229</v>
      </c>
      <c r="P91" s="5">
        <v>63566</v>
      </c>
      <c r="Q91" s="2" t="s">
        <v>2</v>
      </c>
      <c r="R91" s="2">
        <v>4</v>
      </c>
      <c r="S91" s="2">
        <v>2</v>
      </c>
      <c r="T91" s="2">
        <v>2</v>
      </c>
      <c r="V91" t="s">
        <v>242</v>
      </c>
      <c r="W91" t="s">
        <v>295</v>
      </c>
    </row>
    <row r="92" spans="1:24" ht="15.75" x14ac:dyDescent="0.25">
      <c r="N92" s="22"/>
      <c r="R92" s="23">
        <f>SUM(R3:R91)</f>
        <v>345</v>
      </c>
      <c r="S92" s="23">
        <f t="shared" ref="S92:T92" si="3">SUM(S3:S91)</f>
        <v>182</v>
      </c>
      <c r="T92" s="23">
        <f t="shared" si="3"/>
        <v>163</v>
      </c>
    </row>
    <row r="94" spans="1:24" ht="15.75" x14ac:dyDescent="0.25">
      <c r="E94" s="22"/>
      <c r="F94" s="22"/>
    </row>
    <row r="95" spans="1:24" ht="15.75" x14ac:dyDescent="0.25">
      <c r="E95" s="22"/>
      <c r="F95" s="22"/>
    </row>
    <row r="96" spans="1:24" ht="15.75" x14ac:dyDescent="0.25">
      <c r="E96" s="22"/>
      <c r="F96" s="22"/>
    </row>
    <row r="97" spans="5:6" ht="15.75" x14ac:dyDescent="0.25">
      <c r="E97" s="22"/>
      <c r="F97" s="22"/>
    </row>
    <row r="98" spans="5:6" ht="15.75" x14ac:dyDescent="0.25">
      <c r="E98" s="22"/>
      <c r="F98" s="22"/>
    </row>
    <row r="99" spans="5:6" ht="15.75" x14ac:dyDescent="0.25">
      <c r="E99" s="22"/>
      <c r="F99" s="22"/>
    </row>
    <row r="100" spans="5:6" ht="15.75" x14ac:dyDescent="0.25">
      <c r="E100" s="22"/>
      <c r="F100" s="22"/>
    </row>
    <row r="101" spans="5:6" ht="15.75" x14ac:dyDescent="0.25">
      <c r="E101" s="22"/>
      <c r="F101" s="22"/>
    </row>
    <row r="102" spans="5:6" ht="15.75" x14ac:dyDescent="0.25">
      <c r="E102" s="22"/>
      <c r="F102" s="22"/>
    </row>
    <row r="103" spans="5:6" ht="15.75" x14ac:dyDescent="0.25">
      <c r="E103" s="22"/>
      <c r="F103" s="22"/>
    </row>
    <row r="104" spans="5:6" ht="15.75" x14ac:dyDescent="0.25">
      <c r="E104" s="22"/>
      <c r="F104" s="22"/>
    </row>
    <row r="105" spans="5:6" ht="15.75" x14ac:dyDescent="0.25">
      <c r="E105" s="22"/>
      <c r="F105" s="22"/>
    </row>
    <row r="106" spans="5:6" ht="15.75" x14ac:dyDescent="0.25">
      <c r="E106" s="22"/>
      <c r="F106" s="22"/>
    </row>
    <row r="107" spans="5:6" ht="15.75" x14ac:dyDescent="0.25">
      <c r="E107" s="22"/>
      <c r="F107" s="22"/>
    </row>
    <row r="108" spans="5:6" ht="15.75" x14ac:dyDescent="0.25">
      <c r="E108" s="22"/>
      <c r="F108" s="22"/>
    </row>
    <row r="109" spans="5:6" ht="15.75" x14ac:dyDescent="0.25">
      <c r="E109" s="22"/>
      <c r="F109" s="22"/>
    </row>
    <row r="110" spans="5:6" ht="15.75" x14ac:dyDescent="0.25">
      <c r="E110" s="22"/>
      <c r="F110" s="22"/>
    </row>
    <row r="111" spans="5:6" ht="15.75" x14ac:dyDescent="0.25">
      <c r="E111" s="22"/>
      <c r="F111" s="22"/>
    </row>
    <row r="112" spans="5:6" ht="15.75" x14ac:dyDescent="0.25">
      <c r="E112" s="22"/>
      <c r="F112" s="22"/>
    </row>
    <row r="113" spans="5:6" ht="15.75" x14ac:dyDescent="0.25">
      <c r="E113" s="22"/>
      <c r="F113" s="22"/>
    </row>
    <row r="114" spans="5:6" ht="15.75" x14ac:dyDescent="0.25">
      <c r="E114" s="22"/>
      <c r="F114" s="22"/>
    </row>
    <row r="115" spans="5:6" ht="15.75" x14ac:dyDescent="0.25">
      <c r="E115" s="22"/>
      <c r="F115" s="22"/>
    </row>
    <row r="116" spans="5:6" ht="15.75" x14ac:dyDescent="0.25">
      <c r="E116" s="22"/>
      <c r="F116" s="22"/>
    </row>
    <row r="117" spans="5:6" ht="15.75" x14ac:dyDescent="0.25">
      <c r="E117" s="22"/>
      <c r="F117" s="22"/>
    </row>
    <row r="118" spans="5:6" ht="15.75" x14ac:dyDescent="0.25">
      <c r="E118" s="22"/>
      <c r="F118" s="22"/>
    </row>
    <row r="119" spans="5:6" ht="15.75" x14ac:dyDescent="0.25">
      <c r="E119" s="22"/>
      <c r="F119" s="22"/>
    </row>
    <row r="120" spans="5:6" ht="15.75" x14ac:dyDescent="0.25">
      <c r="E120" s="22"/>
      <c r="F120" s="22"/>
    </row>
    <row r="121" spans="5:6" ht="15.75" x14ac:dyDescent="0.25">
      <c r="E121" s="22"/>
      <c r="F121" s="22"/>
    </row>
    <row r="122" spans="5:6" ht="15.75" x14ac:dyDescent="0.25">
      <c r="E122" s="22"/>
      <c r="F122" s="22"/>
    </row>
    <row r="123" spans="5:6" ht="15.75" x14ac:dyDescent="0.25">
      <c r="E123" s="22"/>
      <c r="F123" s="22"/>
    </row>
    <row r="124" spans="5:6" ht="15.75" x14ac:dyDescent="0.25">
      <c r="E124" s="22"/>
      <c r="F124" s="22"/>
    </row>
    <row r="125" spans="5:6" ht="15.75" x14ac:dyDescent="0.25">
      <c r="E125" s="22"/>
      <c r="F125" s="22"/>
    </row>
    <row r="126" spans="5:6" ht="15.75" x14ac:dyDescent="0.25">
      <c r="E126" s="22"/>
      <c r="F126" s="22"/>
    </row>
    <row r="127" spans="5:6" ht="15.75" x14ac:dyDescent="0.25">
      <c r="E127" s="22"/>
      <c r="F127" s="22"/>
    </row>
    <row r="128" spans="5:6" ht="15.75" x14ac:dyDescent="0.25">
      <c r="E128" s="22"/>
      <c r="F128" s="22"/>
    </row>
    <row r="129" spans="5:6" ht="15.75" x14ac:dyDescent="0.25">
      <c r="E129" s="22"/>
      <c r="F129" s="22"/>
    </row>
    <row r="130" spans="5:6" ht="15.75" x14ac:dyDescent="0.25">
      <c r="E130" s="22"/>
      <c r="F130" s="22"/>
    </row>
    <row r="131" spans="5:6" ht="15.75" x14ac:dyDescent="0.25">
      <c r="E131" s="22"/>
      <c r="F131" s="22"/>
    </row>
    <row r="132" spans="5:6" ht="15.75" x14ac:dyDescent="0.25">
      <c r="E132" s="22"/>
      <c r="F132" s="22"/>
    </row>
    <row r="133" spans="5:6" ht="15.75" x14ac:dyDescent="0.25">
      <c r="E133" s="22"/>
      <c r="F133" s="22"/>
    </row>
    <row r="134" spans="5:6" ht="15.75" x14ac:dyDescent="0.25">
      <c r="E134" s="22"/>
      <c r="F134" s="22"/>
    </row>
    <row r="135" spans="5:6" ht="15.75" x14ac:dyDescent="0.25">
      <c r="E135" s="22"/>
      <c r="F135" s="22"/>
    </row>
    <row r="136" spans="5:6" ht="15.75" x14ac:dyDescent="0.25">
      <c r="E136" s="22"/>
      <c r="F136" s="22"/>
    </row>
    <row r="137" spans="5:6" ht="15.75" x14ac:dyDescent="0.25">
      <c r="E137" s="22"/>
      <c r="F137" s="22"/>
    </row>
    <row r="138" spans="5:6" ht="15.75" x14ac:dyDescent="0.25">
      <c r="E138" s="22"/>
      <c r="F138" s="22"/>
    </row>
    <row r="139" spans="5:6" ht="15.75" x14ac:dyDescent="0.25">
      <c r="E139" s="22"/>
      <c r="F139" s="22"/>
    </row>
    <row r="140" spans="5:6" ht="15.75" x14ac:dyDescent="0.25">
      <c r="E140" s="22"/>
      <c r="F140" s="22"/>
    </row>
    <row r="141" spans="5:6" ht="15.75" x14ac:dyDescent="0.25">
      <c r="E141" s="22"/>
      <c r="F141" s="22"/>
    </row>
    <row r="142" spans="5:6" ht="15.75" x14ac:dyDescent="0.25">
      <c r="E142" s="22"/>
      <c r="F142" s="22"/>
    </row>
    <row r="143" spans="5:6" ht="15.75" x14ac:dyDescent="0.25">
      <c r="E143" s="22"/>
      <c r="F143" s="22"/>
    </row>
    <row r="144" spans="5:6" ht="15.75" x14ac:dyDescent="0.25">
      <c r="E144" s="22"/>
      <c r="F144" s="22"/>
    </row>
    <row r="145" spans="5:6" ht="15.75" x14ac:dyDescent="0.25">
      <c r="E145" s="22"/>
      <c r="F145" s="22"/>
    </row>
    <row r="146" spans="5:6" ht="15.75" x14ac:dyDescent="0.25">
      <c r="E146" s="22"/>
      <c r="F146" s="22"/>
    </row>
    <row r="147" spans="5:6" ht="15.75" x14ac:dyDescent="0.25">
      <c r="E147" s="22"/>
      <c r="F147" s="22"/>
    </row>
    <row r="148" spans="5:6" ht="15.75" x14ac:dyDescent="0.25">
      <c r="E148" s="22"/>
      <c r="F148" s="22"/>
    </row>
  </sheetData>
  <autoFilter ref="A1:W92" xr:uid="{00000000-0001-0000-0100-000000000000}">
    <filterColumn colId="17" showButton="0"/>
    <filterColumn colId="18" showButton="0"/>
  </autoFilter>
  <mergeCells count="5">
    <mergeCell ref="R1:T1"/>
    <mergeCell ref="V1:V2"/>
    <mergeCell ref="W1:W2"/>
    <mergeCell ref="X1:X2"/>
    <mergeCell ref="U1:U2"/>
  </mergeCells>
  <dataValidations count="1">
    <dataValidation type="list" allowBlank="1" showInputMessage="1" showErrorMessage="1" sqref="Q3:Q91" xr:uid="{00000000-0002-0000-0100-000000000000}">
      <formula1>$Q$6:$Q$25</formula1>
    </dataValidation>
  </dataValidations>
  <pageMargins left="0.7" right="0.7" top="0.75" bottom="0.75" header="0.3" footer="0.3"/>
  <pageSetup paperSize="9" scale="85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1000000}">
          <x14:formula1>
            <xm:f>Reasons!$A$2:$A$7</xm:f>
          </x14:formula1>
          <xm:sqref>V3:V91</xm:sqref>
        </x14:dataValidation>
        <x14:dataValidation type="list" allowBlank="1" showInputMessage="1" showErrorMessage="1" xr:uid="{E8C1423C-6B35-47BD-AC92-CE265C8786B0}">
          <x14:formula1>
            <xm:f>Reasons!$C$2:$C$11</xm:f>
          </x14:formula1>
          <xm:sqref>N3:N92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1"/>
  <sheetViews>
    <sheetView workbookViewId="0">
      <selection activeCell="C5" sqref="C5"/>
    </sheetView>
  </sheetViews>
  <sheetFormatPr defaultRowHeight="15" x14ac:dyDescent="0.25"/>
  <cols>
    <col min="1" max="1" width="18" customWidth="1"/>
  </cols>
  <sheetData>
    <row r="1" spans="1:7" x14ac:dyDescent="0.25">
      <c r="A1" s="8" t="s">
        <v>236</v>
      </c>
    </row>
    <row r="2" spans="1:7" x14ac:dyDescent="0.25">
      <c r="A2" s="9" t="s">
        <v>242</v>
      </c>
      <c r="C2" s="34" t="s">
        <v>950</v>
      </c>
      <c r="G2" s="34" t="s">
        <v>939</v>
      </c>
    </row>
    <row r="3" spans="1:7" x14ac:dyDescent="0.25">
      <c r="A3" s="9" t="s">
        <v>237</v>
      </c>
      <c r="C3" s="34" t="s">
        <v>951</v>
      </c>
      <c r="G3" s="34" t="s">
        <v>940</v>
      </c>
    </row>
    <row r="4" spans="1:7" x14ac:dyDescent="0.25">
      <c r="A4" t="s">
        <v>238</v>
      </c>
      <c r="C4" s="34" t="s">
        <v>952</v>
      </c>
      <c r="G4" s="34" t="s">
        <v>941</v>
      </c>
    </row>
    <row r="5" spans="1:7" x14ac:dyDescent="0.25">
      <c r="A5" t="s">
        <v>239</v>
      </c>
      <c r="C5" s="34" t="s">
        <v>942</v>
      </c>
      <c r="G5" s="34" t="s">
        <v>942</v>
      </c>
    </row>
    <row r="6" spans="1:7" x14ac:dyDescent="0.25">
      <c r="A6" t="s">
        <v>240</v>
      </c>
      <c r="C6" s="34" t="s">
        <v>943</v>
      </c>
      <c r="G6" s="34" t="s">
        <v>943</v>
      </c>
    </row>
    <row r="7" spans="1:7" x14ac:dyDescent="0.25">
      <c r="A7" t="s">
        <v>241</v>
      </c>
      <c r="C7" s="34" t="s">
        <v>944</v>
      </c>
      <c r="G7" s="34" t="s">
        <v>944</v>
      </c>
    </row>
    <row r="8" spans="1:7" x14ac:dyDescent="0.25">
      <c r="A8" t="s">
        <v>251</v>
      </c>
      <c r="C8" s="34" t="s">
        <v>945</v>
      </c>
      <c r="G8" s="34" t="s">
        <v>945</v>
      </c>
    </row>
    <row r="9" spans="1:7" x14ac:dyDescent="0.25">
      <c r="C9" s="34" t="s">
        <v>946</v>
      </c>
      <c r="G9" s="34" t="s">
        <v>946</v>
      </c>
    </row>
    <row r="10" spans="1:7" x14ac:dyDescent="0.25">
      <c r="C10" s="34" t="s">
        <v>947</v>
      </c>
      <c r="G10" s="34" t="s">
        <v>947</v>
      </c>
    </row>
    <row r="11" spans="1:7" x14ac:dyDescent="0.25">
      <c r="C11" s="34" t="s">
        <v>948</v>
      </c>
      <c r="G11" s="34" t="s">
        <v>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opLeftCell="A303" zoomScaleNormal="100" workbookViewId="0">
      <selection activeCell="C122" sqref="C122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hidden="1" customWidth="1"/>
    <col min="5" max="5" width="9" hidden="1" customWidth="1"/>
    <col min="6" max="6" width="9" customWidth="1"/>
    <col min="7" max="10" width="10.28515625" customWidth="1"/>
    <col min="11" max="11" width="11.5703125" customWidth="1"/>
    <col min="12" max="14" width="8.5703125" customWidth="1"/>
    <col min="15" max="15" width="6.5703125" customWidth="1"/>
    <col min="16" max="16" width="7.140625" customWidth="1"/>
    <col min="17" max="17" width="5.42578125" customWidth="1"/>
    <col min="18" max="18" width="6" customWidth="1"/>
    <col min="19" max="19" width="5.85546875" customWidth="1"/>
    <col min="20" max="21" width="11.5703125" customWidth="1"/>
    <col min="22" max="22" width="18" customWidth="1"/>
    <col min="23" max="23" width="11.5703125" customWidth="1"/>
    <col min="24" max="24" width="17.7109375" style="2" customWidth="1"/>
    <col min="25" max="25" width="5.42578125" style="2" customWidth="1"/>
    <col min="26" max="26" width="5.5703125" style="2" customWidth="1"/>
    <col min="27" max="27" width="7.5703125" style="2" customWidth="1"/>
    <col min="28" max="28" width="14.85546875" customWidth="1"/>
    <col min="29" max="29" width="35.28515625" bestFit="1" customWidth="1"/>
    <col min="30" max="30" width="33.140625" bestFit="1" customWidth="1"/>
    <col min="31" max="31" width="19.5703125" bestFit="1" customWidth="1"/>
  </cols>
  <sheetData>
    <row r="1" spans="1:31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5" t="s">
        <v>755</v>
      </c>
      <c r="H1" s="35" t="s">
        <v>758</v>
      </c>
      <c r="I1" s="35" t="s">
        <v>908</v>
      </c>
      <c r="J1" s="35" t="s">
        <v>909</v>
      </c>
      <c r="K1" s="40" t="s">
        <v>733</v>
      </c>
      <c r="L1" s="40" t="s">
        <v>935</v>
      </c>
      <c r="M1" s="44" t="s">
        <v>936</v>
      </c>
      <c r="N1" s="44" t="s">
        <v>937</v>
      </c>
      <c r="O1" s="40"/>
      <c r="P1" s="37" t="s">
        <v>743</v>
      </c>
      <c r="Q1" s="38"/>
      <c r="R1" s="38"/>
      <c r="S1" s="39"/>
      <c r="T1" s="40" t="s">
        <v>342</v>
      </c>
      <c r="U1" s="40" t="s">
        <v>732</v>
      </c>
      <c r="V1" s="42" t="s">
        <v>106</v>
      </c>
      <c r="W1" s="42" t="s">
        <v>107</v>
      </c>
      <c r="X1" s="42" t="s">
        <v>101</v>
      </c>
      <c r="Y1" s="50" t="s">
        <v>105</v>
      </c>
      <c r="Z1" s="51"/>
      <c r="AA1" s="52"/>
      <c r="AB1" s="46" t="s">
        <v>236</v>
      </c>
      <c r="AC1" s="47" t="s">
        <v>246</v>
      </c>
      <c r="AD1" s="48" t="s">
        <v>243</v>
      </c>
      <c r="AE1" s="49" t="s">
        <v>247</v>
      </c>
    </row>
    <row r="2" spans="1:31" x14ac:dyDescent="0.25">
      <c r="A2" s="43"/>
      <c r="B2" s="7"/>
      <c r="C2" s="43"/>
      <c r="D2" s="43"/>
      <c r="E2" s="43"/>
      <c r="F2" s="43"/>
      <c r="G2" s="36"/>
      <c r="H2" s="36"/>
      <c r="I2" s="36"/>
      <c r="J2" s="36"/>
      <c r="K2" s="41"/>
      <c r="L2" s="41"/>
      <c r="M2" s="45"/>
      <c r="N2" s="45"/>
      <c r="O2" s="41"/>
      <c r="P2" s="18" t="s">
        <v>744</v>
      </c>
      <c r="Q2" s="17" t="s">
        <v>745</v>
      </c>
      <c r="R2" s="17" t="s">
        <v>746</v>
      </c>
      <c r="S2" s="17" t="s">
        <v>747</v>
      </c>
      <c r="T2" s="41"/>
      <c r="U2" s="41"/>
      <c r="V2" s="43"/>
      <c r="W2" s="43"/>
      <c r="X2" s="43"/>
      <c r="Y2" s="7" t="s">
        <v>232</v>
      </c>
      <c r="Z2" s="7" t="s">
        <v>233</v>
      </c>
      <c r="AA2" s="7" t="s">
        <v>234</v>
      </c>
      <c r="AB2" s="46"/>
      <c r="AC2" s="47"/>
      <c r="AD2" s="48"/>
      <c r="AE2" s="49"/>
    </row>
    <row r="3" spans="1:3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.75" x14ac:dyDescent="0.3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.75" x14ac:dyDescent="0.3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.75" x14ac:dyDescent="0.3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.75" x14ac:dyDescent="0.3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.75" x14ac:dyDescent="0.3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.75" x14ac:dyDescent="0.3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.75" x14ac:dyDescent="0.3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.75" x14ac:dyDescent="0.3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.75" x14ac:dyDescent="0.3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.75" x14ac:dyDescent="0.3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.75" x14ac:dyDescent="0.3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.75" x14ac:dyDescent="0.3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.75" x14ac:dyDescent="0.3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.75" x14ac:dyDescent="0.3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.75" x14ac:dyDescent="0.3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.75" x14ac:dyDescent="0.3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.75" x14ac:dyDescent="0.3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.75" x14ac:dyDescent="0.3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.75" x14ac:dyDescent="0.3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.75" x14ac:dyDescent="0.3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.75" x14ac:dyDescent="0.3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.75" x14ac:dyDescent="0.3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.75" x14ac:dyDescent="0.3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.75" x14ac:dyDescent="0.3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.75" x14ac:dyDescent="0.3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.75" x14ac:dyDescent="0.3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.75" x14ac:dyDescent="0.3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.75" x14ac:dyDescent="0.3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.75" x14ac:dyDescent="0.3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.75" x14ac:dyDescent="0.3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.75" x14ac:dyDescent="0.3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.75" x14ac:dyDescent="0.3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.75" x14ac:dyDescent="0.3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.75" x14ac:dyDescent="0.3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.75" x14ac:dyDescent="0.3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.75" x14ac:dyDescent="0.3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.75" x14ac:dyDescent="0.3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.75" x14ac:dyDescent="0.3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.75" x14ac:dyDescent="0.3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.75" x14ac:dyDescent="0.3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.75" x14ac:dyDescent="0.3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.75" x14ac:dyDescent="0.3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.75" x14ac:dyDescent="0.3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.75" x14ac:dyDescent="0.3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.75" x14ac:dyDescent="0.3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.75" x14ac:dyDescent="0.3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.75" x14ac:dyDescent="0.3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.75" x14ac:dyDescent="0.3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.75" x14ac:dyDescent="0.3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.75" x14ac:dyDescent="0.3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.75" x14ac:dyDescent="0.3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.75" x14ac:dyDescent="0.3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.75" x14ac:dyDescent="0.3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.75" x14ac:dyDescent="0.3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.75" x14ac:dyDescent="0.3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.75" x14ac:dyDescent="0.3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.75" x14ac:dyDescent="0.3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.75" x14ac:dyDescent="0.3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.75" x14ac:dyDescent="0.3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.75" x14ac:dyDescent="0.3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.75" x14ac:dyDescent="0.3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.75" x14ac:dyDescent="0.3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.75" x14ac:dyDescent="0.3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.75" x14ac:dyDescent="0.3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.75" x14ac:dyDescent="0.3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.75" x14ac:dyDescent="0.3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.75" x14ac:dyDescent="0.3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.75" x14ac:dyDescent="0.3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.75" x14ac:dyDescent="0.3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.75" x14ac:dyDescent="0.3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.75" x14ac:dyDescent="0.3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.75" x14ac:dyDescent="0.3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.75" x14ac:dyDescent="0.3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.75" x14ac:dyDescent="0.3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.75" x14ac:dyDescent="0.3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.75" x14ac:dyDescent="0.3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.75" x14ac:dyDescent="0.3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.75" x14ac:dyDescent="0.3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.75" x14ac:dyDescent="0.3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.75" x14ac:dyDescent="0.3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.75" x14ac:dyDescent="0.3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.75" x14ac:dyDescent="0.3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.75" x14ac:dyDescent="0.3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.75" x14ac:dyDescent="0.3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.75" x14ac:dyDescent="0.3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.75" x14ac:dyDescent="0.3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.75" x14ac:dyDescent="0.3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.75" x14ac:dyDescent="0.3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.75" x14ac:dyDescent="0.3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.75" x14ac:dyDescent="0.3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.75" x14ac:dyDescent="0.3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.75" x14ac:dyDescent="0.3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.75" x14ac:dyDescent="0.3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.75" x14ac:dyDescent="0.3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.75" x14ac:dyDescent="0.3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.75" x14ac:dyDescent="0.3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.75" x14ac:dyDescent="0.3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.75" x14ac:dyDescent="0.3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.75" x14ac:dyDescent="0.3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.75" x14ac:dyDescent="0.3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.75" x14ac:dyDescent="0.3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.75" x14ac:dyDescent="0.3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.75" x14ac:dyDescent="0.3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.75" x14ac:dyDescent="0.3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.75" x14ac:dyDescent="0.3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.75" x14ac:dyDescent="0.3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.75" x14ac:dyDescent="0.3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.75" x14ac:dyDescent="0.3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.75" x14ac:dyDescent="0.3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.75" x14ac:dyDescent="0.3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.75" x14ac:dyDescent="0.3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.75" x14ac:dyDescent="0.3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.75" x14ac:dyDescent="0.3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.75" x14ac:dyDescent="0.3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.75" x14ac:dyDescent="0.3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.75" x14ac:dyDescent="0.3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.75" x14ac:dyDescent="0.3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.75" x14ac:dyDescent="0.3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.75" x14ac:dyDescent="0.3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.75" x14ac:dyDescent="0.3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.75" x14ac:dyDescent="0.3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.75" x14ac:dyDescent="0.3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.75" x14ac:dyDescent="0.3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.75" x14ac:dyDescent="0.3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.75" x14ac:dyDescent="0.3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.75" x14ac:dyDescent="0.3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.75" x14ac:dyDescent="0.3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.75" x14ac:dyDescent="0.3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.75" x14ac:dyDescent="0.3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.75" x14ac:dyDescent="0.3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.75" x14ac:dyDescent="0.3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.75" x14ac:dyDescent="0.3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.75" x14ac:dyDescent="0.3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.75" x14ac:dyDescent="0.3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.75" x14ac:dyDescent="0.3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.75" x14ac:dyDescent="0.3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.75" x14ac:dyDescent="0.3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.75" x14ac:dyDescent="0.3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.75" x14ac:dyDescent="0.3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.75" x14ac:dyDescent="0.3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.75" x14ac:dyDescent="0.3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.75" x14ac:dyDescent="0.3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.75" x14ac:dyDescent="0.3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.75" x14ac:dyDescent="0.3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.75" x14ac:dyDescent="0.3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.75" x14ac:dyDescent="0.3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.75" x14ac:dyDescent="0.3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.75" x14ac:dyDescent="0.3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.75" x14ac:dyDescent="0.3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.75" x14ac:dyDescent="0.3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.75" x14ac:dyDescent="0.3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.75" x14ac:dyDescent="0.3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.75" x14ac:dyDescent="0.3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.75" x14ac:dyDescent="0.3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.75" x14ac:dyDescent="0.3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.75" x14ac:dyDescent="0.3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.75" x14ac:dyDescent="0.3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.75" x14ac:dyDescent="0.3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.75" x14ac:dyDescent="0.3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.75" x14ac:dyDescent="0.3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.75" x14ac:dyDescent="0.3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.75" x14ac:dyDescent="0.3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.75" x14ac:dyDescent="0.3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.75" x14ac:dyDescent="0.3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.75" x14ac:dyDescent="0.3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.75" x14ac:dyDescent="0.3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.75" x14ac:dyDescent="0.3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.75" x14ac:dyDescent="0.3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.75" x14ac:dyDescent="0.3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.75" x14ac:dyDescent="0.3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.75" x14ac:dyDescent="0.3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.75" x14ac:dyDescent="0.3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.75" x14ac:dyDescent="0.3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.75" x14ac:dyDescent="0.3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.75" x14ac:dyDescent="0.3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.75" x14ac:dyDescent="0.3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.75" x14ac:dyDescent="0.3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.75" x14ac:dyDescent="0.3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.75" x14ac:dyDescent="0.3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.75" x14ac:dyDescent="0.3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.75" x14ac:dyDescent="0.3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.75" x14ac:dyDescent="0.3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.75" x14ac:dyDescent="0.3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.75" x14ac:dyDescent="0.3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.75" x14ac:dyDescent="0.3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.75" x14ac:dyDescent="0.3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.75" x14ac:dyDescent="0.3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.75" x14ac:dyDescent="0.3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.75" x14ac:dyDescent="0.3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.75" x14ac:dyDescent="0.3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.75" x14ac:dyDescent="0.3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.75" x14ac:dyDescent="0.3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.75" x14ac:dyDescent="0.3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.75" x14ac:dyDescent="0.3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.75" x14ac:dyDescent="0.3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.75" x14ac:dyDescent="0.3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.75" x14ac:dyDescent="0.3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48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.75" x14ac:dyDescent="0.3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.75" x14ac:dyDescent="0.3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.75" x14ac:dyDescent="0.3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.75" x14ac:dyDescent="0.3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.75" x14ac:dyDescent="0.3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.75" x14ac:dyDescent="0.3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.75" x14ac:dyDescent="0.3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.75" x14ac:dyDescent="0.3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.75" x14ac:dyDescent="0.3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.75" x14ac:dyDescent="0.3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.75" x14ac:dyDescent="0.3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.75" x14ac:dyDescent="0.3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.75" x14ac:dyDescent="0.3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.75" x14ac:dyDescent="0.3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.75" x14ac:dyDescent="0.3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.75" x14ac:dyDescent="0.3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.75" x14ac:dyDescent="0.3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.75" x14ac:dyDescent="0.3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.75" x14ac:dyDescent="0.3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.75" x14ac:dyDescent="0.3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.75" x14ac:dyDescent="0.3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.75" x14ac:dyDescent="0.3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.75" x14ac:dyDescent="0.3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.75" x14ac:dyDescent="0.3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.75" x14ac:dyDescent="0.3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.75" x14ac:dyDescent="0.3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.75" x14ac:dyDescent="0.3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.75" x14ac:dyDescent="0.3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.75" x14ac:dyDescent="0.3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.75" x14ac:dyDescent="0.3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.75" x14ac:dyDescent="0.3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.75" x14ac:dyDescent="0.3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.75" x14ac:dyDescent="0.3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.75" x14ac:dyDescent="0.3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.75" x14ac:dyDescent="0.3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.75" x14ac:dyDescent="0.3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.75" x14ac:dyDescent="0.3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.75" x14ac:dyDescent="0.3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.75" x14ac:dyDescent="0.3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.75" x14ac:dyDescent="0.3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.75" x14ac:dyDescent="0.3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.75" x14ac:dyDescent="0.3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.75" x14ac:dyDescent="0.3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.75" x14ac:dyDescent="0.3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.75" x14ac:dyDescent="0.3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.75" x14ac:dyDescent="0.3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.75" x14ac:dyDescent="0.3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.75" x14ac:dyDescent="0.3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.75" x14ac:dyDescent="0.3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.75" x14ac:dyDescent="0.3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.75" x14ac:dyDescent="0.3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.75" x14ac:dyDescent="0.3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.75" x14ac:dyDescent="0.3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.75" x14ac:dyDescent="0.3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.75" x14ac:dyDescent="0.3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25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</mergeCells>
  <phoneticPr fontId="4" type="noConversion"/>
  <dataValidations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topLeftCell="A55" zoomScaleNormal="100" workbookViewId="0">
      <selection activeCell="T10" sqref="T10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6" width="9" hidden="1" customWidth="1"/>
    <col min="7" max="9" width="10.28515625" hidden="1" customWidth="1"/>
    <col min="10" max="10" width="13.28515625" hidden="1" customWidth="1"/>
    <col min="11" max="11" width="7.42578125" customWidth="1"/>
    <col min="12" max="12" width="6.5703125" bestFit="1" customWidth="1"/>
    <col min="15" max="15" width="7.140625" customWidth="1"/>
    <col min="16" max="16" width="5.42578125" customWidth="1"/>
    <col min="17" max="17" width="6" customWidth="1"/>
    <col min="18" max="18" width="5.85546875" customWidth="1"/>
    <col min="19" max="19" width="6.140625" bestFit="1" customWidth="1"/>
    <col min="20" max="20" width="5.42578125" customWidth="1"/>
    <col min="21" max="21" width="6.140625" bestFit="1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5" t="s">
        <v>755</v>
      </c>
      <c r="H1" s="35" t="s">
        <v>758</v>
      </c>
      <c r="I1" s="35" t="s">
        <v>908</v>
      </c>
      <c r="J1" s="35" t="s">
        <v>911</v>
      </c>
      <c r="K1" s="35" t="s">
        <v>917</v>
      </c>
      <c r="L1" s="40" t="s">
        <v>733</v>
      </c>
      <c r="O1" s="37" t="s">
        <v>743</v>
      </c>
      <c r="P1" s="38"/>
      <c r="Q1" s="38"/>
      <c r="R1" s="39"/>
      <c r="S1" s="35"/>
      <c r="T1" s="35"/>
      <c r="U1" s="35"/>
      <c r="V1" s="40" t="s">
        <v>342</v>
      </c>
      <c r="W1" s="40" t="s">
        <v>732</v>
      </c>
      <c r="X1" s="42" t="s">
        <v>106</v>
      </c>
      <c r="Y1" s="42" t="s">
        <v>107</v>
      </c>
      <c r="Z1" s="42" t="s">
        <v>101</v>
      </c>
      <c r="AA1" s="50" t="s">
        <v>105</v>
      </c>
      <c r="AB1" s="51"/>
      <c r="AC1" s="52"/>
      <c r="AD1" s="46" t="s">
        <v>236</v>
      </c>
      <c r="AE1" s="47" t="s">
        <v>246</v>
      </c>
      <c r="AF1" s="48" t="s">
        <v>243</v>
      </c>
      <c r="AG1" s="49" t="s">
        <v>247</v>
      </c>
    </row>
    <row r="2" spans="1:33" x14ac:dyDescent="0.25">
      <c r="A2" s="43"/>
      <c r="B2" s="7"/>
      <c r="C2" s="43"/>
      <c r="D2" s="43"/>
      <c r="E2" s="43"/>
      <c r="F2" s="43"/>
      <c r="G2" s="36"/>
      <c r="H2" s="36"/>
      <c r="I2" s="36"/>
      <c r="J2" s="36"/>
      <c r="K2" s="36"/>
      <c r="L2" s="41"/>
      <c r="O2" s="18" t="s">
        <v>744</v>
      </c>
      <c r="P2" s="17" t="s">
        <v>745</v>
      </c>
      <c r="Q2" s="17" t="s">
        <v>746</v>
      </c>
      <c r="R2" s="17" t="s">
        <v>747</v>
      </c>
      <c r="S2" s="36"/>
      <c r="T2" s="36"/>
      <c r="U2" s="36"/>
      <c r="V2" s="41"/>
      <c r="W2" s="41"/>
      <c r="X2" s="43"/>
      <c r="Y2" s="43"/>
      <c r="Z2" s="43"/>
      <c r="AA2" s="7" t="s">
        <v>232</v>
      </c>
      <c r="AB2" s="7" t="s">
        <v>233</v>
      </c>
      <c r="AC2" s="7" t="s">
        <v>234</v>
      </c>
      <c r="AD2" s="46"/>
      <c r="AE2" s="47"/>
      <c r="AF2" s="48"/>
      <c r="AG2" s="49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.75" x14ac:dyDescent="0.3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.75" x14ac:dyDescent="0.3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.75" x14ac:dyDescent="0.3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.75" x14ac:dyDescent="0.3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.75" x14ac:dyDescent="0.3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.75" x14ac:dyDescent="0.3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.75" x14ac:dyDescent="0.3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.75" x14ac:dyDescent="0.3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.75" x14ac:dyDescent="0.3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.75" x14ac:dyDescent="0.3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.75" x14ac:dyDescent="0.3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.75" x14ac:dyDescent="0.3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.75" x14ac:dyDescent="0.3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.75" x14ac:dyDescent="0.3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.75" x14ac:dyDescent="0.3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.75" x14ac:dyDescent="0.3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.75" x14ac:dyDescent="0.3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.75" x14ac:dyDescent="0.3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.75" x14ac:dyDescent="0.3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.75" x14ac:dyDescent="0.3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.75" x14ac:dyDescent="0.3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.75" x14ac:dyDescent="0.3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.75" x14ac:dyDescent="0.3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.75" x14ac:dyDescent="0.3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.75" x14ac:dyDescent="0.3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.75" x14ac:dyDescent="0.3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.75" x14ac:dyDescent="0.3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.75" x14ac:dyDescent="0.3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.75" x14ac:dyDescent="0.3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.75" x14ac:dyDescent="0.3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.75" x14ac:dyDescent="0.3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.75" x14ac:dyDescent="0.3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.75" x14ac:dyDescent="0.3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.75" x14ac:dyDescent="0.3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.75" x14ac:dyDescent="0.3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.75" x14ac:dyDescent="0.3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.75" x14ac:dyDescent="0.3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.75" x14ac:dyDescent="0.3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.75" x14ac:dyDescent="0.3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.75" x14ac:dyDescent="0.3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.75" x14ac:dyDescent="0.3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.75" x14ac:dyDescent="0.3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.75" x14ac:dyDescent="0.3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.75" x14ac:dyDescent="0.3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.75" x14ac:dyDescent="0.3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.75" x14ac:dyDescent="0.3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.75" x14ac:dyDescent="0.3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.75" x14ac:dyDescent="0.3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.75" x14ac:dyDescent="0.3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.75" x14ac:dyDescent="0.3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.75" x14ac:dyDescent="0.3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.75" x14ac:dyDescent="0.3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.75" x14ac:dyDescent="0.3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.75" x14ac:dyDescent="0.3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.75" x14ac:dyDescent="0.3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.75" x14ac:dyDescent="0.3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.75" x14ac:dyDescent="0.3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.75" x14ac:dyDescent="0.3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.75" x14ac:dyDescent="0.3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.75" x14ac:dyDescent="0.3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.75" x14ac:dyDescent="0.3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.75" x14ac:dyDescent="0.3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.75" x14ac:dyDescent="0.3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.75" x14ac:dyDescent="0.3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.75" x14ac:dyDescent="0.3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.75" x14ac:dyDescent="0.3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.75" x14ac:dyDescent="0.3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.75" x14ac:dyDescent="0.3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.75" x14ac:dyDescent="0.3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.75" x14ac:dyDescent="0.3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.75" x14ac:dyDescent="0.3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.75" x14ac:dyDescent="0.3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.75" x14ac:dyDescent="0.3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.75" x14ac:dyDescent="0.3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.75" x14ac:dyDescent="0.3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.75" x14ac:dyDescent="0.3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.75" x14ac:dyDescent="0.3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.75" x14ac:dyDescent="0.3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.75" x14ac:dyDescent="0.3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.75" x14ac:dyDescent="0.3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.75" x14ac:dyDescent="0.3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.75" x14ac:dyDescent="0.3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.75" x14ac:dyDescent="0.3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.75" x14ac:dyDescent="0.3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.75" x14ac:dyDescent="0.3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.75" x14ac:dyDescent="0.3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.75" x14ac:dyDescent="0.3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.75" x14ac:dyDescent="0.3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.75" x14ac:dyDescent="0.3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.75" x14ac:dyDescent="0.3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.75" x14ac:dyDescent="0.3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.75" x14ac:dyDescent="0.3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.75" x14ac:dyDescent="0.3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.75" x14ac:dyDescent="0.3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.75" x14ac:dyDescent="0.3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.75" x14ac:dyDescent="0.3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.75" x14ac:dyDescent="0.3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.75" x14ac:dyDescent="0.3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.75" x14ac:dyDescent="0.3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.75" x14ac:dyDescent="0.3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.75" x14ac:dyDescent="0.3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.75" x14ac:dyDescent="0.3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.75" x14ac:dyDescent="0.3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.75" x14ac:dyDescent="0.3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.75" x14ac:dyDescent="0.3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.75" x14ac:dyDescent="0.3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.75" x14ac:dyDescent="0.3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.75" x14ac:dyDescent="0.3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.75" x14ac:dyDescent="0.3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.75" x14ac:dyDescent="0.3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.75" x14ac:dyDescent="0.3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.75" x14ac:dyDescent="0.3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.75" x14ac:dyDescent="0.3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.75" x14ac:dyDescent="0.3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.75" x14ac:dyDescent="0.3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.75" x14ac:dyDescent="0.3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.75" x14ac:dyDescent="0.3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.75" x14ac:dyDescent="0.3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.75" x14ac:dyDescent="0.3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.75" x14ac:dyDescent="0.3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.75" x14ac:dyDescent="0.3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.75" x14ac:dyDescent="0.3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.75" x14ac:dyDescent="0.3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.75" x14ac:dyDescent="0.3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.75" x14ac:dyDescent="0.3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.75" x14ac:dyDescent="0.3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.75" x14ac:dyDescent="0.3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.75" x14ac:dyDescent="0.3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.75" x14ac:dyDescent="0.3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.75" x14ac:dyDescent="0.3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.75" x14ac:dyDescent="0.3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.75" x14ac:dyDescent="0.3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.75" x14ac:dyDescent="0.3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.75" x14ac:dyDescent="0.3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.75" x14ac:dyDescent="0.3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.75" x14ac:dyDescent="0.3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.75" x14ac:dyDescent="0.3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.75" x14ac:dyDescent="0.3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.75" x14ac:dyDescent="0.3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.75" x14ac:dyDescent="0.3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.75" x14ac:dyDescent="0.3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.75" x14ac:dyDescent="0.3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.75" x14ac:dyDescent="0.3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.75" x14ac:dyDescent="0.3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.75" x14ac:dyDescent="0.3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.75" x14ac:dyDescent="0.3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.75" x14ac:dyDescent="0.3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.75" x14ac:dyDescent="0.3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.75" x14ac:dyDescent="0.3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.75" x14ac:dyDescent="0.3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.75" x14ac:dyDescent="0.3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.75" x14ac:dyDescent="0.3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.75" x14ac:dyDescent="0.3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.75" x14ac:dyDescent="0.3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.75" x14ac:dyDescent="0.3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.75" x14ac:dyDescent="0.3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.75" x14ac:dyDescent="0.3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.75" x14ac:dyDescent="0.3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.75" x14ac:dyDescent="0.3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.75" x14ac:dyDescent="0.3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.75" x14ac:dyDescent="0.3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.75" x14ac:dyDescent="0.3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.75" x14ac:dyDescent="0.3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.75" x14ac:dyDescent="0.3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.75" x14ac:dyDescent="0.3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.75" x14ac:dyDescent="0.3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.75" x14ac:dyDescent="0.3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.75" x14ac:dyDescent="0.3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.75" x14ac:dyDescent="0.3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.75" x14ac:dyDescent="0.3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.75" x14ac:dyDescent="0.3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.75" x14ac:dyDescent="0.3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.75" x14ac:dyDescent="0.3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.75" x14ac:dyDescent="0.3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.75" x14ac:dyDescent="0.3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.75" x14ac:dyDescent="0.3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.75" x14ac:dyDescent="0.3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.75" x14ac:dyDescent="0.3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.75" x14ac:dyDescent="0.3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.75" x14ac:dyDescent="0.3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.75" x14ac:dyDescent="0.3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.75" x14ac:dyDescent="0.3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.75" x14ac:dyDescent="0.3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.75" x14ac:dyDescent="0.3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.75" x14ac:dyDescent="0.3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.75" x14ac:dyDescent="0.3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.75" x14ac:dyDescent="0.3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.75" x14ac:dyDescent="0.3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.75" x14ac:dyDescent="0.3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.75" x14ac:dyDescent="0.3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.75" x14ac:dyDescent="0.3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.75" x14ac:dyDescent="0.3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.75" x14ac:dyDescent="0.3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.75" x14ac:dyDescent="0.3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.75" x14ac:dyDescent="0.3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.75" x14ac:dyDescent="0.3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.75" x14ac:dyDescent="0.3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.75" x14ac:dyDescent="0.3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.75" x14ac:dyDescent="0.3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.75" x14ac:dyDescent="0.3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.75" x14ac:dyDescent="0.3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.75" x14ac:dyDescent="0.3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.75" x14ac:dyDescent="0.3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.75" x14ac:dyDescent="0.3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.75" x14ac:dyDescent="0.3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.75" x14ac:dyDescent="0.3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.75" x14ac:dyDescent="0.3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.75" x14ac:dyDescent="0.3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.75" x14ac:dyDescent="0.3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.75" x14ac:dyDescent="0.3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.75" x14ac:dyDescent="0.3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.75" x14ac:dyDescent="0.3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.75" x14ac:dyDescent="0.3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.75" x14ac:dyDescent="0.3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.75" x14ac:dyDescent="0.3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.75" x14ac:dyDescent="0.3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.75" x14ac:dyDescent="0.3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.75" x14ac:dyDescent="0.3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.75" x14ac:dyDescent="0.3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.75" x14ac:dyDescent="0.3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.75" x14ac:dyDescent="0.3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.75" x14ac:dyDescent="0.3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.75" x14ac:dyDescent="0.3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.75" x14ac:dyDescent="0.3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.75" x14ac:dyDescent="0.3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.75" x14ac:dyDescent="0.3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.75" x14ac:dyDescent="0.3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.75" x14ac:dyDescent="0.3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.75" x14ac:dyDescent="0.3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.75" x14ac:dyDescent="0.3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.75" x14ac:dyDescent="0.3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.75" x14ac:dyDescent="0.3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.75" x14ac:dyDescent="0.3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.75" x14ac:dyDescent="0.3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.75" x14ac:dyDescent="0.3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.75" x14ac:dyDescent="0.3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.75" x14ac:dyDescent="0.3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.75" x14ac:dyDescent="0.3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.75" x14ac:dyDescent="0.3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.75" x14ac:dyDescent="0.3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.75" x14ac:dyDescent="0.3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.75" x14ac:dyDescent="0.3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.75" x14ac:dyDescent="0.3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.75" x14ac:dyDescent="0.3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.75" x14ac:dyDescent="0.3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.75" x14ac:dyDescent="0.3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.75" x14ac:dyDescent="0.3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.75" x14ac:dyDescent="0.3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.75" x14ac:dyDescent="0.3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.75" x14ac:dyDescent="0.3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.75" x14ac:dyDescent="0.3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.75" x14ac:dyDescent="0.3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.75" x14ac:dyDescent="0.3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.75" x14ac:dyDescent="0.3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.75" x14ac:dyDescent="0.3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.75" x14ac:dyDescent="0.3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.75" x14ac:dyDescent="0.3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.75" x14ac:dyDescent="0.3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.75" x14ac:dyDescent="0.3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.75" x14ac:dyDescent="0.3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.75" x14ac:dyDescent="0.3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.75" x14ac:dyDescent="0.3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.75" x14ac:dyDescent="0.3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.75" x14ac:dyDescent="0.3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.75" x14ac:dyDescent="0.3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.75" x14ac:dyDescent="0.3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.75" x14ac:dyDescent="0.3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.75" x14ac:dyDescent="0.3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.75" x14ac:dyDescent="0.3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.75" x14ac:dyDescent="0.3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.75" x14ac:dyDescent="0.3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.75" x14ac:dyDescent="0.3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.75" x14ac:dyDescent="0.3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.75" x14ac:dyDescent="0.3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.75" x14ac:dyDescent="0.3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.75" x14ac:dyDescent="0.3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.75" x14ac:dyDescent="0.3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.75" x14ac:dyDescent="0.3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.75" x14ac:dyDescent="0.3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.75" x14ac:dyDescent="0.3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.75" x14ac:dyDescent="0.3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.75" x14ac:dyDescent="0.3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.75" x14ac:dyDescent="0.3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.75" x14ac:dyDescent="0.3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.75" x14ac:dyDescent="0.3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.75" x14ac:dyDescent="0.3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.75" x14ac:dyDescent="0.3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.75" x14ac:dyDescent="0.3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.75" x14ac:dyDescent="0.3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.75" x14ac:dyDescent="0.3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.75" x14ac:dyDescent="0.3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.75" x14ac:dyDescent="0.3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.75" x14ac:dyDescent="0.3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.75" x14ac:dyDescent="0.3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.75" x14ac:dyDescent="0.3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.75" x14ac:dyDescent="0.3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.75" x14ac:dyDescent="0.3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.75" x14ac:dyDescent="0.3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.75" x14ac:dyDescent="0.3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.75" x14ac:dyDescent="0.3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.75" x14ac:dyDescent="0.3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.75" x14ac:dyDescent="0.3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.75" x14ac:dyDescent="0.3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.75" x14ac:dyDescent="0.3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.75" x14ac:dyDescent="0.3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.75" x14ac:dyDescent="0.3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.75" x14ac:dyDescent="0.3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.75" x14ac:dyDescent="0.3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.75" x14ac:dyDescent="0.3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.75" x14ac:dyDescent="0.3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.75" x14ac:dyDescent="0.3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.75" x14ac:dyDescent="0.3">
      <c r="A324" s="6"/>
      <c r="C324" s="13" t="s">
        <v>697</v>
      </c>
      <c r="D324" s="13" t="str">
        <f t="shared" ref="D324:D335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35" si="29">IF(L324&gt;=5,(COUNTIFS($H$4:$H$335,H324,$F$4:$F$335,F324)))</f>
        <v>99</v>
      </c>
      <c r="J324" s="21"/>
      <c r="K324" s="21" t="str">
        <f t="shared" ref="K324:K335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.75" x14ac:dyDescent="0.3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.75" x14ac:dyDescent="0.3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.75" x14ac:dyDescent="0.3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.75" x14ac:dyDescent="0.3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.75" x14ac:dyDescent="0.3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.75" x14ac:dyDescent="0.3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.75" x14ac:dyDescent="0.3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.75" x14ac:dyDescent="0.3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.75" x14ac:dyDescent="0.3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.75" x14ac:dyDescent="0.3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.75" x14ac:dyDescent="0.3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25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AE1:AE2"/>
    <mergeCell ref="AF1:AF2"/>
    <mergeCell ref="AG1:AG2"/>
    <mergeCell ref="W1:W2"/>
    <mergeCell ref="X1:X2"/>
    <mergeCell ref="Y1:Y2"/>
    <mergeCell ref="Z1:Z2"/>
    <mergeCell ref="AA1:AC1"/>
    <mergeCell ref="AD1:AD2"/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opLeftCell="A80" zoomScaleNormal="100" workbookViewId="0">
      <selection activeCell="E90" sqref="E90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customWidth="1"/>
    <col min="5" max="6" width="9" customWidth="1"/>
    <col min="7" max="7" width="10.28515625" customWidth="1"/>
    <col min="8" max="9" width="12.7109375" customWidth="1"/>
    <col min="10" max="12" width="10.28515625" customWidth="1"/>
    <col min="13" max="13" width="11.5703125" customWidth="1"/>
    <col min="14" max="14" width="8.5703125" bestFit="1" customWidth="1"/>
    <col min="15" max="16" width="8.5703125" customWidth="1"/>
    <col min="17" max="17" width="6.5703125" customWidth="1"/>
    <col min="18" max="18" width="7.140625" customWidth="1"/>
    <col min="19" max="19" width="5.42578125" customWidth="1"/>
    <col min="20" max="20" width="6" customWidth="1"/>
    <col min="21" max="21" width="5.85546875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5" t="s">
        <v>755</v>
      </c>
      <c r="H1" s="35" t="s">
        <v>938</v>
      </c>
      <c r="I1" s="35" t="s">
        <v>909</v>
      </c>
      <c r="J1" s="35" t="s">
        <v>758</v>
      </c>
      <c r="K1" s="35" t="s">
        <v>908</v>
      </c>
      <c r="L1" s="35" t="s">
        <v>909</v>
      </c>
      <c r="M1" s="40" t="s">
        <v>733</v>
      </c>
      <c r="N1" s="40" t="s">
        <v>935</v>
      </c>
      <c r="O1" s="44" t="s">
        <v>936</v>
      </c>
      <c r="P1" s="44" t="s">
        <v>937</v>
      </c>
      <c r="Q1" s="40"/>
      <c r="R1" s="37" t="s">
        <v>743</v>
      </c>
      <c r="S1" s="38"/>
      <c r="T1" s="38"/>
      <c r="U1" s="39"/>
      <c r="V1" s="40" t="s">
        <v>342</v>
      </c>
      <c r="W1" s="40" t="s">
        <v>732</v>
      </c>
      <c r="X1" s="42" t="s">
        <v>106</v>
      </c>
      <c r="Y1" s="42" t="s">
        <v>107</v>
      </c>
      <c r="Z1" s="42" t="s">
        <v>101</v>
      </c>
      <c r="AA1" s="50" t="s">
        <v>105</v>
      </c>
      <c r="AB1" s="51"/>
      <c r="AC1" s="52"/>
      <c r="AD1" s="46" t="s">
        <v>236</v>
      </c>
      <c r="AE1" s="47" t="s">
        <v>246</v>
      </c>
      <c r="AF1" s="48" t="s">
        <v>243</v>
      </c>
      <c r="AG1" s="49" t="s">
        <v>247</v>
      </c>
    </row>
    <row r="2" spans="1:33" x14ac:dyDescent="0.25">
      <c r="A2" s="43"/>
      <c r="B2" s="7"/>
      <c r="C2" s="43"/>
      <c r="D2" s="43"/>
      <c r="E2" s="43"/>
      <c r="F2" s="43"/>
      <c r="G2" s="36"/>
      <c r="H2" s="36"/>
      <c r="I2" s="36"/>
      <c r="J2" s="36"/>
      <c r="K2" s="36"/>
      <c r="L2" s="36"/>
      <c r="M2" s="41"/>
      <c r="N2" s="41"/>
      <c r="O2" s="45"/>
      <c r="P2" s="45"/>
      <c r="Q2" s="41"/>
      <c r="R2" s="18" t="s">
        <v>744</v>
      </c>
      <c r="S2" s="17" t="s">
        <v>745</v>
      </c>
      <c r="T2" s="17" t="s">
        <v>746</v>
      </c>
      <c r="U2" s="17" t="s">
        <v>747</v>
      </c>
      <c r="V2" s="41"/>
      <c r="W2" s="41"/>
      <c r="X2" s="43"/>
      <c r="Y2" s="43"/>
      <c r="Z2" s="43"/>
      <c r="AA2" s="7" t="s">
        <v>232</v>
      </c>
      <c r="AB2" s="7" t="s">
        <v>233</v>
      </c>
      <c r="AC2" s="7" t="s">
        <v>234</v>
      </c>
      <c r="AD2" s="46"/>
      <c r="AE2" s="47"/>
      <c r="AF2" s="48"/>
      <c r="AG2" s="49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 t="shared" ref="K4:K67" si="1">IF(M4&gt;=5,(COUNTIFS($J$4:$J$348,J4,$F$4:$F$348,F4)))</f>
        <v>164</v>
      </c>
      <c r="L4" s="21" cm="1">
        <f t="array" ref="L4:L8">_xlfn.UNIQUE($K$4:$K$348)</f>
        <v>164</v>
      </c>
      <c r="M4" s="15">
        <f t="shared" ref="M4:M70" si="2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>
        <f t="shared" ref="H5:H68" si="4">IF(M5&gt;=10,(COUNTIFS($G$4:$G$348,G5,$F$4:$F$348,F5)))</f>
        <v>102</v>
      </c>
      <c r="I5" s="21">
        <v>102</v>
      </c>
      <c r="J5" s="21" t="s">
        <v>906</v>
      </c>
      <c r="K5" s="21">
        <f t="shared" si="1"/>
        <v>53</v>
      </c>
      <c r="L5" s="21">
        <v>53</v>
      </c>
      <c r="M5" s="15">
        <f t="shared" si="2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>
        <f t="shared" si="4"/>
        <v>69</v>
      </c>
      <c r="I6" s="21">
        <v>69</v>
      </c>
      <c r="J6" s="21" t="s">
        <v>905</v>
      </c>
      <c r="K6" s="21">
        <f t="shared" si="1"/>
        <v>164</v>
      </c>
      <c r="L6" s="21" t="b">
        <v>0</v>
      </c>
      <c r="M6" s="15">
        <f t="shared" si="2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748</v>
      </c>
      <c r="H7" s="21" t="b">
        <f t="shared" si="4"/>
        <v>0</v>
      </c>
      <c r="I7" s="21" t="b">
        <v>0</v>
      </c>
      <c r="J7" s="21" t="s">
        <v>748</v>
      </c>
      <c r="K7" s="21" t="b">
        <f t="shared" si="1"/>
        <v>0</v>
      </c>
      <c r="L7" s="21">
        <v>107</v>
      </c>
      <c r="M7" s="15">
        <f t="shared" si="2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>
        <f t="shared" si="4"/>
        <v>99</v>
      </c>
      <c r="I8" s="21">
        <v>54</v>
      </c>
      <c r="J8" s="21" t="s">
        <v>905</v>
      </c>
      <c r="K8" s="21">
        <f t="shared" si="1"/>
        <v>164</v>
      </c>
      <c r="L8" s="21">
        <v>11</v>
      </c>
      <c r="M8" s="15">
        <f t="shared" si="2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>
        <f t="shared" si="4"/>
        <v>102</v>
      </c>
      <c r="I9" s="21"/>
      <c r="J9" s="21" t="s">
        <v>906</v>
      </c>
      <c r="K9" s="21">
        <f t="shared" si="1"/>
        <v>53</v>
      </c>
      <c r="L9" s="21"/>
      <c r="M9" s="15">
        <f t="shared" si="2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>
        <f t="shared" si="4"/>
        <v>54</v>
      </c>
      <c r="I10" s="21"/>
      <c r="J10" s="21" t="s">
        <v>905</v>
      </c>
      <c r="K10" s="21">
        <f t="shared" si="1"/>
        <v>107</v>
      </c>
      <c r="L10" s="21"/>
      <c r="M10" s="15">
        <f t="shared" si="2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>
        <f t="shared" si="4"/>
        <v>69</v>
      </c>
      <c r="I11" s="21"/>
      <c r="J11" s="21" t="s">
        <v>905</v>
      </c>
      <c r="K11" s="21">
        <f t="shared" si="1"/>
        <v>164</v>
      </c>
      <c r="L11" s="21"/>
      <c r="M11" s="15">
        <f t="shared" si="2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>
        <f t="shared" si="4"/>
        <v>99</v>
      </c>
      <c r="I12" s="21"/>
      <c r="J12" s="21" t="s">
        <v>905</v>
      </c>
      <c r="K12" s="21">
        <f t="shared" si="1"/>
        <v>164</v>
      </c>
      <c r="L12" s="21"/>
      <c r="M12" s="15">
        <f t="shared" si="2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>
        <f t="shared" si="4"/>
        <v>99</v>
      </c>
      <c r="I13" s="21"/>
      <c r="J13" s="21" t="s">
        <v>905</v>
      </c>
      <c r="K13" s="21">
        <f t="shared" si="1"/>
        <v>164</v>
      </c>
      <c r="L13" s="21"/>
      <c r="M13" s="15">
        <f t="shared" si="2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>
        <f t="shared" si="4"/>
        <v>102</v>
      </c>
      <c r="I14" s="21"/>
      <c r="J14" s="21" t="s">
        <v>905</v>
      </c>
      <c r="K14" s="21">
        <f t="shared" si="1"/>
        <v>107</v>
      </c>
      <c r="L14" s="21"/>
      <c r="M14" s="15">
        <f t="shared" si="2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748</v>
      </c>
      <c r="H15" s="21" t="b">
        <f t="shared" si="4"/>
        <v>0</v>
      </c>
      <c r="I15" s="21"/>
      <c r="J15" s="21" t="s">
        <v>748</v>
      </c>
      <c r="K15" s="21" t="b">
        <f t="shared" si="1"/>
        <v>0</v>
      </c>
      <c r="L15" s="21"/>
      <c r="M15" s="15">
        <f t="shared" si="2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748</v>
      </c>
      <c r="H16" s="21" t="b">
        <f t="shared" si="4"/>
        <v>0</v>
      </c>
      <c r="I16" s="21"/>
      <c r="J16" s="21" t="s">
        <v>748</v>
      </c>
      <c r="K16" s="21" t="b">
        <f t="shared" si="1"/>
        <v>0</v>
      </c>
      <c r="L16" s="21"/>
      <c r="M16" s="15">
        <f t="shared" si="2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>
        <f t="shared" si="4"/>
        <v>99</v>
      </c>
      <c r="I17" s="21"/>
      <c r="J17" s="21" t="s">
        <v>905</v>
      </c>
      <c r="K17" s="21">
        <f t="shared" si="1"/>
        <v>164</v>
      </c>
      <c r="L17" s="21"/>
      <c r="M17" s="15">
        <f t="shared" si="2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>
        <f t="shared" si="4"/>
        <v>102</v>
      </c>
      <c r="I18" s="21"/>
      <c r="J18" s="21" t="s">
        <v>906</v>
      </c>
      <c r="K18" s="21">
        <f t="shared" si="1"/>
        <v>53</v>
      </c>
      <c r="L18" s="21"/>
      <c r="M18" s="15">
        <f t="shared" si="2"/>
        <v>65.123287671232873</v>
      </c>
      <c r="N18" s="15" t="s">
        <v>232</v>
      </c>
      <c r="O18" s="15">
        <f t="shared" ref="O18:P18" si="5">SUM(O4:O17)</f>
        <v>181</v>
      </c>
      <c r="P18" s="15">
        <f t="shared" si="5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>
        <f t="shared" si="4"/>
        <v>102</v>
      </c>
      <c r="I19" s="21"/>
      <c r="J19" s="21" t="s">
        <v>905</v>
      </c>
      <c r="K19" s="21">
        <f t="shared" si="1"/>
        <v>107</v>
      </c>
      <c r="L19" s="21"/>
      <c r="M19" s="15">
        <f t="shared" si="2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>
        <f t="shared" si="4"/>
        <v>99</v>
      </c>
      <c r="I20" s="21"/>
      <c r="J20" s="21" t="s">
        <v>905</v>
      </c>
      <c r="K20" s="21">
        <f t="shared" si="1"/>
        <v>164</v>
      </c>
      <c r="L20" s="21"/>
      <c r="M20" s="15">
        <f t="shared" si="2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>
        <f t="shared" si="4"/>
        <v>69</v>
      </c>
      <c r="I21" s="21"/>
      <c r="J21" s="21" t="s">
        <v>905</v>
      </c>
      <c r="K21" s="21">
        <f t="shared" si="1"/>
        <v>164</v>
      </c>
      <c r="L21" s="21"/>
      <c r="M21" s="15">
        <f t="shared" si="2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748</v>
      </c>
      <c r="H22" s="21" t="b">
        <f t="shared" si="4"/>
        <v>0</v>
      </c>
      <c r="I22" s="21"/>
      <c r="J22" s="21" t="s">
        <v>748</v>
      </c>
      <c r="K22" s="21" t="b">
        <f t="shared" si="1"/>
        <v>0</v>
      </c>
      <c r="L22" s="21"/>
      <c r="M22" s="15">
        <f t="shared" si="2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>
        <f t="shared" si="4"/>
        <v>99</v>
      </c>
      <c r="I23" s="21"/>
      <c r="J23" s="21" t="s">
        <v>905</v>
      </c>
      <c r="K23" s="21">
        <f t="shared" si="1"/>
        <v>164</v>
      </c>
      <c r="L23" s="21"/>
      <c r="M23" s="15">
        <f t="shared" si="2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>
        <f t="shared" si="4"/>
        <v>69</v>
      </c>
      <c r="I24" s="21"/>
      <c r="J24" s="21" t="s">
        <v>905</v>
      </c>
      <c r="K24" s="21">
        <f t="shared" si="1"/>
        <v>164</v>
      </c>
      <c r="L24" s="21"/>
      <c r="M24" s="15">
        <f t="shared" si="2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>
        <f t="shared" si="4"/>
        <v>102</v>
      </c>
      <c r="I25" s="21"/>
      <c r="J25" s="21" t="s">
        <v>906</v>
      </c>
      <c r="K25" s="21">
        <f t="shared" si="1"/>
        <v>53</v>
      </c>
      <c r="L25" s="21"/>
      <c r="M25" s="15">
        <f t="shared" si="2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>
        <f t="shared" si="4"/>
        <v>99</v>
      </c>
      <c r="I26" s="21"/>
      <c r="J26" s="21" t="s">
        <v>905</v>
      </c>
      <c r="K26" s="21">
        <f t="shared" si="1"/>
        <v>164</v>
      </c>
      <c r="L26" s="21"/>
      <c r="M26" s="15">
        <f t="shared" si="2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>
        <f t="shared" si="4"/>
        <v>102</v>
      </c>
      <c r="I27" s="21"/>
      <c r="J27" s="21" t="s">
        <v>905</v>
      </c>
      <c r="K27" s="21">
        <f t="shared" si="1"/>
        <v>107</v>
      </c>
      <c r="L27" s="21"/>
      <c r="M27" s="15">
        <f t="shared" si="2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748</v>
      </c>
      <c r="H28" s="21" t="b">
        <f t="shared" si="4"/>
        <v>0</v>
      </c>
      <c r="I28" s="21"/>
      <c r="J28" s="21" t="s">
        <v>748</v>
      </c>
      <c r="K28" s="21" t="b">
        <f t="shared" si="1"/>
        <v>0</v>
      </c>
      <c r="L28" s="21"/>
      <c r="M28" s="15">
        <f t="shared" si="2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>
        <f t="shared" si="4"/>
        <v>99</v>
      </c>
      <c r="I29" s="21"/>
      <c r="J29" s="21" t="s">
        <v>905</v>
      </c>
      <c r="K29" s="21">
        <f t="shared" si="1"/>
        <v>164</v>
      </c>
      <c r="L29" s="21"/>
      <c r="M29" s="15">
        <f t="shared" si="2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>
        <f t="shared" si="4"/>
        <v>102</v>
      </c>
      <c r="I30" s="21"/>
      <c r="J30" s="21" t="s">
        <v>905</v>
      </c>
      <c r="K30" s="21">
        <f t="shared" si="1"/>
        <v>107</v>
      </c>
      <c r="L30" s="21"/>
      <c r="M30" s="15">
        <f t="shared" si="2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>
        <f t="shared" si="4"/>
        <v>54</v>
      </c>
      <c r="I31" s="21"/>
      <c r="J31" s="21" t="s">
        <v>905</v>
      </c>
      <c r="K31" s="21">
        <f t="shared" si="1"/>
        <v>107</v>
      </c>
      <c r="L31" s="21"/>
      <c r="M31" s="15">
        <f t="shared" si="2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>
        <f t="shared" si="4"/>
        <v>69</v>
      </c>
      <c r="I32" s="21"/>
      <c r="J32" s="21" t="s">
        <v>905</v>
      </c>
      <c r="K32" s="21">
        <f t="shared" si="1"/>
        <v>164</v>
      </c>
      <c r="L32" s="21"/>
      <c r="M32" s="15">
        <f t="shared" si="2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.75" x14ac:dyDescent="0.3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1">
        <f t="shared" si="4"/>
        <v>99</v>
      </c>
      <c r="I33" s="21"/>
      <c r="J33" s="29" t="s">
        <v>905</v>
      </c>
      <c r="K33" s="29">
        <f t="shared" si="1"/>
        <v>164</v>
      </c>
      <c r="L33" s="29"/>
      <c r="M33" s="30">
        <f t="shared" si="2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.75" x14ac:dyDescent="0.3">
      <c r="A34" s="31"/>
      <c r="C34" s="28" t="s">
        <v>371</v>
      </c>
      <c r="D34" s="28" t="str">
        <f t="shared" si="0"/>
        <v xml:space="preserve">/fh]z </v>
      </c>
      <c r="E34" s="28" t="str">
        <f t="shared" si="3"/>
        <v>lji6</v>
      </c>
      <c r="F34" s="29" t="s">
        <v>234</v>
      </c>
      <c r="G34" s="29" t="s">
        <v>757</v>
      </c>
      <c r="H34" s="21">
        <f t="shared" si="4"/>
        <v>54</v>
      </c>
      <c r="I34" s="21"/>
      <c r="J34" s="29" t="s">
        <v>905</v>
      </c>
      <c r="K34" s="29">
        <f t="shared" si="1"/>
        <v>107</v>
      </c>
      <c r="L34" s="29"/>
      <c r="M34" s="30">
        <f t="shared" si="2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.75" x14ac:dyDescent="0.3">
      <c r="A35" s="31"/>
      <c r="C35" s="28" t="s">
        <v>371</v>
      </c>
      <c r="D35" s="28" t="str">
        <f t="shared" si="0"/>
        <v xml:space="preserve">/fh]z </v>
      </c>
      <c r="E35" s="28" t="str">
        <f t="shared" si="3"/>
        <v>lji6</v>
      </c>
      <c r="F35" s="29" t="s">
        <v>234</v>
      </c>
      <c r="G35" s="29" t="s">
        <v>756</v>
      </c>
      <c r="H35" s="21">
        <f t="shared" si="4"/>
        <v>102</v>
      </c>
      <c r="I35" s="21"/>
      <c r="J35" s="29" t="s">
        <v>905</v>
      </c>
      <c r="K35" s="29">
        <f t="shared" si="1"/>
        <v>107</v>
      </c>
      <c r="L35" s="29"/>
      <c r="M35" s="30">
        <f t="shared" si="2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.75" x14ac:dyDescent="0.3">
      <c r="A36" s="31"/>
      <c r="C36" s="28" t="s">
        <v>371</v>
      </c>
      <c r="D36" s="28" t="str">
        <f t="shared" si="0"/>
        <v xml:space="preserve">/fh]z </v>
      </c>
      <c r="E36" s="28" t="str">
        <f t="shared" si="3"/>
        <v>lji6</v>
      </c>
      <c r="F36" s="29" t="s">
        <v>234</v>
      </c>
      <c r="G36" s="29" t="s">
        <v>757</v>
      </c>
      <c r="H36" s="21">
        <f t="shared" si="4"/>
        <v>54</v>
      </c>
      <c r="I36" s="21"/>
      <c r="J36" s="29" t="s">
        <v>905</v>
      </c>
      <c r="K36" s="29">
        <f t="shared" si="1"/>
        <v>107</v>
      </c>
      <c r="L36" s="29"/>
      <c r="M36" s="30">
        <f t="shared" si="2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>
        <f t="shared" si="4"/>
        <v>102</v>
      </c>
      <c r="I37" s="21"/>
      <c r="J37" s="21" t="s">
        <v>906</v>
      </c>
      <c r="K37" s="21">
        <f t="shared" si="1"/>
        <v>53</v>
      </c>
      <c r="L37" s="21"/>
      <c r="M37" s="15">
        <f t="shared" si="2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>
        <f t="shared" si="4"/>
        <v>99</v>
      </c>
      <c r="I38" s="21"/>
      <c r="J38" s="21" t="s">
        <v>905</v>
      </c>
      <c r="K38" s="21">
        <f t="shared" si="1"/>
        <v>164</v>
      </c>
      <c r="L38" s="21"/>
      <c r="M38" s="15">
        <f t="shared" si="2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>
        <f t="shared" si="4"/>
        <v>102</v>
      </c>
      <c r="I39" s="21"/>
      <c r="J39" s="21" t="s">
        <v>906</v>
      </c>
      <c r="K39" s="21">
        <f t="shared" si="1"/>
        <v>53</v>
      </c>
      <c r="L39" s="21"/>
      <c r="M39" s="15">
        <f t="shared" si="2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>
        <f t="shared" si="4"/>
        <v>99</v>
      </c>
      <c r="I40" s="21"/>
      <c r="J40" s="21" t="s">
        <v>905</v>
      </c>
      <c r="K40" s="21">
        <f t="shared" si="1"/>
        <v>164</v>
      </c>
      <c r="L40" s="21"/>
      <c r="M40" s="15">
        <f t="shared" si="2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>
        <f t="shared" si="4"/>
        <v>102</v>
      </c>
      <c r="I41" s="21"/>
      <c r="J41" s="21" t="s">
        <v>905</v>
      </c>
      <c r="K41" s="21">
        <f t="shared" si="1"/>
        <v>107</v>
      </c>
      <c r="L41" s="21"/>
      <c r="M41" s="15">
        <f t="shared" si="2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>
        <f t="shared" si="4"/>
        <v>54</v>
      </c>
      <c r="I42" s="21"/>
      <c r="J42" s="21" t="s">
        <v>905</v>
      </c>
      <c r="K42" s="21">
        <f t="shared" si="1"/>
        <v>107</v>
      </c>
      <c r="L42" s="21"/>
      <c r="M42" s="15">
        <f t="shared" si="2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>
        <f t="shared" si="4"/>
        <v>69</v>
      </c>
      <c r="I43" s="21"/>
      <c r="J43" s="21" t="s">
        <v>905</v>
      </c>
      <c r="K43" s="21">
        <f t="shared" si="1"/>
        <v>164</v>
      </c>
      <c r="L43" s="21"/>
      <c r="M43" s="15">
        <f t="shared" si="2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748</v>
      </c>
      <c r="H44" s="21" t="b">
        <f t="shared" si="4"/>
        <v>0</v>
      </c>
      <c r="I44" s="21"/>
      <c r="J44" s="21" t="s">
        <v>748</v>
      </c>
      <c r="K44" s="21" t="b">
        <f t="shared" si="1"/>
        <v>0</v>
      </c>
      <c r="L44" s="21"/>
      <c r="M44" s="15">
        <f t="shared" si="2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>
        <f t="shared" si="4"/>
        <v>99</v>
      </c>
      <c r="I45" s="21"/>
      <c r="J45" s="21" t="s">
        <v>905</v>
      </c>
      <c r="K45" s="21">
        <f t="shared" si="1"/>
        <v>164</v>
      </c>
      <c r="L45" s="21"/>
      <c r="M45" s="15">
        <f t="shared" si="2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>
        <f t="shared" si="4"/>
        <v>102</v>
      </c>
      <c r="I46" s="21"/>
      <c r="J46" s="21" t="s">
        <v>906</v>
      </c>
      <c r="K46" s="21">
        <f t="shared" si="1"/>
        <v>53</v>
      </c>
      <c r="L46" s="21"/>
      <c r="M46" s="15">
        <f t="shared" si="2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>
        <f t="shared" si="4"/>
        <v>99</v>
      </c>
      <c r="I47" s="21"/>
      <c r="J47" s="21" t="s">
        <v>906</v>
      </c>
      <c r="K47" s="21">
        <f t="shared" si="1"/>
        <v>11</v>
      </c>
      <c r="L47" s="21"/>
      <c r="M47" s="15">
        <f t="shared" si="2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>
        <f t="shared" si="4"/>
        <v>69</v>
      </c>
      <c r="I48" s="21"/>
      <c r="J48" s="21" t="s">
        <v>905</v>
      </c>
      <c r="K48" s="21">
        <f t="shared" si="1"/>
        <v>164</v>
      </c>
      <c r="L48" s="21"/>
      <c r="M48" s="15">
        <f t="shared" si="2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>
        <f t="shared" si="4"/>
        <v>69</v>
      </c>
      <c r="I49" s="21"/>
      <c r="J49" s="21" t="s">
        <v>905</v>
      </c>
      <c r="K49" s="21">
        <f t="shared" si="1"/>
        <v>164</v>
      </c>
      <c r="L49" s="21"/>
      <c r="M49" s="15">
        <f t="shared" si="2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>
        <f t="shared" si="4"/>
        <v>102</v>
      </c>
      <c r="I50" s="21"/>
      <c r="J50" s="21" t="s">
        <v>905</v>
      </c>
      <c r="K50" s="21">
        <f t="shared" si="1"/>
        <v>107</v>
      </c>
      <c r="L50" s="21"/>
      <c r="M50" s="15">
        <f t="shared" si="2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>
        <f t="shared" si="4"/>
        <v>99</v>
      </c>
      <c r="I51" s="21"/>
      <c r="J51" s="21" t="s">
        <v>905</v>
      </c>
      <c r="K51" s="21">
        <f t="shared" si="1"/>
        <v>164</v>
      </c>
      <c r="L51" s="21"/>
      <c r="M51" s="15">
        <f t="shared" si="2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>
        <f t="shared" si="4"/>
        <v>69</v>
      </c>
      <c r="I52" s="21"/>
      <c r="J52" s="21" t="s">
        <v>905</v>
      </c>
      <c r="K52" s="21">
        <f t="shared" si="1"/>
        <v>164</v>
      </c>
      <c r="L52" s="21"/>
      <c r="M52" s="15">
        <f t="shared" si="2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>
        <f t="shared" si="4"/>
        <v>99</v>
      </c>
      <c r="I53" s="21"/>
      <c r="J53" s="21" t="s">
        <v>905</v>
      </c>
      <c r="K53" s="21">
        <f t="shared" si="1"/>
        <v>164</v>
      </c>
      <c r="L53" s="21"/>
      <c r="M53" s="15">
        <f t="shared" si="2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>
        <f t="shared" si="4"/>
        <v>102</v>
      </c>
      <c r="I54" s="21"/>
      <c r="J54" s="21" t="s">
        <v>906</v>
      </c>
      <c r="K54" s="21">
        <f t="shared" si="1"/>
        <v>53</v>
      </c>
      <c r="L54" s="21"/>
      <c r="M54" s="15">
        <f t="shared" si="2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>
        <f t="shared" si="4"/>
        <v>69</v>
      </c>
      <c r="I55" s="21"/>
      <c r="J55" s="21" t="s">
        <v>905</v>
      </c>
      <c r="K55" s="21">
        <f t="shared" si="1"/>
        <v>164</v>
      </c>
      <c r="L55" s="21"/>
      <c r="M55" s="15">
        <f t="shared" si="2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>
        <f t="shared" si="4"/>
        <v>54</v>
      </c>
      <c r="I56" s="21"/>
      <c r="J56" s="21" t="s">
        <v>905</v>
      </c>
      <c r="K56" s="21">
        <f t="shared" si="1"/>
        <v>107</v>
      </c>
      <c r="L56" s="21"/>
      <c r="M56" s="15">
        <f t="shared" si="2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>
        <f t="shared" si="4"/>
        <v>102</v>
      </c>
      <c r="I57" s="21"/>
      <c r="J57" s="21" t="s">
        <v>906</v>
      </c>
      <c r="K57" s="21">
        <f t="shared" si="1"/>
        <v>53</v>
      </c>
      <c r="L57" s="21"/>
      <c r="M57" s="15">
        <f t="shared" si="2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>
        <f t="shared" si="4"/>
        <v>54</v>
      </c>
      <c r="I58" s="21"/>
      <c r="J58" s="21" t="s">
        <v>905</v>
      </c>
      <c r="K58" s="21">
        <f t="shared" si="1"/>
        <v>107</v>
      </c>
      <c r="L58" s="21"/>
      <c r="M58" s="15">
        <f t="shared" si="2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>
        <f t="shared" si="4"/>
        <v>69</v>
      </c>
      <c r="I59" s="21"/>
      <c r="J59" s="21" t="s">
        <v>905</v>
      </c>
      <c r="K59" s="21">
        <f t="shared" si="1"/>
        <v>164</v>
      </c>
      <c r="L59" s="21"/>
      <c r="M59" s="15">
        <f t="shared" si="2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>
        <f t="shared" si="4"/>
        <v>99</v>
      </c>
      <c r="I60" s="21"/>
      <c r="J60" s="21" t="s">
        <v>905</v>
      </c>
      <c r="K60" s="21">
        <f t="shared" si="1"/>
        <v>164</v>
      </c>
      <c r="L60" s="21"/>
      <c r="M60" s="15">
        <f t="shared" si="2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>
        <f t="shared" si="4"/>
        <v>102</v>
      </c>
      <c r="I61" s="21"/>
      <c r="J61" s="21" t="s">
        <v>905</v>
      </c>
      <c r="K61" s="21">
        <f t="shared" si="1"/>
        <v>107</v>
      </c>
      <c r="L61" s="21"/>
      <c r="M61" s="15">
        <f t="shared" si="2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>
        <f t="shared" si="4"/>
        <v>99</v>
      </c>
      <c r="I62" s="21"/>
      <c r="J62" s="21" t="s">
        <v>905</v>
      </c>
      <c r="K62" s="21">
        <f t="shared" si="1"/>
        <v>164</v>
      </c>
      <c r="L62" s="21"/>
      <c r="M62" s="15">
        <f t="shared" si="2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>
        <f t="shared" si="4"/>
        <v>102</v>
      </c>
      <c r="I63" s="21"/>
      <c r="J63" s="21" t="s">
        <v>905</v>
      </c>
      <c r="K63" s="21">
        <f t="shared" si="1"/>
        <v>107</v>
      </c>
      <c r="L63" s="21"/>
      <c r="M63" s="15">
        <f t="shared" si="2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>
        <f t="shared" si="4"/>
        <v>54</v>
      </c>
      <c r="I64" s="21"/>
      <c r="J64" s="21" t="s">
        <v>905</v>
      </c>
      <c r="K64" s="21">
        <f t="shared" si="1"/>
        <v>107</v>
      </c>
      <c r="L64" s="21"/>
      <c r="M64" s="15">
        <f t="shared" si="2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748</v>
      </c>
      <c r="H65" s="21" t="b">
        <f t="shared" si="4"/>
        <v>0</v>
      </c>
      <c r="I65" s="21"/>
      <c r="J65" s="21" t="s">
        <v>748</v>
      </c>
      <c r="K65" s="21" t="b">
        <f t="shared" si="1"/>
        <v>0</v>
      </c>
      <c r="L65" s="21"/>
      <c r="M65" s="15">
        <f t="shared" si="2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>
        <f t="shared" si="4"/>
        <v>99</v>
      </c>
      <c r="I66" s="21"/>
      <c r="J66" s="21" t="s">
        <v>905</v>
      </c>
      <c r="K66" s="21">
        <f t="shared" si="1"/>
        <v>164</v>
      </c>
      <c r="L66" s="21"/>
      <c r="M66" s="15">
        <f t="shared" si="2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>
        <f t="shared" si="4"/>
        <v>99</v>
      </c>
      <c r="I67" s="21"/>
      <c r="J67" s="21" t="s">
        <v>906</v>
      </c>
      <c r="K67" s="21">
        <f t="shared" si="1"/>
        <v>11</v>
      </c>
      <c r="L67" s="21"/>
      <c r="M67" s="15">
        <f t="shared" si="2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>
        <f t="shared" si="4"/>
        <v>102</v>
      </c>
      <c r="I68" s="21"/>
      <c r="J68" s="21" t="s">
        <v>906</v>
      </c>
      <c r="K68" s="21">
        <f t="shared" ref="K68:K131" si="6">IF(M68&gt;=5,(COUNTIFS($J$4:$J$348,J68,$F$4:$F$348,F68)))</f>
        <v>53</v>
      </c>
      <c r="L68" s="21"/>
      <c r="M68" s="15">
        <f t="shared" si="2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>
        <f t="shared" ref="H69:H132" si="7">IF(M69&gt;=10,(COUNTIFS($G$4:$G$348,G69,$F$4:$F$348,F69)))</f>
        <v>102</v>
      </c>
      <c r="I69" s="21"/>
      <c r="J69" s="21" t="s">
        <v>905</v>
      </c>
      <c r="K69" s="21">
        <f t="shared" si="6"/>
        <v>107</v>
      </c>
      <c r="L69" s="21"/>
      <c r="M69" s="15">
        <f t="shared" si="2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>
        <f t="shared" si="7"/>
        <v>102</v>
      </c>
      <c r="I70" s="21"/>
      <c r="J70" s="21" t="s">
        <v>906</v>
      </c>
      <c r="K70" s="21">
        <f t="shared" si="6"/>
        <v>53</v>
      </c>
      <c r="L70" s="21"/>
      <c r="M70" s="15">
        <f t="shared" si="2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.75" x14ac:dyDescent="0.3">
      <c r="A71" s="6"/>
      <c r="C71" s="14" t="s">
        <v>406</v>
      </c>
      <c r="D71" s="13" t="str">
        <f t="shared" ref="D71:D134" si="8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>
        <f t="shared" si="7"/>
        <v>99</v>
      </c>
      <c r="I71" s="21"/>
      <c r="J71" s="21" t="s">
        <v>905</v>
      </c>
      <c r="K71" s="21">
        <f t="shared" si="6"/>
        <v>164</v>
      </c>
      <c r="L71" s="21"/>
      <c r="M71" s="15">
        <f t="shared" ref="M71:M134" si="9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.75" x14ac:dyDescent="0.3">
      <c r="A72" s="6"/>
      <c r="C72" s="14" t="s">
        <v>407</v>
      </c>
      <c r="D72" s="13" t="str">
        <f t="shared" si="8"/>
        <v xml:space="preserve">cg' </v>
      </c>
      <c r="E72" s="13" t="str">
        <f t="shared" ref="E72:E135" si="10">TRIM(RIGHT(SUBSTITUTE(C72," ",REPT(" ",255)),255))</f>
        <v>af:sf]6f</v>
      </c>
      <c r="F72" s="21" t="s">
        <v>234</v>
      </c>
      <c r="G72" s="21" t="s">
        <v>757</v>
      </c>
      <c r="H72" s="21">
        <f t="shared" si="7"/>
        <v>54</v>
      </c>
      <c r="I72" s="21"/>
      <c r="J72" s="21" t="s">
        <v>905</v>
      </c>
      <c r="K72" s="21">
        <f t="shared" si="6"/>
        <v>107</v>
      </c>
      <c r="L72" s="21"/>
      <c r="M72" s="15">
        <f t="shared" si="9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.75" x14ac:dyDescent="0.3">
      <c r="A73" s="6"/>
      <c r="C73" s="14" t="s">
        <v>408</v>
      </c>
      <c r="D73" s="13" t="str">
        <f t="shared" si="8"/>
        <v xml:space="preserve">cg'k </v>
      </c>
      <c r="E73" s="13" t="str">
        <f t="shared" si="10"/>
        <v>af:sf]6f</v>
      </c>
      <c r="F73" s="21" t="s">
        <v>233</v>
      </c>
      <c r="G73" s="21" t="s">
        <v>757</v>
      </c>
      <c r="H73" s="21">
        <f t="shared" si="7"/>
        <v>69</v>
      </c>
      <c r="I73" s="21"/>
      <c r="J73" s="21" t="s">
        <v>905</v>
      </c>
      <c r="K73" s="21">
        <f t="shared" si="6"/>
        <v>164</v>
      </c>
      <c r="L73" s="21"/>
      <c r="M73" s="15">
        <f t="shared" si="9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.75" x14ac:dyDescent="0.3">
      <c r="A74" s="6">
        <v>22</v>
      </c>
      <c r="B74" t="s">
        <v>24</v>
      </c>
      <c r="C74" s="14" t="s">
        <v>415</v>
      </c>
      <c r="D74" s="13" t="str">
        <f t="shared" si="8"/>
        <v xml:space="preserve">hLjg </v>
      </c>
      <c r="E74" s="13" t="str">
        <f t="shared" si="10"/>
        <v>sfsL{</v>
      </c>
      <c r="F74" s="21" t="s">
        <v>233</v>
      </c>
      <c r="G74" s="21" t="s">
        <v>756</v>
      </c>
      <c r="H74" s="21">
        <f t="shared" si="7"/>
        <v>99</v>
      </c>
      <c r="I74" s="21"/>
      <c r="J74" s="21" t="s">
        <v>905</v>
      </c>
      <c r="K74" s="21">
        <f t="shared" si="6"/>
        <v>164</v>
      </c>
      <c r="L74" s="21"/>
      <c r="M74" s="15">
        <f t="shared" si="9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.75" x14ac:dyDescent="0.3">
      <c r="A75" s="6"/>
      <c r="C75" s="14" t="s">
        <v>416</v>
      </c>
      <c r="D75" s="13" t="str">
        <f t="shared" si="8"/>
        <v xml:space="preserve">s'zn </v>
      </c>
      <c r="E75" s="13" t="str">
        <f t="shared" si="10"/>
        <v>sfsL{</v>
      </c>
      <c r="F75" s="21" t="s">
        <v>233</v>
      </c>
      <c r="G75" s="21" t="s">
        <v>748</v>
      </c>
      <c r="H75" s="21" t="b">
        <f t="shared" si="7"/>
        <v>0</v>
      </c>
      <c r="I75" s="21"/>
      <c r="J75" s="21" t="s">
        <v>905</v>
      </c>
      <c r="K75" s="21">
        <f t="shared" si="6"/>
        <v>164</v>
      </c>
      <c r="L75" s="21"/>
      <c r="M75" s="15">
        <f t="shared" si="9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.75" x14ac:dyDescent="0.3">
      <c r="A76" s="6"/>
      <c r="C76" s="14" t="s">
        <v>417</v>
      </c>
      <c r="D76" s="13" t="str">
        <f t="shared" si="8"/>
        <v xml:space="preserve">nIdL </v>
      </c>
      <c r="E76" s="13" t="str">
        <f t="shared" si="10"/>
        <v>a:g]t</v>
      </c>
      <c r="F76" s="21" t="s">
        <v>234</v>
      </c>
      <c r="G76" s="21" t="s">
        <v>756</v>
      </c>
      <c r="H76" s="21">
        <f t="shared" si="7"/>
        <v>102</v>
      </c>
      <c r="I76" s="21"/>
      <c r="J76" s="21" t="s">
        <v>905</v>
      </c>
      <c r="K76" s="21">
        <f t="shared" si="6"/>
        <v>107</v>
      </c>
      <c r="L76" s="21"/>
      <c r="M76" s="15">
        <f t="shared" si="9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.75" x14ac:dyDescent="0.3">
      <c r="A77" s="6"/>
      <c r="C77" s="14" t="s">
        <v>418</v>
      </c>
      <c r="D77" s="13" t="str">
        <f t="shared" si="8"/>
        <v xml:space="preserve">sNkgf </v>
      </c>
      <c r="E77" s="13" t="str">
        <f t="shared" si="10"/>
        <v>sfsL{</v>
      </c>
      <c r="F77" s="21" t="s">
        <v>234</v>
      </c>
      <c r="G77" s="21" t="s">
        <v>748</v>
      </c>
      <c r="H77" s="21" t="b">
        <f t="shared" si="7"/>
        <v>0</v>
      </c>
      <c r="I77" s="21"/>
      <c r="J77" s="21" t="s">
        <v>905</v>
      </c>
      <c r="K77" s="21">
        <f t="shared" si="6"/>
        <v>107</v>
      </c>
      <c r="L77" s="21"/>
      <c r="M77" s="15">
        <f t="shared" si="9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.75" x14ac:dyDescent="0.3">
      <c r="A78" s="6"/>
      <c r="C78" s="14" t="s">
        <v>419</v>
      </c>
      <c r="D78" s="13" t="str">
        <f t="shared" si="8"/>
        <v xml:space="preserve">sljtf </v>
      </c>
      <c r="E78" s="13" t="str">
        <f t="shared" si="10"/>
        <v>sfsL{</v>
      </c>
      <c r="F78" s="21" t="s">
        <v>234</v>
      </c>
      <c r="G78" s="21" t="s">
        <v>757</v>
      </c>
      <c r="H78" s="21">
        <f t="shared" si="7"/>
        <v>54</v>
      </c>
      <c r="I78" s="21"/>
      <c r="J78" s="21" t="s">
        <v>905</v>
      </c>
      <c r="K78" s="21">
        <f t="shared" si="6"/>
        <v>107</v>
      </c>
      <c r="L78" s="21"/>
      <c r="M78" s="15">
        <f t="shared" si="9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.75" x14ac:dyDescent="0.3">
      <c r="A79" s="6">
        <v>23</v>
      </c>
      <c r="B79" t="s">
        <v>25</v>
      </c>
      <c r="C79" s="14" t="s">
        <v>420</v>
      </c>
      <c r="D79" s="13" t="str">
        <f t="shared" si="8"/>
        <v xml:space="preserve">jh| </v>
      </c>
      <c r="E79" s="13" t="str">
        <f t="shared" si="10"/>
        <v>vltj8f</v>
      </c>
      <c r="F79" s="21" t="s">
        <v>233</v>
      </c>
      <c r="G79" s="21" t="s">
        <v>756</v>
      </c>
      <c r="H79" s="21">
        <f t="shared" si="7"/>
        <v>99</v>
      </c>
      <c r="I79" s="21"/>
      <c r="J79" s="21" t="s">
        <v>905</v>
      </c>
      <c r="K79" s="21">
        <f t="shared" si="6"/>
        <v>164</v>
      </c>
      <c r="L79" s="21"/>
      <c r="M79" s="15">
        <f t="shared" si="9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.75" x14ac:dyDescent="0.3">
      <c r="A80" s="6"/>
      <c r="C80" s="14" t="s">
        <v>421</v>
      </c>
      <c r="D80" s="13" t="str">
        <f t="shared" si="8"/>
        <v xml:space="preserve">aGbgf </v>
      </c>
      <c r="E80" s="13" t="str">
        <f t="shared" si="10"/>
        <v>vltj8f</v>
      </c>
      <c r="F80" s="21" t="s">
        <v>234</v>
      </c>
      <c r="G80" s="21" t="s">
        <v>756</v>
      </c>
      <c r="H80" s="21">
        <f t="shared" si="7"/>
        <v>102</v>
      </c>
      <c r="I80" s="21"/>
      <c r="J80" s="21" t="s">
        <v>906</v>
      </c>
      <c r="K80" s="21">
        <f t="shared" si="6"/>
        <v>53</v>
      </c>
      <c r="L80" s="21"/>
      <c r="M80" s="15">
        <f t="shared" si="9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.75" x14ac:dyDescent="0.3">
      <c r="A81" s="6"/>
      <c r="C81" s="14" t="s">
        <v>422</v>
      </c>
      <c r="D81" s="13" t="str">
        <f t="shared" si="8"/>
        <v xml:space="preserve">lalgtf </v>
      </c>
      <c r="E81" s="13" t="str">
        <f t="shared" si="10"/>
        <v>vltj8f</v>
      </c>
      <c r="F81" s="21" t="s">
        <v>234</v>
      </c>
      <c r="G81" s="21" t="s">
        <v>757</v>
      </c>
      <c r="H81" s="21">
        <f t="shared" si="7"/>
        <v>54</v>
      </c>
      <c r="I81" s="21"/>
      <c r="J81" s="21" t="s">
        <v>905</v>
      </c>
      <c r="K81" s="21">
        <f t="shared" si="6"/>
        <v>107</v>
      </c>
      <c r="L81" s="21"/>
      <c r="M81" s="15">
        <f t="shared" si="9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.75" x14ac:dyDescent="0.3">
      <c r="A82" s="6"/>
      <c r="C82" s="14" t="s">
        <v>423</v>
      </c>
      <c r="D82" s="13" t="str">
        <f t="shared" si="8"/>
        <v xml:space="preserve">ljh]z </v>
      </c>
      <c r="E82" s="13" t="str">
        <f t="shared" si="10"/>
        <v>vltj8f</v>
      </c>
      <c r="F82" s="21" t="s">
        <v>233</v>
      </c>
      <c r="G82" s="21" t="s">
        <v>757</v>
      </c>
      <c r="H82" s="21">
        <f t="shared" si="7"/>
        <v>69</v>
      </c>
      <c r="I82" s="21"/>
      <c r="J82" s="21" t="s">
        <v>905</v>
      </c>
      <c r="K82" s="21">
        <f t="shared" si="6"/>
        <v>164</v>
      </c>
      <c r="L82" s="21"/>
      <c r="M82" s="15">
        <f t="shared" si="9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.75" x14ac:dyDescent="0.3">
      <c r="A83" s="6">
        <v>24</v>
      </c>
      <c r="B83" t="s">
        <v>26</v>
      </c>
      <c r="C83" s="14" t="s">
        <v>424</v>
      </c>
      <c r="D83" s="13" t="str">
        <f t="shared" si="8"/>
        <v xml:space="preserve">l6sf </v>
      </c>
      <c r="E83" s="13" t="str">
        <f t="shared" si="10"/>
        <v>sfsL{</v>
      </c>
      <c r="F83" s="21" t="s">
        <v>233</v>
      </c>
      <c r="G83" s="21" t="s">
        <v>756</v>
      </c>
      <c r="H83" s="21">
        <f t="shared" si="7"/>
        <v>99</v>
      </c>
      <c r="I83" s="21"/>
      <c r="J83" s="21" t="s">
        <v>906</v>
      </c>
      <c r="K83" s="21">
        <f t="shared" si="6"/>
        <v>11</v>
      </c>
      <c r="L83" s="21"/>
      <c r="M83" s="15">
        <f t="shared" si="9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.75" x14ac:dyDescent="0.3">
      <c r="A84" s="6"/>
      <c r="C84" s="14" t="s">
        <v>425</v>
      </c>
      <c r="D84" s="13" t="str">
        <f t="shared" si="8"/>
        <v xml:space="preserve">gf/fo0fL </v>
      </c>
      <c r="E84" s="13" t="str">
        <f t="shared" si="10"/>
        <v>sfsL{</v>
      </c>
      <c r="F84" s="21" t="s">
        <v>234</v>
      </c>
      <c r="G84" s="21" t="s">
        <v>756</v>
      </c>
      <c r="H84" s="21">
        <f t="shared" si="7"/>
        <v>102</v>
      </c>
      <c r="I84" s="21"/>
      <c r="J84" s="21" t="s">
        <v>906</v>
      </c>
      <c r="K84" s="21">
        <f t="shared" si="6"/>
        <v>53</v>
      </c>
      <c r="L84" s="21"/>
      <c r="M84" s="15">
        <f t="shared" si="9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.75" x14ac:dyDescent="0.3">
      <c r="A85" s="6"/>
      <c r="C85" s="14" t="s">
        <v>426</v>
      </c>
      <c r="D85" s="13" t="str">
        <f t="shared" si="8"/>
        <v xml:space="preserve">e'k]Gb| </v>
      </c>
      <c r="E85" s="13" t="str">
        <f t="shared" si="10"/>
        <v>sfsL{</v>
      </c>
      <c r="F85" s="21" t="s">
        <v>233</v>
      </c>
      <c r="G85" s="21" t="s">
        <v>756</v>
      </c>
      <c r="H85" s="21">
        <f t="shared" si="7"/>
        <v>99</v>
      </c>
      <c r="I85" s="21"/>
      <c r="J85" s="21" t="s">
        <v>905</v>
      </c>
      <c r="K85" s="21">
        <f t="shared" si="6"/>
        <v>164</v>
      </c>
      <c r="L85" s="21"/>
      <c r="M85" s="15">
        <f t="shared" si="9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.75" x14ac:dyDescent="0.3">
      <c r="A86" s="6"/>
      <c r="C86" s="14" t="s">
        <v>742</v>
      </c>
      <c r="D86" s="13" t="str">
        <f t="shared" si="8"/>
        <v xml:space="preserve">sNkgf </v>
      </c>
      <c r="E86" s="13" t="str">
        <f t="shared" si="10"/>
        <v>s]=;L</v>
      </c>
      <c r="F86" s="21" t="s">
        <v>234</v>
      </c>
      <c r="G86" s="21" t="s">
        <v>756</v>
      </c>
      <c r="H86" s="21">
        <f t="shared" si="7"/>
        <v>102</v>
      </c>
      <c r="I86" s="21"/>
      <c r="J86" s="21" t="s">
        <v>905</v>
      </c>
      <c r="K86" s="21">
        <f t="shared" si="6"/>
        <v>107</v>
      </c>
      <c r="L86" s="21"/>
      <c r="M86" s="15">
        <f t="shared" si="9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.75" x14ac:dyDescent="0.3">
      <c r="A87" s="6"/>
      <c r="C87" s="14" t="s">
        <v>427</v>
      </c>
      <c r="D87" s="13" t="str">
        <f t="shared" si="8"/>
        <v xml:space="preserve">cf]d </v>
      </c>
      <c r="E87" s="13" t="str">
        <f t="shared" si="10"/>
        <v>sfsL{</v>
      </c>
      <c r="F87" s="21" t="s">
        <v>233</v>
      </c>
      <c r="G87" s="21" t="s">
        <v>757</v>
      </c>
      <c r="H87" s="21">
        <f t="shared" si="7"/>
        <v>69</v>
      </c>
      <c r="I87" s="21"/>
      <c r="J87" s="21" t="s">
        <v>905</v>
      </c>
      <c r="K87" s="21">
        <f t="shared" si="6"/>
        <v>164</v>
      </c>
      <c r="L87" s="21"/>
      <c r="M87" s="15">
        <f t="shared" si="9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.75" x14ac:dyDescent="0.3">
      <c r="A88" s="6"/>
      <c r="C88" s="14" t="s">
        <v>428</v>
      </c>
      <c r="D88" s="13" t="str">
        <f t="shared" si="8"/>
        <v xml:space="preserve">n]v </v>
      </c>
      <c r="E88" s="13" t="str">
        <f t="shared" si="10"/>
        <v>sfsL{</v>
      </c>
      <c r="F88" s="21" t="s">
        <v>233</v>
      </c>
      <c r="G88" s="21" t="s">
        <v>756</v>
      </c>
      <c r="H88" s="21">
        <f t="shared" si="7"/>
        <v>99</v>
      </c>
      <c r="I88" s="21"/>
      <c r="J88" s="21" t="s">
        <v>905</v>
      </c>
      <c r="K88" s="21">
        <f t="shared" si="6"/>
        <v>164</v>
      </c>
      <c r="L88" s="21"/>
      <c r="M88" s="15">
        <f t="shared" si="9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.75" x14ac:dyDescent="0.3">
      <c r="A89" s="6"/>
      <c r="C89" s="14" t="s">
        <v>429</v>
      </c>
      <c r="D89" s="13" t="str">
        <f t="shared" si="8"/>
        <v xml:space="preserve">Plnhf </v>
      </c>
      <c r="E89" s="13" t="str">
        <f t="shared" si="10"/>
        <v>s]=;L</v>
      </c>
      <c r="F89" s="21" t="s">
        <v>234</v>
      </c>
      <c r="G89" s="21" t="s">
        <v>756</v>
      </c>
      <c r="H89" s="21">
        <f t="shared" si="7"/>
        <v>102</v>
      </c>
      <c r="I89" s="21"/>
      <c r="J89" s="21" t="s">
        <v>905</v>
      </c>
      <c r="K89" s="21">
        <f t="shared" si="6"/>
        <v>107</v>
      </c>
      <c r="L89" s="21"/>
      <c r="M89" s="15">
        <f t="shared" si="9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.75" x14ac:dyDescent="0.3">
      <c r="A90" s="6"/>
      <c r="C90" s="14" t="s">
        <v>430</v>
      </c>
      <c r="D90" s="13" t="str">
        <f t="shared" si="8"/>
        <v xml:space="preserve">cf/f]Uo </v>
      </c>
      <c r="E90" s="13" t="str">
        <f t="shared" si="10"/>
        <v>sfsL{</v>
      </c>
      <c r="F90" s="21" t="s">
        <v>233</v>
      </c>
      <c r="G90" s="21" t="s">
        <v>757</v>
      </c>
      <c r="H90" s="21">
        <f t="shared" si="7"/>
        <v>69</v>
      </c>
      <c r="I90" s="21"/>
      <c r="J90" s="21" t="s">
        <v>905</v>
      </c>
      <c r="K90" s="21">
        <f t="shared" si="6"/>
        <v>164</v>
      </c>
      <c r="L90" s="21"/>
      <c r="M90" s="15">
        <f t="shared" si="9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.75" x14ac:dyDescent="0.3">
      <c r="A91" s="6">
        <v>26</v>
      </c>
      <c r="B91" t="s">
        <v>27</v>
      </c>
      <c r="C91" s="13" t="s">
        <v>707</v>
      </c>
      <c r="D91" s="13" t="str">
        <f t="shared" si="8"/>
        <v xml:space="preserve">6]s </v>
      </c>
      <c r="E91" s="13" t="str">
        <f t="shared" si="10"/>
        <v>jnDkfsL</v>
      </c>
      <c r="F91" s="21" t="s">
        <v>233</v>
      </c>
      <c r="G91" s="21" t="s">
        <v>756</v>
      </c>
      <c r="H91" s="21">
        <f t="shared" si="7"/>
        <v>99</v>
      </c>
      <c r="I91" s="21"/>
      <c r="J91" s="21" t="s">
        <v>905</v>
      </c>
      <c r="K91" s="21">
        <f t="shared" si="6"/>
        <v>164</v>
      </c>
      <c r="L91" s="21"/>
      <c r="M91" s="15">
        <f t="shared" si="9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.75" x14ac:dyDescent="0.3">
      <c r="A92" s="6"/>
      <c r="C92" s="13" t="s">
        <v>708</v>
      </c>
      <c r="D92" s="13" t="str">
        <f t="shared" si="8"/>
        <v xml:space="preserve">lnnf </v>
      </c>
      <c r="E92" s="13" t="str">
        <f t="shared" si="10"/>
        <v>du/</v>
      </c>
      <c r="F92" s="21" t="s">
        <v>234</v>
      </c>
      <c r="G92" s="21" t="s">
        <v>756</v>
      </c>
      <c r="H92" s="21">
        <f t="shared" si="7"/>
        <v>102</v>
      </c>
      <c r="I92" s="21"/>
      <c r="J92" s="21" t="s">
        <v>906</v>
      </c>
      <c r="K92" s="21">
        <f t="shared" si="6"/>
        <v>53</v>
      </c>
      <c r="L92" s="21"/>
      <c r="M92" s="15">
        <f t="shared" si="9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.75" x14ac:dyDescent="0.3">
      <c r="A93" s="6"/>
      <c r="C93" s="13" t="s">
        <v>709</v>
      </c>
      <c r="D93" s="13" t="str">
        <f t="shared" si="8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7"/>
        <v>69</v>
      </c>
      <c r="I93" s="21"/>
      <c r="J93" s="21" t="s">
        <v>905</v>
      </c>
      <c r="K93" s="21">
        <f t="shared" si="6"/>
        <v>164</v>
      </c>
      <c r="L93" s="21"/>
      <c r="M93" s="15">
        <f t="shared" si="9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.75" x14ac:dyDescent="0.3">
      <c r="A94" s="6"/>
      <c r="C94" s="13" t="s">
        <v>710</v>
      </c>
      <c r="D94" s="13" t="str">
        <f t="shared" si="8"/>
        <v xml:space="preserve">ladnf </v>
      </c>
      <c r="E94" s="13" t="str">
        <f t="shared" si="10"/>
        <v>du/</v>
      </c>
      <c r="F94" s="21" t="s">
        <v>234</v>
      </c>
      <c r="G94" s="21" t="s">
        <v>757</v>
      </c>
      <c r="H94" s="21">
        <f t="shared" si="7"/>
        <v>54</v>
      </c>
      <c r="I94" s="21"/>
      <c r="J94" s="21" t="s">
        <v>906</v>
      </c>
      <c r="K94" s="21">
        <f t="shared" si="6"/>
        <v>53</v>
      </c>
      <c r="L94" s="21"/>
      <c r="M94" s="15">
        <f t="shared" si="9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.75" x14ac:dyDescent="0.3">
      <c r="A95" s="6"/>
      <c r="C95" s="13" t="s">
        <v>711</v>
      </c>
      <c r="D95" s="13" t="str">
        <f t="shared" si="8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7"/>
        <v>69</v>
      </c>
      <c r="I95" s="21"/>
      <c r="J95" s="21" t="s">
        <v>905</v>
      </c>
      <c r="K95" s="21">
        <f t="shared" si="6"/>
        <v>164</v>
      </c>
      <c r="L95" s="21"/>
      <c r="M95" s="15">
        <f t="shared" si="9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.75" x14ac:dyDescent="0.3">
      <c r="A96" s="6">
        <v>27</v>
      </c>
      <c r="B96" t="s">
        <v>28</v>
      </c>
      <c r="C96" s="13" t="s">
        <v>712</v>
      </c>
      <c r="D96" s="13" t="str">
        <f t="shared" si="8"/>
        <v xml:space="preserve">;Gtf]sL </v>
      </c>
      <c r="E96" s="13" t="str">
        <f t="shared" si="10"/>
        <v>vqL</v>
      </c>
      <c r="F96" s="21" t="s">
        <v>234</v>
      </c>
      <c r="G96" s="21" t="s">
        <v>756</v>
      </c>
      <c r="H96" s="21">
        <f t="shared" si="7"/>
        <v>102</v>
      </c>
      <c r="I96" s="21"/>
      <c r="J96" s="21" t="s">
        <v>905</v>
      </c>
      <c r="K96" s="21">
        <f t="shared" si="6"/>
        <v>107</v>
      </c>
      <c r="L96" s="21"/>
      <c r="M96" s="15">
        <f t="shared" si="9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.75" x14ac:dyDescent="0.3">
      <c r="A97" s="6">
        <v>29</v>
      </c>
      <c r="B97" t="s">
        <v>30</v>
      </c>
      <c r="C97" s="13" t="s">
        <v>432</v>
      </c>
      <c r="D97" s="13" t="str">
        <f t="shared" si="8"/>
        <v xml:space="preserve">bof </v>
      </c>
      <c r="E97" s="13" t="str">
        <f t="shared" si="10"/>
        <v>vqL</v>
      </c>
      <c r="F97" s="21" t="s">
        <v>233</v>
      </c>
      <c r="G97" s="21" t="s">
        <v>756</v>
      </c>
      <c r="H97" s="21">
        <f t="shared" si="7"/>
        <v>99</v>
      </c>
      <c r="I97" s="21"/>
      <c r="J97" s="21" t="s">
        <v>905</v>
      </c>
      <c r="K97" s="21">
        <f t="shared" si="6"/>
        <v>164</v>
      </c>
      <c r="L97" s="21"/>
      <c r="M97" s="15">
        <f t="shared" si="9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.75" x14ac:dyDescent="0.3">
      <c r="A98" s="6"/>
      <c r="C98" s="13" t="s">
        <v>433</v>
      </c>
      <c r="D98" s="13" t="str">
        <f t="shared" si="8"/>
        <v xml:space="preserve">z'e]R5f </v>
      </c>
      <c r="E98" s="13" t="str">
        <f t="shared" si="10"/>
        <v>lai6</v>
      </c>
      <c r="F98" s="21" t="s">
        <v>234</v>
      </c>
      <c r="G98" s="21" t="s">
        <v>756</v>
      </c>
      <c r="H98" s="21">
        <f t="shared" si="7"/>
        <v>102</v>
      </c>
      <c r="I98" s="21"/>
      <c r="J98" s="21" t="s">
        <v>905</v>
      </c>
      <c r="K98" s="21">
        <f t="shared" si="6"/>
        <v>107</v>
      </c>
      <c r="L98" s="21"/>
      <c r="M98" s="15">
        <f t="shared" si="9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.75" x14ac:dyDescent="0.3">
      <c r="A99" s="6"/>
      <c r="C99" s="13" t="s">
        <v>434</v>
      </c>
      <c r="D99" s="13" t="str">
        <f t="shared" si="8"/>
        <v xml:space="preserve">;fgeL </v>
      </c>
      <c r="E99" s="13" t="str">
        <f t="shared" si="10"/>
        <v>s]=;L</v>
      </c>
      <c r="F99" s="21" t="s">
        <v>234</v>
      </c>
      <c r="G99" s="21" t="s">
        <v>748</v>
      </c>
      <c r="H99" s="21" t="b">
        <f t="shared" si="7"/>
        <v>0</v>
      </c>
      <c r="I99" s="21"/>
      <c r="J99" s="21" t="s">
        <v>748</v>
      </c>
      <c r="K99" s="21" t="b">
        <f t="shared" si="6"/>
        <v>0</v>
      </c>
      <c r="L99" s="21"/>
      <c r="M99" s="15">
        <f t="shared" si="9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.75" x14ac:dyDescent="0.3">
      <c r="A100" s="6"/>
      <c r="C100" s="13" t="s">
        <v>435</v>
      </c>
      <c r="D100" s="13" t="str">
        <f t="shared" si="8"/>
        <v xml:space="preserve">;Gtf]if </v>
      </c>
      <c r="E100" s="13" t="str">
        <f t="shared" si="10"/>
        <v>s]=;L</v>
      </c>
      <c r="F100" s="21" t="s">
        <v>233</v>
      </c>
      <c r="G100" s="21" t="s">
        <v>756</v>
      </c>
      <c r="H100" s="21">
        <f t="shared" si="7"/>
        <v>99</v>
      </c>
      <c r="I100" s="21"/>
      <c r="J100" s="21" t="s">
        <v>905</v>
      </c>
      <c r="K100" s="21">
        <f t="shared" si="6"/>
        <v>164</v>
      </c>
      <c r="L100" s="21"/>
      <c r="M100" s="15">
        <f t="shared" si="9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.75" x14ac:dyDescent="0.3">
      <c r="A101" s="6"/>
      <c r="C101" s="13" t="s">
        <v>436</v>
      </c>
      <c r="D101" s="13" t="str">
        <f t="shared" si="8"/>
        <v xml:space="preserve">;Gd]3 </v>
      </c>
      <c r="E101" s="13" t="str">
        <f t="shared" si="10"/>
        <v>s]=;L</v>
      </c>
      <c r="F101" s="21" t="s">
        <v>233</v>
      </c>
      <c r="G101" s="21" t="s">
        <v>748</v>
      </c>
      <c r="H101" s="21" t="b">
        <f t="shared" si="7"/>
        <v>0</v>
      </c>
      <c r="I101" s="21"/>
      <c r="J101" s="21" t="s">
        <v>905</v>
      </c>
      <c r="K101" s="21">
        <f t="shared" si="6"/>
        <v>164</v>
      </c>
      <c r="L101" s="21"/>
      <c r="M101" s="15">
        <f t="shared" si="9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.75" x14ac:dyDescent="0.3">
      <c r="A102" s="6"/>
      <c r="C102" s="13" t="s">
        <v>437</v>
      </c>
      <c r="D102" s="13" t="str">
        <f t="shared" si="8"/>
        <v xml:space="preserve">uf]df </v>
      </c>
      <c r="E102" s="13" t="str">
        <f t="shared" si="10"/>
        <v>vqL</v>
      </c>
      <c r="F102" s="21" t="s">
        <v>234</v>
      </c>
      <c r="G102" s="21" t="s">
        <v>756</v>
      </c>
      <c r="H102" s="21">
        <f t="shared" si="7"/>
        <v>102</v>
      </c>
      <c r="I102" s="21"/>
      <c r="J102" s="21" t="s">
        <v>906</v>
      </c>
      <c r="K102" s="21">
        <f t="shared" si="6"/>
        <v>53</v>
      </c>
      <c r="L102" s="21"/>
      <c r="M102" s="15">
        <f t="shared" si="9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.75" x14ac:dyDescent="0.3">
      <c r="A103" s="6"/>
      <c r="C103" s="13" t="s">
        <v>438</v>
      </c>
      <c r="D103" s="13" t="str">
        <f t="shared" si="8"/>
        <v xml:space="preserve">lgd{nf </v>
      </c>
      <c r="E103" s="13" t="str">
        <f t="shared" si="10"/>
        <v>vqL</v>
      </c>
      <c r="F103" s="21" t="s">
        <v>234</v>
      </c>
      <c r="G103" s="21" t="s">
        <v>756</v>
      </c>
      <c r="H103" s="21">
        <f t="shared" si="7"/>
        <v>102</v>
      </c>
      <c r="I103" s="21"/>
      <c r="J103" s="21" t="s">
        <v>906</v>
      </c>
      <c r="K103" s="21">
        <f t="shared" si="6"/>
        <v>53</v>
      </c>
      <c r="L103" s="21"/>
      <c r="M103" s="15">
        <f t="shared" si="9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.75" x14ac:dyDescent="0.3">
      <c r="A104" s="6">
        <v>31</v>
      </c>
      <c r="B104" t="s">
        <v>32</v>
      </c>
      <c r="C104" s="13" t="s">
        <v>714</v>
      </c>
      <c r="D104" s="13" t="str">
        <f t="shared" si="8"/>
        <v xml:space="preserve">bNnL </v>
      </c>
      <c r="E104" s="13" t="str">
        <f t="shared" si="10"/>
        <v>ljZjsdf{</v>
      </c>
      <c r="F104" s="21" t="s">
        <v>234</v>
      </c>
      <c r="G104" s="21" t="s">
        <v>756</v>
      </c>
      <c r="H104" s="21">
        <f t="shared" si="7"/>
        <v>102</v>
      </c>
      <c r="I104" s="21"/>
      <c r="J104" s="21" t="s">
        <v>906</v>
      </c>
      <c r="K104" s="21">
        <f t="shared" si="6"/>
        <v>53</v>
      </c>
      <c r="L104" s="21"/>
      <c r="M104" s="15">
        <f t="shared" si="9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.75" x14ac:dyDescent="0.3">
      <c r="A105" s="6"/>
      <c r="C105" s="13" t="s">
        <v>715</v>
      </c>
      <c r="D105" s="13" t="str">
        <f t="shared" si="8"/>
        <v xml:space="preserve">1fg </v>
      </c>
      <c r="E105" s="13" t="str">
        <f t="shared" si="10"/>
        <v>ljZjsdf{</v>
      </c>
      <c r="F105" s="21" t="s">
        <v>233</v>
      </c>
      <c r="G105" s="21" t="s">
        <v>756</v>
      </c>
      <c r="H105" s="21">
        <f t="shared" si="7"/>
        <v>99</v>
      </c>
      <c r="I105" s="21"/>
      <c r="J105" s="21" t="s">
        <v>905</v>
      </c>
      <c r="K105" s="21">
        <f t="shared" si="6"/>
        <v>164</v>
      </c>
      <c r="L105" s="21"/>
      <c r="M105" s="15">
        <f t="shared" si="9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.75" x14ac:dyDescent="0.3">
      <c r="A106" s="6"/>
      <c r="C106" s="13" t="s">
        <v>716</v>
      </c>
      <c r="D106" s="13" t="str">
        <f t="shared" si="8"/>
        <v xml:space="preserve">kq'; </v>
      </c>
      <c r="E106" s="13" t="str">
        <f t="shared" si="10"/>
        <v>j/fOnL</v>
      </c>
      <c r="F106" s="21" t="s">
        <v>233</v>
      </c>
      <c r="G106" s="21" t="s">
        <v>756</v>
      </c>
      <c r="H106" s="21">
        <f t="shared" si="7"/>
        <v>99</v>
      </c>
      <c r="I106" s="21"/>
      <c r="J106" s="21" t="s">
        <v>905</v>
      </c>
      <c r="K106" s="21">
        <f t="shared" si="6"/>
        <v>164</v>
      </c>
      <c r="L106" s="21"/>
      <c r="M106" s="15">
        <f t="shared" si="9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.75" x14ac:dyDescent="0.3">
      <c r="A107" s="6"/>
      <c r="C107" s="13" t="s">
        <v>717</v>
      </c>
      <c r="D107" s="13" t="str">
        <f t="shared" si="8"/>
        <v xml:space="preserve">lagf </v>
      </c>
      <c r="E107" s="13" t="str">
        <f t="shared" si="10"/>
        <v>sfdL</v>
      </c>
      <c r="F107" s="21" t="s">
        <v>234</v>
      </c>
      <c r="G107" s="21" t="s">
        <v>756</v>
      </c>
      <c r="H107" s="21">
        <f t="shared" si="7"/>
        <v>102</v>
      </c>
      <c r="I107" s="21"/>
      <c r="J107" s="21" t="s">
        <v>905</v>
      </c>
      <c r="K107" s="21">
        <f t="shared" si="6"/>
        <v>107</v>
      </c>
      <c r="L107" s="21"/>
      <c r="M107" s="15">
        <f t="shared" si="9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.75" x14ac:dyDescent="0.3">
      <c r="A108" s="6"/>
      <c r="C108" s="13" t="s">
        <v>718</v>
      </c>
      <c r="D108" s="13" t="str">
        <f t="shared" si="8"/>
        <v xml:space="preserve">o1 </v>
      </c>
      <c r="E108" s="13" t="str">
        <f t="shared" si="10"/>
        <v>ljZjsdf{</v>
      </c>
      <c r="F108" s="21" t="s">
        <v>233</v>
      </c>
      <c r="G108" s="21" t="s">
        <v>756</v>
      </c>
      <c r="H108" s="21">
        <f t="shared" si="7"/>
        <v>99</v>
      </c>
      <c r="I108" s="21"/>
      <c r="J108" s="21" t="s">
        <v>905</v>
      </c>
      <c r="K108" s="21">
        <f t="shared" si="6"/>
        <v>164</v>
      </c>
      <c r="L108" s="21"/>
      <c r="M108" s="15">
        <f t="shared" si="9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.75" x14ac:dyDescent="0.3">
      <c r="A109" s="6"/>
      <c r="C109" s="13" t="s">
        <v>719</v>
      </c>
      <c r="D109" s="13" t="str">
        <f t="shared" si="8"/>
        <v xml:space="preserve">uf]df </v>
      </c>
      <c r="E109" s="13" t="str">
        <f t="shared" si="10"/>
        <v>ljZjsdf{</v>
      </c>
      <c r="F109" s="21" t="s">
        <v>234</v>
      </c>
      <c r="G109" s="21" t="s">
        <v>756</v>
      </c>
      <c r="H109" s="21">
        <f t="shared" si="7"/>
        <v>102</v>
      </c>
      <c r="I109" s="21"/>
      <c r="J109" s="21" t="s">
        <v>905</v>
      </c>
      <c r="K109" s="21">
        <f t="shared" si="6"/>
        <v>107</v>
      </c>
      <c r="L109" s="21"/>
      <c r="M109" s="15">
        <f t="shared" si="9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.75" x14ac:dyDescent="0.3">
      <c r="A110" s="6"/>
      <c r="C110" s="13" t="s">
        <v>720</v>
      </c>
      <c r="D110" s="13" t="str">
        <f t="shared" si="8"/>
        <v xml:space="preserve">ld/f </v>
      </c>
      <c r="E110" s="13" t="str">
        <f t="shared" si="10"/>
        <v>j/fOnL</v>
      </c>
      <c r="F110" s="21" t="s">
        <v>234</v>
      </c>
      <c r="G110" s="21" t="s">
        <v>757</v>
      </c>
      <c r="H110" s="21">
        <f t="shared" si="7"/>
        <v>54</v>
      </c>
      <c r="I110" s="21"/>
      <c r="J110" s="21" t="s">
        <v>905</v>
      </c>
      <c r="K110" s="21">
        <f t="shared" si="6"/>
        <v>107</v>
      </c>
      <c r="L110" s="21"/>
      <c r="M110" s="15">
        <f t="shared" si="9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.75" x14ac:dyDescent="0.3">
      <c r="A111" s="6"/>
      <c r="C111" s="13" t="s">
        <v>721</v>
      </c>
      <c r="D111" s="13" t="str">
        <f t="shared" si="8"/>
        <v xml:space="preserve">Oefg </v>
      </c>
      <c r="E111" s="13" t="str">
        <f t="shared" si="10"/>
        <v>j/fOnL</v>
      </c>
      <c r="F111" s="21" t="s">
        <v>233</v>
      </c>
      <c r="G111" s="21" t="s">
        <v>748</v>
      </c>
      <c r="H111" s="21" t="b">
        <f t="shared" si="7"/>
        <v>0</v>
      </c>
      <c r="I111" s="21"/>
      <c r="J111" s="21" t="s">
        <v>748</v>
      </c>
      <c r="K111" s="21" t="b">
        <f t="shared" si="6"/>
        <v>0</v>
      </c>
      <c r="L111" s="21"/>
      <c r="M111" s="15">
        <f t="shared" si="9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.75" x14ac:dyDescent="0.3">
      <c r="A112" s="6"/>
      <c r="C112" s="13" t="s">
        <v>722</v>
      </c>
      <c r="D112" s="13" t="str">
        <f t="shared" si="8"/>
        <v xml:space="preserve">O;fs </v>
      </c>
      <c r="E112" s="13" t="str">
        <f t="shared" si="10"/>
        <v>j/fOnL</v>
      </c>
      <c r="F112" s="21" t="s">
        <v>233</v>
      </c>
      <c r="G112" s="21" t="s">
        <v>757</v>
      </c>
      <c r="H112" s="21">
        <f t="shared" si="7"/>
        <v>69</v>
      </c>
      <c r="I112" s="21"/>
      <c r="J112" s="21" t="s">
        <v>905</v>
      </c>
      <c r="K112" s="21">
        <f t="shared" si="6"/>
        <v>164</v>
      </c>
      <c r="L112" s="21"/>
      <c r="M112" s="15">
        <f t="shared" si="9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.75" x14ac:dyDescent="0.3">
      <c r="A113" s="6">
        <v>33</v>
      </c>
      <c r="B113" t="s">
        <v>34</v>
      </c>
      <c r="C113" s="13" t="s">
        <v>723</v>
      </c>
      <c r="D113" s="13" t="str">
        <f t="shared" si="8"/>
        <v xml:space="preserve">bf]rL{ </v>
      </c>
      <c r="E113" s="13" t="str">
        <f t="shared" si="10"/>
        <v>z]kf{</v>
      </c>
      <c r="F113" s="21" t="s">
        <v>234</v>
      </c>
      <c r="G113" s="21" t="s">
        <v>756</v>
      </c>
      <c r="H113" s="21">
        <f t="shared" si="7"/>
        <v>102</v>
      </c>
      <c r="I113" s="21"/>
      <c r="J113" s="21" t="s">
        <v>905</v>
      </c>
      <c r="K113" s="21">
        <f t="shared" si="6"/>
        <v>107</v>
      </c>
      <c r="L113" s="21"/>
      <c r="M113" s="15">
        <f t="shared" si="9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.75" x14ac:dyDescent="0.3">
      <c r="A114" s="6"/>
      <c r="C114" s="13" t="s">
        <v>724</v>
      </c>
      <c r="D114" s="13" t="str">
        <f t="shared" si="8"/>
        <v xml:space="preserve">ldªdf </v>
      </c>
      <c r="E114" s="13" t="str">
        <f t="shared" si="10"/>
        <v>z]kf{</v>
      </c>
      <c r="F114" s="21" t="s">
        <v>233</v>
      </c>
      <c r="G114" s="21" t="s">
        <v>756</v>
      </c>
      <c r="H114" s="21">
        <f t="shared" si="7"/>
        <v>99</v>
      </c>
      <c r="I114" s="21"/>
      <c r="J114" s="21" t="s">
        <v>905</v>
      </c>
      <c r="K114" s="21">
        <f t="shared" si="6"/>
        <v>164</v>
      </c>
      <c r="L114" s="21"/>
      <c r="M114" s="15">
        <f t="shared" si="9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.75" x14ac:dyDescent="0.3">
      <c r="A115" s="6"/>
      <c r="C115" s="13" t="s">
        <v>725</v>
      </c>
      <c r="D115" s="13" t="str">
        <f t="shared" si="8"/>
        <v xml:space="preserve">k]Daf </v>
      </c>
      <c r="E115" s="13" t="str">
        <f t="shared" si="10"/>
        <v>z]kf{</v>
      </c>
      <c r="F115" s="21" t="s">
        <v>233</v>
      </c>
      <c r="G115" s="21" t="s">
        <v>757</v>
      </c>
      <c r="H115" s="21">
        <f t="shared" si="7"/>
        <v>69</v>
      </c>
      <c r="I115" s="21"/>
      <c r="J115" s="21" t="s">
        <v>905</v>
      </c>
      <c r="K115" s="21">
        <f t="shared" si="6"/>
        <v>164</v>
      </c>
      <c r="L115" s="21"/>
      <c r="M115" s="15">
        <f t="shared" si="9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.75" x14ac:dyDescent="0.3">
      <c r="A116" s="6"/>
      <c r="C116" s="13" t="s">
        <v>726</v>
      </c>
      <c r="D116" s="13" t="str">
        <f t="shared" si="8"/>
        <v xml:space="preserve">kf;fª </v>
      </c>
      <c r="E116" s="13" t="str">
        <f t="shared" si="10"/>
        <v>z]kf{</v>
      </c>
      <c r="F116" s="21" t="s">
        <v>234</v>
      </c>
      <c r="G116" s="21" t="s">
        <v>757</v>
      </c>
      <c r="H116" s="21">
        <f t="shared" si="7"/>
        <v>54</v>
      </c>
      <c r="I116" s="21"/>
      <c r="J116" s="21" t="s">
        <v>905</v>
      </c>
      <c r="K116" s="21">
        <f t="shared" si="6"/>
        <v>107</v>
      </c>
      <c r="L116" s="21"/>
      <c r="M116" s="15">
        <f t="shared" si="9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.75" x14ac:dyDescent="0.3">
      <c r="A117" s="6">
        <v>34</v>
      </c>
      <c r="B117" t="s">
        <v>35</v>
      </c>
      <c r="C117" s="13" t="s">
        <v>445</v>
      </c>
      <c r="D117" s="13" t="str">
        <f t="shared" si="8"/>
        <v xml:space="preserve">lszg </v>
      </c>
      <c r="E117" s="13" t="str">
        <f t="shared" si="10"/>
        <v>wfdL</v>
      </c>
      <c r="F117" s="21" t="s">
        <v>233</v>
      </c>
      <c r="G117" s="21" t="s">
        <v>756</v>
      </c>
      <c r="H117" s="21">
        <f t="shared" si="7"/>
        <v>99</v>
      </c>
      <c r="I117" s="21"/>
      <c r="J117" s="21" t="s">
        <v>905</v>
      </c>
      <c r="K117" s="21">
        <f t="shared" si="6"/>
        <v>164</v>
      </c>
      <c r="L117" s="21"/>
      <c r="M117" s="15">
        <f t="shared" si="9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.75" x14ac:dyDescent="0.3">
      <c r="A118" s="6"/>
      <c r="C118" s="13" t="s">
        <v>446</v>
      </c>
      <c r="D118" s="13" t="str">
        <f t="shared" si="8"/>
        <v xml:space="preserve">hd'gf </v>
      </c>
      <c r="E118" s="13" t="str">
        <f t="shared" si="10"/>
        <v>wfdL</v>
      </c>
      <c r="F118" s="21" t="s">
        <v>234</v>
      </c>
      <c r="G118" s="21" t="s">
        <v>756</v>
      </c>
      <c r="H118" s="21">
        <f t="shared" si="7"/>
        <v>102</v>
      </c>
      <c r="I118" s="21"/>
      <c r="J118" s="21" t="s">
        <v>905</v>
      </c>
      <c r="K118" s="21">
        <f t="shared" si="6"/>
        <v>107</v>
      </c>
      <c r="L118" s="21"/>
      <c r="M118" s="15">
        <f t="shared" si="9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.75" x14ac:dyDescent="0.3">
      <c r="A119" s="6"/>
      <c r="C119" s="13" t="s">
        <v>447</v>
      </c>
      <c r="D119" s="13" t="str">
        <f t="shared" si="8"/>
        <v xml:space="preserve">s[:6Lgf </v>
      </c>
      <c r="E119" s="13" t="str">
        <f t="shared" si="10"/>
        <v>wfdL</v>
      </c>
      <c r="F119" s="21" t="s">
        <v>234</v>
      </c>
      <c r="G119" s="21" t="s">
        <v>757</v>
      </c>
      <c r="H119" s="21">
        <f t="shared" si="7"/>
        <v>54</v>
      </c>
      <c r="I119" s="21"/>
      <c r="J119" s="21" t="s">
        <v>905</v>
      </c>
      <c r="K119" s="21">
        <f t="shared" si="6"/>
        <v>107</v>
      </c>
      <c r="L119" s="21"/>
      <c r="M119" s="15">
        <f t="shared" si="9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.75" x14ac:dyDescent="0.3">
      <c r="A120" s="6"/>
      <c r="C120" s="13" t="s">
        <v>448</v>
      </c>
      <c r="D120" s="13" t="str">
        <f t="shared" si="8"/>
        <v xml:space="preserve">s|Lhg </v>
      </c>
      <c r="E120" s="13" t="str">
        <f t="shared" si="10"/>
        <v>wfdL</v>
      </c>
      <c r="F120" s="21" t="s">
        <v>233</v>
      </c>
      <c r="G120" s="21" t="s">
        <v>757</v>
      </c>
      <c r="H120" s="21">
        <f t="shared" si="7"/>
        <v>69</v>
      </c>
      <c r="I120" s="21"/>
      <c r="J120" s="21" t="s">
        <v>905</v>
      </c>
      <c r="K120" s="21">
        <f t="shared" si="6"/>
        <v>164</v>
      </c>
      <c r="L120" s="21"/>
      <c r="M120" s="15">
        <f t="shared" si="9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.75" x14ac:dyDescent="0.3">
      <c r="A121" s="6">
        <v>35</v>
      </c>
      <c r="B121" t="s">
        <v>36</v>
      </c>
      <c r="C121" s="13" t="s">
        <v>449</v>
      </c>
      <c r="D121" s="13" t="str">
        <f t="shared" si="8"/>
        <v xml:space="preserve">lhjg </v>
      </c>
      <c r="E121" s="13" t="str">
        <f t="shared" si="10"/>
        <v>v8\sf</v>
      </c>
      <c r="F121" s="21" t="s">
        <v>233</v>
      </c>
      <c r="G121" s="21" t="s">
        <v>756</v>
      </c>
      <c r="H121" s="21">
        <f t="shared" si="7"/>
        <v>99</v>
      </c>
      <c r="I121" s="21"/>
      <c r="J121" s="21" t="s">
        <v>905</v>
      </c>
      <c r="K121" s="21">
        <f t="shared" si="6"/>
        <v>164</v>
      </c>
      <c r="L121" s="21"/>
      <c r="M121" s="15">
        <f t="shared" si="9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.75" x14ac:dyDescent="0.3">
      <c r="A122" s="6"/>
      <c r="C122" s="13" t="s">
        <v>450</v>
      </c>
      <c r="D122" s="13" t="str">
        <f t="shared" si="8"/>
        <v xml:space="preserve">nIdL </v>
      </c>
      <c r="E122" s="13" t="str">
        <f t="shared" si="10"/>
        <v>a/fn</v>
      </c>
      <c r="F122" s="21" t="s">
        <v>234</v>
      </c>
      <c r="G122" s="21" t="s">
        <v>756</v>
      </c>
      <c r="H122" s="21">
        <f t="shared" si="7"/>
        <v>102</v>
      </c>
      <c r="I122" s="21"/>
      <c r="J122" s="21" t="s">
        <v>905</v>
      </c>
      <c r="K122" s="21">
        <f t="shared" si="6"/>
        <v>107</v>
      </c>
      <c r="L122" s="21"/>
      <c r="M122" s="15">
        <f t="shared" si="9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.75" x14ac:dyDescent="0.3">
      <c r="A123" s="6"/>
      <c r="C123" s="13" t="s">
        <v>451</v>
      </c>
      <c r="D123" s="13" t="str">
        <f t="shared" si="8"/>
        <v xml:space="preserve">cfo"w </v>
      </c>
      <c r="E123" s="13" t="str">
        <f t="shared" si="10"/>
        <v>v8\sf</v>
      </c>
      <c r="F123" s="21" t="s">
        <v>233</v>
      </c>
      <c r="G123" s="21" t="s">
        <v>757</v>
      </c>
      <c r="H123" s="21">
        <f t="shared" si="7"/>
        <v>69</v>
      </c>
      <c r="I123" s="21"/>
      <c r="J123" s="21" t="s">
        <v>905</v>
      </c>
      <c r="K123" s="21">
        <f t="shared" si="6"/>
        <v>164</v>
      </c>
      <c r="L123" s="21"/>
      <c r="M123" s="15">
        <f t="shared" si="9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.75" x14ac:dyDescent="0.3">
      <c r="A124" s="6"/>
      <c r="C124" s="13" t="s">
        <v>452</v>
      </c>
      <c r="D124" s="13" t="str">
        <f t="shared" si="8"/>
        <v xml:space="preserve">cdfo/f </v>
      </c>
      <c r="E124" s="13" t="str">
        <f t="shared" si="10"/>
        <v>v8\sf</v>
      </c>
      <c r="F124" s="21" t="s">
        <v>234</v>
      </c>
      <c r="G124" s="21" t="s">
        <v>748</v>
      </c>
      <c r="H124" s="21" t="b">
        <f t="shared" si="7"/>
        <v>0</v>
      </c>
      <c r="I124" s="21"/>
      <c r="J124" s="21" t="s">
        <v>905</v>
      </c>
      <c r="K124" s="21">
        <f t="shared" si="6"/>
        <v>107</v>
      </c>
      <c r="L124" s="21"/>
      <c r="M124" s="15">
        <f t="shared" si="9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.75" x14ac:dyDescent="0.3">
      <c r="A125" s="6">
        <v>36</v>
      </c>
      <c r="B125" t="s">
        <v>37</v>
      </c>
      <c r="C125" s="13" t="s">
        <v>453</v>
      </c>
      <c r="D125" s="13" t="str">
        <f t="shared" si="8"/>
        <v xml:space="preserve">s'df/ </v>
      </c>
      <c r="E125" s="13" t="str">
        <f t="shared" si="10"/>
        <v>sF'j/</v>
      </c>
      <c r="F125" s="21" t="s">
        <v>233</v>
      </c>
      <c r="G125" s="21" t="s">
        <v>756</v>
      </c>
      <c r="H125" s="21">
        <f t="shared" si="7"/>
        <v>99</v>
      </c>
      <c r="I125" s="21"/>
      <c r="J125" s="21" t="s">
        <v>905</v>
      </c>
      <c r="K125" s="21">
        <f t="shared" si="6"/>
        <v>164</v>
      </c>
      <c r="L125" s="21"/>
      <c r="M125" s="15">
        <f t="shared" si="9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.75" x14ac:dyDescent="0.3">
      <c r="A126" s="6"/>
      <c r="C126" s="13" t="s">
        <v>454</v>
      </c>
      <c r="D126" s="13" t="str">
        <f t="shared" si="8"/>
        <v xml:space="preserve">:j:tLsf </v>
      </c>
      <c r="E126" s="13" t="str">
        <f t="shared" si="10"/>
        <v>sF'j/</v>
      </c>
      <c r="F126" s="21" t="s">
        <v>234</v>
      </c>
      <c r="G126" s="21" t="s">
        <v>757</v>
      </c>
      <c r="H126" s="21">
        <f t="shared" si="7"/>
        <v>54</v>
      </c>
      <c r="I126" s="21"/>
      <c r="J126" s="21" t="s">
        <v>905</v>
      </c>
      <c r="K126" s="21">
        <f t="shared" si="6"/>
        <v>107</v>
      </c>
      <c r="L126" s="21"/>
      <c r="M126" s="15">
        <f t="shared" si="9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.75" x14ac:dyDescent="0.3">
      <c r="A127" s="6"/>
      <c r="C127" s="13" t="s">
        <v>455</v>
      </c>
      <c r="D127" s="13" t="str">
        <f t="shared" si="8"/>
        <v xml:space="preserve">;/:jtL </v>
      </c>
      <c r="E127" s="13" t="str">
        <f t="shared" si="10"/>
        <v>sF'j/</v>
      </c>
      <c r="F127" s="21" t="s">
        <v>234</v>
      </c>
      <c r="G127" s="21" t="s">
        <v>756</v>
      </c>
      <c r="H127" s="21">
        <f t="shared" si="7"/>
        <v>102</v>
      </c>
      <c r="I127" s="21"/>
      <c r="J127" s="21" t="s">
        <v>906</v>
      </c>
      <c r="K127" s="21">
        <f t="shared" si="6"/>
        <v>53</v>
      </c>
      <c r="L127" s="21"/>
      <c r="M127" s="15">
        <f t="shared" si="9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.75" x14ac:dyDescent="0.3">
      <c r="A128" s="6"/>
      <c r="C128" s="13" t="s">
        <v>456</v>
      </c>
      <c r="D128" s="13" t="str">
        <f t="shared" si="8"/>
        <v xml:space="preserve">;'eb|f </v>
      </c>
      <c r="E128" s="13" t="str">
        <f t="shared" si="10"/>
        <v>sF'j/</v>
      </c>
      <c r="F128" s="21" t="s">
        <v>234</v>
      </c>
      <c r="G128" s="21" t="s">
        <v>757</v>
      </c>
      <c r="H128" s="21">
        <f t="shared" si="7"/>
        <v>54</v>
      </c>
      <c r="I128" s="21"/>
      <c r="J128" s="21" t="s">
        <v>905</v>
      </c>
      <c r="K128" s="21">
        <f t="shared" si="6"/>
        <v>107</v>
      </c>
      <c r="L128" s="21"/>
      <c r="M128" s="15">
        <f t="shared" si="9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.75" x14ac:dyDescent="0.3">
      <c r="A129" s="6">
        <v>38</v>
      </c>
      <c r="B129" t="s">
        <v>39</v>
      </c>
      <c r="C129" s="13" t="s">
        <v>461</v>
      </c>
      <c r="D129" s="13" t="str">
        <f t="shared" si="8"/>
        <v xml:space="preserve">a]b </v>
      </c>
      <c r="E129" s="13" t="str">
        <f t="shared" si="10"/>
        <v>&gt;]i7</v>
      </c>
      <c r="F129" s="21" t="s">
        <v>233</v>
      </c>
      <c r="G129" s="21" t="s">
        <v>756</v>
      </c>
      <c r="H129" s="21">
        <f t="shared" si="7"/>
        <v>99</v>
      </c>
      <c r="I129" s="21"/>
      <c r="J129" s="21" t="s">
        <v>905</v>
      </c>
      <c r="K129" s="21">
        <f t="shared" si="6"/>
        <v>164</v>
      </c>
      <c r="L129" s="21"/>
      <c r="M129" s="15">
        <f t="shared" si="9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.75" x14ac:dyDescent="0.3">
      <c r="A130" s="6"/>
      <c r="C130" s="13" t="s">
        <v>462</v>
      </c>
      <c r="D130" s="13" t="str">
        <f t="shared" si="8"/>
        <v xml:space="preserve">l/tf </v>
      </c>
      <c r="E130" s="13" t="str">
        <f t="shared" si="10"/>
        <v>clwsf/L</v>
      </c>
      <c r="F130" s="21" t="s">
        <v>234</v>
      </c>
      <c r="G130" s="21" t="s">
        <v>756</v>
      </c>
      <c r="H130" s="21">
        <f t="shared" si="7"/>
        <v>102</v>
      </c>
      <c r="I130" s="21"/>
      <c r="J130" s="21" t="s">
        <v>905</v>
      </c>
      <c r="K130" s="21">
        <f t="shared" si="6"/>
        <v>107</v>
      </c>
      <c r="L130" s="21"/>
      <c r="M130" s="15">
        <f t="shared" si="9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.75" x14ac:dyDescent="0.3">
      <c r="A131" s="6"/>
      <c r="C131" s="13" t="s">
        <v>463</v>
      </c>
      <c r="D131" s="13" t="str">
        <f t="shared" si="8"/>
        <v xml:space="preserve">k|;+zf </v>
      </c>
      <c r="E131" s="13" t="str">
        <f t="shared" si="10"/>
        <v>&gt;]i7</v>
      </c>
      <c r="F131" s="21" t="s">
        <v>234</v>
      </c>
      <c r="G131" s="21" t="s">
        <v>757</v>
      </c>
      <c r="H131" s="21">
        <f t="shared" si="7"/>
        <v>54</v>
      </c>
      <c r="I131" s="21"/>
      <c r="J131" s="21" t="s">
        <v>905</v>
      </c>
      <c r="K131" s="21">
        <f t="shared" si="6"/>
        <v>107</v>
      </c>
      <c r="L131" s="21"/>
      <c r="M131" s="15">
        <f t="shared" si="9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.75" x14ac:dyDescent="0.3">
      <c r="A132" s="6">
        <v>39</v>
      </c>
      <c r="B132" t="s">
        <v>40</v>
      </c>
      <c r="C132" s="13" t="s">
        <v>464</v>
      </c>
      <c r="D132" s="13" t="str">
        <f t="shared" si="8"/>
        <v xml:space="preserve">k|frL </v>
      </c>
      <c r="E132" s="13" t="str">
        <f t="shared" si="10"/>
        <v>clwsf/L</v>
      </c>
      <c r="F132" s="21" t="s">
        <v>234</v>
      </c>
      <c r="G132" s="21" t="s">
        <v>757</v>
      </c>
      <c r="H132" s="21">
        <f t="shared" si="7"/>
        <v>54</v>
      </c>
      <c r="I132" s="21"/>
      <c r="J132" s="21" t="s">
        <v>905</v>
      </c>
      <c r="K132" s="21">
        <f t="shared" ref="K132:K195" si="11">IF(M132&gt;=5,(COUNTIFS($J$4:$J$348,J132,$F$4:$F$348,F132)))</f>
        <v>107</v>
      </c>
      <c r="L132" s="21"/>
      <c r="M132" s="15">
        <f t="shared" si="9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.75" x14ac:dyDescent="0.3">
      <c r="A133" s="6"/>
      <c r="C133" s="13" t="s">
        <v>465</v>
      </c>
      <c r="D133" s="13" t="str">
        <f t="shared" si="8"/>
        <v xml:space="preserve">k|Zgf </v>
      </c>
      <c r="E133" s="13" t="str">
        <f t="shared" si="10"/>
        <v>clwsf/L</v>
      </c>
      <c r="F133" s="21" t="s">
        <v>234</v>
      </c>
      <c r="G133" s="21" t="s">
        <v>757</v>
      </c>
      <c r="H133" s="21">
        <f t="shared" ref="H133:H196" si="12">IF(M133&gt;=10,(COUNTIFS($G$4:$G$348,G133,$F$4:$F$348,F133)))</f>
        <v>54</v>
      </c>
      <c r="I133" s="21"/>
      <c r="J133" s="21" t="s">
        <v>905</v>
      </c>
      <c r="K133" s="21">
        <f t="shared" si="11"/>
        <v>107</v>
      </c>
      <c r="L133" s="21"/>
      <c r="M133" s="15">
        <f t="shared" si="9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.75" x14ac:dyDescent="0.3">
      <c r="A134" s="6">
        <v>40</v>
      </c>
      <c r="B134" t="s">
        <v>41</v>
      </c>
      <c r="C134" s="13" t="s">
        <v>466</v>
      </c>
      <c r="D134" s="13" t="str">
        <f t="shared" si="8"/>
        <v xml:space="preserve">b'uf{ </v>
      </c>
      <c r="E134" s="13" t="str">
        <f t="shared" si="10"/>
        <v>IfqL</v>
      </c>
      <c r="F134" s="21" t="s">
        <v>233</v>
      </c>
      <c r="G134" s="21" t="s">
        <v>756</v>
      </c>
      <c r="H134" s="21">
        <f t="shared" si="12"/>
        <v>99</v>
      </c>
      <c r="I134" s="21"/>
      <c r="J134" s="21" t="s">
        <v>906</v>
      </c>
      <c r="K134" s="21">
        <f t="shared" si="11"/>
        <v>11</v>
      </c>
      <c r="L134" s="21"/>
      <c r="M134" s="15">
        <f t="shared" si="9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.75" x14ac:dyDescent="0.3">
      <c r="A135" s="6"/>
      <c r="C135" s="13" t="s">
        <v>467</v>
      </c>
      <c r="D135" s="13" t="str">
        <f t="shared" ref="D135:D198" si="13">LEFT(C135,(FIND(" ",C135)))</f>
        <v xml:space="preserve">cf;f </v>
      </c>
      <c r="E135" s="13" t="str">
        <f t="shared" si="10"/>
        <v>IfqL</v>
      </c>
      <c r="F135" s="21" t="s">
        <v>234</v>
      </c>
      <c r="G135" s="21" t="s">
        <v>756</v>
      </c>
      <c r="H135" s="21">
        <f t="shared" si="12"/>
        <v>102</v>
      </c>
      <c r="I135" s="21"/>
      <c r="J135" s="21" t="s">
        <v>906</v>
      </c>
      <c r="K135" s="21">
        <f t="shared" si="11"/>
        <v>53</v>
      </c>
      <c r="L135" s="21"/>
      <c r="M135" s="15">
        <f t="shared" ref="M135:M198" si="14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.75" x14ac:dyDescent="0.3">
      <c r="A136" s="6"/>
      <c r="C136" s="13" t="s">
        <v>468</v>
      </c>
      <c r="D136" s="13" t="str">
        <f t="shared" si="13"/>
        <v xml:space="preserve">/fx'n </v>
      </c>
      <c r="E136" s="13" t="str">
        <f t="shared" ref="E136:E199" si="15">TRIM(RIGHT(SUBSTITUTE(C136," ",REPT(" ",255)),255))</f>
        <v>IfqL</v>
      </c>
      <c r="F136" s="21" t="s">
        <v>233</v>
      </c>
      <c r="G136" s="21" t="s">
        <v>756</v>
      </c>
      <c r="H136" s="21">
        <f t="shared" si="12"/>
        <v>99</v>
      </c>
      <c r="I136" s="21"/>
      <c r="J136" s="21" t="s">
        <v>905</v>
      </c>
      <c r="K136" s="21">
        <f t="shared" si="11"/>
        <v>164</v>
      </c>
      <c r="L136" s="21"/>
      <c r="M136" s="15">
        <f t="shared" si="14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.75" x14ac:dyDescent="0.3">
      <c r="A137" s="6"/>
      <c r="C137" s="13" t="s">
        <v>469</v>
      </c>
      <c r="D137" s="13" t="str">
        <f t="shared" si="13"/>
        <v xml:space="preserve">b]asL </v>
      </c>
      <c r="E137" s="13" t="str">
        <f t="shared" si="15"/>
        <v>s]=;L</v>
      </c>
      <c r="F137" s="21" t="s">
        <v>234</v>
      </c>
      <c r="G137" s="21" t="s">
        <v>756</v>
      </c>
      <c r="H137" s="21">
        <f t="shared" si="12"/>
        <v>102</v>
      </c>
      <c r="I137" s="21"/>
      <c r="J137" s="21" t="s">
        <v>905</v>
      </c>
      <c r="K137" s="21">
        <f t="shared" si="11"/>
        <v>107</v>
      </c>
      <c r="L137" s="21"/>
      <c r="M137" s="15">
        <f t="shared" si="14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.75" x14ac:dyDescent="0.3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5"/>
        <v>lh;L</v>
      </c>
      <c r="F138" s="21" t="s">
        <v>234</v>
      </c>
      <c r="G138" s="21" t="s">
        <v>756</v>
      </c>
      <c r="H138" s="21">
        <f t="shared" si="12"/>
        <v>102</v>
      </c>
      <c r="I138" s="21"/>
      <c r="J138" s="21" t="s">
        <v>906</v>
      </c>
      <c r="K138" s="21">
        <f t="shared" si="11"/>
        <v>53</v>
      </c>
      <c r="L138" s="21"/>
      <c r="M138" s="15">
        <f t="shared" si="14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.75" x14ac:dyDescent="0.3">
      <c r="A139" s="6"/>
      <c r="C139" s="14" t="s">
        <v>740</v>
      </c>
      <c r="D139" s="13" t="str">
        <f t="shared" si="13"/>
        <v xml:space="preserve">a'4L </v>
      </c>
      <c r="E139" s="13" t="str">
        <f t="shared" si="15"/>
        <v>lh;L</v>
      </c>
      <c r="F139" s="21" t="s">
        <v>233</v>
      </c>
      <c r="G139" s="21" t="s">
        <v>756</v>
      </c>
      <c r="H139" s="21">
        <f t="shared" si="12"/>
        <v>99</v>
      </c>
      <c r="I139" s="21"/>
      <c r="J139" s="21" t="s">
        <v>906</v>
      </c>
      <c r="K139" s="21">
        <f t="shared" si="11"/>
        <v>11</v>
      </c>
      <c r="L139" s="21"/>
      <c r="M139" s="15">
        <f t="shared" si="14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.75" x14ac:dyDescent="0.3">
      <c r="A140" s="6"/>
      <c r="C140" s="14" t="s">
        <v>741</v>
      </c>
      <c r="D140" s="13" t="str">
        <f t="shared" si="13"/>
        <v xml:space="preserve">ldng </v>
      </c>
      <c r="E140" s="13" t="str">
        <f t="shared" si="15"/>
        <v>lh;L</v>
      </c>
      <c r="F140" s="21" t="s">
        <v>233</v>
      </c>
      <c r="G140" s="21" t="s">
        <v>756</v>
      </c>
      <c r="H140" s="21">
        <f t="shared" si="12"/>
        <v>99</v>
      </c>
      <c r="I140" s="21"/>
      <c r="J140" s="21" t="s">
        <v>905</v>
      </c>
      <c r="K140" s="21">
        <f t="shared" si="11"/>
        <v>164</v>
      </c>
      <c r="L140" s="21"/>
      <c r="M140" s="15">
        <f t="shared" si="14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.75" x14ac:dyDescent="0.3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5"/>
        <v>nfdf</v>
      </c>
      <c r="F141" s="21" t="s">
        <v>233</v>
      </c>
      <c r="G141" s="21" t="s">
        <v>756</v>
      </c>
      <c r="H141" s="21">
        <f t="shared" si="12"/>
        <v>99</v>
      </c>
      <c r="I141" s="21"/>
      <c r="J141" s="21" t="s">
        <v>905</v>
      </c>
      <c r="K141" s="21">
        <f t="shared" si="11"/>
        <v>164</v>
      </c>
      <c r="L141" s="21"/>
      <c r="M141" s="15">
        <f t="shared" si="14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.75" x14ac:dyDescent="0.3">
      <c r="A142" s="6"/>
      <c r="C142" s="14" t="s">
        <v>474</v>
      </c>
      <c r="D142" s="13" t="str">
        <f t="shared" si="13"/>
        <v xml:space="preserve">;l/tf </v>
      </c>
      <c r="E142" s="13" t="str">
        <f t="shared" si="15"/>
        <v>nfdf</v>
      </c>
      <c r="F142" s="21" t="s">
        <v>234</v>
      </c>
      <c r="G142" s="21" t="s">
        <v>756</v>
      </c>
      <c r="H142" s="21">
        <f t="shared" si="12"/>
        <v>102</v>
      </c>
      <c r="I142" s="21"/>
      <c r="J142" s="21" t="s">
        <v>906</v>
      </c>
      <c r="K142" s="21">
        <f t="shared" si="11"/>
        <v>53</v>
      </c>
      <c r="L142" s="21"/>
      <c r="M142" s="15">
        <f t="shared" si="14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.75" x14ac:dyDescent="0.3">
      <c r="A143" s="6"/>
      <c r="C143" s="14" t="s">
        <v>475</v>
      </c>
      <c r="D143" s="13" t="str">
        <f t="shared" si="13"/>
        <v xml:space="preserve">;f]gn </v>
      </c>
      <c r="E143" s="13" t="str">
        <f t="shared" si="15"/>
        <v>nfdf</v>
      </c>
      <c r="F143" s="21" t="s">
        <v>234</v>
      </c>
      <c r="G143" s="21" t="s">
        <v>757</v>
      </c>
      <c r="H143" s="21">
        <f t="shared" si="12"/>
        <v>54</v>
      </c>
      <c r="I143" s="21"/>
      <c r="J143" s="21" t="s">
        <v>905</v>
      </c>
      <c r="K143" s="21">
        <f t="shared" si="11"/>
        <v>107</v>
      </c>
      <c r="L143" s="21"/>
      <c r="M143" s="15">
        <f t="shared" si="14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.75" x14ac:dyDescent="0.3">
      <c r="A144" s="6"/>
      <c r="C144" s="14" t="s">
        <v>476</v>
      </c>
      <c r="D144" s="13" t="str">
        <f t="shared" si="13"/>
        <v xml:space="preserve">;fof]g </v>
      </c>
      <c r="E144" s="13" t="str">
        <f t="shared" si="15"/>
        <v>nfdf</v>
      </c>
      <c r="F144" s="21" t="s">
        <v>233</v>
      </c>
      <c r="G144" s="21" t="s">
        <v>757</v>
      </c>
      <c r="H144" s="21">
        <f t="shared" si="12"/>
        <v>69</v>
      </c>
      <c r="I144" s="21"/>
      <c r="J144" s="21" t="s">
        <v>905</v>
      </c>
      <c r="K144" s="21">
        <f t="shared" si="11"/>
        <v>164</v>
      </c>
      <c r="L144" s="21"/>
      <c r="M144" s="15">
        <f t="shared" si="14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.75" x14ac:dyDescent="0.3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5"/>
        <v>&gt;]i7</v>
      </c>
      <c r="F145" s="21" t="s">
        <v>234</v>
      </c>
      <c r="G145" s="21" t="s">
        <v>756</v>
      </c>
      <c r="H145" s="21">
        <f t="shared" si="12"/>
        <v>102</v>
      </c>
      <c r="I145" s="21"/>
      <c r="J145" s="21" t="s">
        <v>906</v>
      </c>
      <c r="K145" s="21">
        <f t="shared" si="11"/>
        <v>53</v>
      </c>
      <c r="L145" s="21"/>
      <c r="M145" s="15">
        <f t="shared" si="14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.75" x14ac:dyDescent="0.3">
      <c r="A146" s="6"/>
      <c r="C146" s="13" t="s">
        <v>728</v>
      </c>
      <c r="D146" s="13" t="str">
        <f t="shared" si="13"/>
        <v xml:space="preserve">led </v>
      </c>
      <c r="E146" s="13" t="str">
        <f t="shared" si="15"/>
        <v>&gt;]i7</v>
      </c>
      <c r="F146" s="21" t="s">
        <v>233</v>
      </c>
      <c r="G146" s="21" t="s">
        <v>756</v>
      </c>
      <c r="H146" s="21">
        <f t="shared" si="12"/>
        <v>99</v>
      </c>
      <c r="I146" s="21"/>
      <c r="J146" s="21" t="s">
        <v>905</v>
      </c>
      <c r="K146" s="21">
        <f t="shared" si="11"/>
        <v>164</v>
      </c>
      <c r="L146" s="21"/>
      <c r="M146" s="15">
        <f t="shared" si="14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.75" x14ac:dyDescent="0.3">
      <c r="A147" s="6"/>
      <c r="C147" s="13" t="s">
        <v>729</v>
      </c>
      <c r="D147" s="13" t="str">
        <f t="shared" si="13"/>
        <v xml:space="preserve">ladnf </v>
      </c>
      <c r="E147" s="13" t="str">
        <f t="shared" si="15"/>
        <v>&gt;]i7</v>
      </c>
      <c r="F147" s="21" t="s">
        <v>234</v>
      </c>
      <c r="G147" s="21" t="s">
        <v>756</v>
      </c>
      <c r="H147" s="21">
        <f t="shared" si="12"/>
        <v>102</v>
      </c>
      <c r="I147" s="21"/>
      <c r="J147" s="21" t="s">
        <v>905</v>
      </c>
      <c r="K147" s="21">
        <f t="shared" si="11"/>
        <v>107</v>
      </c>
      <c r="L147" s="21"/>
      <c r="M147" s="15">
        <f t="shared" si="14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.75" x14ac:dyDescent="0.3">
      <c r="A148" s="6"/>
      <c r="C148" s="13" t="s">
        <v>730</v>
      </c>
      <c r="D148" s="13" t="str">
        <f t="shared" si="13"/>
        <v xml:space="preserve">cle </v>
      </c>
      <c r="E148" s="13" t="str">
        <f t="shared" si="15"/>
        <v>&gt;]i7</v>
      </c>
      <c r="F148" s="21" t="s">
        <v>233</v>
      </c>
      <c r="G148" s="21" t="s">
        <v>748</v>
      </c>
      <c r="H148" s="21" t="b">
        <f t="shared" si="12"/>
        <v>0</v>
      </c>
      <c r="I148" s="21"/>
      <c r="J148" s="21" t="s">
        <v>905</v>
      </c>
      <c r="K148" s="21">
        <f t="shared" si="11"/>
        <v>164</v>
      </c>
      <c r="L148" s="21"/>
      <c r="M148" s="15">
        <f t="shared" si="14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.75" x14ac:dyDescent="0.3">
      <c r="A149" s="6"/>
      <c r="C149" s="13" t="s">
        <v>731</v>
      </c>
      <c r="D149" s="13" t="str">
        <f t="shared" si="13"/>
        <v xml:space="preserve">cfef </v>
      </c>
      <c r="E149" s="13" t="str">
        <f t="shared" si="15"/>
        <v>&gt;]i7</v>
      </c>
      <c r="F149" s="21" t="s">
        <v>234</v>
      </c>
      <c r="G149" s="21" t="s">
        <v>748</v>
      </c>
      <c r="H149" s="21" t="b">
        <f t="shared" si="12"/>
        <v>0</v>
      </c>
      <c r="I149" s="21"/>
      <c r="J149" s="21" t="s">
        <v>748</v>
      </c>
      <c r="K149" s="21" t="b">
        <f t="shared" si="11"/>
        <v>0</v>
      </c>
      <c r="L149" s="21"/>
      <c r="M149" s="15">
        <f t="shared" si="14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.75" x14ac:dyDescent="0.3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5"/>
        <v>&gt;]i7</v>
      </c>
      <c r="F150" s="21" t="s">
        <v>233</v>
      </c>
      <c r="G150" s="21" t="s">
        <v>756</v>
      </c>
      <c r="H150" s="21">
        <f t="shared" si="12"/>
        <v>99</v>
      </c>
      <c r="I150" s="21"/>
      <c r="J150" s="21" t="s">
        <v>905</v>
      </c>
      <c r="K150" s="21">
        <f t="shared" si="11"/>
        <v>164</v>
      </c>
      <c r="L150" s="21"/>
      <c r="M150" s="15">
        <f t="shared" si="14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.75" x14ac:dyDescent="0.3">
      <c r="A151" s="6"/>
      <c r="C151" s="13" t="s">
        <v>478</v>
      </c>
      <c r="D151" s="13" t="str">
        <f t="shared" si="13"/>
        <v xml:space="preserve">/fh </v>
      </c>
      <c r="E151" s="13" t="str">
        <f t="shared" si="15"/>
        <v>&gt;]i7</v>
      </c>
      <c r="F151" s="21" t="s">
        <v>233</v>
      </c>
      <c r="G151" s="21" t="s">
        <v>757</v>
      </c>
      <c r="H151" s="21">
        <f t="shared" si="12"/>
        <v>69</v>
      </c>
      <c r="I151" s="21"/>
      <c r="J151" s="21" t="s">
        <v>905</v>
      </c>
      <c r="K151" s="21">
        <f t="shared" si="11"/>
        <v>164</v>
      </c>
      <c r="L151" s="21"/>
      <c r="M151" s="15">
        <f t="shared" si="14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.75" x14ac:dyDescent="0.3">
      <c r="A152" s="6"/>
      <c r="C152" s="13" t="s">
        <v>479</v>
      </c>
      <c r="D152" s="13" t="str">
        <f t="shared" si="13"/>
        <v xml:space="preserve">lbn </v>
      </c>
      <c r="E152" s="13" t="str">
        <f t="shared" si="15"/>
        <v>&gt;]i7</v>
      </c>
      <c r="F152" s="21" t="s">
        <v>234</v>
      </c>
      <c r="G152" s="21" t="s">
        <v>756</v>
      </c>
      <c r="H152" s="21">
        <f t="shared" si="12"/>
        <v>102</v>
      </c>
      <c r="I152" s="21"/>
      <c r="J152" s="21" t="s">
        <v>906</v>
      </c>
      <c r="K152" s="21">
        <f t="shared" si="11"/>
        <v>53</v>
      </c>
      <c r="L152" s="21"/>
      <c r="M152" s="15">
        <f t="shared" si="14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.75" x14ac:dyDescent="0.3">
      <c r="A153" s="6"/>
      <c r="C153" s="13" t="s">
        <v>480</v>
      </c>
      <c r="D153" s="13" t="str">
        <f t="shared" si="13"/>
        <v xml:space="preserve">;Gtf]if </v>
      </c>
      <c r="E153" s="13" t="str">
        <f t="shared" si="15"/>
        <v>&gt;]i7</v>
      </c>
      <c r="F153" s="21" t="s">
        <v>233</v>
      </c>
      <c r="G153" s="21" t="s">
        <v>757</v>
      </c>
      <c r="H153" s="21">
        <f t="shared" si="12"/>
        <v>69</v>
      </c>
      <c r="I153" s="21"/>
      <c r="J153" s="21" t="s">
        <v>905</v>
      </c>
      <c r="K153" s="21">
        <f t="shared" si="11"/>
        <v>164</v>
      </c>
      <c r="L153" s="21"/>
      <c r="M153" s="15">
        <f t="shared" si="14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.75" x14ac:dyDescent="0.3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5"/>
        <v>vqL</v>
      </c>
      <c r="F154" s="21" t="s">
        <v>234</v>
      </c>
      <c r="G154" s="21" t="s">
        <v>756</v>
      </c>
      <c r="H154" s="21">
        <f t="shared" si="12"/>
        <v>102</v>
      </c>
      <c r="I154" s="21"/>
      <c r="J154" s="21" t="s">
        <v>905</v>
      </c>
      <c r="K154" s="21">
        <f t="shared" si="11"/>
        <v>107</v>
      </c>
      <c r="L154" s="21"/>
      <c r="M154" s="15">
        <f t="shared" si="14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.75" x14ac:dyDescent="0.3">
      <c r="A155" s="6"/>
      <c r="C155" s="13" t="s">
        <v>485</v>
      </c>
      <c r="D155" s="13" t="str">
        <f t="shared" si="13"/>
        <v xml:space="preserve">dg </v>
      </c>
      <c r="E155" s="13" t="str">
        <f t="shared" si="15"/>
        <v>vqL</v>
      </c>
      <c r="F155" s="21" t="s">
        <v>233</v>
      </c>
      <c r="G155" s="21" t="s">
        <v>756</v>
      </c>
      <c r="H155" s="21">
        <f t="shared" si="12"/>
        <v>99</v>
      </c>
      <c r="I155" s="21"/>
      <c r="J155" s="21" t="s">
        <v>907</v>
      </c>
      <c r="K155" s="21">
        <f t="shared" si="11"/>
        <v>164</v>
      </c>
      <c r="L155" s="21"/>
      <c r="M155" s="15">
        <f t="shared" si="14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.75" x14ac:dyDescent="0.3">
      <c r="A156" s="6"/>
      <c r="C156" s="13" t="s">
        <v>486</v>
      </c>
      <c r="D156" s="13" t="str">
        <f t="shared" si="13"/>
        <v xml:space="preserve">l8s </v>
      </c>
      <c r="E156" s="13" t="str">
        <f t="shared" si="15"/>
        <v>vqL</v>
      </c>
      <c r="F156" s="21" t="s">
        <v>233</v>
      </c>
      <c r="G156" s="21" t="s">
        <v>757</v>
      </c>
      <c r="H156" s="21">
        <f t="shared" si="12"/>
        <v>69</v>
      </c>
      <c r="I156" s="21"/>
      <c r="J156" s="21" t="s">
        <v>905</v>
      </c>
      <c r="K156" s="21">
        <f t="shared" si="11"/>
        <v>164</v>
      </c>
      <c r="L156" s="21"/>
      <c r="M156" s="15">
        <f t="shared" si="14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.75" x14ac:dyDescent="0.3">
      <c r="A157" s="6"/>
      <c r="C157" s="13" t="s">
        <v>487</v>
      </c>
      <c r="D157" s="13" t="str">
        <f t="shared" si="13"/>
        <v xml:space="preserve">ljzfn </v>
      </c>
      <c r="E157" s="13" t="str">
        <f t="shared" si="15"/>
        <v>vqL</v>
      </c>
      <c r="F157" s="21" t="s">
        <v>233</v>
      </c>
      <c r="G157" s="21" t="s">
        <v>757</v>
      </c>
      <c r="H157" s="21">
        <f t="shared" si="12"/>
        <v>69</v>
      </c>
      <c r="I157" s="21"/>
      <c r="J157" s="21" t="s">
        <v>905</v>
      </c>
      <c r="K157" s="21">
        <f t="shared" si="11"/>
        <v>164</v>
      </c>
      <c r="L157" s="21"/>
      <c r="M157" s="15">
        <f t="shared" si="14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.75" x14ac:dyDescent="0.3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5"/>
        <v>&gt;]i7</v>
      </c>
      <c r="F158" s="21" t="s">
        <v>233</v>
      </c>
      <c r="G158" s="21" t="s">
        <v>756</v>
      </c>
      <c r="H158" s="21">
        <f t="shared" si="12"/>
        <v>99</v>
      </c>
      <c r="I158" s="21"/>
      <c r="J158" s="21" t="s">
        <v>905</v>
      </c>
      <c r="K158" s="21">
        <f t="shared" si="11"/>
        <v>164</v>
      </c>
      <c r="L158" s="21"/>
      <c r="M158" s="15">
        <f t="shared" si="14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.75" x14ac:dyDescent="0.3">
      <c r="A159" s="6"/>
      <c r="C159" s="13" t="s">
        <v>492</v>
      </c>
      <c r="D159" s="13" t="str">
        <f t="shared" si="13"/>
        <v xml:space="preserve">s[i0f </v>
      </c>
      <c r="E159" s="13" t="str">
        <f t="shared" si="15"/>
        <v>&gt;]i7</v>
      </c>
      <c r="F159" s="21" t="s">
        <v>234</v>
      </c>
      <c r="G159" s="21" t="s">
        <v>756</v>
      </c>
      <c r="H159" s="21">
        <f t="shared" si="12"/>
        <v>102</v>
      </c>
      <c r="I159" s="21"/>
      <c r="J159" s="21" t="s">
        <v>906</v>
      </c>
      <c r="K159" s="21">
        <f t="shared" si="11"/>
        <v>53</v>
      </c>
      <c r="L159" s="21"/>
      <c r="M159" s="15">
        <f t="shared" si="14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.75" x14ac:dyDescent="0.3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5"/>
        <v>l;+v8f</v>
      </c>
      <c r="F160" s="21" t="s">
        <v>233</v>
      </c>
      <c r="G160" s="21" t="s">
        <v>756</v>
      </c>
      <c r="H160" s="21">
        <f t="shared" si="12"/>
        <v>99</v>
      </c>
      <c r="I160" s="21"/>
      <c r="J160" s="21" t="s">
        <v>905</v>
      </c>
      <c r="K160" s="21">
        <f t="shared" si="11"/>
        <v>164</v>
      </c>
      <c r="L160" s="21"/>
      <c r="M160" s="15">
        <f t="shared" si="14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.75" x14ac:dyDescent="0.3">
      <c r="A161" s="6"/>
      <c r="C161" s="13" t="s">
        <v>494</v>
      </c>
      <c r="D161" s="13" t="str">
        <f t="shared" si="13"/>
        <v xml:space="preserve">;Ltf </v>
      </c>
      <c r="E161" s="13" t="str">
        <f t="shared" si="15"/>
        <v>l;+v8f</v>
      </c>
      <c r="F161" s="21" t="s">
        <v>234</v>
      </c>
      <c r="G161" s="21" t="s">
        <v>756</v>
      </c>
      <c r="H161" s="21">
        <f t="shared" si="12"/>
        <v>102</v>
      </c>
      <c r="I161" s="21"/>
      <c r="J161" s="21" t="s">
        <v>906</v>
      </c>
      <c r="K161" s="21">
        <f t="shared" si="11"/>
        <v>53</v>
      </c>
      <c r="L161" s="21"/>
      <c r="M161" s="15">
        <f t="shared" si="14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.75" x14ac:dyDescent="0.3">
      <c r="A162" s="6"/>
      <c r="C162" s="13" t="s">
        <v>495</v>
      </c>
      <c r="D162" s="13" t="str">
        <f t="shared" si="13"/>
        <v xml:space="preserve">lbk]z </v>
      </c>
      <c r="E162" s="13" t="str">
        <f t="shared" si="15"/>
        <v>l;+v8f</v>
      </c>
      <c r="F162" s="21" t="s">
        <v>233</v>
      </c>
      <c r="G162" s="21" t="s">
        <v>757</v>
      </c>
      <c r="H162" s="21">
        <f t="shared" si="12"/>
        <v>69</v>
      </c>
      <c r="I162" s="21"/>
      <c r="J162" s="21" t="s">
        <v>905</v>
      </c>
      <c r="K162" s="21">
        <f t="shared" si="11"/>
        <v>164</v>
      </c>
      <c r="L162" s="21"/>
      <c r="M162" s="15">
        <f t="shared" si="14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.75" x14ac:dyDescent="0.3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5"/>
        <v>u'?ª</v>
      </c>
      <c r="F163" s="21" t="s">
        <v>234</v>
      </c>
      <c r="G163" s="21" t="s">
        <v>756</v>
      </c>
      <c r="H163" s="21">
        <f t="shared" si="12"/>
        <v>102</v>
      </c>
      <c r="I163" s="21"/>
      <c r="J163" s="21" t="s">
        <v>905</v>
      </c>
      <c r="K163" s="21">
        <f t="shared" si="11"/>
        <v>107</v>
      </c>
      <c r="L163" s="21"/>
      <c r="M163" s="15">
        <f t="shared" si="14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.75" x14ac:dyDescent="0.3">
      <c r="A164" s="6"/>
      <c r="C164" s="13" t="s">
        <v>497</v>
      </c>
      <c r="D164" s="13" t="str">
        <f t="shared" si="13"/>
        <v xml:space="preserve">k|sfz </v>
      </c>
      <c r="E164" s="13" t="str">
        <f t="shared" si="15"/>
        <v>u'?ª</v>
      </c>
      <c r="F164" s="21" t="s">
        <v>233</v>
      </c>
      <c r="G164" s="21" t="s">
        <v>756</v>
      </c>
      <c r="H164" s="21">
        <f t="shared" si="12"/>
        <v>99</v>
      </c>
      <c r="I164" s="21"/>
      <c r="J164" s="21" t="s">
        <v>905</v>
      </c>
      <c r="K164" s="21">
        <f t="shared" si="11"/>
        <v>164</v>
      </c>
      <c r="L164" s="21"/>
      <c r="M164" s="15">
        <f t="shared" si="14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.75" x14ac:dyDescent="0.3">
      <c r="A165" s="6"/>
      <c r="C165" s="13" t="s">
        <v>498</v>
      </c>
      <c r="D165" s="13" t="str">
        <f t="shared" si="13"/>
        <v xml:space="preserve">k|lgz </v>
      </c>
      <c r="E165" s="13" t="str">
        <f t="shared" si="15"/>
        <v>u'?ª</v>
      </c>
      <c r="F165" s="21" t="s">
        <v>233</v>
      </c>
      <c r="G165" s="21" t="s">
        <v>757</v>
      </c>
      <c r="H165" s="21">
        <f t="shared" si="12"/>
        <v>69</v>
      </c>
      <c r="I165" s="21"/>
      <c r="J165" s="21" t="s">
        <v>905</v>
      </c>
      <c r="K165" s="21">
        <f t="shared" si="11"/>
        <v>164</v>
      </c>
      <c r="L165" s="21"/>
      <c r="M165" s="15">
        <f t="shared" si="14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.75" x14ac:dyDescent="0.3">
      <c r="A166" s="6"/>
      <c r="C166" s="13" t="s">
        <v>499</v>
      </c>
      <c r="D166" s="13" t="str">
        <f t="shared" si="13"/>
        <v xml:space="preserve">l/D;f </v>
      </c>
      <c r="E166" s="13" t="str">
        <f t="shared" si="15"/>
        <v>u'?ª</v>
      </c>
      <c r="F166" s="21" t="s">
        <v>234</v>
      </c>
      <c r="G166" s="21" t="s">
        <v>757</v>
      </c>
      <c r="H166" s="21">
        <f t="shared" si="12"/>
        <v>54</v>
      </c>
      <c r="I166" s="21"/>
      <c r="J166" s="21" t="s">
        <v>905</v>
      </c>
      <c r="K166" s="21">
        <f t="shared" si="11"/>
        <v>107</v>
      </c>
      <c r="L166" s="21"/>
      <c r="M166" s="15">
        <f t="shared" si="14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.75" x14ac:dyDescent="0.3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5"/>
        <v>bdfO{</v>
      </c>
      <c r="F167" s="21" t="s">
        <v>234</v>
      </c>
      <c r="G167" s="21" t="s">
        <v>757</v>
      </c>
      <c r="H167" s="21">
        <f t="shared" si="12"/>
        <v>54</v>
      </c>
      <c r="I167" s="21"/>
      <c r="J167" s="21" t="s">
        <v>905</v>
      </c>
      <c r="K167" s="21">
        <f t="shared" si="11"/>
        <v>107</v>
      </c>
      <c r="L167" s="21"/>
      <c r="M167" s="15">
        <f t="shared" si="14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.75" x14ac:dyDescent="0.3">
      <c r="A168" s="6"/>
      <c r="C168" s="13" t="s">
        <v>501</v>
      </c>
      <c r="D168" s="13" t="str">
        <f t="shared" si="13"/>
        <v xml:space="preserve">l;tf </v>
      </c>
      <c r="E168" s="13" t="str">
        <f t="shared" si="15"/>
        <v>bdfO{</v>
      </c>
      <c r="F168" s="21" t="s">
        <v>234</v>
      </c>
      <c r="G168" s="21" t="s">
        <v>756</v>
      </c>
      <c r="H168" s="21">
        <f t="shared" si="12"/>
        <v>102</v>
      </c>
      <c r="I168" s="21"/>
      <c r="J168" s="21" t="s">
        <v>906</v>
      </c>
      <c r="K168" s="21">
        <f t="shared" si="11"/>
        <v>53</v>
      </c>
      <c r="L168" s="21"/>
      <c r="M168" s="15">
        <f t="shared" si="14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.75" x14ac:dyDescent="0.3">
      <c r="A169" s="6"/>
      <c r="C169" s="13" t="s">
        <v>502</v>
      </c>
      <c r="D169" s="13" t="str">
        <f t="shared" si="13"/>
        <v xml:space="preserve">l/hg </v>
      </c>
      <c r="E169" s="13" t="str">
        <f t="shared" si="15"/>
        <v>bdfO{</v>
      </c>
      <c r="F169" s="21" t="s">
        <v>233</v>
      </c>
      <c r="G169" s="21" t="s">
        <v>757</v>
      </c>
      <c r="H169" s="21">
        <f t="shared" si="12"/>
        <v>69</v>
      </c>
      <c r="I169" s="21"/>
      <c r="J169" s="21" t="s">
        <v>905</v>
      </c>
      <c r="K169" s="21">
        <f t="shared" si="11"/>
        <v>164</v>
      </c>
      <c r="L169" s="21"/>
      <c r="M169" s="15">
        <f t="shared" si="14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.75" x14ac:dyDescent="0.3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5"/>
        <v>lnDj'</v>
      </c>
      <c r="F170" s="21" t="s">
        <v>233</v>
      </c>
      <c r="G170" s="21" t="s">
        <v>756</v>
      </c>
      <c r="H170" s="21">
        <f t="shared" si="12"/>
        <v>99</v>
      </c>
      <c r="I170" s="21"/>
      <c r="J170" s="21" t="s">
        <v>905</v>
      </c>
      <c r="K170" s="21">
        <f t="shared" si="11"/>
        <v>164</v>
      </c>
      <c r="L170" s="21"/>
      <c r="M170" s="15">
        <f t="shared" si="14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.75" x14ac:dyDescent="0.3">
      <c r="A171" s="6"/>
      <c r="C171" s="13" t="s">
        <v>504</v>
      </c>
      <c r="D171" s="13" t="str">
        <f t="shared" si="13"/>
        <v xml:space="preserve">/f]hg </v>
      </c>
      <c r="E171" s="13" t="str">
        <f t="shared" si="15"/>
        <v>dfb]g</v>
      </c>
      <c r="F171" s="21" t="s">
        <v>233</v>
      </c>
      <c r="G171" s="21" t="s">
        <v>757</v>
      </c>
      <c r="H171" s="21">
        <f t="shared" si="12"/>
        <v>69</v>
      </c>
      <c r="I171" s="21"/>
      <c r="J171" s="21" t="s">
        <v>905</v>
      </c>
      <c r="K171" s="21">
        <f t="shared" si="11"/>
        <v>164</v>
      </c>
      <c r="L171" s="21"/>
      <c r="M171" s="15">
        <f t="shared" si="14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.75" x14ac:dyDescent="0.3">
      <c r="A172" s="6"/>
      <c r="C172" s="13" t="s">
        <v>505</v>
      </c>
      <c r="D172" s="13" t="str">
        <f t="shared" si="13"/>
        <v xml:space="preserve">/]xg </v>
      </c>
      <c r="E172" s="13" t="str">
        <f t="shared" si="15"/>
        <v>dfb]g</v>
      </c>
      <c r="F172" s="21" t="s">
        <v>233</v>
      </c>
      <c r="G172" s="21" t="s">
        <v>757</v>
      </c>
      <c r="H172" s="21">
        <f t="shared" si="12"/>
        <v>69</v>
      </c>
      <c r="I172" s="21"/>
      <c r="J172" s="21" t="s">
        <v>905</v>
      </c>
      <c r="K172" s="21">
        <f t="shared" si="11"/>
        <v>164</v>
      </c>
      <c r="L172" s="21"/>
      <c r="M172" s="15">
        <f t="shared" si="14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.75" x14ac:dyDescent="0.3">
      <c r="A173" s="6"/>
      <c r="C173" s="13" t="s">
        <v>506</v>
      </c>
      <c r="D173" s="13" t="str">
        <f t="shared" si="13"/>
        <v xml:space="preserve">k'ikf </v>
      </c>
      <c r="E173" s="13" t="str">
        <f t="shared" si="15"/>
        <v>hj]u'</v>
      </c>
      <c r="F173" s="21" t="s">
        <v>234</v>
      </c>
      <c r="G173" s="21" t="s">
        <v>756</v>
      </c>
      <c r="H173" s="21">
        <f t="shared" si="12"/>
        <v>102</v>
      </c>
      <c r="I173" s="21"/>
      <c r="J173" s="21" t="s">
        <v>905</v>
      </c>
      <c r="K173" s="21">
        <f t="shared" si="11"/>
        <v>107</v>
      </c>
      <c r="L173" s="21"/>
      <c r="M173" s="15">
        <f t="shared" si="14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.75" x14ac:dyDescent="0.3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5"/>
        <v>;fksf]6f</v>
      </c>
      <c r="F174" s="21" t="s">
        <v>233</v>
      </c>
      <c r="G174" s="21" t="s">
        <v>756</v>
      </c>
      <c r="H174" s="21">
        <f t="shared" si="12"/>
        <v>99</v>
      </c>
      <c r="I174" s="21"/>
      <c r="J174" s="21" t="s">
        <v>905</v>
      </c>
      <c r="K174" s="21">
        <f t="shared" si="11"/>
        <v>164</v>
      </c>
      <c r="L174" s="21"/>
      <c r="M174" s="15">
        <f t="shared" si="14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.75" x14ac:dyDescent="0.3">
      <c r="A175" s="6"/>
      <c r="C175" s="13" t="s">
        <v>508</v>
      </c>
      <c r="D175" s="13" t="str">
        <f t="shared" si="13"/>
        <v xml:space="preserve">;"o{axfb'/ </v>
      </c>
      <c r="E175" s="13" t="str">
        <f t="shared" si="15"/>
        <v>;fksf]6f</v>
      </c>
      <c r="F175" s="21" t="s">
        <v>233</v>
      </c>
      <c r="G175" s="21" t="s">
        <v>756</v>
      </c>
      <c r="H175" s="21">
        <f t="shared" si="12"/>
        <v>99</v>
      </c>
      <c r="I175" s="21"/>
      <c r="J175" s="21" t="s">
        <v>906</v>
      </c>
      <c r="K175" s="21">
        <f t="shared" si="11"/>
        <v>11</v>
      </c>
      <c r="L175" s="21"/>
      <c r="M175" s="15">
        <f t="shared" si="14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.75" x14ac:dyDescent="0.3">
      <c r="A176" s="6"/>
      <c r="C176" s="13" t="s">
        <v>509</v>
      </c>
      <c r="D176" s="13" t="str">
        <f t="shared" si="13"/>
        <v xml:space="preserve">u+uf </v>
      </c>
      <c r="E176" s="13" t="str">
        <f t="shared" si="15"/>
        <v>;fksf]6f</v>
      </c>
      <c r="F176" s="21" t="s">
        <v>234</v>
      </c>
      <c r="G176" s="21" t="s">
        <v>756</v>
      </c>
      <c r="H176" s="21">
        <f t="shared" si="12"/>
        <v>102</v>
      </c>
      <c r="I176" s="21"/>
      <c r="J176" s="21" t="s">
        <v>906</v>
      </c>
      <c r="K176" s="21">
        <f t="shared" si="11"/>
        <v>53</v>
      </c>
      <c r="L176" s="21"/>
      <c r="M176" s="15">
        <f t="shared" si="14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.75" x14ac:dyDescent="0.3">
      <c r="A177" s="6"/>
      <c r="C177" s="13" t="s">
        <v>510</v>
      </c>
      <c r="D177" s="13" t="str">
        <f t="shared" si="13"/>
        <v xml:space="preserve">v]ds'df/L </v>
      </c>
      <c r="E177" s="13" t="str">
        <f t="shared" si="15"/>
        <v>-aflgof_</v>
      </c>
      <c r="F177" s="21" t="s">
        <v>234</v>
      </c>
      <c r="G177" s="21" t="s">
        <v>756</v>
      </c>
      <c r="H177" s="21">
        <f t="shared" si="12"/>
        <v>102</v>
      </c>
      <c r="I177" s="21"/>
      <c r="J177" s="21" t="s">
        <v>905</v>
      </c>
      <c r="K177" s="21">
        <f t="shared" si="11"/>
        <v>107</v>
      </c>
      <c r="L177" s="21"/>
      <c r="M177" s="15">
        <f t="shared" si="14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.75" x14ac:dyDescent="0.3">
      <c r="A178" s="6"/>
      <c r="C178" s="13" t="s">
        <v>511</v>
      </c>
      <c r="D178" s="13" t="str">
        <f t="shared" si="13"/>
        <v xml:space="preserve">;'lbk </v>
      </c>
      <c r="E178" s="13" t="str">
        <f t="shared" si="15"/>
        <v>;fksf]6f</v>
      </c>
      <c r="F178" s="21" t="s">
        <v>233</v>
      </c>
      <c r="G178" s="21" t="s">
        <v>756</v>
      </c>
      <c r="H178" s="21">
        <f t="shared" si="12"/>
        <v>99</v>
      </c>
      <c r="I178" s="21"/>
      <c r="J178" s="21" t="s">
        <v>906</v>
      </c>
      <c r="K178" s="21">
        <f t="shared" si="11"/>
        <v>11</v>
      </c>
      <c r="L178" s="21"/>
      <c r="M178" s="15">
        <f t="shared" si="14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.75" x14ac:dyDescent="0.3">
      <c r="A179" s="6"/>
      <c r="C179" s="13" t="s">
        <v>512</v>
      </c>
      <c r="D179" s="13" t="str">
        <f t="shared" si="13"/>
        <v xml:space="preserve">cfo'if </v>
      </c>
      <c r="E179" s="13" t="str">
        <f t="shared" si="15"/>
        <v>;fksf]6f</v>
      </c>
      <c r="F179" s="21" t="s">
        <v>233</v>
      </c>
      <c r="G179" s="21" t="s">
        <v>757</v>
      </c>
      <c r="H179" s="21">
        <f t="shared" si="12"/>
        <v>69</v>
      </c>
      <c r="I179" s="21"/>
      <c r="J179" s="21" t="s">
        <v>905</v>
      </c>
      <c r="K179" s="21">
        <f t="shared" si="11"/>
        <v>164</v>
      </c>
      <c r="L179" s="21"/>
      <c r="M179" s="15">
        <f t="shared" si="14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.75" x14ac:dyDescent="0.3">
      <c r="A180" s="6"/>
      <c r="C180" s="13" t="s">
        <v>513</v>
      </c>
      <c r="D180" s="13" t="str">
        <f t="shared" si="13"/>
        <v xml:space="preserve">cleif]s </v>
      </c>
      <c r="E180" s="13" t="str">
        <f t="shared" si="15"/>
        <v>;fksf]6f</v>
      </c>
      <c r="F180" s="21" t="s">
        <v>233</v>
      </c>
      <c r="G180" s="21" t="s">
        <v>748</v>
      </c>
      <c r="H180" s="21" t="b">
        <f t="shared" si="12"/>
        <v>0</v>
      </c>
      <c r="I180" s="21"/>
      <c r="J180" s="21" t="s">
        <v>906</v>
      </c>
      <c r="K180" s="21">
        <f t="shared" si="11"/>
        <v>11</v>
      </c>
      <c r="L180" s="21"/>
      <c r="M180" s="15">
        <f t="shared" si="14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.75" x14ac:dyDescent="0.3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5"/>
        <v>&gt;]i7</v>
      </c>
      <c r="F181" s="21" t="s">
        <v>234</v>
      </c>
      <c r="G181" s="21" t="s">
        <v>756</v>
      </c>
      <c r="H181" s="21">
        <f t="shared" si="12"/>
        <v>102</v>
      </c>
      <c r="I181" s="21"/>
      <c r="J181" s="21" t="s">
        <v>906</v>
      </c>
      <c r="K181" s="21">
        <f t="shared" si="11"/>
        <v>53</v>
      </c>
      <c r="L181" s="21"/>
      <c r="M181" s="15">
        <f t="shared" si="14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.75" x14ac:dyDescent="0.3">
      <c r="A182" s="6"/>
      <c r="C182" s="13" t="s">
        <v>515</v>
      </c>
      <c r="D182" s="13" t="str">
        <f t="shared" si="13"/>
        <v xml:space="preserve">hfd'g </v>
      </c>
      <c r="E182" s="13" t="str">
        <f t="shared" si="15"/>
        <v>&gt;]i7</v>
      </c>
      <c r="F182" s="21" t="s">
        <v>233</v>
      </c>
      <c r="G182" s="21" t="s">
        <v>757</v>
      </c>
      <c r="H182" s="21">
        <f t="shared" si="12"/>
        <v>69</v>
      </c>
      <c r="I182" s="21"/>
      <c r="J182" s="21" t="s">
        <v>905</v>
      </c>
      <c r="K182" s="21">
        <f t="shared" si="11"/>
        <v>164</v>
      </c>
      <c r="L182" s="21"/>
      <c r="M182" s="15">
        <f t="shared" si="14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.75" x14ac:dyDescent="0.3">
      <c r="A183" s="6"/>
      <c r="C183" s="13" t="s">
        <v>516</v>
      </c>
      <c r="D183" s="13" t="str">
        <f t="shared" si="13"/>
        <v xml:space="preserve">h]l;sf </v>
      </c>
      <c r="E183" s="13" t="str">
        <f t="shared" si="15"/>
        <v>&gt;]i7</v>
      </c>
      <c r="F183" s="21" t="s">
        <v>234</v>
      </c>
      <c r="G183" s="21" t="s">
        <v>757</v>
      </c>
      <c r="H183" s="21">
        <f t="shared" si="12"/>
        <v>54</v>
      </c>
      <c r="I183" s="21"/>
      <c r="J183" s="21" t="s">
        <v>905</v>
      </c>
      <c r="K183" s="21">
        <f t="shared" si="11"/>
        <v>107</v>
      </c>
      <c r="L183" s="21"/>
      <c r="M183" s="15">
        <f t="shared" si="14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.75" x14ac:dyDescent="0.3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5"/>
        <v>s]=;L</v>
      </c>
      <c r="F184" s="21" t="s">
        <v>233</v>
      </c>
      <c r="G184" s="21" t="s">
        <v>756</v>
      </c>
      <c r="H184" s="21">
        <f t="shared" si="12"/>
        <v>99</v>
      </c>
      <c r="I184" s="21"/>
      <c r="J184" s="21" t="s">
        <v>905</v>
      </c>
      <c r="K184" s="21">
        <f t="shared" si="11"/>
        <v>164</v>
      </c>
      <c r="L184" s="21"/>
      <c r="M184" s="15">
        <f t="shared" si="14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.75" x14ac:dyDescent="0.3">
      <c r="A185" s="6"/>
      <c r="C185" s="13" t="s">
        <v>518</v>
      </c>
      <c r="D185" s="13" t="str">
        <f t="shared" si="13"/>
        <v xml:space="preserve">lzj </v>
      </c>
      <c r="E185" s="13" t="str">
        <f t="shared" si="15"/>
        <v>s]=;L</v>
      </c>
      <c r="F185" s="21" t="s">
        <v>233</v>
      </c>
      <c r="G185" s="21" t="s">
        <v>756</v>
      </c>
      <c r="H185" s="21">
        <f t="shared" si="12"/>
        <v>99</v>
      </c>
      <c r="I185" s="21"/>
      <c r="J185" s="21" t="s">
        <v>905</v>
      </c>
      <c r="K185" s="21">
        <f t="shared" si="11"/>
        <v>164</v>
      </c>
      <c r="L185" s="21"/>
      <c r="M185" s="15">
        <f t="shared" si="14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.75" x14ac:dyDescent="0.3">
      <c r="A186" s="6"/>
      <c r="C186" s="13" t="s">
        <v>519</v>
      </c>
      <c r="D186" s="13" t="str">
        <f t="shared" si="13"/>
        <v xml:space="preserve">cK;/f </v>
      </c>
      <c r="E186" s="13" t="str">
        <f t="shared" si="15"/>
        <v>s]=;L</v>
      </c>
      <c r="F186" s="21" t="s">
        <v>234</v>
      </c>
      <c r="G186" s="21" t="s">
        <v>756</v>
      </c>
      <c r="H186" s="21">
        <f t="shared" si="12"/>
        <v>102</v>
      </c>
      <c r="I186" s="21"/>
      <c r="J186" s="21" t="s">
        <v>906</v>
      </c>
      <c r="K186" s="21">
        <f t="shared" si="11"/>
        <v>53</v>
      </c>
      <c r="L186" s="21"/>
      <c r="M186" s="15">
        <f t="shared" si="14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.75" x14ac:dyDescent="0.3">
      <c r="A187" s="6"/>
      <c r="C187" s="13" t="s">
        <v>520</v>
      </c>
      <c r="D187" s="13" t="str">
        <f t="shared" si="13"/>
        <v xml:space="preserve">gljgf </v>
      </c>
      <c r="E187" s="13" t="str">
        <f t="shared" si="15"/>
        <v>kf08]</v>
      </c>
      <c r="F187" s="21" t="s">
        <v>234</v>
      </c>
      <c r="G187" s="21" t="s">
        <v>756</v>
      </c>
      <c r="H187" s="21">
        <f t="shared" si="12"/>
        <v>102</v>
      </c>
      <c r="I187" s="21"/>
      <c r="J187" s="21" t="s">
        <v>905</v>
      </c>
      <c r="K187" s="21">
        <f t="shared" si="11"/>
        <v>107</v>
      </c>
      <c r="L187" s="21"/>
      <c r="M187" s="15">
        <f t="shared" si="14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.75" x14ac:dyDescent="0.3">
      <c r="A188" s="6"/>
      <c r="C188" s="13" t="s">
        <v>521</v>
      </c>
      <c r="D188" s="13" t="str">
        <f t="shared" si="13"/>
        <v xml:space="preserve">aiff{ </v>
      </c>
      <c r="E188" s="13" t="str">
        <f t="shared" si="15"/>
        <v>s]=;L</v>
      </c>
      <c r="F188" s="21" t="s">
        <v>234</v>
      </c>
      <c r="G188" s="21" t="s">
        <v>757</v>
      </c>
      <c r="H188" s="21">
        <f t="shared" si="12"/>
        <v>54</v>
      </c>
      <c r="I188" s="21"/>
      <c r="J188" s="21" t="s">
        <v>905</v>
      </c>
      <c r="K188" s="21">
        <f t="shared" si="11"/>
        <v>107</v>
      </c>
      <c r="L188" s="21"/>
      <c r="M188" s="15">
        <f t="shared" si="14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.75" x14ac:dyDescent="0.3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5"/>
        <v>s]=;L</v>
      </c>
      <c r="F189" s="21" t="s">
        <v>233</v>
      </c>
      <c r="G189" s="21" t="s">
        <v>756</v>
      </c>
      <c r="H189" s="21">
        <f t="shared" si="12"/>
        <v>99</v>
      </c>
      <c r="I189" s="21"/>
      <c r="J189" s="21" t="s">
        <v>905</v>
      </c>
      <c r="K189" s="21">
        <f t="shared" si="11"/>
        <v>164</v>
      </c>
      <c r="L189" s="21"/>
      <c r="M189" s="15">
        <f t="shared" si="14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.75" x14ac:dyDescent="0.3">
      <c r="A190" s="6"/>
      <c r="C190" s="13" t="s">
        <v>523</v>
      </c>
      <c r="D190" s="13" t="str">
        <f t="shared" si="13"/>
        <v xml:space="preserve">lalgtf </v>
      </c>
      <c r="E190" s="13" t="str">
        <f t="shared" si="15"/>
        <v>v8\sf</v>
      </c>
      <c r="F190" s="21" t="s">
        <v>234</v>
      </c>
      <c r="G190" s="21" t="s">
        <v>756</v>
      </c>
      <c r="H190" s="21">
        <f t="shared" si="12"/>
        <v>102</v>
      </c>
      <c r="I190" s="21"/>
      <c r="J190" s="21" t="s">
        <v>905</v>
      </c>
      <c r="K190" s="21">
        <f t="shared" si="11"/>
        <v>107</v>
      </c>
      <c r="L190" s="21"/>
      <c r="M190" s="15">
        <f t="shared" si="14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.75" x14ac:dyDescent="0.3">
      <c r="A191" s="6"/>
      <c r="C191" s="13" t="s">
        <v>524</v>
      </c>
      <c r="D191" s="13" t="str">
        <f t="shared" si="13"/>
        <v xml:space="preserve">c?0f </v>
      </c>
      <c r="E191" s="13" t="str">
        <f t="shared" si="15"/>
        <v>s]=;L</v>
      </c>
      <c r="F191" s="21" t="s">
        <v>233</v>
      </c>
      <c r="G191" s="21" t="s">
        <v>757</v>
      </c>
      <c r="H191" s="21">
        <f t="shared" si="12"/>
        <v>69</v>
      </c>
      <c r="I191" s="21"/>
      <c r="J191" s="21" t="s">
        <v>905</v>
      </c>
      <c r="K191" s="21">
        <f t="shared" si="11"/>
        <v>164</v>
      </c>
      <c r="L191" s="21"/>
      <c r="M191" s="15">
        <f t="shared" si="14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.75" x14ac:dyDescent="0.3">
      <c r="A192" s="6"/>
      <c r="C192" s="13" t="s">
        <v>525</v>
      </c>
      <c r="D192" s="13" t="str">
        <f t="shared" si="13"/>
        <v xml:space="preserve">c?0ff </v>
      </c>
      <c r="E192" s="13" t="str">
        <f t="shared" si="15"/>
        <v>s]=;L</v>
      </c>
      <c r="F192" s="21" t="s">
        <v>234</v>
      </c>
      <c r="G192" s="21" t="s">
        <v>757</v>
      </c>
      <c r="H192" s="21">
        <f t="shared" si="12"/>
        <v>54</v>
      </c>
      <c r="I192" s="21"/>
      <c r="J192" s="21" t="s">
        <v>905</v>
      </c>
      <c r="K192" s="21">
        <f t="shared" si="11"/>
        <v>107</v>
      </c>
      <c r="L192" s="21"/>
      <c r="M192" s="15">
        <f t="shared" si="14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.75" x14ac:dyDescent="0.3">
      <c r="A193" s="6"/>
      <c r="C193" s="13" t="s">
        <v>526</v>
      </c>
      <c r="D193" s="13" t="str">
        <f t="shared" si="13"/>
        <v xml:space="preserve">ljefg </v>
      </c>
      <c r="E193" s="13" t="str">
        <f t="shared" si="15"/>
        <v>s]=;L</v>
      </c>
      <c r="F193" s="21" t="s">
        <v>233</v>
      </c>
      <c r="G193" s="21" t="s">
        <v>748</v>
      </c>
      <c r="H193" s="21" t="b">
        <f t="shared" si="12"/>
        <v>0</v>
      </c>
      <c r="I193" s="21"/>
      <c r="J193" s="21" t="s">
        <v>905</v>
      </c>
      <c r="K193" s="21">
        <f t="shared" si="11"/>
        <v>164</v>
      </c>
      <c r="L193" s="21"/>
      <c r="M193" s="15">
        <f t="shared" si="14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.75" x14ac:dyDescent="0.3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5"/>
        <v>k|;fb</v>
      </c>
      <c r="F194" s="21" t="s">
        <v>233</v>
      </c>
      <c r="G194" s="21" t="s">
        <v>756</v>
      </c>
      <c r="H194" s="21">
        <f t="shared" si="12"/>
        <v>99</v>
      </c>
      <c r="I194" s="21"/>
      <c r="J194" s="21" t="s">
        <v>906</v>
      </c>
      <c r="K194" s="21">
        <f t="shared" si="11"/>
        <v>11</v>
      </c>
      <c r="L194" s="21"/>
      <c r="M194" s="15">
        <f t="shared" si="14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.75" x14ac:dyDescent="0.3">
      <c r="A195" s="6"/>
      <c r="C195" s="13" t="s">
        <v>530</v>
      </c>
      <c r="D195" s="13" t="str">
        <f t="shared" si="13"/>
        <v xml:space="preserve">;ltif </v>
      </c>
      <c r="E195" s="13" t="str">
        <f t="shared" si="15"/>
        <v>k|;fb</v>
      </c>
      <c r="F195" s="21" t="s">
        <v>233</v>
      </c>
      <c r="G195" s="21" t="s">
        <v>756</v>
      </c>
      <c r="H195" s="21">
        <f t="shared" si="12"/>
        <v>99</v>
      </c>
      <c r="I195" s="21"/>
      <c r="J195" s="21" t="s">
        <v>905</v>
      </c>
      <c r="K195" s="21">
        <f t="shared" si="11"/>
        <v>164</v>
      </c>
      <c r="L195" s="21"/>
      <c r="M195" s="15">
        <f t="shared" si="14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.75" x14ac:dyDescent="0.3">
      <c r="A196" s="6"/>
      <c r="C196" s="13" t="s">
        <v>531</v>
      </c>
      <c r="D196" s="13" t="str">
        <f t="shared" si="13"/>
        <v xml:space="preserve">cflzif </v>
      </c>
      <c r="E196" s="13" t="str">
        <f t="shared" si="15"/>
        <v>u'Ktf</v>
      </c>
      <c r="F196" s="21" t="s">
        <v>233</v>
      </c>
      <c r="G196" s="21" t="s">
        <v>757</v>
      </c>
      <c r="H196" s="21">
        <f t="shared" si="12"/>
        <v>69</v>
      </c>
      <c r="I196" s="21"/>
      <c r="J196" s="21" t="s">
        <v>905</v>
      </c>
      <c r="K196" s="21">
        <f t="shared" ref="K196:K259" si="16">IF(M196&gt;=5,(COUNTIFS($J$4:$J$348,J196,$F$4:$F$348,F196)))</f>
        <v>164</v>
      </c>
      <c r="L196" s="21"/>
      <c r="M196" s="15">
        <f t="shared" si="14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.75" x14ac:dyDescent="0.3">
      <c r="A197" s="6"/>
      <c r="C197" s="13" t="s">
        <v>532</v>
      </c>
      <c r="D197" s="13" t="str">
        <f t="shared" si="13"/>
        <v xml:space="preserve">k|ltdf </v>
      </c>
      <c r="E197" s="13" t="str">
        <f t="shared" si="15"/>
        <v>tfdf+u</v>
      </c>
      <c r="F197" s="21" t="s">
        <v>234</v>
      </c>
      <c r="G197" s="21" t="s">
        <v>756</v>
      </c>
      <c r="H197" s="21">
        <f t="shared" ref="H197:H260" si="17">IF(M197&gt;=10,(COUNTIFS($G$4:$G$348,G197,$F$4:$F$348,F197)))</f>
        <v>102</v>
      </c>
      <c r="I197" s="21"/>
      <c r="J197" s="21" t="s">
        <v>905</v>
      </c>
      <c r="K197" s="21">
        <f t="shared" si="16"/>
        <v>107</v>
      </c>
      <c r="L197" s="21"/>
      <c r="M197" s="15">
        <f t="shared" si="14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.75" x14ac:dyDescent="0.3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5"/>
        <v>v8\sf</v>
      </c>
      <c r="F198" s="21" t="s">
        <v>233</v>
      </c>
      <c r="G198" s="21" t="s">
        <v>756</v>
      </c>
      <c r="H198" s="21">
        <f t="shared" si="17"/>
        <v>99</v>
      </c>
      <c r="I198" s="21"/>
      <c r="J198" s="21" t="s">
        <v>905</v>
      </c>
      <c r="K198" s="21">
        <f t="shared" si="16"/>
        <v>164</v>
      </c>
      <c r="L198" s="21"/>
      <c r="M198" s="15">
        <f t="shared" si="14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.75" x14ac:dyDescent="0.3">
      <c r="A199" s="6"/>
      <c r="C199" s="13" t="s">
        <v>534</v>
      </c>
      <c r="D199" s="13" t="str">
        <f t="shared" ref="D199:D262" si="18">LEFT(C199,(FIND(" ",C199)))</f>
        <v xml:space="preserve">cg' </v>
      </c>
      <c r="E199" s="13" t="str">
        <f t="shared" si="15"/>
        <v>/f]Ssf</v>
      </c>
      <c r="F199" s="21" t="s">
        <v>234</v>
      </c>
      <c r="G199" s="21" t="s">
        <v>757</v>
      </c>
      <c r="H199" s="21">
        <f t="shared" si="17"/>
        <v>54</v>
      </c>
      <c r="I199" s="21"/>
      <c r="J199" s="21" t="s">
        <v>905</v>
      </c>
      <c r="K199" s="21">
        <f t="shared" si="16"/>
        <v>107</v>
      </c>
      <c r="L199" s="21"/>
      <c r="M199" s="15">
        <f t="shared" ref="M199:M262" si="19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.75" x14ac:dyDescent="0.3">
      <c r="A200" s="6"/>
      <c r="C200" s="13" t="s">
        <v>535</v>
      </c>
      <c r="D200" s="13" t="str">
        <f t="shared" si="18"/>
        <v xml:space="preserve">slkn </v>
      </c>
      <c r="E200" s="13" t="str">
        <f t="shared" ref="E200:E263" si="20">TRIM(RIGHT(SUBSTITUTE(C200," ",REPT(" ",255)),255))</f>
        <v>v8\sf</v>
      </c>
      <c r="F200" s="21" t="s">
        <v>233</v>
      </c>
      <c r="G200" s="21" t="s">
        <v>757</v>
      </c>
      <c r="H200" s="21">
        <f t="shared" si="17"/>
        <v>69</v>
      </c>
      <c r="I200" s="21"/>
      <c r="J200" s="21" t="s">
        <v>905</v>
      </c>
      <c r="K200" s="21">
        <f t="shared" si="16"/>
        <v>164</v>
      </c>
      <c r="L200" s="21"/>
      <c r="M200" s="15">
        <f t="shared" si="19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.75" x14ac:dyDescent="0.3">
      <c r="A201" s="6"/>
      <c r="C201" s="13" t="s">
        <v>536</v>
      </c>
      <c r="D201" s="13" t="str">
        <f t="shared" si="18"/>
        <v xml:space="preserve">;'hn </v>
      </c>
      <c r="E201" s="13" t="str">
        <f t="shared" si="20"/>
        <v>v8\sf</v>
      </c>
      <c r="F201" s="21" t="s">
        <v>233</v>
      </c>
      <c r="G201" s="21" t="s">
        <v>756</v>
      </c>
      <c r="H201" s="21">
        <f t="shared" si="17"/>
        <v>99</v>
      </c>
      <c r="I201" s="21"/>
      <c r="J201" s="21" t="s">
        <v>905</v>
      </c>
      <c r="K201" s="21">
        <f t="shared" si="16"/>
        <v>164</v>
      </c>
      <c r="L201" s="21"/>
      <c r="M201" s="15">
        <f t="shared" si="19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.75" x14ac:dyDescent="0.3">
      <c r="A202" s="6">
        <v>62</v>
      </c>
      <c r="B202" t="s">
        <v>127</v>
      </c>
      <c r="C202" s="13" t="s">
        <v>537</v>
      </c>
      <c r="D202" s="13" t="str">
        <f t="shared" si="18"/>
        <v xml:space="preserve">gf/fo0f </v>
      </c>
      <c r="E202" s="13" t="str">
        <f t="shared" si="20"/>
        <v>v8\sf</v>
      </c>
      <c r="F202" s="21" t="s">
        <v>233</v>
      </c>
      <c r="G202" s="21" t="s">
        <v>756</v>
      </c>
      <c r="H202" s="21">
        <f t="shared" si="17"/>
        <v>99</v>
      </c>
      <c r="I202" s="21"/>
      <c r="J202" s="21" t="s">
        <v>905</v>
      </c>
      <c r="K202" s="21">
        <f t="shared" si="16"/>
        <v>164</v>
      </c>
      <c r="L202" s="21"/>
      <c r="M202" s="15">
        <f t="shared" si="19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.75" x14ac:dyDescent="0.3">
      <c r="A203" s="6"/>
      <c r="C203" s="13" t="s">
        <v>538</v>
      </c>
      <c r="D203" s="13" t="str">
        <f t="shared" si="18"/>
        <v xml:space="preserve">;fg' </v>
      </c>
      <c r="E203" s="13" t="str">
        <f t="shared" si="20"/>
        <v>v8\sf</v>
      </c>
      <c r="F203" s="21" t="s">
        <v>234</v>
      </c>
      <c r="G203" s="21" t="s">
        <v>756</v>
      </c>
      <c r="H203" s="21">
        <f t="shared" si="17"/>
        <v>102</v>
      </c>
      <c r="I203" s="21"/>
      <c r="J203" s="21" t="s">
        <v>905</v>
      </c>
      <c r="K203" s="21">
        <f t="shared" si="16"/>
        <v>107</v>
      </c>
      <c r="L203" s="21"/>
      <c r="M203" s="15">
        <f t="shared" si="19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.75" x14ac:dyDescent="0.3">
      <c r="A204" s="6"/>
      <c r="C204" s="13" t="s">
        <v>539</v>
      </c>
      <c r="D204" s="13" t="str">
        <f t="shared" si="18"/>
        <v xml:space="preserve">;fu/ </v>
      </c>
      <c r="E204" s="13" t="str">
        <f t="shared" si="20"/>
        <v>v8\sf</v>
      </c>
      <c r="F204" s="21" t="s">
        <v>233</v>
      </c>
      <c r="G204" s="21" t="s">
        <v>757</v>
      </c>
      <c r="H204" s="21">
        <f t="shared" si="17"/>
        <v>69</v>
      </c>
      <c r="I204" s="21"/>
      <c r="J204" s="21" t="s">
        <v>905</v>
      </c>
      <c r="K204" s="21">
        <f t="shared" si="16"/>
        <v>164</v>
      </c>
      <c r="L204" s="21"/>
      <c r="M204" s="15">
        <f t="shared" si="19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.75" x14ac:dyDescent="0.3">
      <c r="A205" s="6"/>
      <c r="C205" s="13" t="s">
        <v>540</v>
      </c>
      <c r="D205" s="13" t="str">
        <f t="shared" si="18"/>
        <v xml:space="preserve">;fhg </v>
      </c>
      <c r="E205" s="13" t="str">
        <f t="shared" si="20"/>
        <v>v8\sf</v>
      </c>
      <c r="F205" s="21" t="s">
        <v>233</v>
      </c>
      <c r="G205" s="21" t="s">
        <v>757</v>
      </c>
      <c r="H205" s="21">
        <f t="shared" si="17"/>
        <v>69</v>
      </c>
      <c r="I205" s="21"/>
      <c r="J205" s="21" t="s">
        <v>907</v>
      </c>
      <c r="K205" s="21">
        <f t="shared" si="16"/>
        <v>164</v>
      </c>
      <c r="L205" s="21"/>
      <c r="M205" s="15">
        <f t="shared" si="19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.75" x14ac:dyDescent="0.3">
      <c r="A206" s="6">
        <v>63</v>
      </c>
      <c r="B206" t="s">
        <v>128</v>
      </c>
      <c r="C206" s="13" t="s">
        <v>541</v>
      </c>
      <c r="D206" s="13" t="str">
        <f t="shared" si="18"/>
        <v xml:space="preserve">?b| </v>
      </c>
      <c r="E206" s="13" t="str">
        <f t="shared" si="20"/>
        <v>sfsL{</v>
      </c>
      <c r="F206" s="21" t="s">
        <v>233</v>
      </c>
      <c r="G206" s="21" t="s">
        <v>756</v>
      </c>
      <c r="H206" s="21">
        <f t="shared" si="17"/>
        <v>99</v>
      </c>
      <c r="I206" s="21"/>
      <c r="J206" s="21" t="s">
        <v>906</v>
      </c>
      <c r="K206" s="21">
        <f t="shared" si="16"/>
        <v>11</v>
      </c>
      <c r="L206" s="21"/>
      <c r="M206" s="15">
        <f t="shared" si="19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.75" x14ac:dyDescent="0.3">
      <c r="A207" s="6"/>
      <c r="C207" s="13" t="s">
        <v>542</v>
      </c>
      <c r="D207" s="13" t="str">
        <f t="shared" si="18"/>
        <v xml:space="preserve">rGb| </v>
      </c>
      <c r="E207" s="13" t="str">
        <f t="shared" si="20"/>
        <v>sfsL{</v>
      </c>
      <c r="F207" s="21" t="s">
        <v>234</v>
      </c>
      <c r="G207" s="21" t="s">
        <v>756</v>
      </c>
      <c r="H207" s="21">
        <f t="shared" si="17"/>
        <v>102</v>
      </c>
      <c r="I207" s="21"/>
      <c r="J207" s="21" t="s">
        <v>905</v>
      </c>
      <c r="K207" s="21">
        <f t="shared" si="16"/>
        <v>107</v>
      </c>
      <c r="L207" s="21"/>
      <c r="M207" s="15">
        <f t="shared" si="19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.75" x14ac:dyDescent="0.3">
      <c r="A208" s="6"/>
      <c r="C208" s="13" t="s">
        <v>543</v>
      </c>
      <c r="D208" s="13" t="str">
        <f t="shared" si="18"/>
        <v xml:space="preserve">d]; </v>
      </c>
      <c r="E208" s="13" t="str">
        <f t="shared" si="20"/>
        <v>sfsL{</v>
      </c>
      <c r="F208" s="21" t="s">
        <v>234</v>
      </c>
      <c r="G208" s="21" t="s">
        <v>757</v>
      </c>
      <c r="H208" s="21">
        <f t="shared" si="17"/>
        <v>54</v>
      </c>
      <c r="I208" s="21"/>
      <c r="J208" s="21" t="s">
        <v>905</v>
      </c>
      <c r="K208" s="21">
        <f t="shared" si="16"/>
        <v>107</v>
      </c>
      <c r="L208" s="21"/>
      <c r="M208" s="15">
        <f t="shared" si="19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.75" x14ac:dyDescent="0.3">
      <c r="A209" s="6"/>
      <c r="C209" s="13" t="s">
        <v>544</v>
      </c>
      <c r="D209" s="13" t="str">
        <f t="shared" si="18"/>
        <v xml:space="preserve">l6sf </v>
      </c>
      <c r="E209" s="13" t="str">
        <f t="shared" si="20"/>
        <v>sfsL{</v>
      </c>
      <c r="F209" s="21" t="s">
        <v>234</v>
      </c>
      <c r="G209" s="21" t="s">
        <v>757</v>
      </c>
      <c r="H209" s="21">
        <f t="shared" si="17"/>
        <v>54</v>
      </c>
      <c r="I209" s="21"/>
      <c r="J209" s="21" t="s">
        <v>905</v>
      </c>
      <c r="K209" s="21">
        <f t="shared" si="16"/>
        <v>107</v>
      </c>
      <c r="L209" s="21"/>
      <c r="M209" s="15">
        <f t="shared" si="19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.75" x14ac:dyDescent="0.3">
      <c r="A210" s="6">
        <v>64</v>
      </c>
      <c r="B210" t="s">
        <v>129</v>
      </c>
      <c r="C210" s="13" t="s">
        <v>545</v>
      </c>
      <c r="D210" s="13" t="str">
        <f t="shared" si="18"/>
        <v xml:space="preserve">cf]d </v>
      </c>
      <c r="E210" s="13" t="str">
        <f t="shared" si="20"/>
        <v>e08f/L</v>
      </c>
      <c r="F210" s="21" t="s">
        <v>233</v>
      </c>
      <c r="G210" s="21" t="s">
        <v>756</v>
      </c>
      <c r="H210" s="21">
        <f t="shared" si="17"/>
        <v>99</v>
      </c>
      <c r="I210" s="21"/>
      <c r="J210" s="21" t="s">
        <v>905</v>
      </c>
      <c r="K210" s="21">
        <f t="shared" si="16"/>
        <v>164</v>
      </c>
      <c r="L210" s="21"/>
      <c r="M210" s="15">
        <f t="shared" si="19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.75" x14ac:dyDescent="0.3">
      <c r="A211" s="6"/>
      <c r="C211" s="13" t="s">
        <v>546</v>
      </c>
      <c r="D211" s="13" t="str">
        <f t="shared" si="18"/>
        <v xml:space="preserve">nLnf </v>
      </c>
      <c r="E211" s="13" t="str">
        <f t="shared" si="20"/>
        <v>e08f/L</v>
      </c>
      <c r="F211" s="21" t="s">
        <v>234</v>
      </c>
      <c r="G211" s="21" t="s">
        <v>756</v>
      </c>
      <c r="H211" s="21">
        <f t="shared" si="17"/>
        <v>102</v>
      </c>
      <c r="I211" s="21"/>
      <c r="J211" s="21" t="s">
        <v>906</v>
      </c>
      <c r="K211" s="21">
        <f t="shared" si="16"/>
        <v>53</v>
      </c>
      <c r="L211" s="21"/>
      <c r="M211" s="15">
        <f t="shared" si="19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.75" x14ac:dyDescent="0.3">
      <c r="A212" s="6"/>
      <c r="C212" s="13" t="s">
        <v>547</v>
      </c>
      <c r="D212" s="13" t="str">
        <f t="shared" si="18"/>
        <v xml:space="preserve">s]zj </v>
      </c>
      <c r="E212" s="13" t="str">
        <f t="shared" si="20"/>
        <v>e08f/L</v>
      </c>
      <c r="F212" s="21" t="s">
        <v>233</v>
      </c>
      <c r="G212" s="21" t="s">
        <v>756</v>
      </c>
      <c r="H212" s="21">
        <f t="shared" si="17"/>
        <v>99</v>
      </c>
      <c r="I212" s="21"/>
      <c r="J212" s="21" t="s">
        <v>905</v>
      </c>
      <c r="K212" s="21">
        <f t="shared" si="16"/>
        <v>164</v>
      </c>
      <c r="L212" s="21"/>
      <c r="M212" s="15">
        <f t="shared" si="19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.75" x14ac:dyDescent="0.3">
      <c r="A213" s="6"/>
      <c r="C213" s="13" t="s">
        <v>548</v>
      </c>
      <c r="D213" s="13" t="str">
        <f t="shared" si="18"/>
        <v xml:space="preserve">cflzif </v>
      </c>
      <c r="E213" s="13" t="str">
        <f t="shared" si="20"/>
        <v>e08f/L</v>
      </c>
      <c r="F213" s="21" t="s">
        <v>233</v>
      </c>
      <c r="G213" s="21" t="s">
        <v>757</v>
      </c>
      <c r="H213" s="21">
        <f t="shared" si="17"/>
        <v>69</v>
      </c>
      <c r="I213" s="21"/>
      <c r="J213" s="21" t="s">
        <v>905</v>
      </c>
      <c r="K213" s="21">
        <f t="shared" si="16"/>
        <v>164</v>
      </c>
      <c r="L213" s="21"/>
      <c r="M213" s="15">
        <f t="shared" si="19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.75" x14ac:dyDescent="0.3">
      <c r="A214" s="6"/>
      <c r="C214" s="13" t="s">
        <v>549</v>
      </c>
      <c r="D214" s="13" t="str">
        <f t="shared" si="18"/>
        <v xml:space="preserve">dlgiff </v>
      </c>
      <c r="E214" s="13" t="str">
        <f t="shared" si="20"/>
        <v>s]=;L</v>
      </c>
      <c r="F214" s="21" t="s">
        <v>234</v>
      </c>
      <c r="G214" s="21" t="s">
        <v>756</v>
      </c>
      <c r="H214" s="21">
        <f t="shared" si="17"/>
        <v>102</v>
      </c>
      <c r="I214" s="21"/>
      <c r="J214" s="21" t="s">
        <v>905</v>
      </c>
      <c r="K214" s="21">
        <f t="shared" si="16"/>
        <v>107</v>
      </c>
      <c r="L214" s="21"/>
      <c r="M214" s="15">
        <f t="shared" si="19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.75" x14ac:dyDescent="0.3">
      <c r="A215" s="6">
        <v>65</v>
      </c>
      <c r="B215" t="s">
        <v>130</v>
      </c>
      <c r="C215" s="13" t="s">
        <v>550</v>
      </c>
      <c r="D215" s="13" t="str">
        <f t="shared" si="18"/>
        <v xml:space="preserve">Zofd </v>
      </c>
      <c r="E215" s="13" t="str">
        <f t="shared" si="20"/>
        <v>du/</v>
      </c>
      <c r="F215" s="21" t="s">
        <v>233</v>
      </c>
      <c r="G215" s="21" t="s">
        <v>756</v>
      </c>
      <c r="H215" s="21">
        <f t="shared" si="17"/>
        <v>99</v>
      </c>
      <c r="I215" s="21"/>
      <c r="J215" s="21" t="s">
        <v>905</v>
      </c>
      <c r="K215" s="21">
        <f t="shared" si="16"/>
        <v>164</v>
      </c>
      <c r="L215" s="21"/>
      <c r="M215" s="15">
        <f t="shared" si="19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.75" x14ac:dyDescent="0.3">
      <c r="A216" s="6"/>
      <c r="C216" s="13" t="s">
        <v>551</v>
      </c>
      <c r="D216" s="13" t="str">
        <f t="shared" si="18"/>
        <v xml:space="preserve">sNkgf </v>
      </c>
      <c r="E216" s="13" t="str">
        <f t="shared" si="20"/>
        <v>du/</v>
      </c>
      <c r="F216" s="21" t="s">
        <v>234</v>
      </c>
      <c r="G216" s="21" t="s">
        <v>756</v>
      </c>
      <c r="H216" s="21">
        <f t="shared" si="17"/>
        <v>102</v>
      </c>
      <c r="I216" s="21"/>
      <c r="J216" s="21" t="s">
        <v>906</v>
      </c>
      <c r="K216" s="21">
        <f t="shared" si="16"/>
        <v>53</v>
      </c>
      <c r="L216" s="21"/>
      <c r="M216" s="15">
        <f t="shared" si="19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.75" x14ac:dyDescent="0.3">
      <c r="A217" s="6"/>
      <c r="C217" s="13" t="s">
        <v>552</v>
      </c>
      <c r="D217" s="13" t="str">
        <f t="shared" si="18"/>
        <v xml:space="preserve">;+ho </v>
      </c>
      <c r="E217" s="13" t="str">
        <f t="shared" si="20"/>
        <v>du/</v>
      </c>
      <c r="F217" s="21" t="s">
        <v>233</v>
      </c>
      <c r="G217" s="21" t="s">
        <v>756</v>
      </c>
      <c r="H217" s="21">
        <f t="shared" si="17"/>
        <v>99</v>
      </c>
      <c r="I217" s="21"/>
      <c r="J217" s="21" t="s">
        <v>905</v>
      </c>
      <c r="K217" s="21">
        <f t="shared" si="16"/>
        <v>164</v>
      </c>
      <c r="L217" s="21"/>
      <c r="M217" s="15">
        <f t="shared" si="19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.75" x14ac:dyDescent="0.3">
      <c r="A218" s="6"/>
      <c r="C218" s="13" t="s">
        <v>553</v>
      </c>
      <c r="D218" s="13" t="str">
        <f t="shared" si="18"/>
        <v xml:space="preserve">k'ikf </v>
      </c>
      <c r="E218" s="13" t="str">
        <f t="shared" si="20"/>
        <v>kf7s</v>
      </c>
      <c r="F218" s="21" t="s">
        <v>234</v>
      </c>
      <c r="G218" s="21" t="s">
        <v>756</v>
      </c>
      <c r="H218" s="21">
        <f t="shared" si="17"/>
        <v>102</v>
      </c>
      <c r="I218" s="21"/>
      <c r="J218" s="21" t="s">
        <v>905</v>
      </c>
      <c r="K218" s="21">
        <f t="shared" si="16"/>
        <v>107</v>
      </c>
      <c r="L218" s="21"/>
      <c r="M218" s="15">
        <f t="shared" si="19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.75" x14ac:dyDescent="0.3">
      <c r="A219" s="6"/>
      <c r="C219" s="13" t="s">
        <v>554</v>
      </c>
      <c r="D219" s="13" t="str">
        <f t="shared" si="18"/>
        <v xml:space="preserve">;ofg </v>
      </c>
      <c r="E219" s="13" t="str">
        <f t="shared" si="20"/>
        <v>du/</v>
      </c>
      <c r="F219" s="21" t="s">
        <v>234</v>
      </c>
      <c r="G219" s="21" t="s">
        <v>757</v>
      </c>
      <c r="H219" s="21">
        <f t="shared" si="17"/>
        <v>54</v>
      </c>
      <c r="I219" s="21"/>
      <c r="J219" s="21" t="s">
        <v>905</v>
      </c>
      <c r="K219" s="21">
        <f t="shared" si="16"/>
        <v>107</v>
      </c>
      <c r="L219" s="21"/>
      <c r="M219" s="15">
        <f t="shared" si="19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.75" x14ac:dyDescent="0.3">
      <c r="A220" s="6"/>
      <c r="C220" s="13" t="s">
        <v>555</v>
      </c>
      <c r="D220" s="13" t="str">
        <f t="shared" si="18"/>
        <v xml:space="preserve">;fOdf]g </v>
      </c>
      <c r="E220" s="13" t="str">
        <f t="shared" si="20"/>
        <v>du/</v>
      </c>
      <c r="F220" s="21" t="s">
        <v>234</v>
      </c>
      <c r="G220" s="21" t="s">
        <v>748</v>
      </c>
      <c r="H220" s="21" t="b">
        <f t="shared" si="17"/>
        <v>0</v>
      </c>
      <c r="I220" s="21"/>
      <c r="J220" s="21" t="s">
        <v>905</v>
      </c>
      <c r="K220" s="21">
        <f t="shared" si="16"/>
        <v>107</v>
      </c>
      <c r="L220" s="21"/>
      <c r="M220" s="15">
        <f t="shared" si="19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.75" x14ac:dyDescent="0.3">
      <c r="A221" s="6">
        <v>66</v>
      </c>
      <c r="B221" t="s">
        <v>131</v>
      </c>
      <c r="C221" s="13" t="s">
        <v>556</v>
      </c>
      <c r="D221" s="13" t="str">
        <f t="shared" si="18"/>
        <v xml:space="preserve">nfn </v>
      </c>
      <c r="E221" s="13" t="str">
        <f t="shared" si="20"/>
        <v>s8]n</v>
      </c>
      <c r="F221" s="21" t="s">
        <v>233</v>
      </c>
      <c r="G221" s="21" t="s">
        <v>756</v>
      </c>
      <c r="H221" s="21">
        <f t="shared" si="17"/>
        <v>99</v>
      </c>
      <c r="I221" s="21"/>
      <c r="J221" s="21" t="s">
        <v>905</v>
      </c>
      <c r="K221" s="21">
        <f t="shared" si="16"/>
        <v>164</v>
      </c>
      <c r="L221" s="21"/>
      <c r="M221" s="15">
        <f t="shared" si="19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.75" x14ac:dyDescent="0.3">
      <c r="A222" s="6"/>
      <c r="C222" s="13" t="s">
        <v>557</v>
      </c>
      <c r="D222" s="13" t="str">
        <f t="shared" si="18"/>
        <v xml:space="preserve">1fgs'df/L </v>
      </c>
      <c r="E222" s="13" t="str">
        <f t="shared" si="20"/>
        <v>s8]n</v>
      </c>
      <c r="F222" s="21" t="s">
        <v>234</v>
      </c>
      <c r="G222" s="21" t="s">
        <v>756</v>
      </c>
      <c r="H222" s="21">
        <f t="shared" si="17"/>
        <v>102</v>
      </c>
      <c r="I222" s="21"/>
      <c r="J222" s="21" t="s">
        <v>906</v>
      </c>
      <c r="K222" s="21">
        <f t="shared" si="16"/>
        <v>53</v>
      </c>
      <c r="L222" s="21"/>
      <c r="M222" s="15">
        <f t="shared" si="19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.75" x14ac:dyDescent="0.3">
      <c r="A223" s="6"/>
      <c r="C223" s="13" t="s">
        <v>558</v>
      </c>
      <c r="D223" s="13" t="str">
        <f t="shared" si="18"/>
        <v xml:space="preserve">?xg </v>
      </c>
      <c r="E223" s="13" t="str">
        <f t="shared" si="20"/>
        <v>s8]n</v>
      </c>
      <c r="F223" s="21" t="s">
        <v>233</v>
      </c>
      <c r="G223" s="21" t="s">
        <v>757</v>
      </c>
      <c r="H223" s="21">
        <f t="shared" si="17"/>
        <v>69</v>
      </c>
      <c r="I223" s="21"/>
      <c r="J223" s="21" t="s">
        <v>905</v>
      </c>
      <c r="K223" s="21">
        <f t="shared" si="16"/>
        <v>164</v>
      </c>
      <c r="L223" s="21"/>
      <c r="M223" s="15">
        <f t="shared" si="19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.75" x14ac:dyDescent="0.3">
      <c r="A224" s="6">
        <v>67</v>
      </c>
      <c r="B224" t="s">
        <v>132</v>
      </c>
      <c r="C224" s="13" t="s">
        <v>559</v>
      </c>
      <c r="D224" s="13" t="str">
        <f t="shared" si="18"/>
        <v xml:space="preserve">clDasf </v>
      </c>
      <c r="E224" s="13" t="str">
        <f t="shared" si="20"/>
        <v>yfkf</v>
      </c>
      <c r="F224" s="21" t="s">
        <v>234</v>
      </c>
      <c r="G224" s="21" t="s">
        <v>756</v>
      </c>
      <c r="H224" s="21">
        <f t="shared" si="17"/>
        <v>102</v>
      </c>
      <c r="I224" s="21"/>
      <c r="J224" s="21" t="s">
        <v>905</v>
      </c>
      <c r="K224" s="21">
        <f t="shared" si="16"/>
        <v>107</v>
      </c>
      <c r="L224" s="21"/>
      <c r="M224" s="15">
        <f t="shared" si="19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.75" x14ac:dyDescent="0.3">
      <c r="A225" s="6"/>
      <c r="C225" s="13" t="s">
        <v>560</v>
      </c>
      <c r="D225" s="13" t="str">
        <f t="shared" si="18"/>
        <v xml:space="preserve">lqk]Gb| </v>
      </c>
      <c r="E225" s="13" t="str">
        <f t="shared" si="20"/>
        <v>If]qL</v>
      </c>
      <c r="F225" s="21" t="s">
        <v>233</v>
      </c>
      <c r="G225" s="21" t="s">
        <v>756</v>
      </c>
      <c r="H225" s="21">
        <f t="shared" si="17"/>
        <v>99</v>
      </c>
      <c r="I225" s="21"/>
      <c r="J225" s="21" t="s">
        <v>905</v>
      </c>
      <c r="K225" s="21">
        <f t="shared" si="16"/>
        <v>164</v>
      </c>
      <c r="L225" s="21"/>
      <c r="M225" s="15">
        <f t="shared" si="19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.75" x14ac:dyDescent="0.3">
      <c r="A226" s="6"/>
      <c r="C226" s="13" t="s">
        <v>561</v>
      </c>
      <c r="D226" s="13" t="str">
        <f t="shared" si="18"/>
        <v xml:space="preserve">lIflth </v>
      </c>
      <c r="E226" s="13" t="str">
        <f t="shared" si="20"/>
        <v>yfkf</v>
      </c>
      <c r="F226" s="21" t="s">
        <v>233</v>
      </c>
      <c r="G226" s="21" t="s">
        <v>757</v>
      </c>
      <c r="H226" s="21">
        <f t="shared" si="17"/>
        <v>69</v>
      </c>
      <c r="I226" s="21"/>
      <c r="J226" s="21" t="s">
        <v>905</v>
      </c>
      <c r="K226" s="21">
        <f t="shared" si="16"/>
        <v>164</v>
      </c>
      <c r="L226" s="21"/>
      <c r="M226" s="15">
        <f t="shared" si="19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.75" x14ac:dyDescent="0.3">
      <c r="A227" s="6"/>
      <c r="C227" s="13" t="s">
        <v>562</v>
      </c>
      <c r="D227" s="13" t="str">
        <f t="shared" si="18"/>
        <v xml:space="preserve">ck]Iff </v>
      </c>
      <c r="E227" s="13" t="str">
        <f t="shared" si="20"/>
        <v>yfkf</v>
      </c>
      <c r="F227" s="21" t="s">
        <v>234</v>
      </c>
      <c r="G227" s="21" t="s">
        <v>757</v>
      </c>
      <c r="H227" s="21">
        <f t="shared" si="17"/>
        <v>54</v>
      </c>
      <c r="I227" s="21"/>
      <c r="J227" s="21" t="s">
        <v>905</v>
      </c>
      <c r="K227" s="21">
        <f t="shared" si="16"/>
        <v>107</v>
      </c>
      <c r="L227" s="21"/>
      <c r="M227" s="15">
        <f t="shared" si="19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.75" x14ac:dyDescent="0.3">
      <c r="A228" s="6">
        <v>69</v>
      </c>
      <c r="B228" t="s">
        <v>134</v>
      </c>
      <c r="C228" s="13" t="s">
        <v>564</v>
      </c>
      <c r="D228" s="13" t="str">
        <f t="shared" si="18"/>
        <v xml:space="preserve">s]z/ </v>
      </c>
      <c r="E228" s="13" t="str">
        <f t="shared" si="20"/>
        <v>&gt;]i7</v>
      </c>
      <c r="F228" s="21" t="s">
        <v>233</v>
      </c>
      <c r="G228" s="21" t="s">
        <v>756</v>
      </c>
      <c r="H228" s="21">
        <f t="shared" si="17"/>
        <v>99</v>
      </c>
      <c r="I228" s="21"/>
      <c r="J228" s="21" t="s">
        <v>905</v>
      </c>
      <c r="K228" s="21">
        <f t="shared" si="16"/>
        <v>164</v>
      </c>
      <c r="L228" s="21"/>
      <c r="M228" s="15">
        <f t="shared" si="19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.75" x14ac:dyDescent="0.3">
      <c r="A229" s="6"/>
      <c r="C229" s="13" t="s">
        <v>565</v>
      </c>
      <c r="D229" s="13" t="str">
        <f t="shared" si="18"/>
        <v xml:space="preserve">;+lutf </v>
      </c>
      <c r="E229" s="13" t="str">
        <f t="shared" si="20"/>
        <v>&gt;]i7</v>
      </c>
      <c r="F229" s="21" t="s">
        <v>234</v>
      </c>
      <c r="G229" s="21" t="s">
        <v>756</v>
      </c>
      <c r="H229" s="21">
        <f t="shared" si="17"/>
        <v>102</v>
      </c>
      <c r="I229" s="21"/>
      <c r="J229" s="21" t="s">
        <v>905</v>
      </c>
      <c r="K229" s="21">
        <f t="shared" si="16"/>
        <v>107</v>
      </c>
      <c r="L229" s="21"/>
      <c r="M229" s="15">
        <f t="shared" si="19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.75" x14ac:dyDescent="0.3">
      <c r="A230" s="6"/>
      <c r="C230" s="13" t="s">
        <v>566</v>
      </c>
      <c r="D230" s="13" t="str">
        <f t="shared" si="18"/>
        <v xml:space="preserve">;ljgf </v>
      </c>
      <c r="E230" s="13" t="str">
        <f t="shared" si="20"/>
        <v>&gt;]i7</v>
      </c>
      <c r="F230" s="21" t="s">
        <v>234</v>
      </c>
      <c r="G230" s="21" t="s">
        <v>757</v>
      </c>
      <c r="H230" s="21">
        <f t="shared" si="17"/>
        <v>54</v>
      </c>
      <c r="I230" s="21"/>
      <c r="J230" s="21" t="s">
        <v>905</v>
      </c>
      <c r="K230" s="21">
        <f t="shared" si="16"/>
        <v>107</v>
      </c>
      <c r="L230" s="21"/>
      <c r="M230" s="15">
        <f t="shared" si="19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.75" x14ac:dyDescent="0.3">
      <c r="A231" s="6"/>
      <c r="C231" s="13" t="s">
        <v>567</v>
      </c>
      <c r="D231" s="13" t="str">
        <f t="shared" si="18"/>
        <v xml:space="preserve">;lngf </v>
      </c>
      <c r="E231" s="13" t="str">
        <f t="shared" si="20"/>
        <v>&gt;]i7</v>
      </c>
      <c r="F231" s="21" t="s">
        <v>234</v>
      </c>
      <c r="G231" s="21" t="s">
        <v>757</v>
      </c>
      <c r="H231" s="21">
        <f t="shared" si="17"/>
        <v>54</v>
      </c>
      <c r="I231" s="21"/>
      <c r="J231" s="21" t="s">
        <v>905</v>
      </c>
      <c r="K231" s="21">
        <f t="shared" si="16"/>
        <v>107</v>
      </c>
      <c r="L231" s="21"/>
      <c r="M231" s="15">
        <f t="shared" si="19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.75" x14ac:dyDescent="0.3">
      <c r="A232" s="6"/>
      <c r="C232" s="13" t="s">
        <v>568</v>
      </c>
      <c r="D232" s="13" t="str">
        <f t="shared" si="18"/>
        <v xml:space="preserve">/f]zg </v>
      </c>
      <c r="E232" s="13" t="str">
        <f t="shared" si="20"/>
        <v>&gt;]i7</v>
      </c>
      <c r="F232" s="21" t="s">
        <v>233</v>
      </c>
      <c r="G232" s="21" t="s">
        <v>757</v>
      </c>
      <c r="H232" s="21">
        <f t="shared" si="17"/>
        <v>69</v>
      </c>
      <c r="I232" s="21"/>
      <c r="J232" s="21" t="s">
        <v>905</v>
      </c>
      <c r="K232" s="21">
        <f t="shared" si="16"/>
        <v>164</v>
      </c>
      <c r="L232" s="21"/>
      <c r="M232" s="15">
        <f t="shared" si="19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.75" x14ac:dyDescent="0.3">
      <c r="A233" s="6">
        <v>71</v>
      </c>
      <c r="B233" t="s">
        <v>136</v>
      </c>
      <c r="C233" s="13" t="s">
        <v>573</v>
      </c>
      <c r="D233" s="13" t="str">
        <f t="shared" si="18"/>
        <v xml:space="preserve">af;'b]a </v>
      </c>
      <c r="E233" s="13" t="str">
        <f t="shared" si="20"/>
        <v>dNn</v>
      </c>
      <c r="F233" s="21" t="s">
        <v>233</v>
      </c>
      <c r="G233" s="21" t="s">
        <v>756</v>
      </c>
      <c r="H233" s="21">
        <f t="shared" si="17"/>
        <v>99</v>
      </c>
      <c r="I233" s="21"/>
      <c r="J233" s="21" t="s">
        <v>905</v>
      </c>
      <c r="K233" s="21">
        <f t="shared" si="16"/>
        <v>164</v>
      </c>
      <c r="L233" s="21"/>
      <c r="M233" s="15">
        <f t="shared" si="19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.75" x14ac:dyDescent="0.3">
      <c r="A234" s="6"/>
      <c r="C234" s="13" t="s">
        <v>574</v>
      </c>
      <c r="D234" s="13" t="str">
        <f t="shared" si="18"/>
        <v xml:space="preserve">rËf </v>
      </c>
      <c r="E234" s="13" t="str">
        <f t="shared" si="20"/>
        <v>&gt;]i7</v>
      </c>
      <c r="F234" s="21" t="s">
        <v>234</v>
      </c>
      <c r="G234" s="21" t="s">
        <v>756</v>
      </c>
      <c r="H234" s="21">
        <f t="shared" si="17"/>
        <v>102</v>
      </c>
      <c r="I234" s="21"/>
      <c r="J234" s="21" t="s">
        <v>906</v>
      </c>
      <c r="K234" s="21">
        <f t="shared" si="16"/>
        <v>53</v>
      </c>
      <c r="L234" s="21"/>
      <c r="M234" s="15">
        <f t="shared" si="19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.75" x14ac:dyDescent="0.3">
      <c r="A235" s="6">
        <v>72</v>
      </c>
      <c r="B235" t="s">
        <v>137</v>
      </c>
      <c r="C235" s="13" t="s">
        <v>575</v>
      </c>
      <c r="D235" s="13" t="str">
        <f t="shared" si="18"/>
        <v xml:space="preserve">lxt]]Gb| </v>
      </c>
      <c r="E235" s="13" t="str">
        <f t="shared" si="20"/>
        <v>If]qL</v>
      </c>
      <c r="F235" s="21" t="s">
        <v>233</v>
      </c>
      <c r="G235" s="21" t="s">
        <v>756</v>
      </c>
      <c r="H235" s="21">
        <f t="shared" si="17"/>
        <v>99</v>
      </c>
      <c r="I235" s="21"/>
      <c r="J235" s="21" t="s">
        <v>905</v>
      </c>
      <c r="K235" s="21">
        <f t="shared" si="16"/>
        <v>164</v>
      </c>
      <c r="L235" s="21"/>
      <c r="M235" s="15">
        <f t="shared" si="19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.75" x14ac:dyDescent="0.3">
      <c r="A236" s="6"/>
      <c r="C236" s="13" t="s">
        <v>576</v>
      </c>
      <c r="D236" s="13" t="str">
        <f t="shared" si="18"/>
        <v xml:space="preserve">cGh' </v>
      </c>
      <c r="E236" s="13" t="str">
        <f t="shared" si="20"/>
        <v>;'a]bL</v>
      </c>
      <c r="F236" s="21" t="s">
        <v>234</v>
      </c>
      <c r="G236" s="21" t="s">
        <v>756</v>
      </c>
      <c r="H236" s="21">
        <f t="shared" si="17"/>
        <v>102</v>
      </c>
      <c r="I236" s="21"/>
      <c r="J236" s="21" t="s">
        <v>905</v>
      </c>
      <c r="K236" s="21">
        <f t="shared" si="16"/>
        <v>107</v>
      </c>
      <c r="L236" s="21"/>
      <c r="M236" s="15">
        <f t="shared" si="19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.75" x14ac:dyDescent="0.3">
      <c r="A237" s="6"/>
      <c r="C237" s="13" t="s">
        <v>577</v>
      </c>
      <c r="D237" s="13" t="str">
        <f t="shared" si="18"/>
        <v xml:space="preserve">xlif{t </v>
      </c>
      <c r="E237" s="13" t="str">
        <f t="shared" si="20"/>
        <v>If]qL</v>
      </c>
      <c r="F237" s="21" t="s">
        <v>233</v>
      </c>
      <c r="G237" s="21" t="s">
        <v>757</v>
      </c>
      <c r="H237" s="21">
        <f t="shared" si="17"/>
        <v>69</v>
      </c>
      <c r="I237" s="21"/>
      <c r="J237" s="21" t="s">
        <v>905</v>
      </c>
      <c r="K237" s="21">
        <f t="shared" si="16"/>
        <v>164</v>
      </c>
      <c r="L237" s="21"/>
      <c r="M237" s="15">
        <f t="shared" si="19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.75" x14ac:dyDescent="0.3">
      <c r="A238" s="6"/>
      <c r="C238" s="13" t="s">
        <v>578</v>
      </c>
      <c r="D238" s="13" t="str">
        <f t="shared" si="18"/>
        <v xml:space="preserve">cfudg </v>
      </c>
      <c r="E238" s="13" t="str">
        <f t="shared" si="20"/>
        <v>If]qL</v>
      </c>
      <c r="F238" s="21" t="s">
        <v>233</v>
      </c>
      <c r="G238" s="21" t="s">
        <v>748</v>
      </c>
      <c r="H238" s="21" t="b">
        <f t="shared" si="17"/>
        <v>0</v>
      </c>
      <c r="I238" s="21"/>
      <c r="J238" s="21" t="s">
        <v>905</v>
      </c>
      <c r="K238" s="21">
        <f t="shared" si="16"/>
        <v>164</v>
      </c>
      <c r="L238" s="21"/>
      <c r="M238" s="15">
        <f t="shared" si="19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.75" x14ac:dyDescent="0.3">
      <c r="A239" s="6">
        <v>73</v>
      </c>
      <c r="B239" t="s">
        <v>138</v>
      </c>
      <c r="C239" s="13" t="s">
        <v>579</v>
      </c>
      <c r="D239" s="13" t="str">
        <f t="shared" si="18"/>
        <v xml:space="preserve">lbAof </v>
      </c>
      <c r="E239" s="13" t="str">
        <f t="shared" si="20"/>
        <v>uf}td</v>
      </c>
      <c r="F239" s="21" t="s">
        <v>234</v>
      </c>
      <c r="G239" s="21" t="s">
        <v>756</v>
      </c>
      <c r="H239" s="21">
        <f t="shared" si="17"/>
        <v>102</v>
      </c>
      <c r="I239" s="21"/>
      <c r="J239" s="21" t="s">
        <v>905</v>
      </c>
      <c r="K239" s="21">
        <f t="shared" si="16"/>
        <v>107</v>
      </c>
      <c r="L239" s="21"/>
      <c r="M239" s="15">
        <f t="shared" si="19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.75" x14ac:dyDescent="0.3">
      <c r="A240" s="6"/>
      <c r="C240" s="13" t="s">
        <v>580</v>
      </c>
      <c r="D240" s="13" t="str">
        <f t="shared" si="18"/>
        <v xml:space="preserve">k|sfz </v>
      </c>
      <c r="E240" s="13" t="str">
        <f t="shared" si="20"/>
        <v>uf}td</v>
      </c>
      <c r="F240" s="21" t="s">
        <v>233</v>
      </c>
      <c r="G240" s="21" t="s">
        <v>756</v>
      </c>
      <c r="H240" s="21">
        <f t="shared" si="17"/>
        <v>99</v>
      </c>
      <c r="I240" s="21"/>
      <c r="J240" s="21" t="s">
        <v>905</v>
      </c>
      <c r="K240" s="21">
        <f t="shared" si="16"/>
        <v>164</v>
      </c>
      <c r="L240" s="21"/>
      <c r="M240" s="15">
        <f t="shared" si="19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.75" x14ac:dyDescent="0.3">
      <c r="A241" s="6"/>
      <c r="C241" s="13" t="s">
        <v>581</v>
      </c>
      <c r="D241" s="13" t="str">
        <f t="shared" si="18"/>
        <v xml:space="preserve">k|Ghn </v>
      </c>
      <c r="E241" s="13" t="str">
        <f t="shared" si="20"/>
        <v>uf}td</v>
      </c>
      <c r="F241" s="21" t="s">
        <v>233</v>
      </c>
      <c r="G241" s="21" t="s">
        <v>757</v>
      </c>
      <c r="H241" s="21">
        <f t="shared" si="17"/>
        <v>69</v>
      </c>
      <c r="I241" s="21"/>
      <c r="J241" s="21" t="s">
        <v>905</v>
      </c>
      <c r="K241" s="21">
        <f t="shared" si="16"/>
        <v>164</v>
      </c>
      <c r="L241" s="21"/>
      <c r="M241" s="15">
        <f t="shared" si="19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.75" x14ac:dyDescent="0.3">
      <c r="A242" s="6"/>
      <c r="C242" s="13" t="s">
        <v>582</v>
      </c>
      <c r="D242" s="13" t="str">
        <f t="shared" si="18"/>
        <v xml:space="preserve">k|z+;f </v>
      </c>
      <c r="E242" s="13" t="str">
        <f t="shared" si="20"/>
        <v>uf}td</v>
      </c>
      <c r="F242" s="21" t="s">
        <v>234</v>
      </c>
      <c r="G242" s="21" t="s">
        <v>757</v>
      </c>
      <c r="H242" s="21">
        <f t="shared" si="17"/>
        <v>54</v>
      </c>
      <c r="I242" s="21"/>
      <c r="J242" s="21" t="s">
        <v>905</v>
      </c>
      <c r="K242" s="21">
        <f t="shared" si="16"/>
        <v>107</v>
      </c>
      <c r="L242" s="21"/>
      <c r="M242" s="15">
        <f t="shared" si="19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.75" x14ac:dyDescent="0.3">
      <c r="A243" s="6">
        <v>74</v>
      </c>
      <c r="B243" t="s">
        <v>139</v>
      </c>
      <c r="C243" s="13" t="s">
        <v>583</v>
      </c>
      <c r="D243" s="13" t="str">
        <f t="shared" si="18"/>
        <v xml:space="preserve">ofbj </v>
      </c>
      <c r="E243" s="13" t="str">
        <f t="shared" si="20"/>
        <v>af;sf]6f</v>
      </c>
      <c r="F243" s="21" t="s">
        <v>233</v>
      </c>
      <c r="G243" s="21" t="s">
        <v>756</v>
      </c>
      <c r="H243" s="21">
        <f t="shared" si="17"/>
        <v>99</v>
      </c>
      <c r="I243" s="21"/>
      <c r="J243" s="21" t="s">
        <v>905</v>
      </c>
      <c r="K243" s="21">
        <f t="shared" si="16"/>
        <v>164</v>
      </c>
      <c r="L243" s="21"/>
      <c r="M243" s="15">
        <f t="shared" si="19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.75" x14ac:dyDescent="0.3">
      <c r="A244" s="6">
        <v>75</v>
      </c>
      <c r="B244" t="s">
        <v>140</v>
      </c>
      <c r="C244" s="13" t="s">
        <v>584</v>
      </c>
      <c r="D244" s="13" t="str">
        <f t="shared" si="18"/>
        <v xml:space="preserve">hfgsL </v>
      </c>
      <c r="E244" s="13" t="str">
        <f t="shared" si="20"/>
        <v>v8\sf</v>
      </c>
      <c r="F244" s="21" t="s">
        <v>234</v>
      </c>
      <c r="G244" s="21" t="s">
        <v>757</v>
      </c>
      <c r="H244" s="21">
        <f t="shared" si="17"/>
        <v>54</v>
      </c>
      <c r="I244" s="21"/>
      <c r="J244" s="21" t="s">
        <v>905</v>
      </c>
      <c r="K244" s="21">
        <f t="shared" si="16"/>
        <v>107</v>
      </c>
      <c r="L244" s="21"/>
      <c r="M244" s="15">
        <f t="shared" si="19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.75" x14ac:dyDescent="0.3">
      <c r="A245" s="6"/>
      <c r="C245" s="13" t="s">
        <v>585</v>
      </c>
      <c r="D245" s="13" t="str">
        <f t="shared" si="18"/>
        <v xml:space="preserve">lr/fu </v>
      </c>
      <c r="E245" s="13" t="str">
        <f t="shared" si="20"/>
        <v>v8\sf</v>
      </c>
      <c r="F245" s="21" t="s">
        <v>233</v>
      </c>
      <c r="G245" s="21" t="s">
        <v>757</v>
      </c>
      <c r="H245" s="21">
        <f t="shared" si="17"/>
        <v>69</v>
      </c>
      <c r="I245" s="21"/>
      <c r="J245" s="21" t="s">
        <v>905</v>
      </c>
      <c r="K245" s="21">
        <f t="shared" si="16"/>
        <v>164</v>
      </c>
      <c r="L245" s="21"/>
      <c r="M245" s="15">
        <f t="shared" si="19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.75" x14ac:dyDescent="0.3">
      <c r="A246" s="6"/>
      <c r="C246" s="13" t="s">
        <v>586</v>
      </c>
      <c r="D246" s="13" t="str">
        <f t="shared" si="18"/>
        <v xml:space="preserve">sljtf </v>
      </c>
      <c r="E246" s="13" t="str">
        <f t="shared" si="20"/>
        <v>v8\sf</v>
      </c>
      <c r="F246" s="21" t="s">
        <v>234</v>
      </c>
      <c r="G246" s="21" t="s">
        <v>757</v>
      </c>
      <c r="H246" s="21">
        <f t="shared" si="17"/>
        <v>54</v>
      </c>
      <c r="I246" s="21"/>
      <c r="J246" s="21" t="s">
        <v>905</v>
      </c>
      <c r="K246" s="21">
        <f t="shared" si="16"/>
        <v>107</v>
      </c>
      <c r="L246" s="21"/>
      <c r="M246" s="15">
        <f t="shared" si="19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.75" x14ac:dyDescent="0.3">
      <c r="A247" s="6">
        <v>76</v>
      </c>
      <c r="B247" t="s">
        <v>141</v>
      </c>
      <c r="C247" s="13" t="s">
        <v>587</v>
      </c>
      <c r="D247" s="13" t="str">
        <f t="shared" si="18"/>
        <v xml:space="preserve">lzj </v>
      </c>
      <c r="E247" s="13" t="str">
        <f t="shared" si="20"/>
        <v>r'8fn</v>
      </c>
      <c r="F247" s="21" t="s">
        <v>233</v>
      </c>
      <c r="G247" s="21" t="s">
        <v>756</v>
      </c>
      <c r="H247" s="21">
        <f t="shared" si="17"/>
        <v>99</v>
      </c>
      <c r="I247" s="21"/>
      <c r="J247" s="21" t="s">
        <v>905</v>
      </c>
      <c r="K247" s="21">
        <f t="shared" si="16"/>
        <v>164</v>
      </c>
      <c r="L247" s="21"/>
      <c r="M247" s="15">
        <f t="shared" si="19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.75" x14ac:dyDescent="0.3">
      <c r="A248" s="6"/>
      <c r="C248" s="13" t="s">
        <v>588</v>
      </c>
      <c r="D248" s="13" t="str">
        <f t="shared" si="18"/>
        <v xml:space="preserve">;+uLtf </v>
      </c>
      <c r="E248" s="13" t="str">
        <f t="shared" si="20"/>
        <v>r'8fn</v>
      </c>
      <c r="F248" s="21" t="s">
        <v>234</v>
      </c>
      <c r="G248" s="21" t="s">
        <v>756</v>
      </c>
      <c r="H248" s="21">
        <f t="shared" si="17"/>
        <v>102</v>
      </c>
      <c r="I248" s="21"/>
      <c r="J248" s="21" t="s">
        <v>906</v>
      </c>
      <c r="K248" s="21">
        <f t="shared" si="16"/>
        <v>53</v>
      </c>
      <c r="L248" s="21"/>
      <c r="M248" s="15">
        <f t="shared" si="19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.75" x14ac:dyDescent="0.3">
      <c r="A249" s="6"/>
      <c r="C249" s="13" t="s">
        <v>589</v>
      </c>
      <c r="D249" s="13" t="str">
        <f t="shared" si="18"/>
        <v xml:space="preserve">cl:dtf </v>
      </c>
      <c r="E249" s="13" t="str">
        <f t="shared" si="20"/>
        <v>r'8fn</v>
      </c>
      <c r="F249" s="21" t="s">
        <v>234</v>
      </c>
      <c r="G249" s="21" t="s">
        <v>757</v>
      </c>
      <c r="H249" s="21">
        <f t="shared" si="17"/>
        <v>54</v>
      </c>
      <c r="I249" s="21"/>
      <c r="J249" s="21" t="s">
        <v>905</v>
      </c>
      <c r="K249" s="21">
        <f t="shared" si="16"/>
        <v>107</v>
      </c>
      <c r="L249" s="21"/>
      <c r="M249" s="15">
        <f t="shared" si="19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.75" x14ac:dyDescent="0.3">
      <c r="A250" s="6"/>
      <c r="C250" s="13" t="s">
        <v>590</v>
      </c>
      <c r="D250" s="13" t="str">
        <f t="shared" si="18"/>
        <v xml:space="preserve">k|]/0ff </v>
      </c>
      <c r="E250" s="13" t="str">
        <f t="shared" si="20"/>
        <v>r'8fn</v>
      </c>
      <c r="F250" s="21" t="s">
        <v>234</v>
      </c>
      <c r="G250" s="21" t="s">
        <v>757</v>
      </c>
      <c r="H250" s="21">
        <f t="shared" si="17"/>
        <v>54</v>
      </c>
      <c r="I250" s="21"/>
      <c r="J250" s="21" t="s">
        <v>905</v>
      </c>
      <c r="K250" s="21">
        <f t="shared" si="16"/>
        <v>107</v>
      </c>
      <c r="L250" s="21"/>
      <c r="M250" s="15">
        <f t="shared" si="19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.75" x14ac:dyDescent="0.3">
      <c r="A251" s="6">
        <v>77</v>
      </c>
      <c r="B251" t="s">
        <v>142</v>
      </c>
      <c r="C251" s="13" t="s">
        <v>591</v>
      </c>
      <c r="D251" s="13" t="str">
        <f t="shared" si="18"/>
        <v xml:space="preserve">lg? </v>
      </c>
      <c r="E251" s="13" t="str">
        <f t="shared" si="20"/>
        <v>ljZjsdf{</v>
      </c>
      <c r="F251" s="21" t="s">
        <v>234</v>
      </c>
      <c r="G251" s="21" t="s">
        <v>756</v>
      </c>
      <c r="H251" s="21">
        <f t="shared" si="17"/>
        <v>102</v>
      </c>
      <c r="I251" s="21"/>
      <c r="J251" s="21" t="s">
        <v>906</v>
      </c>
      <c r="K251" s="21">
        <f t="shared" si="16"/>
        <v>53</v>
      </c>
      <c r="L251" s="21"/>
      <c r="M251" s="15">
        <f t="shared" si="19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.75" x14ac:dyDescent="0.3">
      <c r="A252" s="6"/>
      <c r="C252" s="13" t="s">
        <v>482</v>
      </c>
      <c r="D252" s="13" t="str">
        <f t="shared" si="18"/>
        <v xml:space="preserve">6]s </v>
      </c>
      <c r="E252" s="13" t="str">
        <f t="shared" si="20"/>
        <v>ljZjsdf{</v>
      </c>
      <c r="F252" s="21" t="s">
        <v>233</v>
      </c>
      <c r="G252" s="21" t="s">
        <v>756</v>
      </c>
      <c r="H252" s="21">
        <f t="shared" si="17"/>
        <v>99</v>
      </c>
      <c r="I252" s="21"/>
      <c r="J252" s="21" t="s">
        <v>905</v>
      </c>
      <c r="K252" s="21">
        <f t="shared" si="16"/>
        <v>164</v>
      </c>
      <c r="L252" s="21"/>
      <c r="M252" s="15">
        <f t="shared" si="19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.75" x14ac:dyDescent="0.3">
      <c r="A253" s="6"/>
      <c r="C253" s="13" t="s">
        <v>592</v>
      </c>
      <c r="D253" s="13" t="str">
        <f t="shared" si="18"/>
        <v xml:space="preserve">lg;fg </v>
      </c>
      <c r="E253" s="13" t="str">
        <f t="shared" si="20"/>
        <v>uxt/fh</v>
      </c>
      <c r="F253" s="21" t="s">
        <v>233</v>
      </c>
      <c r="G253" s="21" t="s">
        <v>757</v>
      </c>
      <c r="H253" s="21">
        <f t="shared" si="17"/>
        <v>69</v>
      </c>
      <c r="I253" s="21"/>
      <c r="J253" s="21" t="s">
        <v>905</v>
      </c>
      <c r="K253" s="21">
        <f t="shared" si="16"/>
        <v>164</v>
      </c>
      <c r="L253" s="21"/>
      <c r="M253" s="15">
        <f t="shared" si="19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.75" x14ac:dyDescent="0.3">
      <c r="A254" s="6">
        <v>78</v>
      </c>
      <c r="B254" t="s">
        <v>143</v>
      </c>
      <c r="C254" s="13" t="s">
        <v>593</v>
      </c>
      <c r="D254" s="13" t="str">
        <f t="shared" si="18"/>
        <v xml:space="preserve">s'zn </v>
      </c>
      <c r="E254" s="13" t="str">
        <f t="shared" si="20"/>
        <v>wfdL</v>
      </c>
      <c r="F254" s="21" t="s">
        <v>233</v>
      </c>
      <c r="G254" s="21" t="s">
        <v>756</v>
      </c>
      <c r="H254" s="21">
        <f t="shared" si="17"/>
        <v>99</v>
      </c>
      <c r="I254" s="21"/>
      <c r="J254" s="21" t="s">
        <v>905</v>
      </c>
      <c r="K254" s="21">
        <f t="shared" si="16"/>
        <v>164</v>
      </c>
      <c r="L254" s="21"/>
      <c r="M254" s="15">
        <f t="shared" si="19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.75" x14ac:dyDescent="0.3">
      <c r="A255" s="6"/>
      <c r="C255" s="13" t="s">
        <v>594</v>
      </c>
      <c r="D255" s="13" t="str">
        <f t="shared" si="18"/>
        <v xml:space="preserve">&gt;LdtL </v>
      </c>
      <c r="E255" s="13" t="str">
        <f t="shared" si="20"/>
        <v>wfdL</v>
      </c>
      <c r="F255" s="21" t="s">
        <v>234</v>
      </c>
      <c r="G255" s="21" t="s">
        <v>756</v>
      </c>
      <c r="H255" s="21">
        <f t="shared" si="17"/>
        <v>102</v>
      </c>
      <c r="I255" s="21"/>
      <c r="J255" s="21" t="s">
        <v>906</v>
      </c>
      <c r="K255" s="21">
        <f t="shared" si="16"/>
        <v>53</v>
      </c>
      <c r="L255" s="21"/>
      <c r="M255" s="15">
        <f t="shared" si="19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.75" x14ac:dyDescent="0.3">
      <c r="A256" s="6"/>
      <c r="C256" s="13" t="s">
        <v>595</v>
      </c>
      <c r="D256" s="13" t="str">
        <f t="shared" si="18"/>
        <v xml:space="preserve">gljg </v>
      </c>
      <c r="E256" s="13" t="str">
        <f t="shared" si="20"/>
        <v>wfdL</v>
      </c>
      <c r="F256" s="21" t="s">
        <v>233</v>
      </c>
      <c r="G256" s="21" t="s">
        <v>757</v>
      </c>
      <c r="H256" s="21">
        <f t="shared" si="17"/>
        <v>69</v>
      </c>
      <c r="I256" s="21"/>
      <c r="J256" s="21" t="s">
        <v>905</v>
      </c>
      <c r="K256" s="21">
        <f t="shared" si="16"/>
        <v>164</v>
      </c>
      <c r="L256" s="21"/>
      <c r="M256" s="15">
        <f t="shared" si="19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.75" x14ac:dyDescent="0.3">
      <c r="A257" s="6">
        <v>81</v>
      </c>
      <c r="B257" t="s">
        <v>146</v>
      </c>
      <c r="C257" s="13" t="s">
        <v>604</v>
      </c>
      <c r="D257" s="13" t="str">
        <f t="shared" si="18"/>
        <v xml:space="preserve">hLt </v>
      </c>
      <c r="E257" s="13" t="str">
        <f t="shared" si="20"/>
        <v>a'9fyf]sL</v>
      </c>
      <c r="F257" s="21" t="s">
        <v>233</v>
      </c>
      <c r="G257" s="21" t="s">
        <v>756</v>
      </c>
      <c r="H257" s="21">
        <f t="shared" si="17"/>
        <v>99</v>
      </c>
      <c r="I257" s="21"/>
      <c r="J257" s="21" t="s">
        <v>905</v>
      </c>
      <c r="K257" s="21">
        <f t="shared" si="16"/>
        <v>164</v>
      </c>
      <c r="L257" s="21"/>
      <c r="M257" s="15">
        <f t="shared" si="19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.75" x14ac:dyDescent="0.3">
      <c r="A258" s="6"/>
      <c r="C258" s="13" t="s">
        <v>605</v>
      </c>
      <c r="D258" s="13" t="str">
        <f t="shared" si="18"/>
        <v xml:space="preserve">l/tf </v>
      </c>
      <c r="E258" s="13" t="str">
        <f t="shared" si="20"/>
        <v>s]=;L</v>
      </c>
      <c r="F258" s="21" t="s">
        <v>234</v>
      </c>
      <c r="G258" s="21" t="s">
        <v>756</v>
      </c>
      <c r="H258" s="21">
        <f t="shared" si="17"/>
        <v>102</v>
      </c>
      <c r="I258" s="21"/>
      <c r="J258" s="21" t="s">
        <v>905</v>
      </c>
      <c r="K258" s="21">
        <f t="shared" si="16"/>
        <v>107</v>
      </c>
      <c r="L258" s="21"/>
      <c r="M258" s="15">
        <f t="shared" si="19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.75" x14ac:dyDescent="0.3">
      <c r="A259" s="6"/>
      <c r="C259" s="13" t="s">
        <v>606</v>
      </c>
      <c r="D259" s="13" t="str">
        <f t="shared" si="18"/>
        <v xml:space="preserve">s[idf </v>
      </c>
      <c r="E259" s="13" t="str">
        <f t="shared" si="20"/>
        <v>a'9fyf]sL</v>
      </c>
      <c r="F259" s="21" t="s">
        <v>234</v>
      </c>
      <c r="G259" s="21" t="s">
        <v>757</v>
      </c>
      <c r="H259" s="21">
        <f t="shared" si="17"/>
        <v>54</v>
      </c>
      <c r="I259" s="21"/>
      <c r="J259" s="21" t="s">
        <v>905</v>
      </c>
      <c r="K259" s="21">
        <f t="shared" si="16"/>
        <v>107</v>
      </c>
      <c r="L259" s="21"/>
      <c r="M259" s="15">
        <f t="shared" si="19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.75" x14ac:dyDescent="0.3">
      <c r="A260" s="6"/>
      <c r="C260" s="13" t="s">
        <v>607</v>
      </c>
      <c r="D260" s="13" t="str">
        <f t="shared" si="18"/>
        <v xml:space="preserve">k|lht </v>
      </c>
      <c r="E260" s="13" t="str">
        <f t="shared" si="20"/>
        <v>a'9fyf]sL</v>
      </c>
      <c r="F260" s="21" t="s">
        <v>233</v>
      </c>
      <c r="G260" s="21" t="s">
        <v>748</v>
      </c>
      <c r="H260" s="21" t="b">
        <f t="shared" si="17"/>
        <v>0</v>
      </c>
      <c r="I260" s="21"/>
      <c r="J260" s="21" t="s">
        <v>905</v>
      </c>
      <c r="K260" s="21">
        <f t="shared" ref="K260:K323" si="21">IF(M260&gt;=5,(COUNTIFS($J$4:$J$348,J260,$F$4:$F$348,F260)))</f>
        <v>164</v>
      </c>
      <c r="L260" s="21"/>
      <c r="M260" s="15">
        <f t="shared" si="19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.75" x14ac:dyDescent="0.3">
      <c r="A261" s="6">
        <v>82</v>
      </c>
      <c r="B261" t="s">
        <v>147</v>
      </c>
      <c r="C261" s="13" t="s">
        <v>608</v>
      </c>
      <c r="D261" s="13" t="str">
        <f t="shared" si="18"/>
        <v xml:space="preserve">zld{nf </v>
      </c>
      <c r="E261" s="13" t="str">
        <f t="shared" si="20"/>
        <v>uf}td</v>
      </c>
      <c r="F261" s="21" t="s">
        <v>234</v>
      </c>
      <c r="G261" s="21" t="s">
        <v>756</v>
      </c>
      <c r="H261" s="21">
        <f t="shared" ref="H261:H324" si="22">IF(M261&gt;=10,(COUNTIFS($G$4:$G$348,G261,$F$4:$F$348,F261)))</f>
        <v>102</v>
      </c>
      <c r="I261" s="21"/>
      <c r="J261" s="21" t="s">
        <v>905</v>
      </c>
      <c r="K261" s="21">
        <f t="shared" si="21"/>
        <v>107</v>
      </c>
      <c r="L261" s="21"/>
      <c r="M261" s="15">
        <f t="shared" si="19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.75" x14ac:dyDescent="0.3">
      <c r="A262" s="6"/>
      <c r="C262" s="13" t="s">
        <v>609</v>
      </c>
      <c r="D262" s="13" t="str">
        <f t="shared" si="18"/>
        <v xml:space="preserve">ljsf;s </v>
      </c>
      <c r="E262" s="13" t="str">
        <f t="shared" si="20"/>
        <v>lu/L</v>
      </c>
      <c r="F262" s="21" t="s">
        <v>233</v>
      </c>
      <c r="G262" s="21" t="s">
        <v>757</v>
      </c>
      <c r="H262" s="21">
        <f t="shared" si="22"/>
        <v>69</v>
      </c>
      <c r="I262" s="21"/>
      <c r="J262" s="21" t="s">
        <v>905</v>
      </c>
      <c r="K262" s="21">
        <f t="shared" si="21"/>
        <v>164</v>
      </c>
      <c r="L262" s="21"/>
      <c r="M262" s="15">
        <f t="shared" si="19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.75" x14ac:dyDescent="0.3">
      <c r="A263" s="6">
        <v>84</v>
      </c>
      <c r="B263" t="s">
        <v>149</v>
      </c>
      <c r="C263" s="13" t="s">
        <v>614</v>
      </c>
      <c r="D263" s="13" t="str">
        <f t="shared" ref="D263:D326" si="23">LEFT(C263,(FIND(" ",C263)))</f>
        <v xml:space="preserve">v8\u </v>
      </c>
      <c r="E263" s="13" t="str">
        <f t="shared" si="20"/>
        <v>&gt;]i7</v>
      </c>
      <c r="F263" s="21" t="s">
        <v>233</v>
      </c>
      <c r="G263" s="21" t="s">
        <v>756</v>
      </c>
      <c r="H263" s="21">
        <f t="shared" si="22"/>
        <v>99</v>
      </c>
      <c r="I263" s="21"/>
      <c r="J263" s="21" t="s">
        <v>905</v>
      </c>
      <c r="K263" s="21">
        <f t="shared" si="21"/>
        <v>164</v>
      </c>
      <c r="L263" s="21"/>
      <c r="M263" s="15">
        <f t="shared" ref="M263:M326" si="24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.75" x14ac:dyDescent="0.3">
      <c r="A264" s="6"/>
      <c r="C264" s="13" t="s">
        <v>615</v>
      </c>
      <c r="D264" s="13" t="str">
        <f t="shared" si="23"/>
        <v xml:space="preserve">cl:dtf </v>
      </c>
      <c r="E264" s="13" t="str">
        <f t="shared" ref="E264:E327" si="25">TRIM(RIGHT(SUBSTITUTE(C264," ",REPT(" ",255)),255))</f>
        <v>&gt;]i7</v>
      </c>
      <c r="F264" s="21" t="s">
        <v>234</v>
      </c>
      <c r="G264" s="21" t="s">
        <v>756</v>
      </c>
      <c r="H264" s="21">
        <f t="shared" si="22"/>
        <v>102</v>
      </c>
      <c r="I264" s="21"/>
      <c r="J264" s="21" t="s">
        <v>906</v>
      </c>
      <c r="K264" s="21">
        <f t="shared" si="21"/>
        <v>53</v>
      </c>
      <c r="L264" s="21"/>
      <c r="M264" s="15">
        <f t="shared" si="24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.75" x14ac:dyDescent="0.3">
      <c r="A265" s="6"/>
      <c r="C265" s="13" t="s">
        <v>616</v>
      </c>
      <c r="D265" s="13" t="str">
        <f t="shared" si="23"/>
        <v xml:space="preserve">cldt </v>
      </c>
      <c r="E265" s="13" t="str">
        <f t="shared" si="25"/>
        <v>&gt;]i7</v>
      </c>
      <c r="F265" s="21" t="s">
        <v>233</v>
      </c>
      <c r="G265" s="21" t="s">
        <v>757</v>
      </c>
      <c r="H265" s="21">
        <f t="shared" si="22"/>
        <v>69</v>
      </c>
      <c r="I265" s="21"/>
      <c r="J265" s="21" t="s">
        <v>905</v>
      </c>
      <c r="K265" s="21">
        <f t="shared" si="21"/>
        <v>164</v>
      </c>
      <c r="L265" s="21"/>
      <c r="M265" s="15">
        <f t="shared" si="24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.75" x14ac:dyDescent="0.3">
      <c r="A266" s="6"/>
      <c r="C266" s="13" t="s">
        <v>617</v>
      </c>
      <c r="D266" s="13" t="str">
        <f t="shared" si="23"/>
        <v xml:space="preserve">;'l:dtf </v>
      </c>
      <c r="E266" s="13" t="str">
        <f t="shared" si="25"/>
        <v>&gt;]i7</v>
      </c>
      <c r="F266" s="21" t="s">
        <v>234</v>
      </c>
      <c r="G266" s="21" t="s">
        <v>757</v>
      </c>
      <c r="H266" s="21">
        <f t="shared" si="22"/>
        <v>54</v>
      </c>
      <c r="I266" s="21"/>
      <c r="J266" s="21" t="s">
        <v>905</v>
      </c>
      <c r="K266" s="21">
        <f t="shared" si="21"/>
        <v>107</v>
      </c>
      <c r="L266" s="21"/>
      <c r="M266" s="15">
        <f t="shared" si="24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.75" x14ac:dyDescent="0.3">
      <c r="A267" s="6">
        <v>86</v>
      </c>
      <c r="B267" t="s">
        <v>45</v>
      </c>
      <c r="C267" s="13" t="s">
        <v>622</v>
      </c>
      <c r="D267" s="13" t="str">
        <f t="shared" si="23"/>
        <v xml:space="preserve">clgtf </v>
      </c>
      <c r="E267" s="13" t="str">
        <f t="shared" si="25"/>
        <v>tfdfª</v>
      </c>
      <c r="F267" s="21" t="s">
        <v>234</v>
      </c>
      <c r="G267" s="21" t="s">
        <v>756</v>
      </c>
      <c r="H267" s="21">
        <f t="shared" si="22"/>
        <v>102</v>
      </c>
      <c r="I267" s="21"/>
      <c r="J267" s="21" t="s">
        <v>906</v>
      </c>
      <c r="K267" s="21">
        <f t="shared" si="21"/>
        <v>53</v>
      </c>
      <c r="L267" s="21"/>
      <c r="M267" s="15">
        <f t="shared" si="24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.75" x14ac:dyDescent="0.3">
      <c r="A268" s="6"/>
      <c r="C268" s="13" t="s">
        <v>623</v>
      </c>
      <c r="D268" s="13" t="str">
        <f t="shared" si="23"/>
        <v xml:space="preserve">k]Daf </v>
      </c>
      <c r="E268" s="13" t="str">
        <f t="shared" si="25"/>
        <v>tfdfª</v>
      </c>
      <c r="F268" s="21" t="s">
        <v>233</v>
      </c>
      <c r="G268" s="21" t="s">
        <v>756</v>
      </c>
      <c r="H268" s="21">
        <f t="shared" si="22"/>
        <v>99</v>
      </c>
      <c r="I268" s="21"/>
      <c r="J268" s="21" t="s">
        <v>905</v>
      </c>
      <c r="K268" s="21">
        <f t="shared" si="21"/>
        <v>164</v>
      </c>
      <c r="L268" s="21"/>
      <c r="M268" s="15">
        <f t="shared" si="24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.75" x14ac:dyDescent="0.3">
      <c r="A269" s="6"/>
      <c r="C269" s="13" t="s">
        <v>624</v>
      </c>
      <c r="D269" s="13" t="str">
        <f t="shared" si="23"/>
        <v xml:space="preserve">las|d </v>
      </c>
      <c r="E269" s="13" t="str">
        <f t="shared" si="25"/>
        <v>tfdfª</v>
      </c>
      <c r="F269" s="21" t="s">
        <v>233</v>
      </c>
      <c r="G269" s="21" t="s">
        <v>757</v>
      </c>
      <c r="H269" s="21">
        <f t="shared" si="22"/>
        <v>69</v>
      </c>
      <c r="I269" s="21"/>
      <c r="J269" s="21" t="s">
        <v>905</v>
      </c>
      <c r="K269" s="21">
        <f t="shared" si="21"/>
        <v>164</v>
      </c>
      <c r="L269" s="21"/>
      <c r="M269" s="15">
        <f t="shared" si="24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.75" x14ac:dyDescent="0.3">
      <c r="A270" s="6"/>
      <c r="C270" s="13" t="s">
        <v>625</v>
      </c>
      <c r="D270" s="13" t="str">
        <f t="shared" si="23"/>
        <v xml:space="preserve">;+lha </v>
      </c>
      <c r="E270" s="13" t="str">
        <f t="shared" si="25"/>
        <v>tfdfª</v>
      </c>
      <c r="F270" s="21" t="s">
        <v>233</v>
      </c>
      <c r="G270" s="21" t="s">
        <v>757</v>
      </c>
      <c r="H270" s="21">
        <f t="shared" si="22"/>
        <v>69</v>
      </c>
      <c r="I270" s="21"/>
      <c r="J270" s="21" t="s">
        <v>905</v>
      </c>
      <c r="K270" s="21">
        <f t="shared" si="21"/>
        <v>164</v>
      </c>
      <c r="L270" s="21"/>
      <c r="M270" s="15">
        <f t="shared" si="24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.75" x14ac:dyDescent="0.3">
      <c r="A271" s="6">
        <v>87</v>
      </c>
      <c r="B271" t="s">
        <v>151</v>
      </c>
      <c r="C271" s="13" t="s">
        <v>626</v>
      </c>
      <c r="D271" s="13" t="str">
        <f t="shared" si="23"/>
        <v xml:space="preserve">k'gd </v>
      </c>
      <c r="E271" s="13" t="str">
        <f t="shared" si="25"/>
        <v>ld&gt;</v>
      </c>
      <c r="F271" s="21" t="s">
        <v>234</v>
      </c>
      <c r="G271" s="21" t="s">
        <v>756</v>
      </c>
      <c r="H271" s="21">
        <f t="shared" si="22"/>
        <v>102</v>
      </c>
      <c r="I271" s="21"/>
      <c r="J271" s="21" t="s">
        <v>905</v>
      </c>
      <c r="K271" s="21">
        <f t="shared" si="21"/>
        <v>107</v>
      </c>
      <c r="L271" s="21"/>
      <c r="M271" s="15">
        <f t="shared" si="24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.75" x14ac:dyDescent="0.3">
      <c r="A272" s="6">
        <v>88</v>
      </c>
      <c r="B272" t="s">
        <v>152</v>
      </c>
      <c r="C272" s="13" t="s">
        <v>627</v>
      </c>
      <c r="D272" s="13" t="str">
        <f t="shared" si="23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>
        <f t="shared" si="22"/>
        <v>99</v>
      </c>
      <c r="I272" s="21"/>
      <c r="J272" s="21" t="s">
        <v>905</v>
      </c>
      <c r="K272" s="21">
        <f t="shared" si="21"/>
        <v>164</v>
      </c>
      <c r="L272" s="21"/>
      <c r="M272" s="15">
        <f t="shared" si="24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.75" x14ac:dyDescent="0.3">
      <c r="A273" s="6"/>
      <c r="C273" s="13" t="s">
        <v>628</v>
      </c>
      <c r="D273" s="13" t="str">
        <f t="shared" si="23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>
        <f t="shared" si="22"/>
        <v>69</v>
      </c>
      <c r="I273" s="21"/>
      <c r="J273" s="21" t="s">
        <v>905</v>
      </c>
      <c r="K273" s="21">
        <f t="shared" si="21"/>
        <v>164</v>
      </c>
      <c r="L273" s="21"/>
      <c r="M273" s="15">
        <f t="shared" si="24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.75" x14ac:dyDescent="0.3">
      <c r="A274" s="6"/>
      <c r="C274" s="13" t="s">
        <v>629</v>
      </c>
      <c r="D274" s="13" t="str">
        <f t="shared" si="23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>
        <f t="shared" si="22"/>
        <v>54</v>
      </c>
      <c r="I274" s="21"/>
      <c r="J274" s="21" t="s">
        <v>905</v>
      </c>
      <c r="K274" s="21">
        <f t="shared" si="21"/>
        <v>107</v>
      </c>
      <c r="L274" s="21"/>
      <c r="M274" s="15">
        <f t="shared" si="24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.75" x14ac:dyDescent="0.3">
      <c r="A275" s="6"/>
      <c r="C275" s="13" t="s">
        <v>630</v>
      </c>
      <c r="D275" s="13" t="str">
        <f t="shared" si="23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>
        <f t="shared" si="22"/>
        <v>102</v>
      </c>
      <c r="I275" s="21"/>
      <c r="J275" s="21" t="s">
        <v>905</v>
      </c>
      <c r="K275" s="21">
        <f t="shared" si="21"/>
        <v>107</v>
      </c>
      <c r="L275" s="21"/>
      <c r="M275" s="15">
        <f t="shared" si="24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.75" x14ac:dyDescent="0.3">
      <c r="A276" s="6"/>
      <c r="C276" s="13" t="s">
        <v>631</v>
      </c>
      <c r="D276" s="13" t="str">
        <f t="shared" si="23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>
        <f t="shared" si="22"/>
        <v>69</v>
      </c>
      <c r="I276" s="21"/>
      <c r="J276" s="21" t="s">
        <v>905</v>
      </c>
      <c r="K276" s="21">
        <f t="shared" si="21"/>
        <v>164</v>
      </c>
      <c r="L276" s="21"/>
      <c r="M276" s="15">
        <f t="shared" si="24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.75" x14ac:dyDescent="0.3">
      <c r="A277" s="6">
        <v>90</v>
      </c>
      <c r="B277" t="s">
        <v>154</v>
      </c>
      <c r="C277" s="13" t="s">
        <v>636</v>
      </c>
      <c r="D277" s="13" t="str">
        <f t="shared" si="23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>
        <f t="shared" si="22"/>
        <v>99</v>
      </c>
      <c r="I277" s="21"/>
      <c r="J277" s="21" t="s">
        <v>905</v>
      </c>
      <c r="K277" s="21">
        <f t="shared" si="21"/>
        <v>164</v>
      </c>
      <c r="L277" s="21"/>
      <c r="M277" s="15">
        <f t="shared" si="24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.75" x14ac:dyDescent="0.3">
      <c r="A278" s="6"/>
      <c r="C278" s="13" t="s">
        <v>637</v>
      </c>
      <c r="D278" s="13" t="str">
        <f t="shared" si="23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>
        <f t="shared" si="22"/>
        <v>102</v>
      </c>
      <c r="I278" s="21"/>
      <c r="J278" s="21" t="s">
        <v>906</v>
      </c>
      <c r="K278" s="21">
        <f t="shared" si="21"/>
        <v>53</v>
      </c>
      <c r="L278" s="21"/>
      <c r="M278" s="15">
        <f t="shared" si="24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.75" x14ac:dyDescent="0.3">
      <c r="A279" s="6"/>
      <c r="C279" s="13" t="s">
        <v>638</v>
      </c>
      <c r="D279" s="13" t="str">
        <f t="shared" si="23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>
        <f t="shared" si="22"/>
        <v>54</v>
      </c>
      <c r="I279" s="21"/>
      <c r="J279" s="21" t="s">
        <v>905</v>
      </c>
      <c r="K279" s="21">
        <f t="shared" si="21"/>
        <v>107</v>
      </c>
      <c r="L279" s="21"/>
      <c r="M279" s="15">
        <f t="shared" si="24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.75" x14ac:dyDescent="0.3">
      <c r="A280" s="6"/>
      <c r="C280" s="13" t="s">
        <v>639</v>
      </c>
      <c r="D280" s="13" t="str">
        <f t="shared" si="23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>
        <f t="shared" si="22"/>
        <v>69</v>
      </c>
      <c r="I280" s="21"/>
      <c r="J280" s="21" t="s">
        <v>905</v>
      </c>
      <c r="K280" s="21">
        <f t="shared" si="21"/>
        <v>164</v>
      </c>
      <c r="L280" s="21"/>
      <c r="M280" s="15">
        <f t="shared" si="24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.75" x14ac:dyDescent="0.3">
      <c r="A281" s="6">
        <v>91</v>
      </c>
      <c r="B281" t="s">
        <v>155</v>
      </c>
      <c r="C281" s="13" t="s">
        <v>640</v>
      </c>
      <c r="D281" s="13" t="str">
        <f t="shared" si="23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>
        <f t="shared" si="22"/>
        <v>99</v>
      </c>
      <c r="I281" s="21"/>
      <c r="J281" s="21" t="s">
        <v>905</v>
      </c>
      <c r="K281" s="21">
        <f t="shared" si="21"/>
        <v>164</v>
      </c>
      <c r="L281" s="21"/>
      <c r="M281" s="15">
        <f t="shared" si="24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.75" x14ac:dyDescent="0.3">
      <c r="A282" s="6"/>
      <c r="C282" s="13" t="s">
        <v>641</v>
      </c>
      <c r="D282" s="13" t="str">
        <f t="shared" si="23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>
        <f t="shared" si="22"/>
        <v>69</v>
      </c>
      <c r="I282" s="21"/>
      <c r="J282" s="21" t="s">
        <v>905</v>
      </c>
      <c r="K282" s="21">
        <f t="shared" si="21"/>
        <v>164</v>
      </c>
      <c r="L282" s="21"/>
      <c r="M282" s="15">
        <f t="shared" si="24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.75" x14ac:dyDescent="0.3">
      <c r="A283" s="6"/>
      <c r="C283" s="13" t="s">
        <v>642</v>
      </c>
      <c r="D283" s="13" t="str">
        <f t="shared" si="23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>
        <f t="shared" si="22"/>
        <v>69</v>
      </c>
      <c r="I283" s="21"/>
      <c r="J283" s="21" t="s">
        <v>905</v>
      </c>
      <c r="K283" s="21">
        <f t="shared" si="21"/>
        <v>164</v>
      </c>
      <c r="L283" s="21"/>
      <c r="M283" s="15">
        <f t="shared" si="24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.75" x14ac:dyDescent="0.3">
      <c r="A284" s="6"/>
      <c r="C284" s="13" t="s">
        <v>643</v>
      </c>
      <c r="D284" s="13" t="str">
        <f t="shared" si="23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>
        <f t="shared" si="22"/>
        <v>102</v>
      </c>
      <c r="I284" s="21"/>
      <c r="J284" s="21" t="s">
        <v>906</v>
      </c>
      <c r="K284" s="21">
        <f t="shared" si="21"/>
        <v>53</v>
      </c>
      <c r="L284" s="21"/>
      <c r="M284" s="15">
        <f t="shared" si="24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.75" x14ac:dyDescent="0.3">
      <c r="A285" s="6">
        <v>92</v>
      </c>
      <c r="B285" t="s">
        <v>156</v>
      </c>
      <c r="C285" s="13" t="s">
        <v>644</v>
      </c>
      <c r="D285" s="13" t="str">
        <f t="shared" si="23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>
        <f t="shared" si="22"/>
        <v>102</v>
      </c>
      <c r="I285" s="21"/>
      <c r="J285" s="21" t="s">
        <v>906</v>
      </c>
      <c r="K285" s="21">
        <f t="shared" si="21"/>
        <v>53</v>
      </c>
      <c r="L285" s="21"/>
      <c r="M285" s="15">
        <f t="shared" si="24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.75" x14ac:dyDescent="0.3">
      <c r="A286" s="6"/>
      <c r="C286" s="13" t="s">
        <v>645</v>
      </c>
      <c r="D286" s="13" t="str">
        <f t="shared" si="23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>
        <f t="shared" si="22"/>
        <v>99</v>
      </c>
      <c r="I286" s="21"/>
      <c r="J286" s="21" t="s">
        <v>905</v>
      </c>
      <c r="K286" s="21">
        <f t="shared" si="21"/>
        <v>164</v>
      </c>
      <c r="L286" s="21"/>
      <c r="M286" s="15">
        <f t="shared" si="24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.75" x14ac:dyDescent="0.3">
      <c r="A287" s="6"/>
      <c r="C287" s="13" t="s">
        <v>646</v>
      </c>
      <c r="D287" s="13" t="str">
        <f t="shared" si="23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>
        <f t="shared" si="22"/>
        <v>54</v>
      </c>
      <c r="I287" s="21"/>
      <c r="J287" s="21" t="s">
        <v>905</v>
      </c>
      <c r="K287" s="21">
        <f t="shared" si="21"/>
        <v>107</v>
      </c>
      <c r="L287" s="21"/>
      <c r="M287" s="15">
        <f t="shared" si="24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.75" x14ac:dyDescent="0.3">
      <c r="A288" s="6"/>
      <c r="C288" s="13" t="s">
        <v>647</v>
      </c>
      <c r="D288" s="13" t="str">
        <f t="shared" si="23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>
        <f t="shared" si="22"/>
        <v>69</v>
      </c>
      <c r="I288" s="21"/>
      <c r="J288" s="21" t="s">
        <v>905</v>
      </c>
      <c r="K288" s="21">
        <f t="shared" si="21"/>
        <v>164</v>
      </c>
      <c r="L288" s="21"/>
      <c r="M288" s="15">
        <f t="shared" si="24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.75" x14ac:dyDescent="0.3">
      <c r="A289" s="6">
        <v>93</v>
      </c>
      <c r="B289" t="s">
        <v>157</v>
      </c>
      <c r="C289" s="13" t="s">
        <v>648</v>
      </c>
      <c r="D289" s="13" t="str">
        <f t="shared" si="23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>
        <f t="shared" si="22"/>
        <v>99</v>
      </c>
      <c r="I289" s="21"/>
      <c r="J289" s="21" t="s">
        <v>905</v>
      </c>
      <c r="K289" s="21">
        <f t="shared" si="21"/>
        <v>164</v>
      </c>
      <c r="L289" s="21"/>
      <c r="M289" s="15">
        <f t="shared" si="24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.75" x14ac:dyDescent="0.3">
      <c r="A290" s="6"/>
      <c r="C290" s="13" t="s">
        <v>649</v>
      </c>
      <c r="D290" s="13" t="str">
        <f t="shared" si="23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>
        <f t="shared" si="22"/>
        <v>102</v>
      </c>
      <c r="I290" s="21"/>
      <c r="J290" s="21" t="s">
        <v>905</v>
      </c>
      <c r="K290" s="21">
        <f t="shared" si="21"/>
        <v>107</v>
      </c>
      <c r="L290" s="21"/>
      <c r="M290" s="15">
        <f t="shared" si="24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.75" x14ac:dyDescent="0.3">
      <c r="A291" s="6">
        <v>94</v>
      </c>
      <c r="B291" t="s">
        <v>158</v>
      </c>
      <c r="C291" s="13" t="s">
        <v>650</v>
      </c>
      <c r="D291" s="13" t="str">
        <f t="shared" si="23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>
        <f t="shared" si="22"/>
        <v>99</v>
      </c>
      <c r="I291" s="21"/>
      <c r="J291" s="21" t="s">
        <v>905</v>
      </c>
      <c r="K291" s="21">
        <f t="shared" si="21"/>
        <v>164</v>
      </c>
      <c r="L291" s="21"/>
      <c r="M291" s="15">
        <f t="shared" si="24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.75" x14ac:dyDescent="0.3">
      <c r="A292" s="6"/>
      <c r="C292" s="13" t="s">
        <v>651</v>
      </c>
      <c r="D292" s="13" t="str">
        <f t="shared" si="23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>
        <f t="shared" si="22"/>
        <v>54</v>
      </c>
      <c r="I292" s="21"/>
      <c r="J292" s="21" t="s">
        <v>905</v>
      </c>
      <c r="K292" s="21">
        <f t="shared" si="21"/>
        <v>107</v>
      </c>
      <c r="L292" s="21"/>
      <c r="M292" s="15">
        <f t="shared" si="24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.75" x14ac:dyDescent="0.3">
      <c r="A293" s="6"/>
      <c r="C293" s="13" t="s">
        <v>652</v>
      </c>
      <c r="D293" s="13" t="str">
        <f t="shared" si="23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>
        <f t="shared" si="22"/>
        <v>54</v>
      </c>
      <c r="I293" s="21"/>
      <c r="J293" s="21" t="s">
        <v>905</v>
      </c>
      <c r="K293" s="21">
        <f t="shared" si="21"/>
        <v>107</v>
      </c>
      <c r="L293" s="21"/>
      <c r="M293" s="15">
        <f t="shared" si="24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.75" x14ac:dyDescent="0.3">
      <c r="A294" s="6"/>
      <c r="C294" s="13" t="s">
        <v>653</v>
      </c>
      <c r="D294" s="13" t="str">
        <f t="shared" si="23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>
        <f t="shared" si="22"/>
        <v>102</v>
      </c>
      <c r="I294" s="21"/>
      <c r="J294" s="21" t="s">
        <v>906</v>
      </c>
      <c r="K294" s="21">
        <f t="shared" si="21"/>
        <v>53</v>
      </c>
      <c r="L294" s="21"/>
      <c r="M294" s="15">
        <f t="shared" si="24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.75" x14ac:dyDescent="0.3">
      <c r="A295" s="6">
        <v>95</v>
      </c>
      <c r="B295" t="s">
        <v>159</v>
      </c>
      <c r="C295" s="13" t="s">
        <v>654</v>
      </c>
      <c r="D295" s="13" t="str">
        <f t="shared" si="23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>
        <f t="shared" si="22"/>
        <v>99</v>
      </c>
      <c r="I295" s="21"/>
      <c r="J295" s="21" t="s">
        <v>905</v>
      </c>
      <c r="K295" s="21">
        <f t="shared" si="21"/>
        <v>164</v>
      </c>
      <c r="L295" s="21"/>
      <c r="M295" s="15">
        <f t="shared" si="24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.75" x14ac:dyDescent="0.3">
      <c r="A296" s="6"/>
      <c r="C296" s="13" t="s">
        <v>409</v>
      </c>
      <c r="D296" s="13" t="str">
        <f t="shared" si="23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>
        <f t="shared" si="22"/>
        <v>102</v>
      </c>
      <c r="I296" s="21"/>
      <c r="J296" s="21" t="s">
        <v>906</v>
      </c>
      <c r="K296" s="21">
        <f t="shared" si="21"/>
        <v>53</v>
      </c>
      <c r="L296" s="21"/>
      <c r="M296" s="15">
        <f t="shared" si="24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.75" x14ac:dyDescent="0.3">
      <c r="A297" s="6">
        <v>97</v>
      </c>
      <c r="B297" t="s">
        <v>161</v>
      </c>
      <c r="C297" s="13" t="s">
        <v>660</v>
      </c>
      <c r="D297" s="13" t="str">
        <f t="shared" si="23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>
        <f t="shared" si="22"/>
        <v>99</v>
      </c>
      <c r="I297" s="21"/>
      <c r="J297" s="21" t="s">
        <v>905</v>
      </c>
      <c r="K297" s="21">
        <f t="shared" si="21"/>
        <v>164</v>
      </c>
      <c r="L297" s="21"/>
      <c r="M297" s="15">
        <f t="shared" si="24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.75" x14ac:dyDescent="0.3">
      <c r="A298" s="6"/>
      <c r="C298" s="13" t="s">
        <v>661</v>
      </c>
      <c r="D298" s="13" t="str">
        <f t="shared" si="23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>
        <f t="shared" si="22"/>
        <v>102</v>
      </c>
      <c r="I298" s="21"/>
      <c r="J298" s="21" t="s">
        <v>906</v>
      </c>
      <c r="K298" s="21">
        <f t="shared" si="21"/>
        <v>53</v>
      </c>
      <c r="L298" s="21"/>
      <c r="M298" s="15">
        <f t="shared" si="24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.75" x14ac:dyDescent="0.3">
      <c r="A299" s="6"/>
      <c r="C299" s="13" t="s">
        <v>662</v>
      </c>
      <c r="D299" s="13" t="str">
        <f t="shared" si="23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>
        <f t="shared" si="22"/>
        <v>69</v>
      </c>
      <c r="I299" s="21"/>
      <c r="J299" s="21" t="s">
        <v>905</v>
      </c>
      <c r="K299" s="21">
        <f t="shared" si="21"/>
        <v>164</v>
      </c>
      <c r="L299" s="21"/>
      <c r="M299" s="15">
        <f t="shared" si="24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.75" x14ac:dyDescent="0.3">
      <c r="A300" s="6"/>
      <c r="C300" s="13" t="s">
        <v>663</v>
      </c>
      <c r="D300" s="13" t="str">
        <f t="shared" si="23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>
        <f t="shared" si="22"/>
        <v>69</v>
      </c>
      <c r="I300" s="21"/>
      <c r="J300" s="21" t="s">
        <v>905</v>
      </c>
      <c r="K300" s="21">
        <f t="shared" si="21"/>
        <v>164</v>
      </c>
      <c r="L300" s="21"/>
      <c r="M300" s="15">
        <f t="shared" si="24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.75" x14ac:dyDescent="0.3">
      <c r="A301" s="6"/>
      <c r="C301" s="13" t="s">
        <v>664</v>
      </c>
      <c r="D301" s="13" t="str">
        <f t="shared" si="23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>
        <f t="shared" si="22"/>
        <v>54</v>
      </c>
      <c r="I301" s="21"/>
      <c r="J301" s="21" t="s">
        <v>905</v>
      </c>
      <c r="K301" s="21">
        <f t="shared" si="21"/>
        <v>107</v>
      </c>
      <c r="L301" s="21"/>
      <c r="M301" s="15">
        <f t="shared" si="24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.75" x14ac:dyDescent="0.3">
      <c r="A302" s="6">
        <v>99</v>
      </c>
      <c r="B302" t="s">
        <v>163</v>
      </c>
      <c r="C302" s="13" t="s">
        <v>665</v>
      </c>
      <c r="D302" s="13" t="str">
        <f t="shared" si="23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>
        <f t="shared" si="22"/>
        <v>99</v>
      </c>
      <c r="I302" s="21"/>
      <c r="J302" s="21" t="s">
        <v>905</v>
      </c>
      <c r="K302" s="21">
        <f t="shared" si="21"/>
        <v>164</v>
      </c>
      <c r="L302" s="21"/>
      <c r="M302" s="15">
        <f t="shared" si="24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.75" x14ac:dyDescent="0.3">
      <c r="A303" s="6"/>
      <c r="C303" s="13" t="s">
        <v>666</v>
      </c>
      <c r="D303" s="13" t="str">
        <f t="shared" si="23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>
        <f t="shared" si="22"/>
        <v>102</v>
      </c>
      <c r="I303" s="21"/>
      <c r="J303" s="21" t="s">
        <v>905</v>
      </c>
      <c r="K303" s="21">
        <f t="shared" si="21"/>
        <v>107</v>
      </c>
      <c r="L303" s="21"/>
      <c r="M303" s="15">
        <f t="shared" si="24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.75" x14ac:dyDescent="0.3">
      <c r="A304" s="6"/>
      <c r="C304" s="13" t="s">
        <v>667</v>
      </c>
      <c r="D304" s="13" t="str">
        <f t="shared" si="23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>
        <f t="shared" si="22"/>
        <v>54</v>
      </c>
      <c r="I304" s="21"/>
      <c r="J304" s="21" t="s">
        <v>905</v>
      </c>
      <c r="K304" s="21">
        <f t="shared" si="21"/>
        <v>107</v>
      </c>
      <c r="L304" s="21"/>
      <c r="M304" s="15">
        <f t="shared" si="24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.75" x14ac:dyDescent="0.3">
      <c r="A305" s="6"/>
      <c r="C305" s="13" t="s">
        <v>668</v>
      </c>
      <c r="D305" s="13" t="str">
        <f t="shared" si="23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>
        <f t="shared" si="22"/>
        <v>69</v>
      </c>
      <c r="I305" s="21"/>
      <c r="J305" s="21" t="s">
        <v>905</v>
      </c>
      <c r="K305" s="21">
        <f t="shared" si="21"/>
        <v>164</v>
      </c>
      <c r="L305" s="21"/>
      <c r="M305" s="15">
        <f t="shared" si="24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.75" x14ac:dyDescent="0.3">
      <c r="A306" s="6">
        <v>100</v>
      </c>
      <c r="B306" t="s">
        <v>164</v>
      </c>
      <c r="C306" s="13" t="s">
        <v>669</v>
      </c>
      <c r="D306" s="13" t="str">
        <f t="shared" si="23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>
        <f t="shared" si="22"/>
        <v>99</v>
      </c>
      <c r="I306" s="21"/>
      <c r="J306" s="21" t="s">
        <v>905</v>
      </c>
      <c r="K306" s="21">
        <f t="shared" si="21"/>
        <v>164</v>
      </c>
      <c r="L306" s="21"/>
      <c r="M306" s="15">
        <f t="shared" si="24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.75" x14ac:dyDescent="0.3">
      <c r="A307" s="6"/>
      <c r="C307" s="13" t="s">
        <v>670</v>
      </c>
      <c r="D307" s="13" t="str">
        <f t="shared" si="23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>
        <f t="shared" si="22"/>
        <v>102</v>
      </c>
      <c r="I307" s="21"/>
      <c r="J307" s="21" t="s">
        <v>906</v>
      </c>
      <c r="K307" s="21">
        <f t="shared" si="21"/>
        <v>53</v>
      </c>
      <c r="L307" s="21"/>
      <c r="M307" s="15">
        <f t="shared" si="24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.75" x14ac:dyDescent="0.3">
      <c r="A308" s="6">
        <v>101</v>
      </c>
      <c r="B308" t="s">
        <v>216</v>
      </c>
      <c r="C308" s="13" t="s">
        <v>671</v>
      </c>
      <c r="D308" s="13" t="str">
        <f t="shared" si="23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>
        <f t="shared" si="22"/>
        <v>99</v>
      </c>
      <c r="I308" s="21"/>
      <c r="J308" s="21" t="s">
        <v>905</v>
      </c>
      <c r="K308" s="21">
        <f t="shared" si="21"/>
        <v>164</v>
      </c>
      <c r="L308" s="21"/>
      <c r="M308" s="15">
        <f t="shared" si="24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.75" x14ac:dyDescent="0.3">
      <c r="A309" s="6"/>
      <c r="C309" s="13" t="s">
        <v>672</v>
      </c>
      <c r="D309" s="13" t="str">
        <f t="shared" si="23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>
        <f t="shared" si="22"/>
        <v>102</v>
      </c>
      <c r="I309" s="21"/>
      <c r="J309" s="21" t="s">
        <v>905</v>
      </c>
      <c r="K309" s="21">
        <f t="shared" si="21"/>
        <v>107</v>
      </c>
      <c r="L309" s="21"/>
      <c r="M309" s="15">
        <f t="shared" si="24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.75" x14ac:dyDescent="0.3">
      <c r="A310" s="6"/>
      <c r="C310" s="13" t="s">
        <v>673</v>
      </c>
      <c r="D310" s="13" t="str">
        <f t="shared" si="23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>
        <f t="shared" si="22"/>
        <v>102</v>
      </c>
      <c r="I310" s="21"/>
      <c r="J310" s="21" t="s">
        <v>906</v>
      </c>
      <c r="K310" s="21">
        <f t="shared" si="21"/>
        <v>53</v>
      </c>
      <c r="L310" s="21"/>
      <c r="M310" s="15">
        <f t="shared" si="24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.75" x14ac:dyDescent="0.3">
      <c r="A311" s="6"/>
      <c r="C311" s="13" t="s">
        <v>674</v>
      </c>
      <c r="D311" s="13" t="str">
        <f t="shared" si="23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>
        <f t="shared" si="22"/>
        <v>69</v>
      </c>
      <c r="I311" s="21"/>
      <c r="J311" s="21" t="s">
        <v>905</v>
      </c>
      <c r="K311" s="21">
        <f t="shared" si="21"/>
        <v>164</v>
      </c>
      <c r="L311" s="21"/>
      <c r="M311" s="15">
        <f t="shared" si="24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.75" x14ac:dyDescent="0.3">
      <c r="A312" s="6">
        <v>102</v>
      </c>
      <c r="B312" t="s">
        <v>145</v>
      </c>
      <c r="C312" s="13" t="s">
        <v>675</v>
      </c>
      <c r="D312" s="13" t="str">
        <f t="shared" si="23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>
        <f t="shared" si="22"/>
        <v>99</v>
      </c>
      <c r="I312" s="21"/>
      <c r="J312" s="21" t="s">
        <v>905</v>
      </c>
      <c r="K312" s="21">
        <f t="shared" si="21"/>
        <v>164</v>
      </c>
      <c r="L312" s="21"/>
      <c r="M312" s="15">
        <f t="shared" si="24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.75" x14ac:dyDescent="0.3">
      <c r="A313" s="6"/>
      <c r="C313" s="13" t="s">
        <v>676</v>
      </c>
      <c r="D313" s="13" t="str">
        <f t="shared" si="23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>
        <f t="shared" si="22"/>
        <v>102</v>
      </c>
      <c r="I313" s="21"/>
      <c r="J313" s="21" t="s">
        <v>905</v>
      </c>
      <c r="K313" s="21">
        <f t="shared" si="21"/>
        <v>107</v>
      </c>
      <c r="L313" s="21"/>
      <c r="M313" s="15">
        <f t="shared" si="24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.75" x14ac:dyDescent="0.3">
      <c r="A314" s="6"/>
      <c r="C314" s="13" t="s">
        <v>677</v>
      </c>
      <c r="D314" s="13" t="str">
        <f t="shared" si="23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>
        <f t="shared" si="22"/>
        <v>69</v>
      </c>
      <c r="I314" s="21"/>
      <c r="J314" s="21" t="s">
        <v>905</v>
      </c>
      <c r="K314" s="21">
        <f t="shared" si="21"/>
        <v>164</v>
      </c>
      <c r="L314" s="21"/>
      <c r="M314" s="15">
        <f t="shared" si="24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.75" x14ac:dyDescent="0.3">
      <c r="A315" s="6"/>
      <c r="C315" s="13" t="s">
        <v>678</v>
      </c>
      <c r="D315" s="13" t="str">
        <f t="shared" si="23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>
        <f t="shared" si="22"/>
        <v>54</v>
      </c>
      <c r="I315" s="21"/>
      <c r="J315" s="21" t="s">
        <v>905</v>
      </c>
      <c r="K315" s="21">
        <f t="shared" si="21"/>
        <v>107</v>
      </c>
      <c r="L315" s="21"/>
      <c r="M315" s="15">
        <f t="shared" si="24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.75" x14ac:dyDescent="0.3">
      <c r="A316" s="6">
        <v>103</v>
      </c>
      <c r="B316" t="s">
        <v>217</v>
      </c>
      <c r="C316" s="13" t="s">
        <v>679</v>
      </c>
      <c r="D316" s="13" t="str">
        <f t="shared" si="23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>
        <f t="shared" si="22"/>
        <v>99</v>
      </c>
      <c r="I316" s="21"/>
      <c r="J316" s="21" t="s">
        <v>905</v>
      </c>
      <c r="K316" s="21">
        <f t="shared" si="21"/>
        <v>164</v>
      </c>
      <c r="L316" s="21"/>
      <c r="M316" s="15">
        <f t="shared" si="24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.75" x14ac:dyDescent="0.3">
      <c r="A317" s="6"/>
      <c r="C317" s="13" t="s">
        <v>680</v>
      </c>
      <c r="D317" s="13" t="str">
        <f t="shared" si="23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>
        <f t="shared" si="22"/>
        <v>102</v>
      </c>
      <c r="I317" s="21"/>
      <c r="J317" s="21" t="s">
        <v>906</v>
      </c>
      <c r="K317" s="21">
        <f t="shared" si="21"/>
        <v>53</v>
      </c>
      <c r="L317" s="21"/>
      <c r="M317" s="15">
        <f t="shared" si="24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.75" x14ac:dyDescent="0.3">
      <c r="A318" s="6"/>
      <c r="C318" s="13" t="s">
        <v>681</v>
      </c>
      <c r="D318" s="13" t="str">
        <f t="shared" si="23"/>
        <v xml:space="preserve">/:dL </v>
      </c>
      <c r="E318" s="13" t="str">
        <f t="shared" si="25"/>
        <v>kf]v|]n</v>
      </c>
      <c r="F318" s="21" t="s">
        <v>234</v>
      </c>
      <c r="G318" s="21" t="s">
        <v>748</v>
      </c>
      <c r="H318" s="21" t="b">
        <f t="shared" si="22"/>
        <v>0</v>
      </c>
      <c r="I318" s="21"/>
      <c r="J318" s="21" t="s">
        <v>905</v>
      </c>
      <c r="K318" s="21">
        <f t="shared" si="21"/>
        <v>107</v>
      </c>
      <c r="L318" s="21"/>
      <c r="M318" s="15">
        <f t="shared" si="24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.75" x14ac:dyDescent="0.3">
      <c r="A319" s="6">
        <v>104</v>
      </c>
      <c r="B319" t="s">
        <v>38</v>
      </c>
      <c r="C319" s="13" t="s">
        <v>457</v>
      </c>
      <c r="D319" s="13" t="str">
        <f t="shared" si="23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>
        <f t="shared" si="22"/>
        <v>99</v>
      </c>
      <c r="I319" s="21"/>
      <c r="J319" s="21" t="s">
        <v>905</v>
      </c>
      <c r="K319" s="21">
        <f t="shared" si="21"/>
        <v>164</v>
      </c>
      <c r="L319" s="21"/>
      <c r="M319" s="15">
        <f t="shared" si="24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.75" x14ac:dyDescent="0.3">
      <c r="A320" s="6"/>
      <c r="C320" s="13" t="s">
        <v>458</v>
      </c>
      <c r="D320" s="13" t="str">
        <f t="shared" si="23"/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>
        <f t="shared" si="22"/>
        <v>99</v>
      </c>
      <c r="I320" s="21"/>
      <c r="J320" s="21" t="s">
        <v>906</v>
      </c>
      <c r="K320" s="21">
        <f t="shared" si="21"/>
        <v>11</v>
      </c>
      <c r="L320" s="21"/>
      <c r="M320" s="15">
        <f t="shared" si="24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.75" x14ac:dyDescent="0.3">
      <c r="A321" s="6"/>
      <c r="C321" s="13" t="s">
        <v>682</v>
      </c>
      <c r="D321" s="13" t="str">
        <f t="shared" si="23"/>
        <v xml:space="preserve">ef]h </v>
      </c>
      <c r="E321" s="13" t="str">
        <f t="shared" si="25"/>
        <v>kf}8]n</v>
      </c>
      <c r="F321" s="21" t="s">
        <v>234</v>
      </c>
      <c r="G321" s="21" t="s">
        <v>756</v>
      </c>
      <c r="H321" s="21">
        <f t="shared" si="22"/>
        <v>102</v>
      </c>
      <c r="I321" s="21"/>
      <c r="J321" s="21" t="s">
        <v>906</v>
      </c>
      <c r="K321" s="21">
        <f t="shared" si="21"/>
        <v>53</v>
      </c>
      <c r="L321" s="21"/>
      <c r="M321" s="15">
        <f t="shared" si="24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.75" x14ac:dyDescent="0.3">
      <c r="A322" s="6"/>
      <c r="C322" s="13" t="s">
        <v>459</v>
      </c>
      <c r="D322" s="13" t="str">
        <f t="shared" si="23"/>
        <v xml:space="preserve">;Ltf </v>
      </c>
      <c r="E322" s="13" t="str">
        <f t="shared" si="25"/>
        <v>kf}8]n</v>
      </c>
      <c r="F322" s="21" t="s">
        <v>234</v>
      </c>
      <c r="G322" s="21" t="s">
        <v>756</v>
      </c>
      <c r="H322" s="21">
        <f t="shared" si="22"/>
        <v>102</v>
      </c>
      <c r="I322" s="21"/>
      <c r="J322" s="21" t="s">
        <v>905</v>
      </c>
      <c r="K322" s="21">
        <f t="shared" si="21"/>
        <v>107</v>
      </c>
      <c r="L322" s="21"/>
      <c r="M322" s="15">
        <f t="shared" si="24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.75" x14ac:dyDescent="0.3">
      <c r="A323" s="6"/>
      <c r="C323" s="13" t="s">
        <v>683</v>
      </c>
      <c r="D323" s="13" t="str">
        <f t="shared" si="23"/>
        <v xml:space="preserve">;GbLk </v>
      </c>
      <c r="E323" s="13" t="str">
        <f t="shared" si="25"/>
        <v>kf}8]n</v>
      </c>
      <c r="F323" s="21" t="s">
        <v>233</v>
      </c>
      <c r="G323" s="21" t="s">
        <v>757</v>
      </c>
      <c r="H323" s="21">
        <f t="shared" si="22"/>
        <v>69</v>
      </c>
      <c r="I323" s="21"/>
      <c r="J323" s="21" t="s">
        <v>905</v>
      </c>
      <c r="K323" s="21">
        <f t="shared" si="21"/>
        <v>164</v>
      </c>
      <c r="L323" s="21"/>
      <c r="M323" s="15">
        <f t="shared" si="24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.75" x14ac:dyDescent="0.3">
      <c r="A324" s="6">
        <v>105</v>
      </c>
      <c r="B324" t="s">
        <v>218</v>
      </c>
      <c r="C324" s="13" t="s">
        <v>684</v>
      </c>
      <c r="D324" s="13" t="str">
        <f t="shared" si="23"/>
        <v xml:space="preserve">nIdL </v>
      </c>
      <c r="E324" s="13" t="str">
        <f t="shared" si="25"/>
        <v>ltjf/L</v>
      </c>
      <c r="F324" s="21" t="s">
        <v>233</v>
      </c>
      <c r="G324" s="21" t="s">
        <v>756</v>
      </c>
      <c r="H324" s="21">
        <f t="shared" si="22"/>
        <v>99</v>
      </c>
      <c r="I324" s="21"/>
      <c r="J324" s="21" t="s">
        <v>905</v>
      </c>
      <c r="K324" s="21">
        <f t="shared" ref="K324:K348" si="26">IF(M324&gt;=5,(COUNTIFS($J$4:$J$348,J324,$F$4:$F$348,F324)))</f>
        <v>164</v>
      </c>
      <c r="L324" s="21"/>
      <c r="M324" s="15">
        <f t="shared" si="24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.75" x14ac:dyDescent="0.3">
      <c r="A325" s="6"/>
      <c r="C325" s="13" t="s">
        <v>685</v>
      </c>
      <c r="D325" s="13" t="str">
        <f t="shared" si="23"/>
        <v xml:space="preserve">k"0f{ </v>
      </c>
      <c r="E325" s="13" t="str">
        <f t="shared" si="25"/>
        <v>clwsf/L</v>
      </c>
      <c r="F325" s="21" t="s">
        <v>234</v>
      </c>
      <c r="G325" s="21" t="s">
        <v>756</v>
      </c>
      <c r="H325" s="21">
        <f t="shared" ref="H325:H348" si="27">IF(M325&gt;=10,(COUNTIFS($G$4:$G$348,G325,$F$4:$F$348,F325)))</f>
        <v>102</v>
      </c>
      <c r="I325" s="21"/>
      <c r="J325" s="21" t="s">
        <v>906</v>
      </c>
      <c r="K325" s="21">
        <f t="shared" si="26"/>
        <v>53</v>
      </c>
      <c r="L325" s="21"/>
      <c r="M325" s="15">
        <f t="shared" si="24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.75" x14ac:dyDescent="0.3">
      <c r="A326" s="6"/>
      <c r="C326" s="13" t="s">
        <v>686</v>
      </c>
      <c r="D326" s="13" t="str">
        <f t="shared" si="23"/>
        <v xml:space="preserve">s[i0f </v>
      </c>
      <c r="E326" s="13" t="str">
        <f t="shared" si="25"/>
        <v>ltjf/L</v>
      </c>
      <c r="F326" s="21" t="s">
        <v>233</v>
      </c>
      <c r="G326" s="21" t="s">
        <v>757</v>
      </c>
      <c r="H326" s="21">
        <f t="shared" si="27"/>
        <v>69</v>
      </c>
      <c r="I326" s="21"/>
      <c r="J326" s="21" t="s">
        <v>905</v>
      </c>
      <c r="K326" s="21">
        <f t="shared" si="26"/>
        <v>164</v>
      </c>
      <c r="L326" s="21"/>
      <c r="M326" s="15">
        <f t="shared" si="24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.75" x14ac:dyDescent="0.3">
      <c r="A327" s="6">
        <v>106</v>
      </c>
      <c r="B327" t="s">
        <v>46</v>
      </c>
      <c r="C327" s="13" t="s">
        <v>687</v>
      </c>
      <c r="D327" s="13" t="str">
        <f t="shared" ref="D327:D348" si="28">LEFT(C327,(FIND(" ",C327)))</f>
        <v xml:space="preserve">/Tg </v>
      </c>
      <c r="E327" s="13" t="str">
        <f t="shared" si="25"/>
        <v>&gt;]i7</v>
      </c>
      <c r="F327" s="21" t="s">
        <v>234</v>
      </c>
      <c r="G327" s="21" t="s">
        <v>756</v>
      </c>
      <c r="H327" s="21">
        <f t="shared" si="27"/>
        <v>102</v>
      </c>
      <c r="I327" s="21"/>
      <c r="J327" s="21" t="s">
        <v>906</v>
      </c>
      <c r="K327" s="21">
        <f t="shared" si="26"/>
        <v>53</v>
      </c>
      <c r="L327" s="21"/>
      <c r="M327" s="15">
        <f t="shared" ref="M327:M348" si="29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.75" x14ac:dyDescent="0.3">
      <c r="A328" s="6"/>
      <c r="C328" s="13" t="s">
        <v>688</v>
      </c>
      <c r="D328" s="13" t="str">
        <f t="shared" si="28"/>
        <v xml:space="preserve">/fd </v>
      </c>
      <c r="E328" s="13" t="str">
        <f t="shared" ref="E328:E348" si="30">TRIM(RIGHT(SUBSTITUTE(C328," ",REPT(" ",255)),255))</f>
        <v>&gt;]i7</v>
      </c>
      <c r="F328" s="21" t="s">
        <v>233</v>
      </c>
      <c r="G328" s="21" t="s">
        <v>756</v>
      </c>
      <c r="H328" s="21">
        <f t="shared" si="27"/>
        <v>99</v>
      </c>
      <c r="I328" s="21"/>
      <c r="J328" s="21" t="s">
        <v>905</v>
      </c>
      <c r="K328" s="21">
        <f t="shared" si="26"/>
        <v>164</v>
      </c>
      <c r="L328" s="21"/>
      <c r="M328" s="15">
        <f t="shared" si="29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.75" x14ac:dyDescent="0.3">
      <c r="A329" s="6"/>
      <c r="C329" s="13" t="s">
        <v>689</v>
      </c>
      <c r="D329" s="13" t="str">
        <f t="shared" si="28"/>
        <v xml:space="preserve">;/:jtL </v>
      </c>
      <c r="E329" s="13" t="str">
        <f t="shared" si="30"/>
        <v>&gt;]i7</v>
      </c>
      <c r="F329" s="21" t="s">
        <v>234</v>
      </c>
      <c r="G329" s="21" t="s">
        <v>756</v>
      </c>
      <c r="H329" s="21">
        <f t="shared" si="27"/>
        <v>102</v>
      </c>
      <c r="I329" s="21"/>
      <c r="J329" s="21" t="s">
        <v>905</v>
      </c>
      <c r="K329" s="21">
        <f t="shared" si="26"/>
        <v>107</v>
      </c>
      <c r="L329" s="21"/>
      <c r="M329" s="15">
        <f t="shared" si="29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.75" x14ac:dyDescent="0.3">
      <c r="A330" s="6"/>
      <c r="C330" s="13" t="s">
        <v>690</v>
      </c>
      <c r="D330" s="13" t="str">
        <f t="shared" si="28"/>
        <v xml:space="preserve">l/ltdf </v>
      </c>
      <c r="E330" s="13" t="str">
        <f t="shared" si="30"/>
        <v>&gt;]i7</v>
      </c>
      <c r="F330" s="21" t="s">
        <v>234</v>
      </c>
      <c r="G330" s="21" t="s">
        <v>757</v>
      </c>
      <c r="H330" s="21">
        <f t="shared" si="27"/>
        <v>54</v>
      </c>
      <c r="I330" s="21"/>
      <c r="J330" s="21" t="s">
        <v>905</v>
      </c>
      <c r="K330" s="21">
        <f t="shared" si="26"/>
        <v>107</v>
      </c>
      <c r="L330" s="21"/>
      <c r="M330" s="15">
        <f t="shared" si="29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.75" x14ac:dyDescent="0.3">
      <c r="A331" s="6"/>
      <c r="C331" s="13" t="s">
        <v>691</v>
      </c>
      <c r="D331" s="13" t="str">
        <f t="shared" si="28"/>
        <v xml:space="preserve">cflbTo </v>
      </c>
      <c r="E331" s="13" t="str">
        <f t="shared" si="30"/>
        <v>&gt;]i7</v>
      </c>
      <c r="F331" s="21" t="s">
        <v>233</v>
      </c>
      <c r="G331" s="21" t="s">
        <v>757</v>
      </c>
      <c r="H331" s="21">
        <f t="shared" si="27"/>
        <v>69</v>
      </c>
      <c r="I331" s="21"/>
      <c r="J331" s="21" t="s">
        <v>905</v>
      </c>
      <c r="K331" s="21">
        <f t="shared" si="26"/>
        <v>164</v>
      </c>
      <c r="L331" s="21"/>
      <c r="M331" s="15">
        <f t="shared" si="29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.75" x14ac:dyDescent="0.3">
      <c r="A332" s="6">
        <v>107</v>
      </c>
      <c r="B332" t="s">
        <v>219</v>
      </c>
      <c r="C332" s="13" t="s">
        <v>692</v>
      </c>
      <c r="D332" s="13" t="str">
        <f t="shared" si="28"/>
        <v xml:space="preserve">hLa </v>
      </c>
      <c r="E332" s="13" t="str">
        <f t="shared" si="30"/>
        <v>bfxfn</v>
      </c>
      <c r="F332" s="21" t="s">
        <v>233</v>
      </c>
      <c r="G332" s="21" t="s">
        <v>756</v>
      </c>
      <c r="H332" s="21">
        <f t="shared" si="27"/>
        <v>99</v>
      </c>
      <c r="I332" s="21"/>
      <c r="J332" s="21" t="s">
        <v>905</v>
      </c>
      <c r="K332" s="21">
        <f t="shared" si="26"/>
        <v>164</v>
      </c>
      <c r="L332" s="21"/>
      <c r="M332" s="15">
        <f t="shared" si="29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.75" x14ac:dyDescent="0.3">
      <c r="A333" s="6"/>
      <c r="C333" s="13" t="s">
        <v>693</v>
      </c>
      <c r="D333" s="13" t="str">
        <f t="shared" si="28"/>
        <v xml:space="preserve">s]z/ </v>
      </c>
      <c r="E333" s="13" t="str">
        <f t="shared" si="30"/>
        <v>bfxfn</v>
      </c>
      <c r="F333" s="21" t="s">
        <v>234</v>
      </c>
      <c r="G333" s="21" t="s">
        <v>756</v>
      </c>
      <c r="H333" s="21">
        <f t="shared" si="27"/>
        <v>102</v>
      </c>
      <c r="I333" s="21"/>
      <c r="J333" s="21" t="s">
        <v>906</v>
      </c>
      <c r="K333" s="21">
        <f t="shared" si="26"/>
        <v>53</v>
      </c>
      <c r="L333" s="21"/>
      <c r="M333" s="15">
        <f t="shared" si="29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.75" x14ac:dyDescent="0.3">
      <c r="A334" s="6"/>
      <c r="C334" s="13" t="s">
        <v>694</v>
      </c>
      <c r="D334" s="13" t="str">
        <f t="shared" si="28"/>
        <v xml:space="preserve">lgzf </v>
      </c>
      <c r="E334" s="13" t="str">
        <f t="shared" si="30"/>
        <v>zdf{</v>
      </c>
      <c r="F334" s="21" t="s">
        <v>234</v>
      </c>
      <c r="G334" s="21" t="s">
        <v>757</v>
      </c>
      <c r="H334" s="21">
        <f t="shared" si="27"/>
        <v>54</v>
      </c>
      <c r="I334" s="21"/>
      <c r="J334" s="21" t="s">
        <v>905</v>
      </c>
      <c r="K334" s="21">
        <f t="shared" si="26"/>
        <v>107</v>
      </c>
      <c r="L334" s="21"/>
      <c r="M334" s="15">
        <f t="shared" si="29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.75" x14ac:dyDescent="0.3">
      <c r="A335" s="6"/>
      <c r="C335" s="13" t="s">
        <v>695</v>
      </c>
      <c r="D335" s="13" t="str">
        <f t="shared" si="28"/>
        <v xml:space="preserve">kf]if0f </v>
      </c>
      <c r="E335" s="13" t="str">
        <f t="shared" si="30"/>
        <v>zdf{</v>
      </c>
      <c r="F335" s="21" t="s">
        <v>234</v>
      </c>
      <c r="G335" s="21" t="s">
        <v>757</v>
      </c>
      <c r="H335" s="21">
        <f t="shared" si="27"/>
        <v>54</v>
      </c>
      <c r="I335" s="21"/>
      <c r="J335" s="21" t="s">
        <v>905</v>
      </c>
      <c r="K335" s="21">
        <f t="shared" si="26"/>
        <v>107</v>
      </c>
      <c r="L335" s="21"/>
      <c r="M335" s="15">
        <f t="shared" si="29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.75" x14ac:dyDescent="0.3">
      <c r="A336" s="6"/>
      <c r="C336" s="13" t="s">
        <v>696</v>
      </c>
      <c r="D336" s="13" t="str">
        <f t="shared" si="28"/>
        <v xml:space="preserve">g]z' </v>
      </c>
      <c r="E336" s="13" t="str">
        <f t="shared" si="30"/>
        <v>zdf{</v>
      </c>
      <c r="F336" s="21" t="s">
        <v>234</v>
      </c>
      <c r="G336" s="21" t="s">
        <v>757</v>
      </c>
      <c r="H336" s="21">
        <f t="shared" si="27"/>
        <v>54</v>
      </c>
      <c r="I336" s="21"/>
      <c r="J336" s="21" t="s">
        <v>905</v>
      </c>
      <c r="K336" s="21">
        <f t="shared" si="26"/>
        <v>107</v>
      </c>
      <c r="L336" s="21"/>
      <c r="M336" s="15">
        <f t="shared" si="29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.75" x14ac:dyDescent="0.3">
      <c r="A337" s="6"/>
      <c r="C337" s="13" t="s">
        <v>697</v>
      </c>
      <c r="D337" s="13" t="str">
        <f t="shared" si="28"/>
        <v xml:space="preserve">piff </v>
      </c>
      <c r="E337" s="13" t="str">
        <f t="shared" si="30"/>
        <v>zdf{</v>
      </c>
      <c r="F337" s="21" t="s">
        <v>234</v>
      </c>
      <c r="G337" s="21" t="s">
        <v>757</v>
      </c>
      <c r="H337" s="21">
        <f t="shared" si="27"/>
        <v>54</v>
      </c>
      <c r="I337" s="21"/>
      <c r="J337" s="21" t="s">
        <v>905</v>
      </c>
      <c r="K337" s="21">
        <f t="shared" si="26"/>
        <v>107</v>
      </c>
      <c r="L337" s="21"/>
      <c r="M337" s="15">
        <f t="shared" si="29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.75" x14ac:dyDescent="0.3">
      <c r="A338" s="6">
        <v>108</v>
      </c>
      <c r="B338" t="s">
        <v>148</v>
      </c>
      <c r="C338" s="13" t="s">
        <v>698</v>
      </c>
      <c r="D338" s="13" t="str">
        <f t="shared" si="28"/>
        <v xml:space="preserve">rGb| </v>
      </c>
      <c r="E338" s="13" t="str">
        <f t="shared" si="30"/>
        <v>a:g]t</v>
      </c>
      <c r="F338" s="21" t="s">
        <v>233</v>
      </c>
      <c r="G338" s="21" t="s">
        <v>756</v>
      </c>
      <c r="H338" s="21">
        <f t="shared" si="27"/>
        <v>99</v>
      </c>
      <c r="I338" s="21"/>
      <c r="J338" s="21" t="s">
        <v>905</v>
      </c>
      <c r="K338" s="21">
        <f t="shared" si="26"/>
        <v>164</v>
      </c>
      <c r="L338" s="21"/>
      <c r="M338" s="15">
        <f t="shared" si="29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.75" x14ac:dyDescent="0.3">
      <c r="A339" s="6"/>
      <c r="C339" s="13" t="s">
        <v>699</v>
      </c>
      <c r="D339" s="13" t="str">
        <f t="shared" si="28"/>
        <v xml:space="preserve">kz'klt </v>
      </c>
      <c r="E339" s="13" t="str">
        <f t="shared" si="30"/>
        <v>sfsL{</v>
      </c>
      <c r="F339" s="21" t="s">
        <v>234</v>
      </c>
      <c r="G339" s="21" t="s">
        <v>756</v>
      </c>
      <c r="H339" s="21">
        <f t="shared" si="27"/>
        <v>102</v>
      </c>
      <c r="I339" s="21"/>
      <c r="J339" s="21" t="s">
        <v>905</v>
      </c>
      <c r="K339" s="21">
        <f t="shared" si="26"/>
        <v>107</v>
      </c>
      <c r="L339" s="21"/>
      <c r="M339" s="15">
        <f t="shared" si="29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.75" x14ac:dyDescent="0.3">
      <c r="A340" s="6"/>
      <c r="C340" s="13" t="s">
        <v>612</v>
      </c>
      <c r="D340" s="13" t="str">
        <f t="shared" si="28"/>
        <v xml:space="preserve">ljzfn </v>
      </c>
      <c r="E340" s="13" t="str">
        <f t="shared" si="30"/>
        <v>a:g]t</v>
      </c>
      <c r="F340" s="21" t="s">
        <v>233</v>
      </c>
      <c r="G340" s="21" t="s">
        <v>757</v>
      </c>
      <c r="H340" s="21">
        <f t="shared" si="27"/>
        <v>69</v>
      </c>
      <c r="I340" s="21"/>
      <c r="J340" s="21" t="s">
        <v>905</v>
      </c>
      <c r="K340" s="21">
        <f t="shared" si="26"/>
        <v>164</v>
      </c>
      <c r="L340" s="21"/>
      <c r="M340" s="15">
        <f t="shared" si="29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.75" x14ac:dyDescent="0.3">
      <c r="A341" s="6"/>
      <c r="C341" s="13" t="s">
        <v>613</v>
      </c>
      <c r="D341" s="13" t="str">
        <f t="shared" si="28"/>
        <v xml:space="preserve">ljj]s </v>
      </c>
      <c r="E341" s="13" t="str">
        <f t="shared" si="30"/>
        <v>a:g]t</v>
      </c>
      <c r="F341" s="21" t="s">
        <v>233</v>
      </c>
      <c r="G341" s="21" t="s">
        <v>757</v>
      </c>
      <c r="H341" s="21">
        <f t="shared" si="27"/>
        <v>69</v>
      </c>
      <c r="I341" s="21"/>
      <c r="J341" s="21" t="s">
        <v>905</v>
      </c>
      <c r="K341" s="21">
        <f t="shared" si="26"/>
        <v>164</v>
      </c>
      <c r="L341" s="21"/>
      <c r="M341" s="15">
        <f t="shared" si="29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.75" x14ac:dyDescent="0.3">
      <c r="A342" s="6">
        <v>109</v>
      </c>
      <c r="B342" t="s">
        <v>220</v>
      </c>
      <c r="C342" s="13" t="s">
        <v>700</v>
      </c>
      <c r="D342" s="13" t="str">
        <f t="shared" si="28"/>
        <v xml:space="preserve">r'8fd0fL </v>
      </c>
      <c r="E342" s="13" t="str">
        <f t="shared" si="30"/>
        <v>vgfn</v>
      </c>
      <c r="F342" s="21" t="s">
        <v>233</v>
      </c>
      <c r="G342" s="21" t="s">
        <v>756</v>
      </c>
      <c r="H342" s="21">
        <f t="shared" si="27"/>
        <v>99</v>
      </c>
      <c r="I342" s="21"/>
      <c r="J342" s="21" t="s">
        <v>905</v>
      </c>
      <c r="K342" s="21">
        <f t="shared" si="26"/>
        <v>164</v>
      </c>
      <c r="L342" s="21"/>
      <c r="M342" s="15">
        <f t="shared" si="29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.75" x14ac:dyDescent="0.3">
      <c r="A343" s="6"/>
      <c r="C343" s="13" t="s">
        <v>701</v>
      </c>
      <c r="D343" s="13" t="str">
        <f t="shared" si="28"/>
        <v xml:space="preserve">;'gfb]jL </v>
      </c>
      <c r="E343" s="13" t="str">
        <f t="shared" si="30"/>
        <v>clwsf/L</v>
      </c>
      <c r="F343" s="21" t="s">
        <v>234</v>
      </c>
      <c r="G343" s="21" t="s">
        <v>756</v>
      </c>
      <c r="H343" s="21">
        <f t="shared" si="27"/>
        <v>102</v>
      </c>
      <c r="I343" s="21"/>
      <c r="J343" s="21" t="s">
        <v>905</v>
      </c>
      <c r="K343" s="21">
        <f t="shared" si="26"/>
        <v>107</v>
      </c>
      <c r="L343" s="21"/>
      <c r="M343" s="15">
        <f t="shared" si="29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.75" x14ac:dyDescent="0.3">
      <c r="A344" s="6"/>
      <c r="C344" s="13" t="s">
        <v>702</v>
      </c>
      <c r="D344" s="13" t="str">
        <f t="shared" si="28"/>
        <v xml:space="preserve">;'j0f{ </v>
      </c>
      <c r="E344" s="13" t="str">
        <f t="shared" si="30"/>
        <v>vgfn</v>
      </c>
      <c r="F344" s="21" t="s">
        <v>233</v>
      </c>
      <c r="G344" s="21" t="s">
        <v>757</v>
      </c>
      <c r="H344" s="21">
        <f t="shared" si="27"/>
        <v>69</v>
      </c>
      <c r="I344" s="21"/>
      <c r="J344" s="21" t="s">
        <v>905</v>
      </c>
      <c r="K344" s="21">
        <f t="shared" si="26"/>
        <v>164</v>
      </c>
      <c r="L344" s="21"/>
      <c r="M344" s="15">
        <f t="shared" si="29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.75" x14ac:dyDescent="0.3">
      <c r="A345" s="6">
        <v>110</v>
      </c>
      <c r="B345" t="s">
        <v>221</v>
      </c>
      <c r="C345" s="13" t="s">
        <v>703</v>
      </c>
      <c r="D345" s="13" t="str">
        <f t="shared" si="28"/>
        <v xml:space="preserve">d'/f/L </v>
      </c>
      <c r="E345" s="13" t="str">
        <f t="shared" si="30"/>
        <v>;'j]bL</v>
      </c>
      <c r="F345" s="21" t="s">
        <v>233</v>
      </c>
      <c r="G345" s="21" t="s">
        <v>756</v>
      </c>
      <c r="H345" s="21">
        <f t="shared" si="27"/>
        <v>99</v>
      </c>
      <c r="I345" s="21"/>
      <c r="J345" s="21" t="s">
        <v>905</v>
      </c>
      <c r="K345" s="21">
        <f t="shared" si="26"/>
        <v>164</v>
      </c>
      <c r="L345" s="21"/>
      <c r="M345" s="15">
        <f t="shared" si="29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.75" x14ac:dyDescent="0.3">
      <c r="A346" s="6"/>
      <c r="C346" s="13" t="s">
        <v>704</v>
      </c>
      <c r="D346" s="13" t="str">
        <f t="shared" si="28"/>
        <v xml:space="preserve">;'ldqf </v>
      </c>
      <c r="E346" s="13" t="str">
        <f t="shared" si="30"/>
        <v>;'j]bL</v>
      </c>
      <c r="F346" s="21" t="s">
        <v>234</v>
      </c>
      <c r="G346" s="21" t="s">
        <v>756</v>
      </c>
      <c r="H346" s="21">
        <f t="shared" si="27"/>
        <v>102</v>
      </c>
      <c r="I346" s="21"/>
      <c r="J346" s="21" t="s">
        <v>906</v>
      </c>
      <c r="K346" s="21">
        <f t="shared" si="26"/>
        <v>53</v>
      </c>
      <c r="L346" s="21"/>
      <c r="M346" s="15">
        <f t="shared" si="29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.75" x14ac:dyDescent="0.3">
      <c r="A347" s="6"/>
      <c r="C347" s="13" t="s">
        <v>705</v>
      </c>
      <c r="D347" s="13" t="str">
        <f t="shared" si="28"/>
        <v xml:space="preserve">laa]s </v>
      </c>
      <c r="E347" s="13" t="str">
        <f t="shared" si="30"/>
        <v>;'j]bL</v>
      </c>
      <c r="F347" s="21" t="s">
        <v>233</v>
      </c>
      <c r="G347" s="21" t="s">
        <v>757</v>
      </c>
      <c r="H347" s="21">
        <f t="shared" si="27"/>
        <v>69</v>
      </c>
      <c r="I347" s="21"/>
      <c r="J347" s="21" t="s">
        <v>905</v>
      </c>
      <c r="K347" s="21">
        <f t="shared" si="26"/>
        <v>164</v>
      </c>
      <c r="L347" s="21"/>
      <c r="M347" s="15">
        <f t="shared" si="29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.75" x14ac:dyDescent="0.3">
      <c r="A348" s="6"/>
      <c r="C348" s="13" t="s">
        <v>706</v>
      </c>
      <c r="D348" s="13" t="str">
        <f t="shared" si="28"/>
        <v xml:space="preserve">;[li6 </v>
      </c>
      <c r="E348" s="13" t="str">
        <f t="shared" si="30"/>
        <v>;'j]bL</v>
      </c>
      <c r="F348" s="21" t="s">
        <v>234</v>
      </c>
      <c r="G348" s="21" t="s">
        <v>757</v>
      </c>
      <c r="H348" s="21">
        <f t="shared" si="27"/>
        <v>54</v>
      </c>
      <c r="I348" s="21"/>
      <c r="J348" s="21" t="s">
        <v>905</v>
      </c>
      <c r="K348" s="21">
        <f t="shared" si="26"/>
        <v>107</v>
      </c>
      <c r="L348" s="21"/>
      <c r="M348" s="15">
        <f t="shared" si="29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25">
      <c r="AA349" s="3">
        <f>SUM(AA4:AA348)</f>
        <v>345</v>
      </c>
      <c r="AB349" s="3">
        <f t="shared" ref="AB349:AC349" si="31">SUM(AB4:AB348)</f>
        <v>182</v>
      </c>
      <c r="AC349" s="3">
        <f t="shared" si="31"/>
        <v>163</v>
      </c>
    </row>
  </sheetData>
  <mergeCells count="27">
    <mergeCell ref="G1:G2"/>
    <mergeCell ref="A1:A2"/>
    <mergeCell ref="C1:C2"/>
    <mergeCell ref="D1:D2"/>
    <mergeCell ref="E1:E2"/>
    <mergeCell ref="F1:F2"/>
    <mergeCell ref="K1:K2"/>
    <mergeCell ref="L1:L2"/>
    <mergeCell ref="M1:M2"/>
    <mergeCell ref="N1:N2"/>
    <mergeCell ref="O1:O2"/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2026-09-11T07:27:45Z</cp:lastPrinted>
  <dcterms:created xsi:type="dcterms:W3CDTF">2015-06-05T18:17:20Z</dcterms:created>
  <dcterms:modified xsi:type="dcterms:W3CDTF">2026-09-11T09:15:02Z</dcterms:modified>
</cp:coreProperties>
</file>