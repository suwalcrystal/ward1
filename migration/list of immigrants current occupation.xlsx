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082_083\ward1\migration\"/>
    </mc:Choice>
  </mc:AlternateContent>
  <xr:revisionPtr revIDLastSave="0" documentId="13_ncr:1_{C66ECB09-A1A6-47F8-8FD6-33D6B569D3A1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etailed" sheetId="1" state="hidden" r:id="rId1"/>
    <sheet name="for graph" sheetId="4" r:id="rId2"/>
    <sheet name="Sheet2" sheetId="3" r:id="rId3"/>
    <sheet name="Reasons" sheetId="2" r:id="rId4"/>
    <sheet name="Detailed (2)" sheetId="5" r:id="rId5"/>
    <sheet name="5yrs above" sheetId="6" r:id="rId6"/>
    <sheet name="10yrs above" sheetId="8" r:id="rId7"/>
  </sheets>
  <definedNames>
    <definedName name="_xlnm._FilterDatabase" localSheetId="6" hidden="1">'10yrs above'!#REF!</definedName>
    <definedName name="_xlnm._FilterDatabase" localSheetId="5" hidden="1">'5yrs above'!#REF!</definedName>
    <definedName name="_xlnm._FilterDatabase" localSheetId="0" hidden="1">Detailed!#REF!</definedName>
    <definedName name="_xlnm._FilterDatabase" localSheetId="4" hidden="1">'Detailed (2)'!#REF!</definedName>
    <definedName name="_xlnm._FilterDatabase" localSheetId="1" hidden="1">'for graph'!$A$2:$BA$92</definedName>
    <definedName name="_xlnm._FilterDatabase" localSheetId="2" hidden="1">Sheet2!$A$1:$Q$111</definedName>
    <definedName name="_xlnm.Print_Area" localSheetId="6">'10yrs above'!#REF!</definedName>
    <definedName name="_xlnm.Print_Area" localSheetId="5">'5yrs above'!#REF!</definedName>
    <definedName name="_xlnm.Print_Area" localSheetId="0">Detailed!$P$4:$P$46</definedName>
    <definedName name="_xlnm.Print_Area" localSheetId="4">'Detailed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" i="4" l="1"/>
  <c r="AK5" i="4"/>
  <c r="AK6" i="4"/>
  <c r="AK7" i="4"/>
  <c r="AK8" i="4"/>
  <c r="AK3" i="4"/>
  <c r="AJ3" i="4" a="1"/>
  <c r="AJ3" i="4" s="1"/>
  <c r="AF3" i="4" a="1"/>
  <c r="AF3" i="4" s="1"/>
  <c r="AO3" i="4" a="1"/>
  <c r="AO3" i="4" s="1"/>
  <c r="AP3" i="4" s="1"/>
  <c r="AP5" i="4" l="1"/>
  <c r="AP7" i="4"/>
  <c r="AP6" i="4"/>
  <c r="AP4" i="4"/>
  <c r="AL3" i="4" l="1" a="1"/>
  <c r="AM5" i="4" s="1"/>
  <c r="U3" i="4" a="1"/>
  <c r="U3" i="4" s="1"/>
  <c r="V3" i="4" s="1"/>
  <c r="AL3" i="4" l="1"/>
  <c r="AM3" i="4" s="1"/>
  <c r="AM4" i="4"/>
  <c r="V7" i="4"/>
  <c r="V6" i="4"/>
  <c r="V4" i="4"/>
  <c r="V5" i="4"/>
  <c r="H7" i="8" l="1"/>
  <c r="H15" i="8"/>
  <c r="H16" i="8"/>
  <c r="H5" i="8"/>
  <c r="H6" i="8"/>
  <c r="H8" i="8"/>
  <c r="H9" i="8"/>
  <c r="H10" i="8"/>
  <c r="H11" i="8"/>
  <c r="H12" i="8"/>
  <c r="H13" i="8"/>
  <c r="H14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4" i="8"/>
  <c r="AC349" i="8"/>
  <c r="AA349" i="8"/>
  <c r="M348" i="8"/>
  <c r="K348" i="8" s="1"/>
  <c r="E348" i="8"/>
  <c r="D348" i="8"/>
  <c r="M347" i="8"/>
  <c r="K347" i="8" s="1"/>
  <c r="E347" i="8"/>
  <c r="D347" i="8"/>
  <c r="M346" i="8"/>
  <c r="K346" i="8"/>
  <c r="E346" i="8"/>
  <c r="D346" i="8"/>
  <c r="M345" i="8"/>
  <c r="K345" i="8" s="1"/>
  <c r="E345" i="8"/>
  <c r="D345" i="8"/>
  <c r="M344" i="8"/>
  <c r="K344" i="8" s="1"/>
  <c r="E344" i="8"/>
  <c r="D344" i="8"/>
  <c r="M343" i="8"/>
  <c r="K343" i="8" s="1"/>
  <c r="E343" i="8"/>
  <c r="D343" i="8"/>
  <c r="M342" i="8"/>
  <c r="K342" i="8" s="1"/>
  <c r="E342" i="8"/>
  <c r="D342" i="8"/>
  <c r="M341" i="8"/>
  <c r="K341" i="8" s="1"/>
  <c r="E341" i="8"/>
  <c r="D341" i="8"/>
  <c r="M340" i="8"/>
  <c r="K340" i="8" s="1"/>
  <c r="E340" i="8"/>
  <c r="D340" i="8"/>
  <c r="M339" i="8"/>
  <c r="K339" i="8" s="1"/>
  <c r="E339" i="8"/>
  <c r="D339" i="8"/>
  <c r="M338" i="8"/>
  <c r="K338" i="8"/>
  <c r="E338" i="8"/>
  <c r="D338" i="8"/>
  <c r="M337" i="8"/>
  <c r="K337" i="8" s="1"/>
  <c r="E337" i="8"/>
  <c r="D337" i="8"/>
  <c r="M336" i="8"/>
  <c r="K336" i="8"/>
  <c r="E336" i="8"/>
  <c r="D336" i="8"/>
  <c r="M335" i="8"/>
  <c r="K335" i="8" s="1"/>
  <c r="E335" i="8"/>
  <c r="D335" i="8"/>
  <c r="M334" i="8"/>
  <c r="K334" i="8" s="1"/>
  <c r="E334" i="8"/>
  <c r="D334" i="8"/>
  <c r="M333" i="8"/>
  <c r="K333" i="8" s="1"/>
  <c r="E333" i="8"/>
  <c r="D333" i="8"/>
  <c r="M332" i="8"/>
  <c r="K332" i="8"/>
  <c r="E332" i="8"/>
  <c r="D332" i="8"/>
  <c r="M331" i="8"/>
  <c r="K331" i="8" s="1"/>
  <c r="E331" i="8"/>
  <c r="D331" i="8"/>
  <c r="M330" i="8"/>
  <c r="K330" i="8" s="1"/>
  <c r="E330" i="8"/>
  <c r="D330" i="8"/>
  <c r="M329" i="8"/>
  <c r="K329" i="8" s="1"/>
  <c r="E329" i="8"/>
  <c r="D329" i="8"/>
  <c r="M328" i="8"/>
  <c r="K328" i="8" s="1"/>
  <c r="E328" i="8"/>
  <c r="D328" i="8"/>
  <c r="M327" i="8"/>
  <c r="K327" i="8" s="1"/>
  <c r="E327" i="8"/>
  <c r="D327" i="8"/>
  <c r="M326" i="8"/>
  <c r="K326" i="8"/>
  <c r="E326" i="8"/>
  <c r="D326" i="8"/>
  <c r="M325" i="8"/>
  <c r="K325" i="8" s="1"/>
  <c r="E325" i="8"/>
  <c r="D325" i="8"/>
  <c r="M324" i="8"/>
  <c r="K324" i="8" s="1"/>
  <c r="E324" i="8"/>
  <c r="D324" i="8"/>
  <c r="M323" i="8"/>
  <c r="K323" i="8" s="1"/>
  <c r="E323" i="8"/>
  <c r="D323" i="8"/>
  <c r="M322" i="8"/>
  <c r="K322" i="8" s="1"/>
  <c r="E322" i="8"/>
  <c r="D322" i="8"/>
  <c r="M321" i="8"/>
  <c r="K321" i="8" s="1"/>
  <c r="E321" i="8"/>
  <c r="D321" i="8"/>
  <c r="M320" i="8"/>
  <c r="K320" i="8"/>
  <c r="E320" i="8"/>
  <c r="D320" i="8"/>
  <c r="M319" i="8"/>
  <c r="K319" i="8" s="1"/>
  <c r="E319" i="8"/>
  <c r="D319" i="8"/>
  <c r="M318" i="8"/>
  <c r="K318" i="8" s="1"/>
  <c r="E318" i="8"/>
  <c r="D318" i="8"/>
  <c r="M317" i="8"/>
  <c r="K317" i="8" s="1"/>
  <c r="E317" i="8"/>
  <c r="D317" i="8"/>
  <c r="M316" i="8"/>
  <c r="K316" i="8" s="1"/>
  <c r="E316" i="8"/>
  <c r="D316" i="8"/>
  <c r="M315" i="8"/>
  <c r="K315" i="8" s="1"/>
  <c r="E315" i="8"/>
  <c r="D315" i="8"/>
  <c r="M314" i="8"/>
  <c r="K314" i="8"/>
  <c r="E314" i="8"/>
  <c r="D314" i="8"/>
  <c r="M313" i="8"/>
  <c r="K313" i="8" s="1"/>
  <c r="E313" i="8"/>
  <c r="D313" i="8"/>
  <c r="M312" i="8"/>
  <c r="K312" i="8" s="1"/>
  <c r="E312" i="8"/>
  <c r="D312" i="8"/>
  <c r="M311" i="8"/>
  <c r="K311" i="8" s="1"/>
  <c r="E311" i="8"/>
  <c r="D311" i="8"/>
  <c r="M310" i="8"/>
  <c r="K310" i="8"/>
  <c r="E310" i="8"/>
  <c r="D310" i="8"/>
  <c r="M309" i="8"/>
  <c r="K309" i="8" s="1"/>
  <c r="E309" i="8"/>
  <c r="D309" i="8"/>
  <c r="M308" i="8"/>
  <c r="K308" i="8" s="1"/>
  <c r="E308" i="8"/>
  <c r="D308" i="8"/>
  <c r="M307" i="8"/>
  <c r="K307" i="8" s="1"/>
  <c r="E307" i="8"/>
  <c r="D307" i="8"/>
  <c r="M306" i="8"/>
  <c r="K306" i="8"/>
  <c r="E306" i="8"/>
  <c r="D306" i="8"/>
  <c r="M305" i="8"/>
  <c r="K305" i="8" s="1"/>
  <c r="E305" i="8"/>
  <c r="D305" i="8"/>
  <c r="M304" i="8"/>
  <c r="K304" i="8"/>
  <c r="E304" i="8"/>
  <c r="D304" i="8"/>
  <c r="M303" i="8"/>
  <c r="K303" i="8" s="1"/>
  <c r="E303" i="8"/>
  <c r="D303" i="8"/>
  <c r="M302" i="8"/>
  <c r="K302" i="8" s="1"/>
  <c r="E302" i="8"/>
  <c r="D302" i="8"/>
  <c r="M301" i="8"/>
  <c r="K301" i="8" s="1"/>
  <c r="E301" i="8"/>
  <c r="D301" i="8"/>
  <c r="M300" i="8"/>
  <c r="K300" i="8" s="1"/>
  <c r="E300" i="8"/>
  <c r="D300" i="8"/>
  <c r="M299" i="8"/>
  <c r="K299" i="8" s="1"/>
  <c r="E299" i="8"/>
  <c r="D299" i="8"/>
  <c r="M298" i="8"/>
  <c r="K298" i="8" s="1"/>
  <c r="E298" i="8"/>
  <c r="D298" i="8"/>
  <c r="M297" i="8"/>
  <c r="K297" i="8" s="1"/>
  <c r="E297" i="8"/>
  <c r="D297" i="8"/>
  <c r="M296" i="8"/>
  <c r="K296" i="8" s="1"/>
  <c r="E296" i="8"/>
  <c r="D296" i="8"/>
  <c r="M295" i="8"/>
  <c r="K295" i="8" s="1"/>
  <c r="E295" i="8"/>
  <c r="D295" i="8"/>
  <c r="M294" i="8"/>
  <c r="K294" i="8"/>
  <c r="E294" i="8"/>
  <c r="D294" i="8"/>
  <c r="M293" i="8"/>
  <c r="K293" i="8" s="1"/>
  <c r="E293" i="8"/>
  <c r="D293" i="8"/>
  <c r="M292" i="8"/>
  <c r="K292" i="8" s="1"/>
  <c r="E292" i="8"/>
  <c r="D292" i="8"/>
  <c r="M291" i="8"/>
  <c r="K291" i="8" s="1"/>
  <c r="E291" i="8"/>
  <c r="D291" i="8"/>
  <c r="M290" i="8"/>
  <c r="K290" i="8" s="1"/>
  <c r="E290" i="8"/>
  <c r="D290" i="8"/>
  <c r="M289" i="8"/>
  <c r="K289" i="8" s="1"/>
  <c r="E289" i="8"/>
  <c r="D289" i="8"/>
  <c r="M288" i="8"/>
  <c r="K288" i="8"/>
  <c r="E288" i="8"/>
  <c r="D288" i="8"/>
  <c r="M287" i="8"/>
  <c r="K287" i="8" s="1"/>
  <c r="E287" i="8"/>
  <c r="D287" i="8"/>
  <c r="M286" i="8"/>
  <c r="K286" i="8" s="1"/>
  <c r="E286" i="8"/>
  <c r="D286" i="8"/>
  <c r="M285" i="8"/>
  <c r="K285" i="8" s="1"/>
  <c r="E285" i="8"/>
  <c r="D285" i="8"/>
  <c r="M284" i="8"/>
  <c r="K284" i="8" s="1"/>
  <c r="E284" i="8"/>
  <c r="D284" i="8"/>
  <c r="M283" i="8"/>
  <c r="K283" i="8" s="1"/>
  <c r="E283" i="8"/>
  <c r="D283" i="8"/>
  <c r="M282" i="8"/>
  <c r="K282" i="8"/>
  <c r="E282" i="8"/>
  <c r="D282" i="8"/>
  <c r="U281" i="8"/>
  <c r="T281" i="8"/>
  <c r="M281" i="8"/>
  <c r="K281" i="8" s="1"/>
  <c r="E281" i="8"/>
  <c r="D281" i="8"/>
  <c r="M280" i="8"/>
  <c r="K280" i="8" s="1"/>
  <c r="E280" i="8"/>
  <c r="D280" i="8"/>
  <c r="M279" i="8"/>
  <c r="K279" i="8" s="1"/>
  <c r="E279" i="8"/>
  <c r="D279" i="8"/>
  <c r="M278" i="8"/>
  <c r="K278" i="8" s="1"/>
  <c r="E278" i="8"/>
  <c r="D278" i="8"/>
  <c r="M277" i="8"/>
  <c r="K277" i="8" s="1"/>
  <c r="E277" i="8"/>
  <c r="D277" i="8"/>
  <c r="M276" i="8"/>
  <c r="K276" i="8" s="1"/>
  <c r="E276" i="8"/>
  <c r="D276" i="8"/>
  <c r="M275" i="8"/>
  <c r="K275" i="8" s="1"/>
  <c r="E275" i="8"/>
  <c r="D275" i="8"/>
  <c r="M274" i="8"/>
  <c r="K274" i="8" s="1"/>
  <c r="E274" i="8"/>
  <c r="D274" i="8"/>
  <c r="M273" i="8"/>
  <c r="K273" i="8" s="1"/>
  <c r="E273" i="8"/>
  <c r="D273" i="8"/>
  <c r="M272" i="8"/>
  <c r="K272" i="8" s="1"/>
  <c r="E272" i="8"/>
  <c r="D272" i="8"/>
  <c r="M271" i="8"/>
  <c r="K271" i="8" s="1"/>
  <c r="E271" i="8"/>
  <c r="D271" i="8"/>
  <c r="M270" i="8"/>
  <c r="K270" i="8" s="1"/>
  <c r="E270" i="8"/>
  <c r="D270" i="8"/>
  <c r="M269" i="8"/>
  <c r="K269" i="8" s="1"/>
  <c r="E269" i="8"/>
  <c r="D269" i="8"/>
  <c r="M268" i="8"/>
  <c r="K268" i="8" s="1"/>
  <c r="E268" i="8"/>
  <c r="D268" i="8"/>
  <c r="M267" i="8"/>
  <c r="K267" i="8" s="1"/>
  <c r="E267" i="8"/>
  <c r="D267" i="8"/>
  <c r="M266" i="8"/>
  <c r="K266" i="8" s="1"/>
  <c r="E266" i="8"/>
  <c r="D266" i="8"/>
  <c r="M265" i="8"/>
  <c r="K265" i="8" s="1"/>
  <c r="E265" i="8"/>
  <c r="D265" i="8"/>
  <c r="M264" i="8"/>
  <c r="K264" i="8" s="1"/>
  <c r="E264" i="8"/>
  <c r="D264" i="8"/>
  <c r="M263" i="8"/>
  <c r="K263" i="8" s="1"/>
  <c r="E263" i="8"/>
  <c r="D263" i="8"/>
  <c r="M262" i="8"/>
  <c r="K262" i="8" s="1"/>
  <c r="E262" i="8"/>
  <c r="D262" i="8"/>
  <c r="M261" i="8"/>
  <c r="K261" i="8" s="1"/>
  <c r="E261" i="8"/>
  <c r="D261" i="8"/>
  <c r="M260" i="8"/>
  <c r="K260" i="8" s="1"/>
  <c r="E260" i="8"/>
  <c r="D260" i="8"/>
  <c r="M259" i="8"/>
  <c r="K259" i="8" s="1"/>
  <c r="E259" i="8"/>
  <c r="D259" i="8"/>
  <c r="M258" i="8"/>
  <c r="K258" i="8" s="1"/>
  <c r="E258" i="8"/>
  <c r="D258" i="8"/>
  <c r="M257" i="8"/>
  <c r="K257" i="8" s="1"/>
  <c r="E257" i="8"/>
  <c r="D257" i="8"/>
  <c r="M256" i="8"/>
  <c r="K256" i="8" s="1"/>
  <c r="E256" i="8"/>
  <c r="D256" i="8"/>
  <c r="M255" i="8"/>
  <c r="K255" i="8" s="1"/>
  <c r="E255" i="8"/>
  <c r="D255" i="8"/>
  <c r="M254" i="8"/>
  <c r="K254" i="8" s="1"/>
  <c r="E254" i="8"/>
  <c r="D254" i="8"/>
  <c r="M253" i="8"/>
  <c r="K253" i="8" s="1"/>
  <c r="E253" i="8"/>
  <c r="D253" i="8"/>
  <c r="M252" i="8"/>
  <c r="K252" i="8" s="1"/>
  <c r="E252" i="8"/>
  <c r="D252" i="8"/>
  <c r="M251" i="8"/>
  <c r="K251" i="8" s="1"/>
  <c r="E251" i="8"/>
  <c r="D251" i="8"/>
  <c r="M250" i="8"/>
  <c r="K250" i="8" s="1"/>
  <c r="E250" i="8"/>
  <c r="D250" i="8"/>
  <c r="M249" i="8"/>
  <c r="K249" i="8" s="1"/>
  <c r="E249" i="8"/>
  <c r="D249" i="8"/>
  <c r="M248" i="8"/>
  <c r="K248" i="8" s="1"/>
  <c r="E248" i="8"/>
  <c r="D248" i="8"/>
  <c r="M247" i="8"/>
  <c r="K247" i="8" s="1"/>
  <c r="E247" i="8"/>
  <c r="D247" i="8"/>
  <c r="M246" i="8"/>
  <c r="K246" i="8" s="1"/>
  <c r="E246" i="8"/>
  <c r="D246" i="8"/>
  <c r="M245" i="8"/>
  <c r="K245" i="8" s="1"/>
  <c r="E245" i="8"/>
  <c r="D245" i="8"/>
  <c r="M244" i="8"/>
  <c r="K244" i="8" s="1"/>
  <c r="E244" i="8"/>
  <c r="D244" i="8"/>
  <c r="M243" i="8"/>
  <c r="K243" i="8" s="1"/>
  <c r="E243" i="8"/>
  <c r="D243" i="8"/>
  <c r="M242" i="8"/>
  <c r="K242" i="8" s="1"/>
  <c r="E242" i="8"/>
  <c r="D242" i="8"/>
  <c r="M241" i="8"/>
  <c r="K241" i="8" s="1"/>
  <c r="E241" i="8"/>
  <c r="D241" i="8"/>
  <c r="M240" i="8"/>
  <c r="K240" i="8" s="1"/>
  <c r="E240" i="8"/>
  <c r="D240" i="8"/>
  <c r="M239" i="8"/>
  <c r="K239" i="8" s="1"/>
  <c r="E239" i="8"/>
  <c r="D239" i="8"/>
  <c r="M238" i="8"/>
  <c r="K238" i="8" s="1"/>
  <c r="E238" i="8"/>
  <c r="D238" i="8"/>
  <c r="M237" i="8"/>
  <c r="K237" i="8" s="1"/>
  <c r="E237" i="8"/>
  <c r="D237" i="8"/>
  <c r="M236" i="8"/>
  <c r="K236" i="8" s="1"/>
  <c r="E236" i="8"/>
  <c r="D236" i="8"/>
  <c r="M235" i="8"/>
  <c r="K235" i="8" s="1"/>
  <c r="E235" i="8"/>
  <c r="D235" i="8"/>
  <c r="M234" i="8"/>
  <c r="K234" i="8" s="1"/>
  <c r="E234" i="8"/>
  <c r="D234" i="8"/>
  <c r="M233" i="8"/>
  <c r="K233" i="8" s="1"/>
  <c r="E233" i="8"/>
  <c r="D233" i="8"/>
  <c r="M232" i="8"/>
  <c r="K232" i="8" s="1"/>
  <c r="E232" i="8"/>
  <c r="D232" i="8"/>
  <c r="M231" i="8"/>
  <c r="K231" i="8" s="1"/>
  <c r="E231" i="8"/>
  <c r="D231" i="8"/>
  <c r="M230" i="8"/>
  <c r="K230" i="8" s="1"/>
  <c r="E230" i="8"/>
  <c r="D230" i="8"/>
  <c r="M229" i="8"/>
  <c r="K229" i="8" s="1"/>
  <c r="E229" i="8"/>
  <c r="D229" i="8"/>
  <c r="M228" i="8"/>
  <c r="K228" i="8" s="1"/>
  <c r="E228" i="8"/>
  <c r="D228" i="8"/>
  <c r="M227" i="8"/>
  <c r="K227" i="8" s="1"/>
  <c r="E227" i="8"/>
  <c r="D227" i="8"/>
  <c r="M226" i="8"/>
  <c r="K226" i="8" s="1"/>
  <c r="E226" i="8"/>
  <c r="D226" i="8"/>
  <c r="M225" i="8"/>
  <c r="K225" i="8" s="1"/>
  <c r="E225" i="8"/>
  <c r="D225" i="8"/>
  <c r="AB224" i="8"/>
  <c r="AB349" i="8" s="1"/>
  <c r="M224" i="8"/>
  <c r="K224" i="8" s="1"/>
  <c r="E224" i="8"/>
  <c r="D224" i="8"/>
  <c r="M223" i="8"/>
  <c r="K223" i="8"/>
  <c r="E223" i="8"/>
  <c r="D223" i="8"/>
  <c r="M222" i="8"/>
  <c r="K222" i="8" s="1"/>
  <c r="E222" i="8"/>
  <c r="D222" i="8"/>
  <c r="M221" i="8"/>
  <c r="K221" i="8"/>
  <c r="E221" i="8"/>
  <c r="D221" i="8"/>
  <c r="M220" i="8"/>
  <c r="K220" i="8" s="1"/>
  <c r="E220" i="8"/>
  <c r="D220" i="8"/>
  <c r="M219" i="8"/>
  <c r="K219" i="8" s="1"/>
  <c r="E219" i="8"/>
  <c r="D219" i="8"/>
  <c r="M218" i="8"/>
  <c r="K218" i="8" s="1"/>
  <c r="E218" i="8"/>
  <c r="D218" i="8"/>
  <c r="M217" i="8"/>
  <c r="K217" i="8"/>
  <c r="E217" i="8"/>
  <c r="D217" i="8"/>
  <c r="M216" i="8"/>
  <c r="K216" i="8" s="1"/>
  <c r="E216" i="8"/>
  <c r="D216" i="8"/>
  <c r="M215" i="8"/>
  <c r="K215" i="8"/>
  <c r="E215" i="8"/>
  <c r="D215" i="8"/>
  <c r="M214" i="8"/>
  <c r="K214" i="8" s="1"/>
  <c r="E214" i="8"/>
  <c r="D214" i="8"/>
  <c r="M213" i="8"/>
  <c r="K213" i="8" s="1"/>
  <c r="E213" i="8"/>
  <c r="D213" i="8"/>
  <c r="M212" i="8"/>
  <c r="K212" i="8" s="1"/>
  <c r="E212" i="8"/>
  <c r="D212" i="8"/>
  <c r="M211" i="8"/>
  <c r="K211" i="8"/>
  <c r="E211" i="8"/>
  <c r="D211" i="8"/>
  <c r="M210" i="8"/>
  <c r="K210" i="8" s="1"/>
  <c r="E210" i="8"/>
  <c r="D210" i="8"/>
  <c r="M209" i="8"/>
  <c r="K209" i="8" s="1"/>
  <c r="E209" i="8"/>
  <c r="D209" i="8"/>
  <c r="M208" i="8"/>
  <c r="K208" i="8" s="1"/>
  <c r="E208" i="8"/>
  <c r="D208" i="8"/>
  <c r="M207" i="8"/>
  <c r="K207" i="8"/>
  <c r="E207" i="8"/>
  <c r="D207" i="8"/>
  <c r="M206" i="8"/>
  <c r="K206" i="8" s="1"/>
  <c r="E206" i="8"/>
  <c r="D206" i="8"/>
  <c r="M205" i="8"/>
  <c r="K205" i="8"/>
  <c r="E205" i="8"/>
  <c r="D205" i="8"/>
  <c r="M204" i="8"/>
  <c r="K204" i="8" s="1"/>
  <c r="E204" i="8"/>
  <c r="D204" i="8"/>
  <c r="M203" i="8"/>
  <c r="K203" i="8" s="1"/>
  <c r="E203" i="8"/>
  <c r="D203" i="8"/>
  <c r="M202" i="8"/>
  <c r="K202" i="8" s="1"/>
  <c r="E202" i="8"/>
  <c r="D202" i="8"/>
  <c r="M201" i="8"/>
  <c r="K201" i="8"/>
  <c r="E201" i="8"/>
  <c r="D201" i="8"/>
  <c r="M200" i="8"/>
  <c r="K200" i="8" s="1"/>
  <c r="E200" i="8"/>
  <c r="D200" i="8"/>
  <c r="M199" i="8"/>
  <c r="K199" i="8"/>
  <c r="E199" i="8"/>
  <c r="D199" i="8"/>
  <c r="M198" i="8"/>
  <c r="K198" i="8" s="1"/>
  <c r="E198" i="8"/>
  <c r="D198" i="8"/>
  <c r="M197" i="8"/>
  <c r="K197" i="8" s="1"/>
  <c r="E197" i="8"/>
  <c r="D197" i="8"/>
  <c r="M196" i="8"/>
  <c r="K196" i="8" s="1"/>
  <c r="E196" i="8"/>
  <c r="D196" i="8"/>
  <c r="M195" i="8"/>
  <c r="K195" i="8"/>
  <c r="E195" i="8"/>
  <c r="D195" i="8"/>
  <c r="M194" i="8"/>
  <c r="K194" i="8" s="1"/>
  <c r="E194" i="8"/>
  <c r="D194" i="8"/>
  <c r="M193" i="8"/>
  <c r="K193" i="8" s="1"/>
  <c r="E193" i="8"/>
  <c r="D193" i="8"/>
  <c r="M192" i="8"/>
  <c r="K192" i="8" s="1"/>
  <c r="E192" i="8"/>
  <c r="D192" i="8"/>
  <c r="M191" i="8"/>
  <c r="K191" i="8"/>
  <c r="E191" i="8"/>
  <c r="D191" i="8"/>
  <c r="M190" i="8"/>
  <c r="K190" i="8" s="1"/>
  <c r="E190" i="8"/>
  <c r="D190" i="8"/>
  <c r="M189" i="8"/>
  <c r="K189" i="8"/>
  <c r="E189" i="8"/>
  <c r="D189" i="8"/>
  <c r="M188" i="8"/>
  <c r="K188" i="8" s="1"/>
  <c r="E188" i="8"/>
  <c r="D188" i="8"/>
  <c r="M187" i="8"/>
  <c r="K187" i="8" s="1"/>
  <c r="E187" i="8"/>
  <c r="D187" i="8"/>
  <c r="M186" i="8"/>
  <c r="K186" i="8" s="1"/>
  <c r="E186" i="8"/>
  <c r="D186" i="8"/>
  <c r="M185" i="8"/>
  <c r="K185" i="8"/>
  <c r="E185" i="8"/>
  <c r="D185" i="8"/>
  <c r="M184" i="8"/>
  <c r="K184" i="8" s="1"/>
  <c r="E184" i="8"/>
  <c r="D184" i="8"/>
  <c r="M183" i="8"/>
  <c r="K183" i="8"/>
  <c r="E183" i="8"/>
  <c r="D183" i="8"/>
  <c r="M182" i="8"/>
  <c r="K182" i="8" s="1"/>
  <c r="E182" i="8"/>
  <c r="D182" i="8"/>
  <c r="M181" i="8"/>
  <c r="K181" i="8" s="1"/>
  <c r="E181" i="8"/>
  <c r="D181" i="8"/>
  <c r="M180" i="8"/>
  <c r="K180" i="8" s="1"/>
  <c r="E180" i="8"/>
  <c r="D180" i="8"/>
  <c r="M179" i="8"/>
  <c r="K179" i="8"/>
  <c r="E179" i="8"/>
  <c r="D179" i="8"/>
  <c r="M178" i="8"/>
  <c r="K178" i="8" s="1"/>
  <c r="E178" i="8"/>
  <c r="D178" i="8"/>
  <c r="M177" i="8"/>
  <c r="K177" i="8" s="1"/>
  <c r="E177" i="8"/>
  <c r="D177" i="8"/>
  <c r="M176" i="8"/>
  <c r="K176" i="8" s="1"/>
  <c r="E176" i="8"/>
  <c r="D176" i="8"/>
  <c r="M175" i="8"/>
  <c r="K175" i="8"/>
  <c r="E175" i="8"/>
  <c r="D175" i="8"/>
  <c r="M174" i="8"/>
  <c r="K174" i="8" s="1"/>
  <c r="E174" i="8"/>
  <c r="D174" i="8"/>
  <c r="M173" i="8"/>
  <c r="K173" i="8"/>
  <c r="E173" i="8"/>
  <c r="D173" i="8"/>
  <c r="M172" i="8"/>
  <c r="K172" i="8" s="1"/>
  <c r="E172" i="8"/>
  <c r="D172" i="8"/>
  <c r="M171" i="8"/>
  <c r="K171" i="8" s="1"/>
  <c r="E171" i="8"/>
  <c r="D171" i="8"/>
  <c r="M170" i="8"/>
  <c r="K170" i="8" s="1"/>
  <c r="E170" i="8"/>
  <c r="D170" i="8"/>
  <c r="M169" i="8"/>
  <c r="K169" i="8"/>
  <c r="E169" i="8"/>
  <c r="D169" i="8"/>
  <c r="M168" i="8"/>
  <c r="K168" i="8" s="1"/>
  <c r="E168" i="8"/>
  <c r="D168" i="8"/>
  <c r="M167" i="8"/>
  <c r="K167" i="8"/>
  <c r="E167" i="8"/>
  <c r="D167" i="8"/>
  <c r="M166" i="8"/>
  <c r="K166" i="8" s="1"/>
  <c r="E166" i="8"/>
  <c r="D166" i="8"/>
  <c r="M165" i="8"/>
  <c r="K165" i="8" s="1"/>
  <c r="E165" i="8"/>
  <c r="D165" i="8"/>
  <c r="M164" i="8"/>
  <c r="K164" i="8" s="1"/>
  <c r="E164" i="8"/>
  <c r="D164" i="8"/>
  <c r="M163" i="8"/>
  <c r="K163" i="8"/>
  <c r="E163" i="8"/>
  <c r="D163" i="8"/>
  <c r="M162" i="8"/>
  <c r="K162" i="8" s="1"/>
  <c r="E162" i="8"/>
  <c r="D162" i="8"/>
  <c r="M161" i="8"/>
  <c r="K161" i="8" s="1"/>
  <c r="E161" i="8"/>
  <c r="D161" i="8"/>
  <c r="M160" i="8"/>
  <c r="K160" i="8" s="1"/>
  <c r="E160" i="8"/>
  <c r="D160" i="8"/>
  <c r="M159" i="8"/>
  <c r="K159" i="8"/>
  <c r="E159" i="8"/>
  <c r="D159" i="8"/>
  <c r="M158" i="8"/>
  <c r="K158" i="8" s="1"/>
  <c r="E158" i="8"/>
  <c r="D158" i="8"/>
  <c r="M157" i="8"/>
  <c r="K157" i="8"/>
  <c r="E157" i="8"/>
  <c r="D157" i="8"/>
  <c r="M156" i="8"/>
  <c r="K156" i="8" s="1"/>
  <c r="E156" i="8"/>
  <c r="D156" i="8"/>
  <c r="M155" i="8"/>
  <c r="K155" i="8" s="1"/>
  <c r="E155" i="8"/>
  <c r="D155" i="8"/>
  <c r="M154" i="8"/>
  <c r="K154" i="8" s="1"/>
  <c r="E154" i="8"/>
  <c r="D154" i="8"/>
  <c r="M153" i="8"/>
  <c r="K153" i="8"/>
  <c r="E153" i="8"/>
  <c r="D153" i="8"/>
  <c r="M152" i="8"/>
  <c r="K152" i="8" s="1"/>
  <c r="E152" i="8"/>
  <c r="D152" i="8"/>
  <c r="M151" i="8"/>
  <c r="K151" i="8"/>
  <c r="E151" i="8"/>
  <c r="D151" i="8"/>
  <c r="M150" i="8"/>
  <c r="K150" i="8" s="1"/>
  <c r="E150" i="8"/>
  <c r="D150" i="8"/>
  <c r="M149" i="8"/>
  <c r="K149" i="8" s="1"/>
  <c r="E149" i="8"/>
  <c r="D149" i="8"/>
  <c r="M148" i="8"/>
  <c r="K148" i="8" s="1"/>
  <c r="E148" i="8"/>
  <c r="D148" i="8"/>
  <c r="M147" i="8"/>
  <c r="K147" i="8"/>
  <c r="E147" i="8"/>
  <c r="D147" i="8"/>
  <c r="M146" i="8"/>
  <c r="K146" i="8" s="1"/>
  <c r="E146" i="8"/>
  <c r="D146" i="8"/>
  <c r="M145" i="8"/>
  <c r="K145" i="8" s="1"/>
  <c r="E145" i="8"/>
  <c r="D145" i="8"/>
  <c r="M144" i="8"/>
  <c r="K144" i="8" s="1"/>
  <c r="E144" i="8"/>
  <c r="D144" i="8"/>
  <c r="M143" i="8"/>
  <c r="K143" i="8"/>
  <c r="E143" i="8"/>
  <c r="D143" i="8"/>
  <c r="M142" i="8"/>
  <c r="K142" i="8" s="1"/>
  <c r="E142" i="8"/>
  <c r="D142" i="8"/>
  <c r="M141" i="8"/>
  <c r="K141" i="8"/>
  <c r="E141" i="8"/>
  <c r="D141" i="8"/>
  <c r="M140" i="8"/>
  <c r="K140" i="8" s="1"/>
  <c r="E140" i="8"/>
  <c r="D140" i="8"/>
  <c r="M139" i="8"/>
  <c r="K139" i="8" s="1"/>
  <c r="E139" i="8"/>
  <c r="D139" i="8"/>
  <c r="M138" i="8"/>
  <c r="K138" i="8" s="1"/>
  <c r="E138" i="8"/>
  <c r="D138" i="8"/>
  <c r="M137" i="8"/>
  <c r="K137" i="8"/>
  <c r="E137" i="8"/>
  <c r="D137" i="8"/>
  <c r="M136" i="8"/>
  <c r="K136" i="8" s="1"/>
  <c r="E136" i="8"/>
  <c r="D136" i="8"/>
  <c r="M135" i="8"/>
  <c r="K135" i="8"/>
  <c r="E135" i="8"/>
  <c r="D135" i="8"/>
  <c r="M134" i="8"/>
  <c r="K134" i="8" s="1"/>
  <c r="E134" i="8"/>
  <c r="D134" i="8"/>
  <c r="M133" i="8"/>
  <c r="K133" i="8" s="1"/>
  <c r="E133" i="8"/>
  <c r="D133" i="8"/>
  <c r="M132" i="8"/>
  <c r="K132" i="8" s="1"/>
  <c r="E132" i="8"/>
  <c r="D132" i="8"/>
  <c r="M131" i="8"/>
  <c r="K131" i="8"/>
  <c r="E131" i="8"/>
  <c r="D131" i="8"/>
  <c r="M130" i="8"/>
  <c r="K130" i="8" s="1"/>
  <c r="E130" i="8"/>
  <c r="D130" i="8"/>
  <c r="M129" i="8"/>
  <c r="K129" i="8" s="1"/>
  <c r="E129" i="8"/>
  <c r="D129" i="8"/>
  <c r="M128" i="8"/>
  <c r="K128" i="8" s="1"/>
  <c r="E128" i="8"/>
  <c r="D128" i="8"/>
  <c r="M127" i="8"/>
  <c r="K127" i="8"/>
  <c r="E127" i="8"/>
  <c r="D127" i="8"/>
  <c r="M126" i="8"/>
  <c r="K126" i="8" s="1"/>
  <c r="E126" i="8"/>
  <c r="D126" i="8"/>
  <c r="M125" i="8"/>
  <c r="K125" i="8"/>
  <c r="E125" i="8"/>
  <c r="D125" i="8"/>
  <c r="M124" i="8"/>
  <c r="K124" i="8" s="1"/>
  <c r="E124" i="8"/>
  <c r="D124" i="8"/>
  <c r="M123" i="8"/>
  <c r="K123" i="8" s="1"/>
  <c r="E123" i="8"/>
  <c r="D123" i="8"/>
  <c r="M122" i="8"/>
  <c r="K122" i="8" s="1"/>
  <c r="E122" i="8"/>
  <c r="D122" i="8"/>
  <c r="M121" i="8"/>
  <c r="K121" i="8"/>
  <c r="E121" i="8"/>
  <c r="D121" i="8"/>
  <c r="M120" i="8"/>
  <c r="K120" i="8" s="1"/>
  <c r="E120" i="8"/>
  <c r="D120" i="8"/>
  <c r="M119" i="8"/>
  <c r="K119" i="8"/>
  <c r="E119" i="8"/>
  <c r="D119" i="8"/>
  <c r="M118" i="8"/>
  <c r="K118" i="8" s="1"/>
  <c r="E118" i="8"/>
  <c r="D118" i="8"/>
  <c r="M117" i="8"/>
  <c r="K117" i="8" s="1"/>
  <c r="E117" i="8"/>
  <c r="D117" i="8"/>
  <c r="M116" i="8"/>
  <c r="K116" i="8" s="1"/>
  <c r="E116" i="8"/>
  <c r="D116" i="8"/>
  <c r="M115" i="8"/>
  <c r="K115" i="8"/>
  <c r="E115" i="8"/>
  <c r="D115" i="8"/>
  <c r="M114" i="8"/>
  <c r="K114" i="8" s="1"/>
  <c r="E114" i="8"/>
  <c r="D114" i="8"/>
  <c r="M113" i="8"/>
  <c r="K113" i="8" s="1"/>
  <c r="E113" i="8"/>
  <c r="D113" i="8"/>
  <c r="M112" i="8"/>
  <c r="K112" i="8" s="1"/>
  <c r="E112" i="8"/>
  <c r="D112" i="8"/>
  <c r="M111" i="8"/>
  <c r="K111" i="8"/>
  <c r="E111" i="8"/>
  <c r="D111" i="8"/>
  <c r="M110" i="8"/>
  <c r="K110" i="8" s="1"/>
  <c r="E110" i="8"/>
  <c r="D110" i="8"/>
  <c r="M109" i="8"/>
  <c r="K109" i="8"/>
  <c r="E109" i="8"/>
  <c r="D109" i="8"/>
  <c r="M108" i="8"/>
  <c r="K108" i="8" s="1"/>
  <c r="E108" i="8"/>
  <c r="D108" i="8"/>
  <c r="M107" i="8"/>
  <c r="K107" i="8" s="1"/>
  <c r="E107" i="8"/>
  <c r="D107" i="8"/>
  <c r="M106" i="8"/>
  <c r="K106" i="8" s="1"/>
  <c r="E106" i="8"/>
  <c r="D106" i="8"/>
  <c r="M105" i="8"/>
  <c r="K105" i="8"/>
  <c r="E105" i="8"/>
  <c r="D105" i="8"/>
  <c r="M104" i="8"/>
  <c r="K104" i="8" s="1"/>
  <c r="E104" i="8"/>
  <c r="D104" i="8"/>
  <c r="M103" i="8"/>
  <c r="K103" i="8"/>
  <c r="E103" i="8"/>
  <c r="D103" i="8"/>
  <c r="M102" i="8"/>
  <c r="K102" i="8" s="1"/>
  <c r="E102" i="8"/>
  <c r="D102" i="8"/>
  <c r="M101" i="8"/>
  <c r="K101" i="8" s="1"/>
  <c r="E101" i="8"/>
  <c r="D101" i="8"/>
  <c r="M100" i="8"/>
  <c r="K100" i="8" s="1"/>
  <c r="E100" i="8"/>
  <c r="D100" i="8"/>
  <c r="M99" i="8"/>
  <c r="K99" i="8"/>
  <c r="E99" i="8"/>
  <c r="D99" i="8"/>
  <c r="M98" i="8"/>
  <c r="K98" i="8" s="1"/>
  <c r="E98" i="8"/>
  <c r="D98" i="8"/>
  <c r="M97" i="8"/>
  <c r="K97" i="8" s="1"/>
  <c r="E97" i="8"/>
  <c r="D97" i="8"/>
  <c r="M96" i="8"/>
  <c r="K96" i="8" s="1"/>
  <c r="E96" i="8"/>
  <c r="D96" i="8"/>
  <c r="M95" i="8"/>
  <c r="K95" i="8"/>
  <c r="D95" i="8"/>
  <c r="M94" i="8"/>
  <c r="K94" i="8" s="1"/>
  <c r="E94" i="8"/>
  <c r="D94" i="8"/>
  <c r="M93" i="8"/>
  <c r="K93" i="8" s="1"/>
  <c r="D93" i="8"/>
  <c r="M92" i="8"/>
  <c r="K92" i="8" s="1"/>
  <c r="E92" i="8"/>
  <c r="D92" i="8"/>
  <c r="M91" i="8"/>
  <c r="K91" i="8" s="1"/>
  <c r="E91" i="8"/>
  <c r="D91" i="8"/>
  <c r="M90" i="8"/>
  <c r="K90" i="8" s="1"/>
  <c r="E90" i="8"/>
  <c r="D90" i="8"/>
  <c r="M89" i="8"/>
  <c r="K89" i="8" s="1"/>
  <c r="E89" i="8"/>
  <c r="D89" i="8"/>
  <c r="M88" i="8"/>
  <c r="K88" i="8" s="1"/>
  <c r="E88" i="8"/>
  <c r="D88" i="8"/>
  <c r="M87" i="8"/>
  <c r="K87" i="8" s="1"/>
  <c r="E87" i="8"/>
  <c r="D87" i="8"/>
  <c r="M86" i="8"/>
  <c r="K86" i="8" s="1"/>
  <c r="E86" i="8"/>
  <c r="D86" i="8"/>
  <c r="M85" i="8"/>
  <c r="K85" i="8" s="1"/>
  <c r="E85" i="8"/>
  <c r="D85" i="8"/>
  <c r="M84" i="8"/>
  <c r="K84" i="8" s="1"/>
  <c r="E84" i="8"/>
  <c r="D84" i="8"/>
  <c r="M83" i="8"/>
  <c r="K83" i="8" s="1"/>
  <c r="E83" i="8"/>
  <c r="D83" i="8"/>
  <c r="M82" i="8"/>
  <c r="K82" i="8" s="1"/>
  <c r="E82" i="8"/>
  <c r="D82" i="8"/>
  <c r="M81" i="8"/>
  <c r="K81" i="8" s="1"/>
  <c r="E81" i="8"/>
  <c r="D81" i="8"/>
  <c r="M80" i="8"/>
  <c r="K80" i="8" s="1"/>
  <c r="E80" i="8"/>
  <c r="D80" i="8"/>
  <c r="M79" i="8"/>
  <c r="K79" i="8" s="1"/>
  <c r="E79" i="8"/>
  <c r="D79" i="8"/>
  <c r="M78" i="8"/>
  <c r="K78" i="8" s="1"/>
  <c r="E78" i="8"/>
  <c r="D78" i="8"/>
  <c r="M77" i="8"/>
  <c r="K77" i="8" s="1"/>
  <c r="E77" i="8"/>
  <c r="D77" i="8"/>
  <c r="M76" i="8"/>
  <c r="K76" i="8" s="1"/>
  <c r="E76" i="8"/>
  <c r="D76" i="8"/>
  <c r="M75" i="8"/>
  <c r="K75" i="8" s="1"/>
  <c r="E75" i="8"/>
  <c r="D75" i="8"/>
  <c r="S74" i="8"/>
  <c r="R74" i="8"/>
  <c r="M74" i="8"/>
  <c r="K74" i="8"/>
  <c r="E74" i="8"/>
  <c r="D74" i="8"/>
  <c r="M73" i="8"/>
  <c r="K73" i="8" s="1"/>
  <c r="E73" i="8"/>
  <c r="D73" i="8"/>
  <c r="M72" i="8"/>
  <c r="K72" i="8"/>
  <c r="E72" i="8"/>
  <c r="D72" i="8"/>
  <c r="M71" i="8"/>
  <c r="K71" i="8" s="1"/>
  <c r="E71" i="8"/>
  <c r="D71" i="8"/>
  <c r="M70" i="8"/>
  <c r="K70" i="8" s="1"/>
  <c r="E70" i="8"/>
  <c r="D70" i="8"/>
  <c r="M69" i="8"/>
  <c r="K69" i="8" s="1"/>
  <c r="E69" i="8"/>
  <c r="D69" i="8"/>
  <c r="M68" i="8"/>
  <c r="K68" i="8"/>
  <c r="E68" i="8"/>
  <c r="D68" i="8"/>
  <c r="M67" i="8"/>
  <c r="K67" i="8" s="1"/>
  <c r="E67" i="8"/>
  <c r="D67" i="8"/>
  <c r="M66" i="8"/>
  <c r="K66" i="8"/>
  <c r="E66" i="8"/>
  <c r="D66" i="8"/>
  <c r="M65" i="8"/>
  <c r="K65" i="8" s="1"/>
  <c r="E65" i="8"/>
  <c r="D65" i="8"/>
  <c r="M64" i="8"/>
  <c r="K64" i="8" s="1"/>
  <c r="E64" i="8"/>
  <c r="D64" i="8"/>
  <c r="M63" i="8"/>
  <c r="K63" i="8" s="1"/>
  <c r="E63" i="8"/>
  <c r="D63" i="8"/>
  <c r="M62" i="8"/>
  <c r="K62" i="8"/>
  <c r="E62" i="8"/>
  <c r="D62" i="8"/>
  <c r="M61" i="8"/>
  <c r="K61" i="8" s="1"/>
  <c r="E61" i="8"/>
  <c r="D61" i="8"/>
  <c r="M60" i="8"/>
  <c r="K60" i="8" s="1"/>
  <c r="E60" i="8"/>
  <c r="D60" i="8"/>
  <c r="M59" i="8"/>
  <c r="K59" i="8" s="1"/>
  <c r="E59" i="8"/>
  <c r="D59" i="8"/>
  <c r="M58" i="8"/>
  <c r="K58" i="8"/>
  <c r="E58" i="8"/>
  <c r="D58" i="8"/>
  <c r="M57" i="8"/>
  <c r="K57" i="8" s="1"/>
  <c r="E57" i="8"/>
  <c r="D57" i="8"/>
  <c r="M56" i="8"/>
  <c r="K56" i="8"/>
  <c r="E56" i="8"/>
  <c r="D56" i="8"/>
  <c r="M55" i="8"/>
  <c r="K55" i="8" s="1"/>
  <c r="E55" i="8"/>
  <c r="D55" i="8"/>
  <c r="M54" i="8"/>
  <c r="K54" i="8" s="1"/>
  <c r="E54" i="8"/>
  <c r="D54" i="8"/>
  <c r="M53" i="8"/>
  <c r="K53" i="8" s="1"/>
  <c r="E53" i="8"/>
  <c r="D53" i="8"/>
  <c r="M52" i="8"/>
  <c r="K52" i="8"/>
  <c r="E52" i="8"/>
  <c r="D52" i="8"/>
  <c r="M51" i="8"/>
  <c r="K51" i="8" s="1"/>
  <c r="E51" i="8"/>
  <c r="D51" i="8"/>
  <c r="M50" i="8"/>
  <c r="K50" i="8"/>
  <c r="E50" i="8"/>
  <c r="D50" i="8"/>
  <c r="M49" i="8"/>
  <c r="K49" i="8" s="1"/>
  <c r="E49" i="8"/>
  <c r="D49" i="8"/>
  <c r="M48" i="8"/>
  <c r="K48" i="8" s="1"/>
  <c r="E48" i="8"/>
  <c r="D48" i="8"/>
  <c r="M47" i="8"/>
  <c r="K47" i="8" s="1"/>
  <c r="E47" i="8"/>
  <c r="D47" i="8"/>
  <c r="M46" i="8"/>
  <c r="K46" i="8"/>
  <c r="E46" i="8"/>
  <c r="D46" i="8"/>
  <c r="AG45" i="8"/>
  <c r="R45" i="8"/>
  <c r="M45" i="8"/>
  <c r="K45" i="8" s="1"/>
  <c r="E45" i="8"/>
  <c r="D45" i="8"/>
  <c r="M44" i="8"/>
  <c r="K44" i="8" s="1"/>
  <c r="E44" i="8"/>
  <c r="D44" i="8"/>
  <c r="M43" i="8"/>
  <c r="K43" i="8" s="1"/>
  <c r="E43" i="8"/>
  <c r="D43" i="8"/>
  <c r="M42" i="8"/>
  <c r="K42" i="8" s="1"/>
  <c r="E42" i="8"/>
  <c r="D42" i="8"/>
  <c r="M41" i="8"/>
  <c r="K41" i="8" s="1"/>
  <c r="E41" i="8"/>
  <c r="D41" i="8"/>
  <c r="M40" i="8"/>
  <c r="K40" i="8" s="1"/>
  <c r="E40" i="8"/>
  <c r="D40" i="8"/>
  <c r="M39" i="8"/>
  <c r="K39" i="8" s="1"/>
  <c r="E39" i="8"/>
  <c r="D39" i="8"/>
  <c r="M38" i="8"/>
  <c r="K38" i="8" s="1"/>
  <c r="E38" i="8"/>
  <c r="D38" i="8"/>
  <c r="AG37" i="8"/>
  <c r="M37" i="8"/>
  <c r="K37" i="8" s="1"/>
  <c r="E37" i="8"/>
  <c r="D37" i="8"/>
  <c r="M36" i="8"/>
  <c r="K36" i="8" s="1"/>
  <c r="E36" i="8"/>
  <c r="D36" i="8"/>
  <c r="M35" i="8"/>
  <c r="K35" i="8" s="1"/>
  <c r="E35" i="8"/>
  <c r="D35" i="8"/>
  <c r="M34" i="8"/>
  <c r="K34" i="8" s="1"/>
  <c r="E34" i="8"/>
  <c r="D34" i="8"/>
  <c r="AG33" i="8"/>
  <c r="M33" i="8"/>
  <c r="K33" i="8" s="1"/>
  <c r="E33" i="8"/>
  <c r="D33" i="8"/>
  <c r="M32" i="8"/>
  <c r="K32" i="8" s="1"/>
  <c r="E32" i="8"/>
  <c r="D32" i="8"/>
  <c r="M31" i="8"/>
  <c r="K31" i="8" s="1"/>
  <c r="E31" i="8"/>
  <c r="D31" i="8"/>
  <c r="M30" i="8"/>
  <c r="K30" i="8"/>
  <c r="E30" i="8"/>
  <c r="D30" i="8"/>
  <c r="AG29" i="8"/>
  <c r="M29" i="8"/>
  <c r="K29" i="8" s="1"/>
  <c r="E29" i="8"/>
  <c r="D29" i="8"/>
  <c r="M28" i="8"/>
  <c r="K28" i="8"/>
  <c r="E28" i="8"/>
  <c r="D28" i="8"/>
  <c r="M27" i="8"/>
  <c r="K27" i="8" s="1"/>
  <c r="E27" i="8"/>
  <c r="D27" i="8"/>
  <c r="M26" i="8"/>
  <c r="K26" i="8" s="1"/>
  <c r="E26" i="8"/>
  <c r="D26" i="8"/>
  <c r="AG25" i="8"/>
  <c r="S25" i="8"/>
  <c r="M25" i="8"/>
  <c r="K25" i="8" s="1"/>
  <c r="E25" i="8"/>
  <c r="D25" i="8"/>
  <c r="AG24" i="8"/>
  <c r="M24" i="8"/>
  <c r="K24" i="8" s="1"/>
  <c r="E24" i="8"/>
  <c r="D24" i="8"/>
  <c r="AG23" i="8"/>
  <c r="M23" i="8"/>
  <c r="K23" i="8" s="1"/>
  <c r="E23" i="8"/>
  <c r="D23" i="8"/>
  <c r="M22" i="8"/>
  <c r="K22" i="8" s="1"/>
  <c r="E22" i="8"/>
  <c r="D22" i="8"/>
  <c r="M21" i="8"/>
  <c r="K21" i="8"/>
  <c r="E21" i="8"/>
  <c r="D21" i="8"/>
  <c r="M20" i="8"/>
  <c r="K20" i="8" s="1"/>
  <c r="E20" i="8"/>
  <c r="D20" i="8"/>
  <c r="AG19" i="8"/>
  <c r="M19" i="8"/>
  <c r="K19" i="8" s="1"/>
  <c r="E19" i="8"/>
  <c r="D19" i="8"/>
  <c r="M18" i="8"/>
  <c r="K18" i="8"/>
  <c r="E18" i="8"/>
  <c r="D18" i="8"/>
  <c r="AG17" i="8"/>
  <c r="U17" i="8"/>
  <c r="T17" i="8"/>
  <c r="R17" i="8"/>
  <c r="M17" i="8"/>
  <c r="K17" i="8"/>
  <c r="E17" i="8"/>
  <c r="D17" i="8"/>
  <c r="M16" i="8"/>
  <c r="K16" i="8" s="1"/>
  <c r="E16" i="8"/>
  <c r="D16" i="8"/>
  <c r="M15" i="8"/>
  <c r="E15" i="8"/>
  <c r="D15" i="8"/>
  <c r="M14" i="8"/>
  <c r="K14" i="8" s="1"/>
  <c r="E14" i="8"/>
  <c r="D14" i="8"/>
  <c r="M13" i="8"/>
  <c r="K13" i="8" s="1"/>
  <c r="E13" i="8"/>
  <c r="D13" i="8"/>
  <c r="AG12" i="8"/>
  <c r="M12" i="8"/>
  <c r="K12" i="8" s="1"/>
  <c r="E12" i="8"/>
  <c r="D12" i="8"/>
  <c r="M11" i="8"/>
  <c r="K11" i="8"/>
  <c r="E11" i="8"/>
  <c r="D11" i="8"/>
  <c r="M10" i="8"/>
  <c r="K10" i="8" s="1"/>
  <c r="E10" i="8"/>
  <c r="D10" i="8"/>
  <c r="M9" i="8"/>
  <c r="K9" i="8" s="1"/>
  <c r="E9" i="8"/>
  <c r="D9" i="8"/>
  <c r="AG8" i="8"/>
  <c r="S8" i="8"/>
  <c r="M8" i="8"/>
  <c r="K8" i="8" s="1"/>
  <c r="E8" i="8"/>
  <c r="D8" i="8"/>
  <c r="M7" i="8"/>
  <c r="E7" i="8"/>
  <c r="D7" i="8"/>
  <c r="M6" i="8"/>
  <c r="K6" i="8"/>
  <c r="E6" i="8"/>
  <c r="D6" i="8"/>
  <c r="M5" i="8"/>
  <c r="E5" i="8"/>
  <c r="D5" i="8"/>
  <c r="T4" i="8"/>
  <c r="S4" i="8"/>
  <c r="M4" i="8"/>
  <c r="K4" i="8"/>
  <c r="E4" i="8"/>
  <c r="D4" i="8"/>
  <c r="I4" i="8" l="1" a="1"/>
  <c r="I4" i="8" s="1"/>
  <c r="P14" i="8"/>
  <c r="O5" i="8"/>
  <c r="Q14" i="8"/>
  <c r="Q15" i="8"/>
  <c r="Q7" i="8"/>
  <c r="P17" i="8"/>
  <c r="P4" i="8"/>
  <c r="Q9" i="8"/>
  <c r="P6" i="8"/>
  <c r="O10" i="8"/>
  <c r="Q12" i="8"/>
  <c r="O8" i="8"/>
  <c r="P11" i="8"/>
  <c r="Q13" i="8"/>
  <c r="K5" i="8"/>
  <c r="O7" i="8"/>
  <c r="P8" i="8"/>
  <c r="O9" i="8"/>
  <c r="P10" i="8"/>
  <c r="Q11" i="8"/>
  <c r="O4" i="8"/>
  <c r="O6" i="8"/>
  <c r="P7" i="8"/>
  <c r="Q8" i="8"/>
  <c r="P9" i="8"/>
  <c r="Q10" i="8"/>
  <c r="K15" i="8"/>
  <c r="O17" i="8"/>
  <c r="P5" i="8"/>
  <c r="O15" i="8"/>
  <c r="P16" i="8"/>
  <c r="Q4" i="8"/>
  <c r="Q6" i="8"/>
  <c r="Q16" i="8"/>
  <c r="Q5" i="8"/>
  <c r="O14" i="8"/>
  <c r="P15" i="8"/>
  <c r="O12" i="8"/>
  <c r="O13" i="8"/>
  <c r="O16" i="8"/>
  <c r="Q17" i="8"/>
  <c r="K7" i="8"/>
  <c r="O11" i="8"/>
  <c r="P12" i="8"/>
  <c r="P13" i="8"/>
  <c r="P18" i="8" l="1"/>
  <c r="Q18" i="8"/>
  <c r="L4" i="8" a="1"/>
  <c r="L4" i="8" s="1"/>
  <c r="O18" i="8"/>
  <c r="L35" i="5" l="1"/>
  <c r="J35" i="5" s="1"/>
  <c r="L36" i="5"/>
  <c r="J36" i="5" s="1"/>
  <c r="L34" i="5"/>
  <c r="J34" i="5" s="1"/>
  <c r="E36" i="5"/>
  <c r="D36" i="5"/>
  <c r="E35" i="5"/>
  <c r="D35" i="5"/>
  <c r="E34" i="5"/>
  <c r="D34" i="5"/>
  <c r="M6" i="4"/>
  <c r="M4" i="4"/>
  <c r="M3" i="4"/>
  <c r="U4" i="6" l="1" a="1"/>
  <c r="U4" i="6" s="1"/>
  <c r="T4" i="6" s="1"/>
  <c r="T7" i="6" l="1"/>
  <c r="T5" i="6"/>
  <c r="T6" i="6"/>
  <c r="AA336" i="6"/>
  <c r="AC336" i="6"/>
  <c r="L335" i="6"/>
  <c r="K335" i="6" s="1"/>
  <c r="E335" i="6"/>
  <c r="D335" i="6"/>
  <c r="L334" i="6"/>
  <c r="K334" i="6" s="1"/>
  <c r="E334" i="6"/>
  <c r="D334" i="6"/>
  <c r="L333" i="6"/>
  <c r="K333" i="6" s="1"/>
  <c r="E333" i="6"/>
  <c r="D333" i="6"/>
  <c r="L332" i="6"/>
  <c r="K332" i="6" s="1"/>
  <c r="E332" i="6"/>
  <c r="D332" i="6"/>
  <c r="L331" i="6"/>
  <c r="K331" i="6" s="1"/>
  <c r="E331" i="6"/>
  <c r="D331" i="6"/>
  <c r="L330" i="6"/>
  <c r="K330" i="6" s="1"/>
  <c r="E330" i="6"/>
  <c r="D330" i="6"/>
  <c r="L329" i="6"/>
  <c r="K329" i="6" s="1"/>
  <c r="E329" i="6"/>
  <c r="D329" i="6"/>
  <c r="L328" i="6"/>
  <c r="K328" i="6" s="1"/>
  <c r="E328" i="6"/>
  <c r="D328" i="6"/>
  <c r="L327" i="6"/>
  <c r="K327" i="6" s="1"/>
  <c r="E327" i="6"/>
  <c r="D327" i="6"/>
  <c r="L326" i="6"/>
  <c r="K326" i="6" s="1"/>
  <c r="E326" i="6"/>
  <c r="D326" i="6"/>
  <c r="L325" i="6"/>
  <c r="K325" i="6" s="1"/>
  <c r="E325" i="6"/>
  <c r="D325" i="6"/>
  <c r="L324" i="6"/>
  <c r="K324" i="6" s="1"/>
  <c r="E324" i="6"/>
  <c r="D324" i="6"/>
  <c r="L323" i="6"/>
  <c r="K323" i="6" s="1"/>
  <c r="E323" i="6"/>
  <c r="D323" i="6"/>
  <c r="L322" i="6"/>
  <c r="K322" i="6" s="1"/>
  <c r="E322" i="6"/>
  <c r="D322" i="6"/>
  <c r="L321" i="6"/>
  <c r="K321" i="6" s="1"/>
  <c r="E321" i="6"/>
  <c r="D321" i="6"/>
  <c r="L320" i="6"/>
  <c r="K320" i="6" s="1"/>
  <c r="E320" i="6"/>
  <c r="D320" i="6"/>
  <c r="L319" i="6"/>
  <c r="K319" i="6" s="1"/>
  <c r="E319" i="6"/>
  <c r="D319" i="6"/>
  <c r="L318" i="6"/>
  <c r="K318" i="6" s="1"/>
  <c r="E318" i="6"/>
  <c r="D318" i="6"/>
  <c r="L317" i="6"/>
  <c r="K317" i="6" s="1"/>
  <c r="E317" i="6"/>
  <c r="D317" i="6"/>
  <c r="L316" i="6"/>
  <c r="I316" i="6" s="1"/>
  <c r="E316" i="6"/>
  <c r="D316" i="6"/>
  <c r="L315" i="6"/>
  <c r="K315" i="6" s="1"/>
  <c r="E315" i="6"/>
  <c r="D315" i="6"/>
  <c r="L314" i="6"/>
  <c r="E314" i="6"/>
  <c r="D314" i="6"/>
  <c r="L313" i="6"/>
  <c r="I313" i="6" s="1"/>
  <c r="E313" i="6"/>
  <c r="D313" i="6"/>
  <c r="L312" i="6"/>
  <c r="K312" i="6" s="1"/>
  <c r="E312" i="6"/>
  <c r="D312" i="6"/>
  <c r="L311" i="6"/>
  <c r="E311" i="6"/>
  <c r="D311" i="6"/>
  <c r="L310" i="6"/>
  <c r="K310" i="6" s="1"/>
  <c r="E310" i="6"/>
  <c r="D310" i="6"/>
  <c r="L309" i="6"/>
  <c r="K309" i="6" s="1"/>
  <c r="E309" i="6"/>
  <c r="D309" i="6"/>
  <c r="L308" i="6"/>
  <c r="K308" i="6" s="1"/>
  <c r="E308" i="6"/>
  <c r="D308" i="6"/>
  <c r="L307" i="6"/>
  <c r="K307" i="6" s="1"/>
  <c r="E307" i="6"/>
  <c r="D307" i="6"/>
  <c r="L306" i="6"/>
  <c r="E306" i="6"/>
  <c r="D306" i="6"/>
  <c r="L305" i="6"/>
  <c r="K305" i="6" s="1"/>
  <c r="E305" i="6"/>
  <c r="D305" i="6"/>
  <c r="L304" i="6"/>
  <c r="K304" i="6" s="1"/>
  <c r="E304" i="6"/>
  <c r="D304" i="6"/>
  <c r="L303" i="6"/>
  <c r="E303" i="6"/>
  <c r="D303" i="6"/>
  <c r="L302" i="6"/>
  <c r="E302" i="6"/>
  <c r="D302" i="6"/>
  <c r="L301" i="6"/>
  <c r="K301" i="6" s="1"/>
  <c r="E301" i="6"/>
  <c r="D301" i="6"/>
  <c r="L300" i="6"/>
  <c r="K300" i="6" s="1"/>
  <c r="E300" i="6"/>
  <c r="D300" i="6"/>
  <c r="L299" i="6"/>
  <c r="K299" i="6" s="1"/>
  <c r="E299" i="6"/>
  <c r="D299" i="6"/>
  <c r="L298" i="6"/>
  <c r="E298" i="6"/>
  <c r="D298" i="6"/>
  <c r="L297" i="6"/>
  <c r="I297" i="6" s="1"/>
  <c r="E297" i="6"/>
  <c r="D297" i="6"/>
  <c r="L296" i="6"/>
  <c r="K296" i="6" s="1"/>
  <c r="E296" i="6"/>
  <c r="D296" i="6"/>
  <c r="L295" i="6"/>
  <c r="E295" i="6"/>
  <c r="D295" i="6"/>
  <c r="L294" i="6"/>
  <c r="E294" i="6"/>
  <c r="D294" i="6"/>
  <c r="L293" i="6"/>
  <c r="K293" i="6" s="1"/>
  <c r="E293" i="6"/>
  <c r="D293" i="6"/>
  <c r="L292" i="6"/>
  <c r="K292" i="6" s="1"/>
  <c r="E292" i="6"/>
  <c r="D292" i="6"/>
  <c r="L291" i="6"/>
  <c r="K291" i="6" s="1"/>
  <c r="E291" i="6"/>
  <c r="D291" i="6"/>
  <c r="L290" i="6"/>
  <c r="E290" i="6"/>
  <c r="D290" i="6"/>
  <c r="L289" i="6"/>
  <c r="I289" i="6" s="1"/>
  <c r="E289" i="6"/>
  <c r="D289" i="6"/>
  <c r="L288" i="6"/>
  <c r="K288" i="6" s="1"/>
  <c r="E288" i="6"/>
  <c r="D288" i="6"/>
  <c r="L287" i="6"/>
  <c r="E287" i="6"/>
  <c r="D287" i="6"/>
  <c r="L286" i="6"/>
  <c r="E286" i="6"/>
  <c r="D286" i="6"/>
  <c r="L285" i="6"/>
  <c r="K285" i="6" s="1"/>
  <c r="E285" i="6"/>
  <c r="D285" i="6"/>
  <c r="L284" i="6"/>
  <c r="K284" i="6" s="1"/>
  <c r="E284" i="6"/>
  <c r="D284" i="6"/>
  <c r="L283" i="6"/>
  <c r="K283" i="6" s="1"/>
  <c r="E283" i="6"/>
  <c r="D283" i="6"/>
  <c r="L282" i="6"/>
  <c r="E282" i="6"/>
  <c r="D282" i="6"/>
  <c r="L281" i="6"/>
  <c r="K281" i="6" s="1"/>
  <c r="E281" i="6"/>
  <c r="D281" i="6"/>
  <c r="L280" i="6"/>
  <c r="K280" i="6" s="1"/>
  <c r="E280" i="6"/>
  <c r="D280" i="6"/>
  <c r="L279" i="6"/>
  <c r="E279" i="6"/>
  <c r="D279" i="6"/>
  <c r="L278" i="6"/>
  <c r="E278" i="6"/>
  <c r="D278" i="6"/>
  <c r="L277" i="6"/>
  <c r="K277" i="6" s="1"/>
  <c r="E277" i="6"/>
  <c r="D277" i="6"/>
  <c r="L276" i="6"/>
  <c r="K276" i="6" s="1"/>
  <c r="E276" i="6"/>
  <c r="D276" i="6"/>
  <c r="L275" i="6"/>
  <c r="K275" i="6" s="1"/>
  <c r="E275" i="6"/>
  <c r="D275" i="6"/>
  <c r="L274" i="6"/>
  <c r="E274" i="6"/>
  <c r="D274" i="6"/>
  <c r="L273" i="6"/>
  <c r="I273" i="6" s="1"/>
  <c r="E273" i="6"/>
  <c r="D273" i="6"/>
  <c r="L272" i="6"/>
  <c r="K272" i="6" s="1"/>
  <c r="E272" i="6"/>
  <c r="D272" i="6"/>
  <c r="L271" i="6"/>
  <c r="E271" i="6"/>
  <c r="D271" i="6"/>
  <c r="L270" i="6"/>
  <c r="E270" i="6"/>
  <c r="D270" i="6"/>
  <c r="L269" i="6"/>
  <c r="K269" i="6" s="1"/>
  <c r="E269" i="6"/>
  <c r="D269" i="6"/>
  <c r="R268" i="6"/>
  <c r="Q268" i="6"/>
  <c r="L268" i="6"/>
  <c r="I268" i="6" s="1"/>
  <c r="E268" i="6"/>
  <c r="D268" i="6"/>
  <c r="L267" i="6"/>
  <c r="I267" i="6" s="1"/>
  <c r="E267" i="6"/>
  <c r="D267" i="6"/>
  <c r="L266" i="6"/>
  <c r="I266" i="6" s="1"/>
  <c r="E266" i="6"/>
  <c r="D266" i="6"/>
  <c r="L265" i="6"/>
  <c r="I265" i="6" s="1"/>
  <c r="E265" i="6"/>
  <c r="D265" i="6"/>
  <c r="L264" i="6"/>
  <c r="I264" i="6" s="1"/>
  <c r="E264" i="6"/>
  <c r="D264" i="6"/>
  <c r="L263" i="6"/>
  <c r="I263" i="6" s="1"/>
  <c r="E263" i="6"/>
  <c r="D263" i="6"/>
  <c r="L262" i="6"/>
  <c r="I262" i="6" s="1"/>
  <c r="E262" i="6"/>
  <c r="D262" i="6"/>
  <c r="L261" i="6"/>
  <c r="I261" i="6" s="1"/>
  <c r="E261" i="6"/>
  <c r="D261" i="6"/>
  <c r="L260" i="6"/>
  <c r="I260" i="6" s="1"/>
  <c r="E260" i="6"/>
  <c r="D260" i="6"/>
  <c r="L259" i="6"/>
  <c r="I259" i="6" s="1"/>
  <c r="E259" i="6"/>
  <c r="D259" i="6"/>
  <c r="L258" i="6"/>
  <c r="K258" i="6" s="1"/>
  <c r="E258" i="6"/>
  <c r="D258" i="6"/>
  <c r="L257" i="6"/>
  <c r="K257" i="6" s="1"/>
  <c r="E257" i="6"/>
  <c r="D257" i="6"/>
  <c r="L256" i="6"/>
  <c r="I256" i="6" s="1"/>
  <c r="E256" i="6"/>
  <c r="D256" i="6"/>
  <c r="L255" i="6"/>
  <c r="I255" i="6" s="1"/>
  <c r="E255" i="6"/>
  <c r="D255" i="6"/>
  <c r="L254" i="6"/>
  <c r="I254" i="6" s="1"/>
  <c r="E254" i="6"/>
  <c r="D254" i="6"/>
  <c r="L253" i="6"/>
  <c r="I253" i="6" s="1"/>
  <c r="E253" i="6"/>
  <c r="D253" i="6"/>
  <c r="L252" i="6"/>
  <c r="I252" i="6" s="1"/>
  <c r="E252" i="6"/>
  <c r="D252" i="6"/>
  <c r="L251" i="6"/>
  <c r="I251" i="6" s="1"/>
  <c r="E251" i="6"/>
  <c r="D251" i="6"/>
  <c r="L250" i="6"/>
  <c r="I250" i="6" s="1"/>
  <c r="E250" i="6"/>
  <c r="D250" i="6"/>
  <c r="L249" i="6"/>
  <c r="K249" i="6" s="1"/>
  <c r="E249" i="6"/>
  <c r="D249" i="6"/>
  <c r="L248" i="6"/>
  <c r="I248" i="6" s="1"/>
  <c r="E248" i="6"/>
  <c r="D248" i="6"/>
  <c r="L247" i="6"/>
  <c r="I247" i="6" s="1"/>
  <c r="E247" i="6"/>
  <c r="D247" i="6"/>
  <c r="L246" i="6"/>
  <c r="I246" i="6" s="1"/>
  <c r="E246" i="6"/>
  <c r="D246" i="6"/>
  <c r="L245" i="6"/>
  <c r="I245" i="6" s="1"/>
  <c r="E245" i="6"/>
  <c r="D245" i="6"/>
  <c r="L244" i="6"/>
  <c r="I244" i="6" s="1"/>
  <c r="E244" i="6"/>
  <c r="D244" i="6"/>
  <c r="L243" i="6"/>
  <c r="I243" i="6" s="1"/>
  <c r="E243" i="6"/>
  <c r="D243" i="6"/>
  <c r="L242" i="6"/>
  <c r="I242" i="6" s="1"/>
  <c r="E242" i="6"/>
  <c r="D242" i="6"/>
  <c r="L241" i="6"/>
  <c r="K241" i="6" s="1"/>
  <c r="E241" i="6"/>
  <c r="D241" i="6"/>
  <c r="L240" i="6"/>
  <c r="I240" i="6" s="1"/>
  <c r="E240" i="6"/>
  <c r="D240" i="6"/>
  <c r="L239" i="6"/>
  <c r="I239" i="6" s="1"/>
  <c r="E239" i="6"/>
  <c r="D239" i="6"/>
  <c r="L238" i="6"/>
  <c r="I238" i="6" s="1"/>
  <c r="E238" i="6"/>
  <c r="D238" i="6"/>
  <c r="L237" i="6"/>
  <c r="I237" i="6" s="1"/>
  <c r="E237" i="6"/>
  <c r="D237" i="6"/>
  <c r="L236" i="6"/>
  <c r="I236" i="6" s="1"/>
  <c r="E236" i="6"/>
  <c r="D236" i="6"/>
  <c r="L235" i="6"/>
  <c r="I235" i="6" s="1"/>
  <c r="E235" i="6"/>
  <c r="D235" i="6"/>
  <c r="L234" i="6"/>
  <c r="I234" i="6" s="1"/>
  <c r="E234" i="6"/>
  <c r="D234" i="6"/>
  <c r="L233" i="6"/>
  <c r="I233" i="6" s="1"/>
  <c r="E233" i="6"/>
  <c r="D233" i="6"/>
  <c r="L232" i="6"/>
  <c r="I232" i="6" s="1"/>
  <c r="E232" i="6"/>
  <c r="D232" i="6"/>
  <c r="L231" i="6"/>
  <c r="I231" i="6" s="1"/>
  <c r="E231" i="6"/>
  <c r="D231" i="6"/>
  <c r="L230" i="6"/>
  <c r="I230" i="6" s="1"/>
  <c r="E230" i="6"/>
  <c r="D230" i="6"/>
  <c r="L229" i="6"/>
  <c r="I229" i="6" s="1"/>
  <c r="E229" i="6"/>
  <c r="D229" i="6"/>
  <c r="L228" i="6"/>
  <c r="I228" i="6" s="1"/>
  <c r="E228" i="6"/>
  <c r="D228" i="6"/>
  <c r="L227" i="6"/>
  <c r="I227" i="6" s="1"/>
  <c r="E227" i="6"/>
  <c r="D227" i="6"/>
  <c r="L226" i="6"/>
  <c r="I226" i="6" s="1"/>
  <c r="E226" i="6"/>
  <c r="D226" i="6"/>
  <c r="L225" i="6"/>
  <c r="I225" i="6" s="1"/>
  <c r="E225" i="6"/>
  <c r="D225" i="6"/>
  <c r="L224" i="6"/>
  <c r="I224" i="6" s="1"/>
  <c r="E224" i="6"/>
  <c r="D224" i="6"/>
  <c r="L223" i="6"/>
  <c r="I223" i="6" s="1"/>
  <c r="E223" i="6"/>
  <c r="D223" i="6"/>
  <c r="L222" i="6"/>
  <c r="I222" i="6" s="1"/>
  <c r="E222" i="6"/>
  <c r="D222" i="6"/>
  <c r="L221" i="6"/>
  <c r="I221" i="6" s="1"/>
  <c r="E221" i="6"/>
  <c r="D221" i="6"/>
  <c r="L220" i="6"/>
  <c r="I220" i="6" s="1"/>
  <c r="E220" i="6"/>
  <c r="D220" i="6"/>
  <c r="L219" i="6"/>
  <c r="I219" i="6" s="1"/>
  <c r="E219" i="6"/>
  <c r="D219" i="6"/>
  <c r="L218" i="6"/>
  <c r="I218" i="6" s="1"/>
  <c r="E218" i="6"/>
  <c r="D218" i="6"/>
  <c r="L217" i="6"/>
  <c r="I217" i="6" s="1"/>
  <c r="E217" i="6"/>
  <c r="D217" i="6"/>
  <c r="L216" i="6"/>
  <c r="I216" i="6" s="1"/>
  <c r="E216" i="6"/>
  <c r="D216" i="6"/>
  <c r="L215" i="6"/>
  <c r="I215" i="6" s="1"/>
  <c r="E215" i="6"/>
  <c r="D215" i="6"/>
  <c r="L214" i="6"/>
  <c r="I214" i="6" s="1"/>
  <c r="E214" i="6"/>
  <c r="D214" i="6"/>
  <c r="L213" i="6"/>
  <c r="I213" i="6" s="1"/>
  <c r="E213" i="6"/>
  <c r="D213" i="6"/>
  <c r="L212" i="6"/>
  <c r="I212" i="6" s="1"/>
  <c r="E212" i="6"/>
  <c r="D212" i="6"/>
  <c r="AB211" i="6"/>
  <c r="AB336" i="6" s="1"/>
  <c r="L211" i="6"/>
  <c r="I211" i="6" s="1"/>
  <c r="E211" i="6"/>
  <c r="D211" i="6"/>
  <c r="L210" i="6"/>
  <c r="K210" i="6" s="1"/>
  <c r="E210" i="6"/>
  <c r="D210" i="6"/>
  <c r="L209" i="6"/>
  <c r="I209" i="6" s="1"/>
  <c r="E209" i="6"/>
  <c r="D209" i="6"/>
  <c r="L208" i="6"/>
  <c r="E208" i="6"/>
  <c r="D208" i="6"/>
  <c r="L207" i="6"/>
  <c r="I207" i="6" s="1"/>
  <c r="E207" i="6"/>
  <c r="D207" i="6"/>
  <c r="L206" i="6"/>
  <c r="K206" i="6" s="1"/>
  <c r="E206" i="6"/>
  <c r="D206" i="6"/>
  <c r="L205" i="6"/>
  <c r="I205" i="6" s="1"/>
  <c r="E205" i="6"/>
  <c r="D205" i="6"/>
  <c r="L204" i="6"/>
  <c r="I204" i="6" s="1"/>
  <c r="E204" i="6"/>
  <c r="D204" i="6"/>
  <c r="L203" i="6"/>
  <c r="I203" i="6" s="1"/>
  <c r="E203" i="6"/>
  <c r="D203" i="6"/>
  <c r="L202" i="6"/>
  <c r="K202" i="6" s="1"/>
  <c r="E202" i="6"/>
  <c r="D202" i="6"/>
  <c r="L201" i="6"/>
  <c r="I201" i="6" s="1"/>
  <c r="E201" i="6"/>
  <c r="D201" i="6"/>
  <c r="L200" i="6"/>
  <c r="E200" i="6"/>
  <c r="D200" i="6"/>
  <c r="L199" i="6"/>
  <c r="I199" i="6" s="1"/>
  <c r="E199" i="6"/>
  <c r="D199" i="6"/>
  <c r="L198" i="6"/>
  <c r="K198" i="6" s="1"/>
  <c r="E198" i="6"/>
  <c r="D198" i="6"/>
  <c r="L197" i="6"/>
  <c r="I197" i="6" s="1"/>
  <c r="E197" i="6"/>
  <c r="D197" i="6"/>
  <c r="L196" i="6"/>
  <c r="I196" i="6" s="1"/>
  <c r="E196" i="6"/>
  <c r="D196" i="6"/>
  <c r="L195" i="6"/>
  <c r="I195" i="6" s="1"/>
  <c r="E195" i="6"/>
  <c r="D195" i="6"/>
  <c r="L194" i="6"/>
  <c r="K194" i="6" s="1"/>
  <c r="E194" i="6"/>
  <c r="D194" i="6"/>
  <c r="L193" i="6"/>
  <c r="I193" i="6" s="1"/>
  <c r="E193" i="6"/>
  <c r="D193" i="6"/>
  <c r="L192" i="6"/>
  <c r="E192" i="6"/>
  <c r="D192" i="6"/>
  <c r="L191" i="6"/>
  <c r="I191" i="6" s="1"/>
  <c r="E191" i="6"/>
  <c r="D191" i="6"/>
  <c r="L190" i="6"/>
  <c r="K190" i="6" s="1"/>
  <c r="E190" i="6"/>
  <c r="D190" i="6"/>
  <c r="L189" i="6"/>
  <c r="I189" i="6" s="1"/>
  <c r="E189" i="6"/>
  <c r="D189" i="6"/>
  <c r="L188" i="6"/>
  <c r="I188" i="6" s="1"/>
  <c r="E188" i="6"/>
  <c r="D188" i="6"/>
  <c r="L187" i="6"/>
  <c r="I187" i="6" s="1"/>
  <c r="E187" i="6"/>
  <c r="D187" i="6"/>
  <c r="L186" i="6"/>
  <c r="K186" i="6" s="1"/>
  <c r="E186" i="6"/>
  <c r="D186" i="6"/>
  <c r="L185" i="6"/>
  <c r="I185" i="6" s="1"/>
  <c r="E185" i="6"/>
  <c r="D185" i="6"/>
  <c r="L184" i="6"/>
  <c r="E184" i="6"/>
  <c r="D184" i="6"/>
  <c r="L183" i="6"/>
  <c r="I183" i="6" s="1"/>
  <c r="E183" i="6"/>
  <c r="D183" i="6"/>
  <c r="L182" i="6"/>
  <c r="K182" i="6" s="1"/>
  <c r="E182" i="6"/>
  <c r="D182" i="6"/>
  <c r="L181" i="6"/>
  <c r="I181" i="6" s="1"/>
  <c r="E181" i="6"/>
  <c r="D181" i="6"/>
  <c r="L180" i="6"/>
  <c r="E180" i="6"/>
  <c r="D180" i="6"/>
  <c r="L179" i="6"/>
  <c r="I179" i="6" s="1"/>
  <c r="E179" i="6"/>
  <c r="D179" i="6"/>
  <c r="L178" i="6"/>
  <c r="K178" i="6" s="1"/>
  <c r="E178" i="6"/>
  <c r="D178" i="6"/>
  <c r="L177" i="6"/>
  <c r="I177" i="6" s="1"/>
  <c r="E177" i="6"/>
  <c r="D177" i="6"/>
  <c r="L176" i="6"/>
  <c r="E176" i="6"/>
  <c r="D176" i="6"/>
  <c r="L175" i="6"/>
  <c r="I175" i="6" s="1"/>
  <c r="E175" i="6"/>
  <c r="D175" i="6"/>
  <c r="L174" i="6"/>
  <c r="K174" i="6" s="1"/>
  <c r="E174" i="6"/>
  <c r="D174" i="6"/>
  <c r="L173" i="6"/>
  <c r="I173" i="6" s="1"/>
  <c r="E173" i="6"/>
  <c r="D173" i="6"/>
  <c r="L172" i="6"/>
  <c r="I172" i="6" s="1"/>
  <c r="E172" i="6"/>
  <c r="D172" i="6"/>
  <c r="L171" i="6"/>
  <c r="I171" i="6" s="1"/>
  <c r="E171" i="6"/>
  <c r="D171" i="6"/>
  <c r="L170" i="6"/>
  <c r="K170" i="6" s="1"/>
  <c r="E170" i="6"/>
  <c r="D170" i="6"/>
  <c r="L169" i="6"/>
  <c r="I169" i="6" s="1"/>
  <c r="E169" i="6"/>
  <c r="D169" i="6"/>
  <c r="L168" i="6"/>
  <c r="E168" i="6"/>
  <c r="D168" i="6"/>
  <c r="L167" i="6"/>
  <c r="I167" i="6" s="1"/>
  <c r="E167" i="6"/>
  <c r="D167" i="6"/>
  <c r="L166" i="6"/>
  <c r="K166" i="6" s="1"/>
  <c r="E166" i="6"/>
  <c r="D166" i="6"/>
  <c r="L165" i="6"/>
  <c r="I165" i="6" s="1"/>
  <c r="E165" i="6"/>
  <c r="D165" i="6"/>
  <c r="L164" i="6"/>
  <c r="I164" i="6" s="1"/>
  <c r="E164" i="6"/>
  <c r="D164" i="6"/>
  <c r="L163" i="6"/>
  <c r="I163" i="6" s="1"/>
  <c r="E163" i="6"/>
  <c r="D163" i="6"/>
  <c r="L162" i="6"/>
  <c r="K162" i="6" s="1"/>
  <c r="E162" i="6"/>
  <c r="D162" i="6"/>
  <c r="L161" i="6"/>
  <c r="I161" i="6" s="1"/>
  <c r="E161" i="6"/>
  <c r="D161" i="6"/>
  <c r="L160" i="6"/>
  <c r="E160" i="6"/>
  <c r="D160" i="6"/>
  <c r="L159" i="6"/>
  <c r="I159" i="6" s="1"/>
  <c r="E159" i="6"/>
  <c r="D159" i="6"/>
  <c r="L158" i="6"/>
  <c r="K158" i="6" s="1"/>
  <c r="E158" i="6"/>
  <c r="D158" i="6"/>
  <c r="L157" i="6"/>
  <c r="I157" i="6" s="1"/>
  <c r="E157" i="6"/>
  <c r="D157" i="6"/>
  <c r="L156" i="6"/>
  <c r="I156" i="6" s="1"/>
  <c r="E156" i="6"/>
  <c r="D156" i="6"/>
  <c r="L155" i="6"/>
  <c r="I155" i="6" s="1"/>
  <c r="E155" i="6"/>
  <c r="D155" i="6"/>
  <c r="L154" i="6"/>
  <c r="K154" i="6" s="1"/>
  <c r="E154" i="6"/>
  <c r="D154" i="6"/>
  <c r="L153" i="6"/>
  <c r="I153" i="6" s="1"/>
  <c r="E153" i="6"/>
  <c r="D153" i="6"/>
  <c r="L152" i="6"/>
  <c r="E152" i="6"/>
  <c r="D152" i="6"/>
  <c r="L151" i="6"/>
  <c r="I151" i="6" s="1"/>
  <c r="E151" i="6"/>
  <c r="D151" i="6"/>
  <c r="L150" i="6"/>
  <c r="K150" i="6" s="1"/>
  <c r="E150" i="6"/>
  <c r="D150" i="6"/>
  <c r="L149" i="6"/>
  <c r="I149" i="6" s="1"/>
  <c r="E149" i="6"/>
  <c r="D149" i="6"/>
  <c r="L148" i="6"/>
  <c r="E148" i="6"/>
  <c r="D148" i="6"/>
  <c r="L147" i="6"/>
  <c r="I147" i="6" s="1"/>
  <c r="E147" i="6"/>
  <c r="D147" i="6"/>
  <c r="L146" i="6"/>
  <c r="K146" i="6" s="1"/>
  <c r="E146" i="6"/>
  <c r="D146" i="6"/>
  <c r="L145" i="6"/>
  <c r="I145" i="6" s="1"/>
  <c r="E145" i="6"/>
  <c r="D145" i="6"/>
  <c r="L144" i="6"/>
  <c r="E144" i="6"/>
  <c r="D144" i="6"/>
  <c r="L143" i="6"/>
  <c r="I143" i="6" s="1"/>
  <c r="E143" i="6"/>
  <c r="D143" i="6"/>
  <c r="L142" i="6"/>
  <c r="K142" i="6" s="1"/>
  <c r="E142" i="6"/>
  <c r="D142" i="6"/>
  <c r="L141" i="6"/>
  <c r="I141" i="6" s="1"/>
  <c r="E141" i="6"/>
  <c r="D141" i="6"/>
  <c r="L140" i="6"/>
  <c r="I140" i="6" s="1"/>
  <c r="E140" i="6"/>
  <c r="D140" i="6"/>
  <c r="L139" i="6"/>
  <c r="I139" i="6" s="1"/>
  <c r="E139" i="6"/>
  <c r="D139" i="6"/>
  <c r="L138" i="6"/>
  <c r="K138" i="6" s="1"/>
  <c r="E138" i="6"/>
  <c r="D138" i="6"/>
  <c r="L137" i="6"/>
  <c r="I137" i="6" s="1"/>
  <c r="E137" i="6"/>
  <c r="D137" i="6"/>
  <c r="L136" i="6"/>
  <c r="E136" i="6"/>
  <c r="D136" i="6"/>
  <c r="L135" i="6"/>
  <c r="I135" i="6" s="1"/>
  <c r="E135" i="6"/>
  <c r="D135" i="6"/>
  <c r="L134" i="6"/>
  <c r="K134" i="6" s="1"/>
  <c r="E134" i="6"/>
  <c r="D134" i="6"/>
  <c r="L133" i="6"/>
  <c r="I133" i="6" s="1"/>
  <c r="E133" i="6"/>
  <c r="D133" i="6"/>
  <c r="L132" i="6"/>
  <c r="I132" i="6" s="1"/>
  <c r="E132" i="6"/>
  <c r="D132" i="6"/>
  <c r="L131" i="6"/>
  <c r="I131" i="6" s="1"/>
  <c r="E131" i="6"/>
  <c r="D131" i="6"/>
  <c r="L130" i="6"/>
  <c r="K130" i="6" s="1"/>
  <c r="E130" i="6"/>
  <c r="D130" i="6"/>
  <c r="L129" i="6"/>
  <c r="I129" i="6" s="1"/>
  <c r="E129" i="6"/>
  <c r="D129" i="6"/>
  <c r="L128" i="6"/>
  <c r="E128" i="6"/>
  <c r="D128" i="6"/>
  <c r="L127" i="6"/>
  <c r="I127" i="6" s="1"/>
  <c r="E127" i="6"/>
  <c r="D127" i="6"/>
  <c r="L126" i="6"/>
  <c r="K126" i="6" s="1"/>
  <c r="E126" i="6"/>
  <c r="D126" i="6"/>
  <c r="L125" i="6"/>
  <c r="E125" i="6"/>
  <c r="D125" i="6"/>
  <c r="L124" i="6"/>
  <c r="E124" i="6"/>
  <c r="D124" i="6"/>
  <c r="L123" i="6"/>
  <c r="E123" i="6"/>
  <c r="D123" i="6"/>
  <c r="L122" i="6"/>
  <c r="K122" i="6" s="1"/>
  <c r="E122" i="6"/>
  <c r="D122" i="6"/>
  <c r="L121" i="6"/>
  <c r="K121" i="6" s="1"/>
  <c r="E121" i="6"/>
  <c r="D121" i="6"/>
  <c r="L120" i="6"/>
  <c r="E120" i="6"/>
  <c r="D120" i="6"/>
  <c r="L119" i="6"/>
  <c r="E119" i="6"/>
  <c r="D119" i="6"/>
  <c r="L118" i="6"/>
  <c r="K118" i="6" s="1"/>
  <c r="E118" i="6"/>
  <c r="D118" i="6"/>
  <c r="L117" i="6"/>
  <c r="E117" i="6"/>
  <c r="D117" i="6"/>
  <c r="L116" i="6"/>
  <c r="E116" i="6"/>
  <c r="D116" i="6"/>
  <c r="L115" i="6"/>
  <c r="E115" i="6"/>
  <c r="D115" i="6"/>
  <c r="L114" i="6"/>
  <c r="K114" i="6" s="1"/>
  <c r="E114" i="6"/>
  <c r="D114" i="6"/>
  <c r="L113" i="6"/>
  <c r="K113" i="6" s="1"/>
  <c r="E113" i="6"/>
  <c r="D113" i="6"/>
  <c r="L112" i="6"/>
  <c r="E112" i="6"/>
  <c r="D112" i="6"/>
  <c r="L111" i="6"/>
  <c r="E111" i="6"/>
  <c r="D111" i="6"/>
  <c r="L110" i="6"/>
  <c r="K110" i="6" s="1"/>
  <c r="E110" i="6"/>
  <c r="D110" i="6"/>
  <c r="L109" i="6"/>
  <c r="E109" i="6"/>
  <c r="D109" i="6"/>
  <c r="L108" i="6"/>
  <c r="E108" i="6"/>
  <c r="D108" i="6"/>
  <c r="L107" i="6"/>
  <c r="E107" i="6"/>
  <c r="D107" i="6"/>
  <c r="L106" i="6"/>
  <c r="K106" i="6" s="1"/>
  <c r="E106" i="6"/>
  <c r="D106" i="6"/>
  <c r="L105" i="6"/>
  <c r="K105" i="6" s="1"/>
  <c r="E105" i="6"/>
  <c r="D105" i="6"/>
  <c r="L104" i="6"/>
  <c r="E104" i="6"/>
  <c r="D104" i="6"/>
  <c r="L103" i="6"/>
  <c r="E103" i="6"/>
  <c r="D103" i="6"/>
  <c r="L102" i="6"/>
  <c r="K102" i="6" s="1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K97" i="6" s="1"/>
  <c r="E97" i="6"/>
  <c r="D97" i="6"/>
  <c r="L96" i="6"/>
  <c r="E96" i="6"/>
  <c r="D96" i="6"/>
  <c r="L95" i="6"/>
  <c r="E95" i="6"/>
  <c r="D95" i="6"/>
  <c r="L94" i="6"/>
  <c r="K94" i="6" s="1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K89" i="6" s="1"/>
  <c r="E89" i="6"/>
  <c r="D89" i="6"/>
  <c r="L88" i="6"/>
  <c r="E88" i="6"/>
  <c r="D88" i="6"/>
  <c r="L87" i="6"/>
  <c r="E87" i="6"/>
  <c r="D87" i="6"/>
  <c r="L86" i="6"/>
  <c r="K86" i="6" s="1"/>
  <c r="E86" i="6"/>
  <c r="D86" i="6"/>
  <c r="L85" i="6"/>
  <c r="D85" i="6"/>
  <c r="L84" i="6"/>
  <c r="I84" i="6" s="1"/>
  <c r="E84" i="6"/>
  <c r="D84" i="6"/>
  <c r="L83" i="6"/>
  <c r="I83" i="6" s="1"/>
  <c r="D83" i="6"/>
  <c r="L82" i="6"/>
  <c r="I82" i="6" s="1"/>
  <c r="E82" i="6"/>
  <c r="D82" i="6"/>
  <c r="L81" i="6"/>
  <c r="I81" i="6" s="1"/>
  <c r="E81" i="6"/>
  <c r="D81" i="6"/>
  <c r="L80" i="6"/>
  <c r="I80" i="6" s="1"/>
  <c r="E80" i="6"/>
  <c r="D80" i="6"/>
  <c r="L79" i="6"/>
  <c r="I79" i="6" s="1"/>
  <c r="E79" i="6"/>
  <c r="D79" i="6"/>
  <c r="L78" i="6"/>
  <c r="I78" i="6" s="1"/>
  <c r="E78" i="6"/>
  <c r="D78" i="6"/>
  <c r="L77" i="6"/>
  <c r="I77" i="6" s="1"/>
  <c r="E77" i="6"/>
  <c r="D77" i="6"/>
  <c r="L76" i="6"/>
  <c r="I76" i="6" s="1"/>
  <c r="E76" i="6"/>
  <c r="D76" i="6"/>
  <c r="L75" i="6"/>
  <c r="I75" i="6" s="1"/>
  <c r="E75" i="6"/>
  <c r="D75" i="6"/>
  <c r="L74" i="6"/>
  <c r="I74" i="6" s="1"/>
  <c r="E74" i="6"/>
  <c r="D74" i="6"/>
  <c r="L73" i="6"/>
  <c r="I73" i="6" s="1"/>
  <c r="E73" i="6"/>
  <c r="D73" i="6"/>
  <c r="L72" i="6"/>
  <c r="I72" i="6" s="1"/>
  <c r="E72" i="6"/>
  <c r="D72" i="6"/>
  <c r="L71" i="6"/>
  <c r="I71" i="6" s="1"/>
  <c r="E71" i="6"/>
  <c r="D71" i="6"/>
  <c r="L70" i="6"/>
  <c r="I70" i="6" s="1"/>
  <c r="E70" i="6"/>
  <c r="D70" i="6"/>
  <c r="L69" i="6"/>
  <c r="I69" i="6" s="1"/>
  <c r="E69" i="6"/>
  <c r="D69" i="6"/>
  <c r="L68" i="6"/>
  <c r="I68" i="6" s="1"/>
  <c r="E68" i="6"/>
  <c r="D68" i="6"/>
  <c r="L67" i="6"/>
  <c r="I67" i="6" s="1"/>
  <c r="E67" i="6"/>
  <c r="D67" i="6"/>
  <c r="L66" i="6"/>
  <c r="I66" i="6" s="1"/>
  <c r="E66" i="6"/>
  <c r="D66" i="6"/>
  <c r="L65" i="6"/>
  <c r="I65" i="6" s="1"/>
  <c r="E65" i="6"/>
  <c r="D65" i="6"/>
  <c r="P64" i="6"/>
  <c r="O64" i="6"/>
  <c r="L64" i="6"/>
  <c r="E64" i="6"/>
  <c r="D64" i="6"/>
  <c r="L63" i="6"/>
  <c r="E63" i="6"/>
  <c r="D63" i="6"/>
  <c r="L62" i="6"/>
  <c r="K62" i="6" s="1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E56" i="6"/>
  <c r="D56" i="6"/>
  <c r="L55" i="6"/>
  <c r="E55" i="6"/>
  <c r="D55" i="6"/>
  <c r="L54" i="6"/>
  <c r="K54" i="6" s="1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K46" i="6" s="1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K38" i="6" s="1"/>
  <c r="E38" i="6"/>
  <c r="D38" i="6"/>
  <c r="L37" i="6"/>
  <c r="E37" i="6"/>
  <c r="D37" i="6"/>
  <c r="AG36" i="6"/>
  <c r="O36" i="6"/>
  <c r="L36" i="6"/>
  <c r="I36" i="6" s="1"/>
  <c r="E36" i="6"/>
  <c r="D36" i="6"/>
  <c r="L35" i="6"/>
  <c r="I35" i="6" s="1"/>
  <c r="E35" i="6"/>
  <c r="D35" i="6"/>
  <c r="L34" i="6"/>
  <c r="I34" i="6" s="1"/>
  <c r="E34" i="6"/>
  <c r="D34" i="6"/>
  <c r="L33" i="6"/>
  <c r="I33" i="6" s="1"/>
  <c r="E33" i="6"/>
  <c r="D33" i="6"/>
  <c r="L32" i="6"/>
  <c r="I32" i="6" s="1"/>
  <c r="E32" i="6"/>
  <c r="D32" i="6"/>
  <c r="L31" i="6"/>
  <c r="I31" i="6" s="1"/>
  <c r="E31" i="6"/>
  <c r="D31" i="6"/>
  <c r="L30" i="6"/>
  <c r="I30" i="6" s="1"/>
  <c r="E30" i="6"/>
  <c r="D30" i="6"/>
  <c r="AG29" i="6"/>
  <c r="L29" i="6"/>
  <c r="I29" i="6" s="1"/>
  <c r="E29" i="6"/>
  <c r="D29" i="6"/>
  <c r="AG28" i="6"/>
  <c r="L28" i="6"/>
  <c r="E28" i="6"/>
  <c r="D28" i="6"/>
  <c r="L27" i="6"/>
  <c r="E27" i="6"/>
  <c r="D27" i="6"/>
  <c r="L26" i="6"/>
  <c r="K26" i="6" s="1"/>
  <c r="E26" i="6"/>
  <c r="D26" i="6"/>
  <c r="L25" i="6"/>
  <c r="E25" i="6"/>
  <c r="D25" i="6"/>
  <c r="AG24" i="6"/>
  <c r="L24" i="6"/>
  <c r="E24" i="6"/>
  <c r="D24" i="6"/>
  <c r="L23" i="6"/>
  <c r="E23" i="6"/>
  <c r="D23" i="6"/>
  <c r="L22" i="6"/>
  <c r="E22" i="6"/>
  <c r="D22" i="6"/>
  <c r="AG21" i="6"/>
  <c r="P21" i="6"/>
  <c r="L21" i="6"/>
  <c r="I21" i="6" s="1"/>
  <c r="E21" i="6"/>
  <c r="D21" i="6"/>
  <c r="AG20" i="6"/>
  <c r="L20" i="6"/>
  <c r="E20" i="6"/>
  <c r="D20" i="6"/>
  <c r="AG19" i="6"/>
  <c r="L19" i="6"/>
  <c r="E19" i="6"/>
  <c r="D19" i="6"/>
  <c r="L18" i="6"/>
  <c r="E18" i="6"/>
  <c r="D18" i="6"/>
  <c r="L17" i="6"/>
  <c r="K17" i="6" s="1"/>
  <c r="E17" i="6"/>
  <c r="D17" i="6"/>
  <c r="AG16" i="6"/>
  <c r="L16" i="6"/>
  <c r="I16" i="6" s="1"/>
  <c r="E16" i="6"/>
  <c r="D16" i="6"/>
  <c r="L15" i="6"/>
  <c r="I15" i="6" s="1"/>
  <c r="E15" i="6"/>
  <c r="D15" i="6"/>
  <c r="AG14" i="6"/>
  <c r="R14" i="6"/>
  <c r="Q14" i="6"/>
  <c r="O14" i="6"/>
  <c r="L14" i="6"/>
  <c r="I14" i="6" s="1"/>
  <c r="E14" i="6"/>
  <c r="D14" i="6"/>
  <c r="L13" i="6"/>
  <c r="I13" i="6" s="1"/>
  <c r="E13" i="6"/>
  <c r="D13" i="6"/>
  <c r="L12" i="6"/>
  <c r="I12" i="6" s="1"/>
  <c r="E12" i="6"/>
  <c r="D12" i="6"/>
  <c r="AG11" i="6"/>
  <c r="L11" i="6"/>
  <c r="I11" i="6" s="1"/>
  <c r="E11" i="6"/>
  <c r="D11" i="6"/>
  <c r="L10" i="6"/>
  <c r="I10" i="6" s="1"/>
  <c r="E10" i="6"/>
  <c r="D10" i="6"/>
  <c r="L9" i="6"/>
  <c r="I9" i="6" s="1"/>
  <c r="E9" i="6"/>
  <c r="D9" i="6"/>
  <c r="L8" i="6"/>
  <c r="I8" i="6" s="1"/>
  <c r="E8" i="6"/>
  <c r="D8" i="6"/>
  <c r="AG7" i="6"/>
  <c r="P7" i="6"/>
  <c r="L7" i="6"/>
  <c r="E7" i="6"/>
  <c r="D7" i="6"/>
  <c r="L6" i="6"/>
  <c r="E6" i="6"/>
  <c r="D6" i="6"/>
  <c r="L5" i="6"/>
  <c r="E5" i="6"/>
  <c r="D5" i="6"/>
  <c r="Q4" i="6"/>
  <c r="P4" i="6"/>
  <c r="L4" i="6"/>
  <c r="E4" i="6"/>
  <c r="D4" i="6"/>
  <c r="AD349" i="5"/>
  <c r="AB349" i="5"/>
  <c r="L348" i="5"/>
  <c r="J348" i="5" s="1"/>
  <c r="E348" i="5"/>
  <c r="D348" i="5"/>
  <c r="L347" i="5"/>
  <c r="J347" i="5" s="1"/>
  <c r="E347" i="5"/>
  <c r="D347" i="5"/>
  <c r="L346" i="5"/>
  <c r="J346" i="5" s="1"/>
  <c r="E346" i="5"/>
  <c r="D346" i="5"/>
  <c r="L345" i="5"/>
  <c r="J345" i="5" s="1"/>
  <c r="E345" i="5"/>
  <c r="D345" i="5"/>
  <c r="L344" i="5"/>
  <c r="J344" i="5" s="1"/>
  <c r="E344" i="5"/>
  <c r="D344" i="5"/>
  <c r="L343" i="5"/>
  <c r="J343" i="5" s="1"/>
  <c r="E343" i="5"/>
  <c r="D343" i="5"/>
  <c r="L342" i="5"/>
  <c r="J342" i="5" s="1"/>
  <c r="E342" i="5"/>
  <c r="D342" i="5"/>
  <c r="L341" i="5"/>
  <c r="J341" i="5" s="1"/>
  <c r="E341" i="5"/>
  <c r="D341" i="5"/>
  <c r="L340" i="5"/>
  <c r="J340" i="5" s="1"/>
  <c r="E340" i="5"/>
  <c r="D340" i="5"/>
  <c r="L339" i="5"/>
  <c r="J339" i="5" s="1"/>
  <c r="E339" i="5"/>
  <c r="D339" i="5"/>
  <c r="L338" i="5"/>
  <c r="J338" i="5" s="1"/>
  <c r="E338" i="5"/>
  <c r="D338" i="5"/>
  <c r="L337" i="5"/>
  <c r="J337" i="5" s="1"/>
  <c r="E337" i="5"/>
  <c r="D337" i="5"/>
  <c r="L336" i="5"/>
  <c r="J336" i="5" s="1"/>
  <c r="E336" i="5"/>
  <c r="D336" i="5"/>
  <c r="L335" i="5"/>
  <c r="J335" i="5" s="1"/>
  <c r="E335" i="5"/>
  <c r="D335" i="5"/>
  <c r="L334" i="5"/>
  <c r="J334" i="5" s="1"/>
  <c r="E334" i="5"/>
  <c r="D334" i="5"/>
  <c r="L333" i="5"/>
  <c r="J333" i="5" s="1"/>
  <c r="E333" i="5"/>
  <c r="D333" i="5"/>
  <c r="L332" i="5"/>
  <c r="J332" i="5" s="1"/>
  <c r="E332" i="5"/>
  <c r="D332" i="5"/>
  <c r="L331" i="5"/>
  <c r="J331" i="5" s="1"/>
  <c r="E331" i="5"/>
  <c r="D331" i="5"/>
  <c r="L330" i="5"/>
  <c r="J330" i="5" s="1"/>
  <c r="E330" i="5"/>
  <c r="D330" i="5"/>
  <c r="L329" i="5"/>
  <c r="J329" i="5" s="1"/>
  <c r="E329" i="5"/>
  <c r="D329" i="5"/>
  <c r="L328" i="5"/>
  <c r="J328" i="5" s="1"/>
  <c r="E328" i="5"/>
  <c r="D328" i="5"/>
  <c r="L327" i="5"/>
  <c r="J327" i="5" s="1"/>
  <c r="E327" i="5"/>
  <c r="D327" i="5"/>
  <c r="L326" i="5"/>
  <c r="J326" i="5" s="1"/>
  <c r="E326" i="5"/>
  <c r="D326" i="5"/>
  <c r="L325" i="5"/>
  <c r="J325" i="5" s="1"/>
  <c r="E325" i="5"/>
  <c r="D325" i="5"/>
  <c r="L324" i="5"/>
  <c r="J324" i="5" s="1"/>
  <c r="E324" i="5"/>
  <c r="D324" i="5"/>
  <c r="L323" i="5"/>
  <c r="J323" i="5" s="1"/>
  <c r="E323" i="5"/>
  <c r="D323" i="5"/>
  <c r="L322" i="5"/>
  <c r="J322" i="5" s="1"/>
  <c r="E322" i="5"/>
  <c r="D322" i="5"/>
  <c r="L321" i="5"/>
  <c r="J321" i="5" s="1"/>
  <c r="E321" i="5"/>
  <c r="D321" i="5"/>
  <c r="L320" i="5"/>
  <c r="J320" i="5" s="1"/>
  <c r="E320" i="5"/>
  <c r="D320" i="5"/>
  <c r="L319" i="5"/>
  <c r="J319" i="5" s="1"/>
  <c r="E319" i="5"/>
  <c r="D319" i="5"/>
  <c r="L318" i="5"/>
  <c r="J318" i="5" s="1"/>
  <c r="E318" i="5"/>
  <c r="D318" i="5"/>
  <c r="L317" i="5"/>
  <c r="J317" i="5" s="1"/>
  <c r="E317" i="5"/>
  <c r="D317" i="5"/>
  <c r="L316" i="5"/>
  <c r="J316" i="5" s="1"/>
  <c r="E316" i="5"/>
  <c r="D316" i="5"/>
  <c r="L315" i="5"/>
  <c r="J315" i="5" s="1"/>
  <c r="E315" i="5"/>
  <c r="D315" i="5"/>
  <c r="L314" i="5"/>
  <c r="J314" i="5" s="1"/>
  <c r="E314" i="5"/>
  <c r="D314" i="5"/>
  <c r="L313" i="5"/>
  <c r="J313" i="5" s="1"/>
  <c r="E313" i="5"/>
  <c r="D313" i="5"/>
  <c r="L312" i="5"/>
  <c r="J312" i="5" s="1"/>
  <c r="E312" i="5"/>
  <c r="D312" i="5"/>
  <c r="L311" i="5"/>
  <c r="J311" i="5" s="1"/>
  <c r="E311" i="5"/>
  <c r="D311" i="5"/>
  <c r="L310" i="5"/>
  <c r="J310" i="5" s="1"/>
  <c r="E310" i="5"/>
  <c r="D310" i="5"/>
  <c r="L309" i="5"/>
  <c r="J309" i="5" s="1"/>
  <c r="E309" i="5"/>
  <c r="D309" i="5"/>
  <c r="L308" i="5"/>
  <c r="J308" i="5" s="1"/>
  <c r="E308" i="5"/>
  <c r="D308" i="5"/>
  <c r="L307" i="5"/>
  <c r="J307" i="5" s="1"/>
  <c r="E307" i="5"/>
  <c r="D307" i="5"/>
  <c r="L306" i="5"/>
  <c r="J306" i="5" s="1"/>
  <c r="E306" i="5"/>
  <c r="D306" i="5"/>
  <c r="L305" i="5"/>
  <c r="J305" i="5" s="1"/>
  <c r="E305" i="5"/>
  <c r="D305" i="5"/>
  <c r="L304" i="5"/>
  <c r="J304" i="5" s="1"/>
  <c r="E304" i="5"/>
  <c r="D304" i="5"/>
  <c r="L303" i="5"/>
  <c r="J303" i="5" s="1"/>
  <c r="E303" i="5"/>
  <c r="D303" i="5"/>
  <c r="L302" i="5"/>
  <c r="J302" i="5" s="1"/>
  <c r="E302" i="5"/>
  <c r="D302" i="5"/>
  <c r="L301" i="5"/>
  <c r="J301" i="5" s="1"/>
  <c r="E301" i="5"/>
  <c r="D301" i="5"/>
  <c r="L300" i="5"/>
  <c r="J300" i="5" s="1"/>
  <c r="E300" i="5"/>
  <c r="D300" i="5"/>
  <c r="L299" i="5"/>
  <c r="J299" i="5" s="1"/>
  <c r="E299" i="5"/>
  <c r="D299" i="5"/>
  <c r="L298" i="5"/>
  <c r="J298" i="5" s="1"/>
  <c r="E298" i="5"/>
  <c r="D298" i="5"/>
  <c r="L297" i="5"/>
  <c r="J297" i="5" s="1"/>
  <c r="E297" i="5"/>
  <c r="D297" i="5"/>
  <c r="L296" i="5"/>
  <c r="J296" i="5" s="1"/>
  <c r="E296" i="5"/>
  <c r="D296" i="5"/>
  <c r="L295" i="5"/>
  <c r="J295" i="5" s="1"/>
  <c r="E295" i="5"/>
  <c r="D295" i="5"/>
  <c r="L294" i="5"/>
  <c r="J294" i="5" s="1"/>
  <c r="E294" i="5"/>
  <c r="D294" i="5"/>
  <c r="L293" i="5"/>
  <c r="J293" i="5" s="1"/>
  <c r="E293" i="5"/>
  <c r="D293" i="5"/>
  <c r="L292" i="5"/>
  <c r="J292" i="5" s="1"/>
  <c r="E292" i="5"/>
  <c r="D292" i="5"/>
  <c r="L291" i="5"/>
  <c r="J291" i="5" s="1"/>
  <c r="E291" i="5"/>
  <c r="D291" i="5"/>
  <c r="L290" i="5"/>
  <c r="J290" i="5" s="1"/>
  <c r="E290" i="5"/>
  <c r="D290" i="5"/>
  <c r="L289" i="5"/>
  <c r="J289" i="5" s="1"/>
  <c r="E289" i="5"/>
  <c r="D289" i="5"/>
  <c r="L288" i="5"/>
  <c r="J288" i="5" s="1"/>
  <c r="E288" i="5"/>
  <c r="D288" i="5"/>
  <c r="L287" i="5"/>
  <c r="J287" i="5" s="1"/>
  <c r="E287" i="5"/>
  <c r="D287" i="5"/>
  <c r="L286" i="5"/>
  <c r="J286" i="5" s="1"/>
  <c r="E286" i="5"/>
  <c r="D286" i="5"/>
  <c r="L285" i="5"/>
  <c r="J285" i="5" s="1"/>
  <c r="E285" i="5"/>
  <c r="D285" i="5"/>
  <c r="L284" i="5"/>
  <c r="J284" i="5" s="1"/>
  <c r="E284" i="5"/>
  <c r="D284" i="5"/>
  <c r="L283" i="5"/>
  <c r="J283" i="5" s="1"/>
  <c r="E283" i="5"/>
  <c r="D283" i="5"/>
  <c r="L282" i="5"/>
  <c r="J282" i="5" s="1"/>
  <c r="E282" i="5"/>
  <c r="D282" i="5"/>
  <c r="L281" i="5"/>
  <c r="J281" i="5" s="1"/>
  <c r="V281" i="5"/>
  <c r="U281" i="5"/>
  <c r="E281" i="5"/>
  <c r="D281" i="5"/>
  <c r="L280" i="5"/>
  <c r="J280" i="5" s="1"/>
  <c r="E280" i="5"/>
  <c r="D280" i="5"/>
  <c r="L279" i="5"/>
  <c r="J279" i="5" s="1"/>
  <c r="E279" i="5"/>
  <c r="D279" i="5"/>
  <c r="L278" i="5"/>
  <c r="J278" i="5" s="1"/>
  <c r="E278" i="5"/>
  <c r="D278" i="5"/>
  <c r="L277" i="5"/>
  <c r="J277" i="5" s="1"/>
  <c r="E277" i="5"/>
  <c r="D277" i="5"/>
  <c r="L276" i="5"/>
  <c r="J276" i="5" s="1"/>
  <c r="E276" i="5"/>
  <c r="D276" i="5"/>
  <c r="L275" i="5"/>
  <c r="J275" i="5" s="1"/>
  <c r="E275" i="5"/>
  <c r="D275" i="5"/>
  <c r="L274" i="5"/>
  <c r="J274" i="5" s="1"/>
  <c r="E274" i="5"/>
  <c r="D274" i="5"/>
  <c r="L273" i="5"/>
  <c r="J273" i="5" s="1"/>
  <c r="E273" i="5"/>
  <c r="D273" i="5"/>
  <c r="L272" i="5"/>
  <c r="J272" i="5" s="1"/>
  <c r="E272" i="5"/>
  <c r="D272" i="5"/>
  <c r="L271" i="5"/>
  <c r="J271" i="5" s="1"/>
  <c r="E271" i="5"/>
  <c r="D271" i="5"/>
  <c r="L270" i="5"/>
  <c r="J270" i="5" s="1"/>
  <c r="E270" i="5"/>
  <c r="D270" i="5"/>
  <c r="L269" i="5"/>
  <c r="J269" i="5" s="1"/>
  <c r="E269" i="5"/>
  <c r="D269" i="5"/>
  <c r="L268" i="5"/>
  <c r="J268" i="5" s="1"/>
  <c r="E268" i="5"/>
  <c r="D268" i="5"/>
  <c r="L267" i="5"/>
  <c r="J267" i="5" s="1"/>
  <c r="E267" i="5"/>
  <c r="D267" i="5"/>
  <c r="L266" i="5"/>
  <c r="J266" i="5" s="1"/>
  <c r="E266" i="5"/>
  <c r="D266" i="5"/>
  <c r="L265" i="5"/>
  <c r="J265" i="5" s="1"/>
  <c r="E265" i="5"/>
  <c r="D265" i="5"/>
  <c r="L264" i="5"/>
  <c r="J264" i="5" s="1"/>
  <c r="E264" i="5"/>
  <c r="D264" i="5"/>
  <c r="L263" i="5"/>
  <c r="J263" i="5" s="1"/>
  <c r="E263" i="5"/>
  <c r="D263" i="5"/>
  <c r="L262" i="5"/>
  <c r="J262" i="5" s="1"/>
  <c r="E262" i="5"/>
  <c r="D262" i="5"/>
  <c r="L261" i="5"/>
  <c r="J261" i="5" s="1"/>
  <c r="E261" i="5"/>
  <c r="D261" i="5"/>
  <c r="L260" i="5"/>
  <c r="J260" i="5" s="1"/>
  <c r="E260" i="5"/>
  <c r="D260" i="5"/>
  <c r="L259" i="5"/>
  <c r="J259" i="5" s="1"/>
  <c r="E259" i="5"/>
  <c r="D259" i="5"/>
  <c r="L258" i="5"/>
  <c r="J258" i="5" s="1"/>
  <c r="E258" i="5"/>
  <c r="D258" i="5"/>
  <c r="L257" i="5"/>
  <c r="J257" i="5" s="1"/>
  <c r="E257" i="5"/>
  <c r="D257" i="5"/>
  <c r="L256" i="5"/>
  <c r="J256" i="5" s="1"/>
  <c r="E256" i="5"/>
  <c r="D256" i="5"/>
  <c r="L255" i="5"/>
  <c r="J255" i="5" s="1"/>
  <c r="E255" i="5"/>
  <c r="D255" i="5"/>
  <c r="L254" i="5"/>
  <c r="J254" i="5" s="1"/>
  <c r="E254" i="5"/>
  <c r="D254" i="5"/>
  <c r="L253" i="5"/>
  <c r="J253" i="5" s="1"/>
  <c r="E253" i="5"/>
  <c r="D253" i="5"/>
  <c r="L252" i="5"/>
  <c r="J252" i="5" s="1"/>
  <c r="E252" i="5"/>
  <c r="D252" i="5"/>
  <c r="L251" i="5"/>
  <c r="J251" i="5" s="1"/>
  <c r="E251" i="5"/>
  <c r="D251" i="5"/>
  <c r="L250" i="5"/>
  <c r="J250" i="5" s="1"/>
  <c r="E250" i="5"/>
  <c r="D250" i="5"/>
  <c r="L249" i="5"/>
  <c r="J249" i="5" s="1"/>
  <c r="E249" i="5"/>
  <c r="D249" i="5"/>
  <c r="L248" i="5"/>
  <c r="J248" i="5" s="1"/>
  <c r="E248" i="5"/>
  <c r="D248" i="5"/>
  <c r="L247" i="5"/>
  <c r="J247" i="5" s="1"/>
  <c r="E247" i="5"/>
  <c r="D247" i="5"/>
  <c r="L246" i="5"/>
  <c r="J246" i="5" s="1"/>
  <c r="E246" i="5"/>
  <c r="D246" i="5"/>
  <c r="L245" i="5"/>
  <c r="J245" i="5" s="1"/>
  <c r="E245" i="5"/>
  <c r="D245" i="5"/>
  <c r="L244" i="5"/>
  <c r="J244" i="5" s="1"/>
  <c r="E244" i="5"/>
  <c r="D244" i="5"/>
  <c r="L243" i="5"/>
  <c r="J243" i="5" s="1"/>
  <c r="E243" i="5"/>
  <c r="D243" i="5"/>
  <c r="L242" i="5"/>
  <c r="J242" i="5" s="1"/>
  <c r="E242" i="5"/>
  <c r="D242" i="5"/>
  <c r="L241" i="5"/>
  <c r="J241" i="5" s="1"/>
  <c r="E241" i="5"/>
  <c r="D241" i="5"/>
  <c r="L240" i="5"/>
  <c r="J240" i="5" s="1"/>
  <c r="E240" i="5"/>
  <c r="D240" i="5"/>
  <c r="L239" i="5"/>
  <c r="J239" i="5" s="1"/>
  <c r="E239" i="5"/>
  <c r="D239" i="5"/>
  <c r="L238" i="5"/>
  <c r="J238" i="5" s="1"/>
  <c r="E238" i="5"/>
  <c r="D238" i="5"/>
  <c r="L237" i="5"/>
  <c r="J237" i="5" s="1"/>
  <c r="E237" i="5"/>
  <c r="D237" i="5"/>
  <c r="L236" i="5"/>
  <c r="J236" i="5" s="1"/>
  <c r="E236" i="5"/>
  <c r="D236" i="5"/>
  <c r="L235" i="5"/>
  <c r="J235" i="5" s="1"/>
  <c r="E235" i="5"/>
  <c r="D235" i="5"/>
  <c r="L234" i="5"/>
  <c r="J234" i="5" s="1"/>
  <c r="E234" i="5"/>
  <c r="D234" i="5"/>
  <c r="L233" i="5"/>
  <c r="J233" i="5" s="1"/>
  <c r="E233" i="5"/>
  <c r="D233" i="5"/>
  <c r="L232" i="5"/>
  <c r="J232" i="5" s="1"/>
  <c r="E232" i="5"/>
  <c r="D232" i="5"/>
  <c r="L231" i="5"/>
  <c r="J231" i="5" s="1"/>
  <c r="E231" i="5"/>
  <c r="D231" i="5"/>
  <c r="L230" i="5"/>
  <c r="J230" i="5" s="1"/>
  <c r="E230" i="5"/>
  <c r="D230" i="5"/>
  <c r="L229" i="5"/>
  <c r="J229" i="5" s="1"/>
  <c r="E229" i="5"/>
  <c r="D229" i="5"/>
  <c r="L228" i="5"/>
  <c r="J228" i="5" s="1"/>
  <c r="E228" i="5"/>
  <c r="D228" i="5"/>
  <c r="L227" i="5"/>
  <c r="J227" i="5" s="1"/>
  <c r="E227" i="5"/>
  <c r="D227" i="5"/>
  <c r="L226" i="5"/>
  <c r="J226" i="5" s="1"/>
  <c r="E226" i="5"/>
  <c r="D226" i="5"/>
  <c r="L225" i="5"/>
  <c r="J225" i="5" s="1"/>
  <c r="E225" i="5"/>
  <c r="D225" i="5"/>
  <c r="AC224" i="5"/>
  <c r="AC349" i="5" s="1"/>
  <c r="L224" i="5"/>
  <c r="J224" i="5" s="1"/>
  <c r="E224" i="5"/>
  <c r="D224" i="5"/>
  <c r="L223" i="5"/>
  <c r="J223" i="5" s="1"/>
  <c r="E223" i="5"/>
  <c r="D223" i="5"/>
  <c r="L222" i="5"/>
  <c r="J222" i="5" s="1"/>
  <c r="E222" i="5"/>
  <c r="D222" i="5"/>
  <c r="L221" i="5"/>
  <c r="J221" i="5" s="1"/>
  <c r="E221" i="5"/>
  <c r="D221" i="5"/>
  <c r="L220" i="5"/>
  <c r="J220" i="5" s="1"/>
  <c r="E220" i="5"/>
  <c r="D220" i="5"/>
  <c r="L219" i="5"/>
  <c r="J219" i="5" s="1"/>
  <c r="E219" i="5"/>
  <c r="D219" i="5"/>
  <c r="L218" i="5"/>
  <c r="J218" i="5" s="1"/>
  <c r="E218" i="5"/>
  <c r="D218" i="5"/>
  <c r="L217" i="5"/>
  <c r="J217" i="5" s="1"/>
  <c r="E217" i="5"/>
  <c r="D217" i="5"/>
  <c r="L216" i="5"/>
  <c r="J216" i="5" s="1"/>
  <c r="E216" i="5"/>
  <c r="D216" i="5"/>
  <c r="L215" i="5"/>
  <c r="J215" i="5" s="1"/>
  <c r="E215" i="5"/>
  <c r="D215" i="5"/>
  <c r="L214" i="5"/>
  <c r="J214" i="5" s="1"/>
  <c r="E214" i="5"/>
  <c r="D214" i="5"/>
  <c r="L213" i="5"/>
  <c r="J213" i="5" s="1"/>
  <c r="E213" i="5"/>
  <c r="D213" i="5"/>
  <c r="L212" i="5"/>
  <c r="J212" i="5" s="1"/>
  <c r="E212" i="5"/>
  <c r="D212" i="5"/>
  <c r="L211" i="5"/>
  <c r="J211" i="5" s="1"/>
  <c r="E211" i="5"/>
  <c r="D211" i="5"/>
  <c r="L210" i="5"/>
  <c r="J210" i="5" s="1"/>
  <c r="E210" i="5"/>
  <c r="D210" i="5"/>
  <c r="L209" i="5"/>
  <c r="J209" i="5" s="1"/>
  <c r="E209" i="5"/>
  <c r="D209" i="5"/>
  <c r="L208" i="5"/>
  <c r="J208" i="5" s="1"/>
  <c r="E208" i="5"/>
  <c r="D208" i="5"/>
  <c r="L207" i="5"/>
  <c r="J207" i="5" s="1"/>
  <c r="E207" i="5"/>
  <c r="D207" i="5"/>
  <c r="L206" i="5"/>
  <c r="J206" i="5" s="1"/>
  <c r="E206" i="5"/>
  <c r="D206" i="5"/>
  <c r="L205" i="5"/>
  <c r="J205" i="5" s="1"/>
  <c r="E205" i="5"/>
  <c r="D205" i="5"/>
  <c r="L204" i="5"/>
  <c r="J204" i="5" s="1"/>
  <c r="E204" i="5"/>
  <c r="D204" i="5"/>
  <c r="L203" i="5"/>
  <c r="J203" i="5" s="1"/>
  <c r="E203" i="5"/>
  <c r="D203" i="5"/>
  <c r="L202" i="5"/>
  <c r="J202" i="5" s="1"/>
  <c r="E202" i="5"/>
  <c r="D202" i="5"/>
  <c r="L201" i="5"/>
  <c r="J201" i="5" s="1"/>
  <c r="E201" i="5"/>
  <c r="D201" i="5"/>
  <c r="L200" i="5"/>
  <c r="J200" i="5" s="1"/>
  <c r="E200" i="5"/>
  <c r="D200" i="5"/>
  <c r="L199" i="5"/>
  <c r="J199" i="5" s="1"/>
  <c r="E199" i="5"/>
  <c r="D199" i="5"/>
  <c r="L198" i="5"/>
  <c r="J198" i="5" s="1"/>
  <c r="E198" i="5"/>
  <c r="D198" i="5"/>
  <c r="L197" i="5"/>
  <c r="J197" i="5" s="1"/>
  <c r="E197" i="5"/>
  <c r="D197" i="5"/>
  <c r="L196" i="5"/>
  <c r="J196" i="5" s="1"/>
  <c r="E196" i="5"/>
  <c r="D196" i="5"/>
  <c r="L195" i="5"/>
  <c r="J195" i="5" s="1"/>
  <c r="E195" i="5"/>
  <c r="D195" i="5"/>
  <c r="L194" i="5"/>
  <c r="J194" i="5" s="1"/>
  <c r="E194" i="5"/>
  <c r="D194" i="5"/>
  <c r="L193" i="5"/>
  <c r="J193" i="5" s="1"/>
  <c r="E193" i="5"/>
  <c r="D193" i="5"/>
  <c r="L192" i="5"/>
  <c r="J192" i="5" s="1"/>
  <c r="E192" i="5"/>
  <c r="D192" i="5"/>
  <c r="L191" i="5"/>
  <c r="J191" i="5" s="1"/>
  <c r="E191" i="5"/>
  <c r="D191" i="5"/>
  <c r="L190" i="5"/>
  <c r="J190" i="5" s="1"/>
  <c r="E190" i="5"/>
  <c r="D190" i="5"/>
  <c r="L189" i="5"/>
  <c r="J189" i="5" s="1"/>
  <c r="E189" i="5"/>
  <c r="D189" i="5"/>
  <c r="L188" i="5"/>
  <c r="J188" i="5" s="1"/>
  <c r="E188" i="5"/>
  <c r="D188" i="5"/>
  <c r="L187" i="5"/>
  <c r="J187" i="5" s="1"/>
  <c r="E187" i="5"/>
  <c r="D187" i="5"/>
  <c r="L186" i="5"/>
  <c r="J186" i="5" s="1"/>
  <c r="E186" i="5"/>
  <c r="D186" i="5"/>
  <c r="L185" i="5"/>
  <c r="J185" i="5" s="1"/>
  <c r="E185" i="5"/>
  <c r="D185" i="5"/>
  <c r="L184" i="5"/>
  <c r="J184" i="5" s="1"/>
  <c r="E184" i="5"/>
  <c r="D184" i="5"/>
  <c r="L183" i="5"/>
  <c r="J183" i="5" s="1"/>
  <c r="E183" i="5"/>
  <c r="D183" i="5"/>
  <c r="L182" i="5"/>
  <c r="J182" i="5" s="1"/>
  <c r="E182" i="5"/>
  <c r="D182" i="5"/>
  <c r="L181" i="5"/>
  <c r="J181" i="5" s="1"/>
  <c r="E181" i="5"/>
  <c r="D181" i="5"/>
  <c r="L180" i="5"/>
  <c r="J180" i="5" s="1"/>
  <c r="E180" i="5"/>
  <c r="D180" i="5"/>
  <c r="L179" i="5"/>
  <c r="J179" i="5" s="1"/>
  <c r="E179" i="5"/>
  <c r="D179" i="5"/>
  <c r="L178" i="5"/>
  <c r="J178" i="5" s="1"/>
  <c r="E178" i="5"/>
  <c r="D178" i="5"/>
  <c r="L177" i="5"/>
  <c r="J177" i="5" s="1"/>
  <c r="E177" i="5"/>
  <c r="D177" i="5"/>
  <c r="L176" i="5"/>
  <c r="J176" i="5" s="1"/>
  <c r="E176" i="5"/>
  <c r="D176" i="5"/>
  <c r="L175" i="5"/>
  <c r="J175" i="5" s="1"/>
  <c r="E175" i="5"/>
  <c r="D175" i="5"/>
  <c r="L174" i="5"/>
  <c r="J174" i="5" s="1"/>
  <c r="E174" i="5"/>
  <c r="D174" i="5"/>
  <c r="L173" i="5"/>
  <c r="J173" i="5" s="1"/>
  <c r="E173" i="5"/>
  <c r="D173" i="5"/>
  <c r="L172" i="5"/>
  <c r="J172" i="5" s="1"/>
  <c r="E172" i="5"/>
  <c r="D172" i="5"/>
  <c r="L171" i="5"/>
  <c r="J171" i="5" s="1"/>
  <c r="E171" i="5"/>
  <c r="D171" i="5"/>
  <c r="L170" i="5"/>
  <c r="J170" i="5" s="1"/>
  <c r="E170" i="5"/>
  <c r="D170" i="5"/>
  <c r="L169" i="5"/>
  <c r="J169" i="5" s="1"/>
  <c r="E169" i="5"/>
  <c r="D169" i="5"/>
  <c r="L168" i="5"/>
  <c r="J168" i="5" s="1"/>
  <c r="E168" i="5"/>
  <c r="D168" i="5"/>
  <c r="L167" i="5"/>
  <c r="J167" i="5" s="1"/>
  <c r="E167" i="5"/>
  <c r="D167" i="5"/>
  <c r="L166" i="5"/>
  <c r="J166" i="5" s="1"/>
  <c r="E166" i="5"/>
  <c r="D166" i="5"/>
  <c r="L165" i="5"/>
  <c r="J165" i="5" s="1"/>
  <c r="E165" i="5"/>
  <c r="D165" i="5"/>
  <c r="L164" i="5"/>
  <c r="J164" i="5" s="1"/>
  <c r="E164" i="5"/>
  <c r="D164" i="5"/>
  <c r="L163" i="5"/>
  <c r="J163" i="5" s="1"/>
  <c r="E163" i="5"/>
  <c r="D163" i="5"/>
  <c r="L162" i="5"/>
  <c r="J162" i="5" s="1"/>
  <c r="E162" i="5"/>
  <c r="D162" i="5"/>
  <c r="L161" i="5"/>
  <c r="J161" i="5" s="1"/>
  <c r="E161" i="5"/>
  <c r="D161" i="5"/>
  <c r="L160" i="5"/>
  <c r="J160" i="5" s="1"/>
  <c r="E160" i="5"/>
  <c r="D160" i="5"/>
  <c r="L159" i="5"/>
  <c r="J159" i="5" s="1"/>
  <c r="E159" i="5"/>
  <c r="D159" i="5"/>
  <c r="L158" i="5"/>
  <c r="J158" i="5" s="1"/>
  <c r="E158" i="5"/>
  <c r="D158" i="5"/>
  <c r="L157" i="5"/>
  <c r="J157" i="5" s="1"/>
  <c r="E157" i="5"/>
  <c r="D157" i="5"/>
  <c r="L156" i="5"/>
  <c r="J156" i="5" s="1"/>
  <c r="E156" i="5"/>
  <c r="D156" i="5"/>
  <c r="L155" i="5"/>
  <c r="J155" i="5" s="1"/>
  <c r="E155" i="5"/>
  <c r="D155" i="5"/>
  <c r="L154" i="5"/>
  <c r="J154" i="5" s="1"/>
  <c r="E154" i="5"/>
  <c r="D154" i="5"/>
  <c r="L153" i="5"/>
  <c r="J153" i="5" s="1"/>
  <c r="E153" i="5"/>
  <c r="D153" i="5"/>
  <c r="L152" i="5"/>
  <c r="J152" i="5" s="1"/>
  <c r="E152" i="5"/>
  <c r="D152" i="5"/>
  <c r="L151" i="5"/>
  <c r="J151" i="5" s="1"/>
  <c r="E151" i="5"/>
  <c r="D151" i="5"/>
  <c r="L150" i="5"/>
  <c r="J150" i="5" s="1"/>
  <c r="E150" i="5"/>
  <c r="D150" i="5"/>
  <c r="L149" i="5"/>
  <c r="J149" i="5" s="1"/>
  <c r="E149" i="5"/>
  <c r="D149" i="5"/>
  <c r="L148" i="5"/>
  <c r="J148" i="5" s="1"/>
  <c r="E148" i="5"/>
  <c r="D148" i="5"/>
  <c r="L147" i="5"/>
  <c r="J147" i="5" s="1"/>
  <c r="E147" i="5"/>
  <c r="D147" i="5"/>
  <c r="L146" i="5"/>
  <c r="J146" i="5" s="1"/>
  <c r="E146" i="5"/>
  <c r="D146" i="5"/>
  <c r="L145" i="5"/>
  <c r="J145" i="5" s="1"/>
  <c r="E145" i="5"/>
  <c r="D145" i="5"/>
  <c r="L144" i="5"/>
  <c r="J144" i="5" s="1"/>
  <c r="E144" i="5"/>
  <c r="D144" i="5"/>
  <c r="L143" i="5"/>
  <c r="J143" i="5" s="1"/>
  <c r="E143" i="5"/>
  <c r="D143" i="5"/>
  <c r="L142" i="5"/>
  <c r="J142" i="5" s="1"/>
  <c r="E142" i="5"/>
  <c r="D142" i="5"/>
  <c r="L141" i="5"/>
  <c r="J141" i="5" s="1"/>
  <c r="E141" i="5"/>
  <c r="D141" i="5"/>
  <c r="L140" i="5"/>
  <c r="J140" i="5" s="1"/>
  <c r="E140" i="5"/>
  <c r="D140" i="5"/>
  <c r="L139" i="5"/>
  <c r="J139" i="5" s="1"/>
  <c r="E139" i="5"/>
  <c r="D139" i="5"/>
  <c r="L138" i="5"/>
  <c r="J138" i="5" s="1"/>
  <c r="E138" i="5"/>
  <c r="D138" i="5"/>
  <c r="L137" i="5"/>
  <c r="J137" i="5" s="1"/>
  <c r="E137" i="5"/>
  <c r="D137" i="5"/>
  <c r="L136" i="5"/>
  <c r="J136" i="5" s="1"/>
  <c r="E136" i="5"/>
  <c r="D136" i="5"/>
  <c r="L135" i="5"/>
  <c r="J135" i="5" s="1"/>
  <c r="E135" i="5"/>
  <c r="D135" i="5"/>
  <c r="L134" i="5"/>
  <c r="J134" i="5" s="1"/>
  <c r="E134" i="5"/>
  <c r="D134" i="5"/>
  <c r="L133" i="5"/>
  <c r="J133" i="5" s="1"/>
  <c r="E133" i="5"/>
  <c r="D133" i="5"/>
  <c r="L132" i="5"/>
  <c r="J132" i="5" s="1"/>
  <c r="E132" i="5"/>
  <c r="D132" i="5"/>
  <c r="L131" i="5"/>
  <c r="J131" i="5" s="1"/>
  <c r="E131" i="5"/>
  <c r="D131" i="5"/>
  <c r="L130" i="5"/>
  <c r="J130" i="5" s="1"/>
  <c r="E130" i="5"/>
  <c r="D130" i="5"/>
  <c r="L129" i="5"/>
  <c r="J129" i="5" s="1"/>
  <c r="E129" i="5"/>
  <c r="D129" i="5"/>
  <c r="L128" i="5"/>
  <c r="J128" i="5" s="1"/>
  <c r="E128" i="5"/>
  <c r="D128" i="5"/>
  <c r="L127" i="5"/>
  <c r="J127" i="5" s="1"/>
  <c r="E127" i="5"/>
  <c r="D127" i="5"/>
  <c r="L126" i="5"/>
  <c r="J126" i="5" s="1"/>
  <c r="E126" i="5"/>
  <c r="D126" i="5"/>
  <c r="L125" i="5"/>
  <c r="J125" i="5" s="1"/>
  <c r="E125" i="5"/>
  <c r="D125" i="5"/>
  <c r="L124" i="5"/>
  <c r="J124" i="5" s="1"/>
  <c r="E124" i="5"/>
  <c r="D124" i="5"/>
  <c r="L123" i="5"/>
  <c r="J123" i="5" s="1"/>
  <c r="E123" i="5"/>
  <c r="D123" i="5"/>
  <c r="L122" i="5"/>
  <c r="J122" i="5" s="1"/>
  <c r="E122" i="5"/>
  <c r="D122" i="5"/>
  <c r="L121" i="5"/>
  <c r="J121" i="5" s="1"/>
  <c r="E121" i="5"/>
  <c r="D121" i="5"/>
  <c r="L120" i="5"/>
  <c r="J120" i="5" s="1"/>
  <c r="E120" i="5"/>
  <c r="D120" i="5"/>
  <c r="L119" i="5"/>
  <c r="J119" i="5" s="1"/>
  <c r="E119" i="5"/>
  <c r="D119" i="5"/>
  <c r="L118" i="5"/>
  <c r="J118" i="5" s="1"/>
  <c r="E118" i="5"/>
  <c r="D118" i="5"/>
  <c r="L117" i="5"/>
  <c r="J117" i="5" s="1"/>
  <c r="E117" i="5"/>
  <c r="D117" i="5"/>
  <c r="L116" i="5"/>
  <c r="J116" i="5" s="1"/>
  <c r="E116" i="5"/>
  <c r="D116" i="5"/>
  <c r="L115" i="5"/>
  <c r="J115" i="5" s="1"/>
  <c r="E115" i="5"/>
  <c r="D115" i="5"/>
  <c r="L114" i="5"/>
  <c r="J114" i="5" s="1"/>
  <c r="E114" i="5"/>
  <c r="D114" i="5"/>
  <c r="L113" i="5"/>
  <c r="J113" i="5" s="1"/>
  <c r="E113" i="5"/>
  <c r="D113" i="5"/>
  <c r="L112" i="5"/>
  <c r="J112" i="5" s="1"/>
  <c r="E112" i="5"/>
  <c r="D112" i="5"/>
  <c r="L111" i="5"/>
  <c r="J111" i="5" s="1"/>
  <c r="E111" i="5"/>
  <c r="D111" i="5"/>
  <c r="L110" i="5"/>
  <c r="J110" i="5" s="1"/>
  <c r="E110" i="5"/>
  <c r="D110" i="5"/>
  <c r="L109" i="5"/>
  <c r="J109" i="5" s="1"/>
  <c r="E109" i="5"/>
  <c r="D109" i="5"/>
  <c r="L108" i="5"/>
  <c r="J108" i="5" s="1"/>
  <c r="E108" i="5"/>
  <c r="D108" i="5"/>
  <c r="L107" i="5"/>
  <c r="J107" i="5" s="1"/>
  <c r="E107" i="5"/>
  <c r="D107" i="5"/>
  <c r="L106" i="5"/>
  <c r="J106" i="5" s="1"/>
  <c r="E106" i="5"/>
  <c r="D106" i="5"/>
  <c r="L105" i="5"/>
  <c r="J105" i="5" s="1"/>
  <c r="E105" i="5"/>
  <c r="D105" i="5"/>
  <c r="L104" i="5"/>
  <c r="J104" i="5" s="1"/>
  <c r="E104" i="5"/>
  <c r="D104" i="5"/>
  <c r="L103" i="5"/>
  <c r="J103" i="5" s="1"/>
  <c r="E103" i="5"/>
  <c r="D103" i="5"/>
  <c r="L102" i="5"/>
  <c r="J102" i="5" s="1"/>
  <c r="E102" i="5"/>
  <c r="D102" i="5"/>
  <c r="L101" i="5"/>
  <c r="J101" i="5" s="1"/>
  <c r="E101" i="5"/>
  <c r="D101" i="5"/>
  <c r="L100" i="5"/>
  <c r="J100" i="5" s="1"/>
  <c r="E100" i="5"/>
  <c r="D100" i="5"/>
  <c r="L99" i="5"/>
  <c r="J99" i="5" s="1"/>
  <c r="E99" i="5"/>
  <c r="D99" i="5"/>
  <c r="L98" i="5"/>
  <c r="J98" i="5" s="1"/>
  <c r="E98" i="5"/>
  <c r="D98" i="5"/>
  <c r="L97" i="5"/>
  <c r="J97" i="5" s="1"/>
  <c r="E97" i="5"/>
  <c r="D97" i="5"/>
  <c r="L96" i="5"/>
  <c r="J96" i="5" s="1"/>
  <c r="E96" i="5"/>
  <c r="D96" i="5"/>
  <c r="L95" i="5"/>
  <c r="J95" i="5" s="1"/>
  <c r="D95" i="5"/>
  <c r="L94" i="5"/>
  <c r="J94" i="5" s="1"/>
  <c r="E94" i="5"/>
  <c r="D94" i="5"/>
  <c r="L93" i="5"/>
  <c r="J93" i="5" s="1"/>
  <c r="D93" i="5"/>
  <c r="L92" i="5"/>
  <c r="J92" i="5" s="1"/>
  <c r="E92" i="5"/>
  <c r="D92" i="5"/>
  <c r="L91" i="5"/>
  <c r="J91" i="5" s="1"/>
  <c r="E91" i="5"/>
  <c r="D91" i="5"/>
  <c r="L90" i="5"/>
  <c r="J90" i="5" s="1"/>
  <c r="E90" i="5"/>
  <c r="D90" i="5"/>
  <c r="L89" i="5"/>
  <c r="J89" i="5" s="1"/>
  <c r="E89" i="5"/>
  <c r="D89" i="5"/>
  <c r="L88" i="5"/>
  <c r="J88" i="5" s="1"/>
  <c r="E88" i="5"/>
  <c r="D88" i="5"/>
  <c r="L87" i="5"/>
  <c r="J87" i="5" s="1"/>
  <c r="E87" i="5"/>
  <c r="D87" i="5"/>
  <c r="L86" i="5"/>
  <c r="J86" i="5" s="1"/>
  <c r="E86" i="5"/>
  <c r="D86" i="5"/>
  <c r="L85" i="5"/>
  <c r="J85" i="5" s="1"/>
  <c r="E85" i="5"/>
  <c r="D85" i="5"/>
  <c r="L84" i="5"/>
  <c r="J84" i="5" s="1"/>
  <c r="E84" i="5"/>
  <c r="D84" i="5"/>
  <c r="L83" i="5"/>
  <c r="J83" i="5" s="1"/>
  <c r="E83" i="5"/>
  <c r="D83" i="5"/>
  <c r="L82" i="5"/>
  <c r="J82" i="5" s="1"/>
  <c r="E82" i="5"/>
  <c r="D82" i="5"/>
  <c r="L81" i="5"/>
  <c r="J81" i="5" s="1"/>
  <c r="E81" i="5"/>
  <c r="D81" i="5"/>
  <c r="L80" i="5"/>
  <c r="J80" i="5" s="1"/>
  <c r="E80" i="5"/>
  <c r="D80" i="5"/>
  <c r="L79" i="5"/>
  <c r="J79" i="5" s="1"/>
  <c r="E79" i="5"/>
  <c r="D79" i="5"/>
  <c r="L78" i="5"/>
  <c r="J78" i="5" s="1"/>
  <c r="E78" i="5"/>
  <c r="D78" i="5"/>
  <c r="L77" i="5"/>
  <c r="J77" i="5" s="1"/>
  <c r="E77" i="5"/>
  <c r="D77" i="5"/>
  <c r="L76" i="5"/>
  <c r="J76" i="5" s="1"/>
  <c r="E76" i="5"/>
  <c r="D76" i="5"/>
  <c r="L75" i="5"/>
  <c r="J75" i="5" s="1"/>
  <c r="E75" i="5"/>
  <c r="D75" i="5"/>
  <c r="L74" i="5"/>
  <c r="J74" i="5" s="1"/>
  <c r="T74" i="5"/>
  <c r="S74" i="5"/>
  <c r="E74" i="5"/>
  <c r="D74" i="5"/>
  <c r="L73" i="5"/>
  <c r="J73" i="5" s="1"/>
  <c r="E73" i="5"/>
  <c r="D73" i="5"/>
  <c r="L72" i="5"/>
  <c r="J72" i="5" s="1"/>
  <c r="E72" i="5"/>
  <c r="D72" i="5"/>
  <c r="L71" i="5"/>
  <c r="J71" i="5" s="1"/>
  <c r="E71" i="5"/>
  <c r="D71" i="5"/>
  <c r="L70" i="5"/>
  <c r="J70" i="5" s="1"/>
  <c r="E70" i="5"/>
  <c r="D70" i="5"/>
  <c r="L69" i="5"/>
  <c r="J69" i="5" s="1"/>
  <c r="E69" i="5"/>
  <c r="D69" i="5"/>
  <c r="L68" i="5"/>
  <c r="J68" i="5" s="1"/>
  <c r="E68" i="5"/>
  <c r="D68" i="5"/>
  <c r="L67" i="5"/>
  <c r="J67" i="5" s="1"/>
  <c r="E67" i="5"/>
  <c r="D67" i="5"/>
  <c r="L66" i="5"/>
  <c r="J66" i="5" s="1"/>
  <c r="E66" i="5"/>
  <c r="D66" i="5"/>
  <c r="L65" i="5"/>
  <c r="J65" i="5" s="1"/>
  <c r="E65" i="5"/>
  <c r="D65" i="5"/>
  <c r="L64" i="5"/>
  <c r="J64" i="5" s="1"/>
  <c r="E64" i="5"/>
  <c r="D64" i="5"/>
  <c r="L63" i="5"/>
  <c r="J63" i="5" s="1"/>
  <c r="E63" i="5"/>
  <c r="D63" i="5"/>
  <c r="L62" i="5"/>
  <c r="J62" i="5" s="1"/>
  <c r="E62" i="5"/>
  <c r="D62" i="5"/>
  <c r="L61" i="5"/>
  <c r="J61" i="5" s="1"/>
  <c r="E61" i="5"/>
  <c r="D61" i="5"/>
  <c r="L60" i="5"/>
  <c r="J60" i="5" s="1"/>
  <c r="E60" i="5"/>
  <c r="D60" i="5"/>
  <c r="L59" i="5"/>
  <c r="J59" i="5" s="1"/>
  <c r="E59" i="5"/>
  <c r="D59" i="5"/>
  <c r="L58" i="5"/>
  <c r="J58" i="5" s="1"/>
  <c r="E58" i="5"/>
  <c r="D58" i="5"/>
  <c r="L57" i="5"/>
  <c r="J57" i="5" s="1"/>
  <c r="E57" i="5"/>
  <c r="D57" i="5"/>
  <c r="L56" i="5"/>
  <c r="J56" i="5" s="1"/>
  <c r="E56" i="5"/>
  <c r="D56" i="5"/>
  <c r="L55" i="5"/>
  <c r="J55" i="5" s="1"/>
  <c r="E55" i="5"/>
  <c r="D55" i="5"/>
  <c r="L54" i="5"/>
  <c r="J54" i="5" s="1"/>
  <c r="E54" i="5"/>
  <c r="D54" i="5"/>
  <c r="L53" i="5"/>
  <c r="J53" i="5" s="1"/>
  <c r="E53" i="5"/>
  <c r="D53" i="5"/>
  <c r="L52" i="5"/>
  <c r="J52" i="5" s="1"/>
  <c r="E52" i="5"/>
  <c r="D52" i="5"/>
  <c r="L51" i="5"/>
  <c r="J51" i="5" s="1"/>
  <c r="E51" i="5"/>
  <c r="D51" i="5"/>
  <c r="L50" i="5"/>
  <c r="J50" i="5" s="1"/>
  <c r="E50" i="5"/>
  <c r="D50" i="5"/>
  <c r="L49" i="5"/>
  <c r="J49" i="5" s="1"/>
  <c r="E49" i="5"/>
  <c r="D49" i="5"/>
  <c r="L48" i="5"/>
  <c r="J48" i="5" s="1"/>
  <c r="E48" i="5"/>
  <c r="D48" i="5"/>
  <c r="L47" i="5"/>
  <c r="J47" i="5" s="1"/>
  <c r="E47" i="5"/>
  <c r="D47" i="5"/>
  <c r="L46" i="5"/>
  <c r="J46" i="5" s="1"/>
  <c r="E46" i="5"/>
  <c r="D46" i="5"/>
  <c r="AG45" i="5"/>
  <c r="L45" i="5"/>
  <c r="J45" i="5" s="1"/>
  <c r="S45" i="5"/>
  <c r="E45" i="5"/>
  <c r="D45" i="5"/>
  <c r="L44" i="5"/>
  <c r="J44" i="5" s="1"/>
  <c r="E44" i="5"/>
  <c r="D44" i="5"/>
  <c r="L43" i="5"/>
  <c r="J43" i="5" s="1"/>
  <c r="E43" i="5"/>
  <c r="D43" i="5"/>
  <c r="L42" i="5"/>
  <c r="J42" i="5" s="1"/>
  <c r="E42" i="5"/>
  <c r="D42" i="5"/>
  <c r="L41" i="5"/>
  <c r="J41" i="5" s="1"/>
  <c r="E41" i="5"/>
  <c r="D41" i="5"/>
  <c r="L40" i="5"/>
  <c r="J40" i="5" s="1"/>
  <c r="E40" i="5"/>
  <c r="D40" i="5"/>
  <c r="L39" i="5"/>
  <c r="J39" i="5" s="1"/>
  <c r="E39" i="5"/>
  <c r="D39" i="5"/>
  <c r="L38" i="5"/>
  <c r="J38" i="5" s="1"/>
  <c r="E38" i="5"/>
  <c r="D38" i="5"/>
  <c r="AG37" i="5"/>
  <c r="L37" i="5"/>
  <c r="J37" i="5" s="1"/>
  <c r="E37" i="5"/>
  <c r="D37" i="5"/>
  <c r="AG33" i="5"/>
  <c r="L33" i="5"/>
  <c r="J33" i="5" s="1"/>
  <c r="E33" i="5"/>
  <c r="D33" i="5"/>
  <c r="L32" i="5"/>
  <c r="J32" i="5" s="1"/>
  <c r="E32" i="5"/>
  <c r="D32" i="5"/>
  <c r="L31" i="5"/>
  <c r="J31" i="5" s="1"/>
  <c r="E31" i="5"/>
  <c r="D31" i="5"/>
  <c r="L30" i="5"/>
  <c r="J30" i="5" s="1"/>
  <c r="E30" i="5"/>
  <c r="D30" i="5"/>
  <c r="AG29" i="5"/>
  <c r="L29" i="5"/>
  <c r="J29" i="5" s="1"/>
  <c r="E29" i="5"/>
  <c r="D29" i="5"/>
  <c r="L28" i="5"/>
  <c r="J28" i="5" s="1"/>
  <c r="E28" i="5"/>
  <c r="D28" i="5"/>
  <c r="L27" i="5"/>
  <c r="J27" i="5" s="1"/>
  <c r="E27" i="5"/>
  <c r="D27" i="5"/>
  <c r="L26" i="5"/>
  <c r="J26" i="5" s="1"/>
  <c r="E26" i="5"/>
  <c r="D26" i="5"/>
  <c r="AG25" i="5"/>
  <c r="L25" i="5"/>
  <c r="J25" i="5" s="1"/>
  <c r="T25" i="5"/>
  <c r="E25" i="5"/>
  <c r="D25" i="5"/>
  <c r="AG24" i="5"/>
  <c r="L24" i="5"/>
  <c r="J24" i="5" s="1"/>
  <c r="E24" i="5"/>
  <c r="D24" i="5"/>
  <c r="AG23" i="5"/>
  <c r="L23" i="5"/>
  <c r="J23" i="5" s="1"/>
  <c r="E23" i="5"/>
  <c r="D23" i="5"/>
  <c r="L22" i="5"/>
  <c r="J22" i="5" s="1"/>
  <c r="E22" i="5"/>
  <c r="D22" i="5"/>
  <c r="L21" i="5"/>
  <c r="J21" i="5" s="1"/>
  <c r="E21" i="5"/>
  <c r="D21" i="5"/>
  <c r="L20" i="5"/>
  <c r="J20" i="5" s="1"/>
  <c r="E20" i="5"/>
  <c r="D20" i="5"/>
  <c r="AG19" i="5"/>
  <c r="L19" i="5"/>
  <c r="J19" i="5" s="1"/>
  <c r="E19" i="5"/>
  <c r="D19" i="5"/>
  <c r="L18" i="5"/>
  <c r="J18" i="5" s="1"/>
  <c r="E18" i="5"/>
  <c r="D18" i="5"/>
  <c r="AG17" i="5"/>
  <c r="L17" i="5"/>
  <c r="V17" i="5"/>
  <c r="U17" i="5"/>
  <c r="S17" i="5"/>
  <c r="E17" i="5"/>
  <c r="D17" i="5"/>
  <c r="L16" i="5"/>
  <c r="E16" i="5"/>
  <c r="D16" i="5"/>
  <c r="L15" i="5"/>
  <c r="E15" i="5"/>
  <c r="D15" i="5"/>
  <c r="L14" i="5"/>
  <c r="E14" i="5"/>
  <c r="D14" i="5"/>
  <c r="L13" i="5"/>
  <c r="E13" i="5"/>
  <c r="D13" i="5"/>
  <c r="AG12" i="5"/>
  <c r="L12" i="5"/>
  <c r="E12" i="5"/>
  <c r="D12" i="5"/>
  <c r="L11" i="5"/>
  <c r="E11" i="5"/>
  <c r="D11" i="5"/>
  <c r="L10" i="5"/>
  <c r="E10" i="5"/>
  <c r="D10" i="5"/>
  <c r="L9" i="5"/>
  <c r="E9" i="5"/>
  <c r="D9" i="5"/>
  <c r="AG8" i="5"/>
  <c r="L8" i="5"/>
  <c r="T8" i="5"/>
  <c r="E8" i="5"/>
  <c r="D8" i="5"/>
  <c r="L7" i="5"/>
  <c r="J7" i="5" s="1"/>
  <c r="E7" i="5"/>
  <c r="D7" i="5"/>
  <c r="L6" i="5"/>
  <c r="J6" i="5" s="1"/>
  <c r="E6" i="5"/>
  <c r="D6" i="5"/>
  <c r="L5" i="5"/>
  <c r="J5" i="5" s="1"/>
  <c r="E5" i="5"/>
  <c r="D5" i="5"/>
  <c r="L4" i="5"/>
  <c r="U4" i="5"/>
  <c r="T4" i="5"/>
  <c r="E4" i="5"/>
  <c r="D4" i="5"/>
  <c r="AU92" i="4"/>
  <c r="AV92" i="4"/>
  <c r="AT92" i="4"/>
  <c r="J4" i="5" l="1"/>
  <c r="O11" i="5"/>
  <c r="N17" i="5"/>
  <c r="N9" i="5"/>
  <c r="N10" i="5"/>
  <c r="O10" i="5"/>
  <c r="N16" i="5"/>
  <c r="N8" i="5"/>
  <c r="O4" i="5"/>
  <c r="O17" i="5"/>
  <c r="O9" i="5"/>
  <c r="N15" i="5"/>
  <c r="N7" i="5"/>
  <c r="O16" i="5"/>
  <c r="O8" i="5"/>
  <c r="N14" i="5"/>
  <c r="N6" i="5"/>
  <c r="O15" i="5"/>
  <c r="O7" i="5"/>
  <c r="N13" i="5"/>
  <c r="N5" i="5"/>
  <c r="O14" i="5"/>
  <c r="O6" i="5"/>
  <c r="N12" i="5"/>
  <c r="N4" i="5"/>
  <c r="O13" i="5"/>
  <c r="O5" i="5"/>
  <c r="N11" i="5"/>
  <c r="O12" i="5"/>
  <c r="P17" i="5"/>
  <c r="P5" i="5"/>
  <c r="P16" i="5"/>
  <c r="P15" i="5"/>
  <c r="P14" i="5"/>
  <c r="P13" i="5"/>
  <c r="P11" i="5"/>
  <c r="P12" i="5"/>
  <c r="P10" i="5"/>
  <c r="P9" i="5"/>
  <c r="P6" i="5"/>
  <c r="P8" i="5"/>
  <c r="P7" i="5"/>
  <c r="P4" i="5"/>
  <c r="J15" i="5"/>
  <c r="J8" i="5"/>
  <c r="J12" i="5"/>
  <c r="J16" i="5"/>
  <c r="J9" i="5"/>
  <c r="J13" i="5"/>
  <c r="J11" i="5"/>
  <c r="J10" i="5"/>
  <c r="J14" i="5"/>
  <c r="J17" i="5"/>
  <c r="K24" i="6"/>
  <c r="I24" i="6"/>
  <c r="K41" i="6"/>
  <c r="I41" i="6"/>
  <c r="K49" i="6"/>
  <c r="I49" i="6"/>
  <c r="K57" i="6"/>
  <c r="I57" i="6"/>
  <c r="K7" i="6"/>
  <c r="I7" i="6"/>
  <c r="K20" i="6"/>
  <c r="I20" i="6"/>
  <c r="K44" i="6"/>
  <c r="I44" i="6"/>
  <c r="K52" i="6"/>
  <c r="I52" i="6"/>
  <c r="K60" i="6"/>
  <c r="I60" i="6"/>
  <c r="K92" i="6"/>
  <c r="I92" i="6"/>
  <c r="K100" i="6"/>
  <c r="I100" i="6"/>
  <c r="K108" i="6"/>
  <c r="I108" i="6"/>
  <c r="K116" i="6"/>
  <c r="I116" i="6"/>
  <c r="K124" i="6"/>
  <c r="I124" i="6"/>
  <c r="K148" i="6"/>
  <c r="I148" i="6"/>
  <c r="K180" i="6"/>
  <c r="I180" i="6"/>
  <c r="K18" i="6"/>
  <c r="I18" i="6"/>
  <c r="K22" i="6"/>
  <c r="I22" i="6"/>
  <c r="K27" i="6"/>
  <c r="I27" i="6"/>
  <c r="K39" i="6"/>
  <c r="I39" i="6"/>
  <c r="K47" i="6"/>
  <c r="I47" i="6"/>
  <c r="K55" i="6"/>
  <c r="I55" i="6"/>
  <c r="K63" i="6"/>
  <c r="I63" i="6"/>
  <c r="K87" i="6"/>
  <c r="I87" i="6"/>
  <c r="K95" i="6"/>
  <c r="I95" i="6"/>
  <c r="K103" i="6"/>
  <c r="I103" i="6"/>
  <c r="K111" i="6"/>
  <c r="I111" i="6"/>
  <c r="K119" i="6"/>
  <c r="I119" i="6"/>
  <c r="K270" i="6"/>
  <c r="I270" i="6"/>
  <c r="K278" i="6"/>
  <c r="I278" i="6"/>
  <c r="K286" i="6"/>
  <c r="I286" i="6"/>
  <c r="K294" i="6"/>
  <c r="I294" i="6"/>
  <c r="K302" i="6"/>
  <c r="I302" i="6"/>
  <c r="K5" i="6"/>
  <c r="I5" i="6"/>
  <c r="K42" i="6"/>
  <c r="I42" i="6"/>
  <c r="K50" i="6"/>
  <c r="I50" i="6"/>
  <c r="K58" i="6"/>
  <c r="I58" i="6"/>
  <c r="K90" i="6"/>
  <c r="I90" i="6"/>
  <c r="K98" i="6"/>
  <c r="I98" i="6"/>
  <c r="K25" i="6"/>
  <c r="I25" i="6"/>
  <c r="K37" i="6"/>
  <c r="I37" i="6"/>
  <c r="K45" i="6"/>
  <c r="I45" i="6"/>
  <c r="K53" i="6"/>
  <c r="I53" i="6"/>
  <c r="K61" i="6"/>
  <c r="I61" i="6"/>
  <c r="K85" i="6"/>
  <c r="I85" i="6"/>
  <c r="K93" i="6"/>
  <c r="I93" i="6"/>
  <c r="K101" i="6"/>
  <c r="I101" i="6"/>
  <c r="K109" i="6"/>
  <c r="I109" i="6"/>
  <c r="K117" i="6"/>
  <c r="I117" i="6"/>
  <c r="K125" i="6"/>
  <c r="I125" i="6"/>
  <c r="K19" i="6"/>
  <c r="I19" i="6"/>
  <c r="K23" i="6"/>
  <c r="I23" i="6"/>
  <c r="K28" i="6"/>
  <c r="I28" i="6"/>
  <c r="K40" i="6"/>
  <c r="I40" i="6"/>
  <c r="K48" i="6"/>
  <c r="I48" i="6"/>
  <c r="K56" i="6"/>
  <c r="I56" i="6"/>
  <c r="K64" i="6"/>
  <c r="I64" i="6"/>
  <c r="K88" i="6"/>
  <c r="I88" i="6"/>
  <c r="K96" i="6"/>
  <c r="I96" i="6"/>
  <c r="K104" i="6"/>
  <c r="I104" i="6"/>
  <c r="K112" i="6"/>
  <c r="I112" i="6"/>
  <c r="K120" i="6"/>
  <c r="I120" i="6"/>
  <c r="K128" i="6"/>
  <c r="I128" i="6"/>
  <c r="K136" i="6"/>
  <c r="I136" i="6"/>
  <c r="K144" i="6"/>
  <c r="I144" i="6"/>
  <c r="K152" i="6"/>
  <c r="I152" i="6"/>
  <c r="K160" i="6"/>
  <c r="I160" i="6"/>
  <c r="K168" i="6"/>
  <c r="I168" i="6"/>
  <c r="K176" i="6"/>
  <c r="I176" i="6"/>
  <c r="K184" i="6"/>
  <c r="I184" i="6"/>
  <c r="K192" i="6"/>
  <c r="I192" i="6"/>
  <c r="K200" i="6"/>
  <c r="I200" i="6"/>
  <c r="K208" i="6"/>
  <c r="I208" i="6"/>
  <c r="K271" i="6"/>
  <c r="I271" i="6"/>
  <c r="K279" i="6"/>
  <c r="I279" i="6"/>
  <c r="K287" i="6"/>
  <c r="I287" i="6"/>
  <c r="K295" i="6"/>
  <c r="I295" i="6"/>
  <c r="K303" i="6"/>
  <c r="I303" i="6"/>
  <c r="K311" i="6"/>
  <c r="I311" i="6"/>
  <c r="K4" i="6"/>
  <c r="I4" i="6"/>
  <c r="K6" i="6"/>
  <c r="I6" i="6"/>
  <c r="I274" i="6"/>
  <c r="K274" i="6"/>
  <c r="K282" i="6"/>
  <c r="I282" i="6"/>
  <c r="I290" i="6"/>
  <c r="K290" i="6"/>
  <c r="K298" i="6"/>
  <c r="I298" i="6"/>
  <c r="K306" i="6"/>
  <c r="I306" i="6"/>
  <c r="I314" i="6"/>
  <c r="K314" i="6"/>
  <c r="K43" i="6"/>
  <c r="I43" i="6"/>
  <c r="K51" i="6"/>
  <c r="I51" i="6"/>
  <c r="K59" i="6"/>
  <c r="I59" i="6"/>
  <c r="K91" i="6"/>
  <c r="I91" i="6"/>
  <c r="K99" i="6"/>
  <c r="I99" i="6"/>
  <c r="K107" i="6"/>
  <c r="I107" i="6"/>
  <c r="K115" i="6"/>
  <c r="I115" i="6"/>
  <c r="K123" i="6"/>
  <c r="I123" i="6"/>
  <c r="K316" i="6"/>
  <c r="K297" i="6"/>
  <c r="K233" i="6"/>
  <c r="I332" i="6"/>
  <c r="I324" i="6"/>
  <c r="I308" i="6"/>
  <c r="I300" i="6"/>
  <c r="I292" i="6"/>
  <c r="I284" i="6"/>
  <c r="I276" i="6"/>
  <c r="K273" i="6"/>
  <c r="I331" i="6"/>
  <c r="I323" i="6"/>
  <c r="I315" i="6"/>
  <c r="I307" i="6"/>
  <c r="I299" i="6"/>
  <c r="I291" i="6"/>
  <c r="I283" i="6"/>
  <c r="I275" i="6"/>
  <c r="K313" i="6"/>
  <c r="K266" i="6"/>
  <c r="I330" i="6"/>
  <c r="I322" i="6"/>
  <c r="I258" i="6"/>
  <c r="I210" i="6"/>
  <c r="I202" i="6"/>
  <c r="I194" i="6"/>
  <c r="I186" i="6"/>
  <c r="I178" i="6"/>
  <c r="I170" i="6"/>
  <c r="I162" i="6"/>
  <c r="I154" i="6"/>
  <c r="I146" i="6"/>
  <c r="I138" i="6"/>
  <c r="I130" i="6"/>
  <c r="I122" i="6"/>
  <c r="I114" i="6"/>
  <c r="I106" i="6"/>
  <c r="I26" i="6"/>
  <c r="K289" i="6"/>
  <c r="K265" i="6"/>
  <c r="I329" i="6"/>
  <c r="I321" i="6"/>
  <c r="I305" i="6"/>
  <c r="I281" i="6"/>
  <c r="I257" i="6"/>
  <c r="I249" i="6"/>
  <c r="I241" i="6"/>
  <c r="I121" i="6"/>
  <c r="I113" i="6"/>
  <c r="I105" i="6"/>
  <c r="I97" i="6"/>
  <c r="I89" i="6"/>
  <c r="I17" i="6"/>
  <c r="I328" i="6"/>
  <c r="I320" i="6"/>
  <c r="I312" i="6"/>
  <c r="I304" i="6"/>
  <c r="I296" i="6"/>
  <c r="I288" i="6"/>
  <c r="I280" i="6"/>
  <c r="I272" i="6"/>
  <c r="I335" i="6"/>
  <c r="I327" i="6"/>
  <c r="I319" i="6"/>
  <c r="I334" i="6"/>
  <c r="I326" i="6"/>
  <c r="I318" i="6"/>
  <c r="I310" i="6"/>
  <c r="I206" i="6"/>
  <c r="I198" i="6"/>
  <c r="I190" i="6"/>
  <c r="I182" i="6"/>
  <c r="I174" i="6"/>
  <c r="I166" i="6"/>
  <c r="I158" i="6"/>
  <c r="I150" i="6"/>
  <c r="I142" i="6"/>
  <c r="I134" i="6"/>
  <c r="I126" i="6"/>
  <c r="I118" i="6"/>
  <c r="I110" i="6"/>
  <c r="I102" i="6"/>
  <c r="I94" i="6"/>
  <c r="I86" i="6"/>
  <c r="I62" i="6"/>
  <c r="I54" i="6"/>
  <c r="I46" i="6"/>
  <c r="I38" i="6"/>
  <c r="I333" i="6"/>
  <c r="I325" i="6"/>
  <c r="I317" i="6"/>
  <c r="I309" i="6"/>
  <c r="I301" i="6"/>
  <c r="I293" i="6"/>
  <c r="I285" i="6"/>
  <c r="I277" i="6"/>
  <c r="I269" i="6"/>
  <c r="K73" i="6"/>
  <c r="K81" i="6"/>
  <c r="K131" i="6"/>
  <c r="K147" i="6"/>
  <c r="K163" i="6"/>
  <c r="K179" i="6"/>
  <c r="K195" i="6"/>
  <c r="K211" i="6"/>
  <c r="K216" i="6"/>
  <c r="K224" i="6"/>
  <c r="K232" i="6"/>
  <c r="K228" i="6"/>
  <c r="K196" i="6"/>
  <c r="K164" i="6"/>
  <c r="K132" i="6"/>
  <c r="K76" i="6"/>
  <c r="K9" i="6"/>
  <c r="K65" i="6"/>
  <c r="K219" i="6"/>
  <c r="K225" i="6"/>
  <c r="K193" i="6"/>
  <c r="K161" i="6"/>
  <c r="K129" i="6"/>
  <c r="K68" i="6"/>
  <c r="K14" i="6"/>
  <c r="K21" i="6"/>
  <c r="K33" i="6"/>
  <c r="K12" i="6"/>
  <c r="K16" i="6"/>
  <c r="K31" i="6"/>
  <c r="K71" i="6"/>
  <c r="K79" i="6"/>
  <c r="K227" i="6"/>
  <c r="K251" i="6"/>
  <c r="K259" i="6"/>
  <c r="K127" i="6"/>
  <c r="K143" i="6"/>
  <c r="K159" i="6"/>
  <c r="K175" i="6"/>
  <c r="K191" i="6"/>
  <c r="K207" i="6"/>
  <c r="K252" i="6"/>
  <c r="K220" i="6"/>
  <c r="K188" i="6"/>
  <c r="K156" i="6"/>
  <c r="K10" i="6"/>
  <c r="K29" i="6"/>
  <c r="K34" i="6"/>
  <c r="K66" i="6"/>
  <c r="K74" i="6"/>
  <c r="K82" i="6"/>
  <c r="K141" i="6"/>
  <c r="K157" i="6"/>
  <c r="K173" i="6"/>
  <c r="K189" i="6"/>
  <c r="K205" i="6"/>
  <c r="K217" i="6"/>
  <c r="K185" i="6"/>
  <c r="K153" i="6"/>
  <c r="K235" i="6"/>
  <c r="K243" i="6"/>
  <c r="K267" i="6"/>
  <c r="K69" i="6"/>
  <c r="K77" i="6"/>
  <c r="K139" i="6"/>
  <c r="K155" i="6"/>
  <c r="K171" i="6"/>
  <c r="K187" i="6"/>
  <c r="K203" i="6"/>
  <c r="K268" i="6"/>
  <c r="K244" i="6"/>
  <c r="K212" i="6"/>
  <c r="K223" i="6"/>
  <c r="K231" i="6"/>
  <c r="K209" i="6"/>
  <c r="K177" i="6"/>
  <c r="K145" i="6"/>
  <c r="K36" i="6"/>
  <c r="K8" i="6"/>
  <c r="K13" i="6"/>
  <c r="K215" i="6"/>
  <c r="K239" i="6"/>
  <c r="K247" i="6"/>
  <c r="K255" i="6"/>
  <c r="K263" i="6"/>
  <c r="K35" i="6"/>
  <c r="K67" i="6"/>
  <c r="K75" i="6"/>
  <c r="K151" i="6"/>
  <c r="K183" i="6"/>
  <c r="K199" i="6"/>
  <c r="K236" i="6"/>
  <c r="K204" i="6"/>
  <c r="K172" i="6"/>
  <c r="K140" i="6"/>
  <c r="K32" i="6"/>
  <c r="K72" i="6"/>
  <c r="K80" i="6"/>
  <c r="K83" i="6"/>
  <c r="K11" i="6"/>
  <c r="K135" i="6"/>
  <c r="K167" i="6"/>
  <c r="K15" i="6"/>
  <c r="K30" i="6"/>
  <c r="K70" i="6"/>
  <c r="K78" i="6"/>
  <c r="K133" i="6"/>
  <c r="K149" i="6"/>
  <c r="K165" i="6"/>
  <c r="K181" i="6"/>
  <c r="K197" i="6"/>
  <c r="K260" i="6"/>
  <c r="K201" i="6"/>
  <c r="K169" i="6"/>
  <c r="K137" i="6"/>
  <c r="K84" i="6"/>
  <c r="K250" i="6"/>
  <c r="K242" i="6"/>
  <c r="K234" i="6"/>
  <c r="K226" i="6"/>
  <c r="K218" i="6"/>
  <c r="K264" i="6"/>
  <c r="K256" i="6"/>
  <c r="K248" i="6"/>
  <c r="K240" i="6"/>
  <c r="K262" i="6"/>
  <c r="K254" i="6"/>
  <c r="K246" i="6"/>
  <c r="K238" i="6"/>
  <c r="K230" i="6"/>
  <c r="K222" i="6"/>
  <c r="K214" i="6"/>
  <c r="K261" i="6"/>
  <c r="K253" i="6"/>
  <c r="K245" i="6"/>
  <c r="K237" i="6"/>
  <c r="K229" i="6"/>
  <c r="K221" i="6"/>
  <c r="K213" i="6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8" i="3"/>
  <c r="D98" i="3"/>
  <c r="E96" i="3"/>
  <c r="D96" i="3"/>
  <c r="E95" i="3"/>
  <c r="D95" i="3"/>
  <c r="E94" i="3"/>
  <c r="D94" i="3"/>
  <c r="E93" i="3"/>
  <c r="D93" i="3"/>
  <c r="E92" i="3"/>
  <c r="D92" i="3"/>
  <c r="E91" i="3"/>
  <c r="D91" i="3"/>
  <c r="E89" i="3"/>
  <c r="D89" i="3"/>
  <c r="E88" i="3"/>
  <c r="D88" i="3"/>
  <c r="E87" i="3"/>
  <c r="D87" i="3"/>
  <c r="E85" i="3"/>
  <c r="D85" i="3"/>
  <c r="E83" i="3"/>
  <c r="D83" i="3"/>
  <c r="E82" i="3"/>
  <c r="D82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0" i="3"/>
  <c r="D70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49" i="3"/>
  <c r="D49" i="3"/>
  <c r="E47" i="3"/>
  <c r="D47" i="3"/>
  <c r="E46" i="3"/>
  <c r="D46" i="3"/>
  <c r="E44" i="3"/>
  <c r="D44" i="3"/>
  <c r="E43" i="3"/>
  <c r="D43" i="3"/>
  <c r="E41" i="3"/>
  <c r="D41" i="3"/>
  <c r="E40" i="3"/>
  <c r="D40" i="3"/>
  <c r="E39" i="3"/>
  <c r="D39" i="3"/>
  <c r="E37" i="3"/>
  <c r="D37" i="3"/>
  <c r="E36" i="3"/>
  <c r="D36" i="3"/>
  <c r="E35" i="3"/>
  <c r="D35" i="3"/>
  <c r="E34" i="3"/>
  <c r="D34" i="3"/>
  <c r="E32" i="3"/>
  <c r="D32" i="3"/>
  <c r="E30" i="3"/>
  <c r="D30" i="3"/>
  <c r="E28" i="3"/>
  <c r="D28" i="3"/>
  <c r="E27" i="3"/>
  <c r="D27" i="3"/>
  <c r="E25" i="3"/>
  <c r="D25" i="3"/>
  <c r="E24" i="3"/>
  <c r="D24" i="3"/>
  <c r="E23" i="3"/>
  <c r="D23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M169" i="1"/>
  <c r="M170" i="1"/>
  <c r="M171" i="1"/>
  <c r="M172" i="1"/>
  <c r="X417" i="1"/>
  <c r="V417" i="1"/>
  <c r="L339" i="1"/>
  <c r="K339" i="1"/>
  <c r="L299" i="1"/>
  <c r="J77" i="1"/>
  <c r="I77" i="1"/>
  <c r="K72" i="1"/>
  <c r="I42" i="1"/>
  <c r="J25" i="1"/>
  <c r="I17" i="1"/>
  <c r="L17" i="1"/>
  <c r="K17" i="1"/>
  <c r="J8" i="1"/>
  <c r="K4" i="1"/>
  <c r="J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00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9" i="1"/>
  <c r="D10" i="1"/>
  <c r="D11" i="1"/>
  <c r="D12" i="1"/>
  <c r="D13" i="1"/>
  <c r="D14" i="1"/>
  <c r="D5" i="1"/>
  <c r="D6" i="1"/>
  <c r="D7" i="1"/>
  <c r="D8" i="1"/>
  <c r="D4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7" i="1"/>
  <c r="M5" i="1"/>
  <c r="M6" i="1"/>
  <c r="M4" i="1"/>
  <c r="AB42" i="1"/>
  <c r="AB34" i="1"/>
  <c r="AB33" i="1"/>
  <c r="AB29" i="1"/>
  <c r="AB25" i="1"/>
  <c r="AB24" i="1"/>
  <c r="AB23" i="1"/>
  <c r="AB19" i="1"/>
  <c r="AB17" i="1"/>
  <c r="AB12" i="1"/>
  <c r="AB8" i="1"/>
  <c r="M68" i="3"/>
  <c r="F3" i="4" a="1"/>
  <c r="N18" i="5" l="1"/>
  <c r="O18" i="5"/>
  <c r="K4" i="5" a="1"/>
  <c r="K4" i="5" s="1"/>
  <c r="P18" i="5"/>
  <c r="J4" i="6" a="1"/>
  <c r="J4" i="6" s="1"/>
  <c r="F3" i="4"/>
  <c r="G3" i="4" s="1"/>
  <c r="W257" i="1"/>
  <c r="W417" i="1" s="1"/>
  <c r="F2" i="3" a="1"/>
  <c r="P4" i="1" a="1"/>
  <c r="F2" i="3" l="1"/>
  <c r="G2" i="3" s="1"/>
  <c r="P4" i="1"/>
  <c r="O4" i="1" s="1"/>
  <c r="G57" i="3" s="1"/>
  <c r="G56" i="3" s="1"/>
  <c r="G55" i="3" s="1"/>
  <c r="G54" i="3" s="1"/>
  <c r="G53" i="3" s="1"/>
  <c r="G52" i="3" s="1"/>
  <c r="G51" i="3" s="1"/>
  <c r="G49" i="3" s="1"/>
  <c r="G47" i="3" s="1"/>
  <c r="G46" i="3" s="1"/>
  <c r="G44" i="3" s="1"/>
  <c r="G43" i="3" s="1"/>
  <c r="G41" i="3" s="1"/>
  <c r="G40" i="3" s="1"/>
  <c r="G39" i="3" s="1"/>
  <c r="G37" i="3" s="1"/>
  <c r="G36" i="3" s="1"/>
  <c r="G35" i="3" s="1"/>
  <c r="G34" i="3" s="1"/>
  <c r="G32" i="3" s="1"/>
  <c r="G30" i="3" s="1"/>
  <c r="G28" i="3" s="1"/>
  <c r="G27" i="3" s="1"/>
  <c r="G25" i="3" s="1"/>
  <c r="G24" i="3" s="1"/>
  <c r="G23" i="3" s="1"/>
  <c r="G20" i="3" s="1"/>
  <c r="G19" i="3" s="1"/>
  <c r="G18" i="3" s="1"/>
  <c r="G17" i="3" s="1"/>
  <c r="G16" i="3" s="1"/>
  <c r="G15" i="3" s="1"/>
  <c r="G14" i="3" s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57" i="4" s="1"/>
  <c r="G56" i="4" s="1"/>
  <c r="G55" i="4" s="1"/>
  <c r="G54" i="4" s="1"/>
  <c r="G53" i="4" s="1"/>
  <c r="G52" i="4" s="1"/>
  <c r="G51" i="4" s="1"/>
  <c r="G50" i="4" s="1"/>
  <c r="G49" i="4" s="1"/>
  <c r="G48" i="4" s="1"/>
  <c r="G47" i="4" s="1"/>
  <c r="G46" i="4" s="1"/>
  <c r="G45" i="4" s="1"/>
  <c r="G44" i="4" s="1"/>
  <c r="G43" i="4" s="1"/>
  <c r="G42" i="4" s="1"/>
  <c r="G41" i="4" s="1"/>
  <c r="G40" i="4" s="1"/>
  <c r="G39" i="4" s="1"/>
  <c r="G38" i="4" s="1"/>
  <c r="G37" i="4" s="1"/>
  <c r="G36" i="4" s="1"/>
  <c r="G35" i="4" s="1"/>
  <c r="G34" i="4" s="1"/>
  <c r="G33" i="4" s="1"/>
  <c r="G32" i="4" s="1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l="1"/>
  <c r="I14" i="4"/>
  <c r="K14" i="4" l="1"/>
  <c r="G12" i="4"/>
  <c r="G11" i="4" s="1"/>
  <c r="G10" i="4" s="1"/>
  <c r="G9" i="4" s="1"/>
  <c r="G8" i="4" s="1"/>
  <c r="G7" i="4" s="1"/>
  <c r="G6" i="4" s="1"/>
  <c r="I3" i="4" l="1"/>
  <c r="G5" i="4"/>
  <c r="G4" i="4" s="1"/>
  <c r="I4" i="4" s="1"/>
  <c r="I6" i="4"/>
  <c r="K6" i="4" l="1"/>
  <c r="K3" i="4"/>
  <c r="O89" i="1"/>
  <c r="O88" i="1" s="1"/>
  <c r="O87" i="1" s="1"/>
  <c r="O86" i="1" s="1"/>
  <c r="O85" i="1" s="1"/>
  <c r="O84" i="1" s="1"/>
  <c r="O83" i="1" s="1"/>
  <c r="O82" i="1" s="1"/>
  <c r="O81" i="1" s="1"/>
  <c r="O80" i="1" s="1"/>
  <c r="O79" i="1" s="1"/>
  <c r="O78" i="1" s="1"/>
  <c r="O77" i="1" s="1"/>
  <c r="O76" i="1" s="1"/>
  <c r="O75" i="1" s="1"/>
  <c r="O74" i="1" s="1"/>
  <c r="O73" i="1" s="1"/>
  <c r="O72" i="1" s="1"/>
  <c r="O71" i="1" s="1"/>
  <c r="O70" i="1" s="1"/>
  <c r="O69" i="1" s="1"/>
  <c r="O68" i="1" s="1"/>
  <c r="O67" i="1" s="1"/>
  <c r="O66" i="1" s="1"/>
  <c r="O65" i="1" s="1"/>
  <c r="O64" i="1" s="1"/>
  <c r="O63" i="1" s="1"/>
  <c r="O62" i="1" s="1"/>
  <c r="O61" i="1" s="1"/>
  <c r="O60" i="1" s="1"/>
  <c r="O59" i="1" s="1"/>
  <c r="O58" i="1" s="1"/>
  <c r="O57" i="1" s="1"/>
  <c r="O56" i="1" s="1"/>
  <c r="O55" i="1" s="1"/>
  <c r="O54" i="1" s="1"/>
  <c r="O53" i="1" s="1"/>
  <c r="O52" i="1" s="1"/>
  <c r="O51" i="1" s="1"/>
  <c r="O50" i="1" s="1"/>
  <c r="O49" i="1" s="1"/>
  <c r="O48" i="1" s="1"/>
  <c r="O47" i="1" s="1"/>
  <c r="O46" i="1" s="1"/>
  <c r="O45" i="1" s="1"/>
  <c r="O44" i="1" s="1"/>
  <c r="O43" i="1" s="1"/>
  <c r="O42" i="1" s="1"/>
  <c r="O41" i="1" s="1"/>
  <c r="O40" i="1" s="1"/>
  <c r="O39" i="1" s="1"/>
  <c r="O38" i="1" s="1"/>
  <c r="O37" i="1" s="1"/>
  <c r="O36" i="1" s="1"/>
  <c r="O35" i="1" s="1"/>
  <c r="O34" i="1" s="1"/>
  <c r="O33" i="1" s="1"/>
  <c r="O32" i="1" s="1"/>
  <c r="O31" i="1" s="1"/>
  <c r="O30" i="1" s="1"/>
  <c r="O29" i="1" s="1"/>
  <c r="O28" i="1" s="1"/>
  <c r="O27" i="1" s="1"/>
  <c r="O26" i="1" s="1"/>
  <c r="O25" i="1" s="1"/>
  <c r="O24" i="1" s="1"/>
  <c r="O23" i="1" s="1"/>
  <c r="O22" i="1" s="1"/>
  <c r="O21" i="1" s="1"/>
  <c r="O20" i="1" s="1"/>
  <c r="O19" i="1" s="1"/>
  <c r="O18" i="1" s="1"/>
  <c r="O17" i="1" s="1"/>
  <c r="O16" i="1" s="1"/>
  <c r="O15" i="1" s="1"/>
  <c r="O14" i="1" s="1"/>
  <c r="O13" i="1" s="1"/>
  <c r="O12" i="1" s="1"/>
  <c r="O11" i="1" s="1"/>
  <c r="O10" i="1" s="1"/>
  <c r="O9" i="1" s="1"/>
  <c r="O8" i="1" s="1"/>
  <c r="O7" i="1" s="1"/>
  <c r="O6" i="1" s="1"/>
  <c r="O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9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N16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2024/2/30=real</t>
        </r>
      </text>
    </comment>
    <comment ref="N2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N23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N28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N32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E32" authorId="0" shapeId="0" xr:uid="{942B7DE2-49C1-44BD-B646-F5B93A4AD7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मजदूरी</t>
        </r>
      </text>
    </comment>
    <comment ref="AE57" authorId="0" shapeId="0" xr:uid="{ED2AE2E0-2887-446D-AB3C-30347887E2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medium</t>
        </r>
      </text>
    </comment>
    <comment ref="AE65" authorId="0" shapeId="0" xr:uid="{25AA177E-E8F8-4F0A-A879-8D56E803AE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not known</t>
        </r>
      </text>
    </comment>
    <comment ref="AE66" authorId="0" shapeId="0" xr:uid="{7633F6BF-8D4F-48B8-B7BD-43AC7EEBE93A}">
      <text>
        <r>
          <rPr>
            <b/>
            <sz val="9"/>
            <color indexed="81"/>
            <rFont val="Tahoma"/>
            <family val="2"/>
          </rPr>
          <t>not known</t>
        </r>
      </text>
    </comment>
    <comment ref="AE68" authorId="0" shapeId="0" xr:uid="{A9C57277-4C03-4FCB-9AB9-28B090320FA5}">
      <text>
        <r>
          <rPr>
            <b/>
            <sz val="9"/>
            <color indexed="81"/>
            <rFont val="Tahoma"/>
            <family val="2"/>
          </rPr>
          <t>like a caretaker</t>
        </r>
      </text>
    </comment>
    <comment ref="AE71" authorId="0" shapeId="0" xr:uid="{9ED12369-3AA9-41A4-8DAB-A66AFE157B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husband at bidesh</t>
        </r>
      </text>
    </comment>
    <comment ref="AE78" authorId="0" shapeId="0" xr:uid="{B81932AE-F3FC-461E-9E7C-EAA4D5C90CD1}">
      <text>
        <r>
          <rPr>
            <b/>
            <sz val="9"/>
            <color indexed="81"/>
            <rFont val="Tahoma"/>
            <family val="2"/>
          </rPr>
          <t>briddha bhattaa</t>
        </r>
      </text>
    </comment>
    <comment ref="AE81" authorId="0" shapeId="0" xr:uid="{FD4B8E0F-B837-4B60-B0F6-E0BB53658D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bhattaa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8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W18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W20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W24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W26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7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7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19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3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5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89" authorId="0" shapeId="0" xr:uid="{263519F5-9460-45F9-A1A2-3FF17A30DA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2046/2/30 original but due to excel limitation mannually edited to 28 as february contains only to 28</t>
        </r>
      </text>
    </comment>
    <comment ref="V185" authorId="0" shapeId="0" xr:uid="{D255FF70-C0EA-47C7-BCBB-90F4A4F035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4/31/2030=real
</t>
        </r>
      </text>
    </comment>
    <comment ref="V203" authorId="0" shapeId="0" xr:uid="{B2E67C8F-2A57-4EC2-9138-5A95FB3592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2035/2/30=real
</t>
        </r>
      </text>
    </comment>
    <comment ref="V246" authorId="0" shapeId="0" xr:uid="{CCDB5E3B-0B6D-4A55-9CFC-4BEAD98E2F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2049/2/29=real
</t>
        </r>
      </text>
    </comment>
    <comment ref="V268" authorId="0" shapeId="0" xr:uid="{FBFBF32E-8C35-44BA-B0C7-837C86A72A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2024/2/30 = real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<sst xmlns="http://schemas.openxmlformats.org/spreadsheetml/2006/main" count="11303" uniqueCount="1004">
  <si>
    <t>Vikash Karki</t>
  </si>
  <si>
    <t>२०४००५१०१०१९१-५</t>
  </si>
  <si>
    <t>सरी आएको</t>
  </si>
  <si>
    <t>Dipak Bahadur Bhattarai</t>
  </si>
  <si>
    <t>२०३६०३०७०२९५७-५</t>
  </si>
  <si>
    <t>Krishna Prasad Pyakurel</t>
  </si>
  <si>
    <t>Thulo Kanchho Kami</t>
  </si>
  <si>
    <t>Manita Risal</t>
  </si>
  <si>
    <t>Durga Prasad Dahal</t>
  </si>
  <si>
    <t>Sandip Pariyar</t>
  </si>
  <si>
    <t>Sita Adhikari</t>
  </si>
  <si>
    <t>Punya Prasad Ghimire</t>
  </si>
  <si>
    <t>Rajesh Kumar Bista</t>
  </si>
  <si>
    <t>Indira Pariyar</t>
  </si>
  <si>
    <t>Shyam Khatri</t>
  </si>
  <si>
    <t>Suk Maya Lama</t>
  </si>
  <si>
    <t>Samjhana Karki</t>
  </si>
  <si>
    <t>Keshar Bahadur Mahat</t>
  </si>
  <si>
    <t>Utsav Dhakal</t>
  </si>
  <si>
    <t>Jhana Kumari Karki(Basnet)</t>
  </si>
  <si>
    <t>Surya Prasad Khatiwada</t>
  </si>
  <si>
    <t>Bhawani Baskota</t>
  </si>
  <si>
    <t>Tilmaya Ghimire</t>
  </si>
  <si>
    <t>Subash Rajbahak</t>
  </si>
  <si>
    <t>Jiban Karki</t>
  </si>
  <si>
    <t>Bajra Singh Khatiwada</t>
  </si>
  <si>
    <t>Tikaram Karki</t>
  </si>
  <si>
    <t>Tek Bahadur MagarBalampaki</t>
  </si>
  <si>
    <t>Santoki Khatri</t>
  </si>
  <si>
    <t>Rakesh Shrestha</t>
  </si>
  <si>
    <t>Daya Ram Khatri</t>
  </si>
  <si>
    <t>Naniram Khadka</t>
  </si>
  <si>
    <t>Dalli Bishwakarma</t>
  </si>
  <si>
    <t>Suman Shrestha</t>
  </si>
  <si>
    <t>Dorchi Sherpa</t>
  </si>
  <si>
    <t>Kishan Singh Dhami</t>
  </si>
  <si>
    <t>Jivan Khadka</t>
  </si>
  <si>
    <t>Kumar Kuwar</t>
  </si>
  <si>
    <t>Kapil Prasad Paudel</t>
  </si>
  <si>
    <t>Bed Bahadur Shrestha</t>
  </si>
  <si>
    <t>Prachi Adhikari</t>
  </si>
  <si>
    <t>Durga Bahadur Chhetri</t>
  </si>
  <si>
    <t>Pragyan Karki</t>
  </si>
  <si>
    <t>Shrimati Urmila G.C</t>
  </si>
  <si>
    <t>Sanjaya Kumar Lama</t>
  </si>
  <si>
    <t>Anita Tamang</t>
  </si>
  <si>
    <t>Ratna Kumari Shrestha</t>
  </si>
  <si>
    <t>Ganesh Bahadur Shrestha</t>
  </si>
  <si>
    <t>Niru B K</t>
  </si>
  <si>
    <t>Shova Khatri</t>
  </si>
  <si>
    <t>Anil Silwal</t>
  </si>
  <si>
    <t>Sitaram Shrestha</t>
  </si>
  <si>
    <t>दिपक बहादुर भट्टराई</t>
  </si>
  <si>
    <t>कृष्ण प्रसाद प्याकुरेल</t>
  </si>
  <si>
    <t>ठुलो कान्छो कामी</t>
  </si>
  <si>
    <t>मनिता रिसाल</t>
  </si>
  <si>
    <t>दुर्गा प्रसाद दाहाल</t>
  </si>
  <si>
    <t>सन्दिप परियार</t>
  </si>
  <si>
    <t>सिता अधिकारी</t>
  </si>
  <si>
    <t>पुण्य प्रसाद घिमिरे</t>
  </si>
  <si>
    <t>राजेश कुमार विष्ट</t>
  </si>
  <si>
    <t>इन्दिरा परियार</t>
  </si>
  <si>
    <t>श्याम खत्री</t>
  </si>
  <si>
    <t>सुकमाया लामा</t>
  </si>
  <si>
    <t>संझना कार्की</t>
  </si>
  <si>
    <t>केशर बहादुर महत</t>
  </si>
  <si>
    <t>झन कुमारी कार्की बस्नेत</t>
  </si>
  <si>
    <t>उत्सव ढकाल</t>
  </si>
  <si>
    <t>सुर्य प्रसाद खतिवडा</t>
  </si>
  <si>
    <t>भवानी बास्कोटा</t>
  </si>
  <si>
    <t>तिल माया घिमिरे</t>
  </si>
  <si>
    <t>सुवास राजवहाक</t>
  </si>
  <si>
    <t>जीवन कार्की</t>
  </si>
  <si>
    <t>वज्र सिंह खतिवडा</t>
  </si>
  <si>
    <t>टिकाराम कार्की</t>
  </si>
  <si>
    <t>टेक वहादुर मगर वलम्पाकी</t>
  </si>
  <si>
    <t>सन्तोकी खत्री</t>
  </si>
  <si>
    <t>राकेश श्रेष्ठ</t>
  </si>
  <si>
    <t>दया राम खत्री</t>
  </si>
  <si>
    <t>नानीराम खड्का</t>
  </si>
  <si>
    <t>दल्ली विश्वकर्मा</t>
  </si>
  <si>
    <t>सुमन श्रेष्ठ</t>
  </si>
  <si>
    <t>दोर्ची शेर्पा</t>
  </si>
  <si>
    <t>किशन सिह धामी</t>
  </si>
  <si>
    <t>जिवन खड्का</t>
  </si>
  <si>
    <t>कुमार कुँवर</t>
  </si>
  <si>
    <t>कपिल प्रसाद पौडेल</t>
  </si>
  <si>
    <t>बेद बहादुर श्रेष्ठ</t>
  </si>
  <si>
    <t>प्राची अधिकारी</t>
  </si>
  <si>
    <t>दुर्गा बहादुर क्षत्री</t>
  </si>
  <si>
    <t>प्रज्ञान कार्की</t>
  </si>
  <si>
    <t>श्रीमती उर्मिला जिसी</t>
  </si>
  <si>
    <t>संजय कुमार लामा</t>
  </si>
  <si>
    <t>अनिता तामाङ</t>
  </si>
  <si>
    <t>रत्न कुमारी श्रेष्ठ</t>
  </si>
  <si>
    <t>गणेश बहादुर श्रेष्ठ</t>
  </si>
  <si>
    <t>निरु बि .क.</t>
  </si>
  <si>
    <t>शोभा खत्री</t>
  </si>
  <si>
    <t>अनिल सिलवाल</t>
  </si>
  <si>
    <t>सीता राम श्रेष्ठ</t>
  </si>
  <si>
    <t>सरी गएको</t>
  </si>
  <si>
    <t>सरी आएको / गएको</t>
  </si>
  <si>
    <t>घरमूलीको नाम (अंग्रेजीमा)</t>
  </si>
  <si>
    <t>क्र. नं</t>
  </si>
  <si>
    <t>घरमूलीको नाम(नेपालीमा)</t>
  </si>
  <si>
    <t>सदस्य संख्या</t>
  </si>
  <si>
    <t>बसाइँ सराइ दर्ता नं.</t>
  </si>
  <si>
    <t>दर्ता मिति</t>
  </si>
  <si>
    <t>२०१४०४१९०१३०६-५</t>
  </si>
  <si>
    <t>२०४५०८१२०४५५७-५</t>
  </si>
  <si>
    <t>२०३५०९२२०१२४७-५</t>
  </si>
  <si>
    <t>२०३८१११२००२६५-५</t>
  </si>
  <si>
    <t>२०३४०७०५०२४४५-५</t>
  </si>
  <si>
    <t>२०२६०११७०१७२२-५</t>
  </si>
  <si>
    <t>२०३१०१०५०२५३५-५</t>
  </si>
  <si>
    <t>२०३१०४१००३४७९-५</t>
  </si>
  <si>
    <t>Ramesh Simkhada</t>
  </si>
  <si>
    <t>Rinu Gurung</t>
  </si>
  <si>
    <t>Rita Damai</t>
  </si>
  <si>
    <t>Subash Maden Limbu</t>
  </si>
  <si>
    <t>Sudarshan Sapkota</t>
  </si>
  <si>
    <t>Menuka Devi Shrestha</t>
  </si>
  <si>
    <t>Basanta K.C</t>
  </si>
  <si>
    <t>Narayan Khatri K.C</t>
  </si>
  <si>
    <t>Shanta Bahadur Thapa</t>
  </si>
  <si>
    <t>Nanda Kishor Prasad</t>
  </si>
  <si>
    <t>Mittharam Khadka</t>
  </si>
  <si>
    <t>Narayan Khadka</t>
  </si>
  <si>
    <t>Rudra Bahadur Karki</t>
  </si>
  <si>
    <t>Om Bahadur Bhandari</t>
  </si>
  <si>
    <t>Shyam Pulami Magar</t>
  </si>
  <si>
    <t>Lal Bahadur Kadel</t>
  </si>
  <si>
    <t>Ambika Thapa</t>
  </si>
  <si>
    <t>Bhimshen Karki</t>
  </si>
  <si>
    <t>Keshar Bahadur Shrestha</t>
  </si>
  <si>
    <t>Sushila Shrestha</t>
  </si>
  <si>
    <t>Basudev Malla</t>
  </si>
  <si>
    <t>Hitendra Thapa Chhetri</t>
  </si>
  <si>
    <t>Dibya Gautam</t>
  </si>
  <si>
    <t>Yadav Prasad Baskota</t>
  </si>
  <si>
    <t>Janaki Khadka</t>
  </si>
  <si>
    <t>Shiva Kumar Chudal</t>
  </si>
  <si>
    <t>Niru Bishwakarma</t>
  </si>
  <si>
    <t>Kushal Singh Dhami</t>
  </si>
  <si>
    <t>Anju Shrestha</t>
  </si>
  <si>
    <t>Krishna Prasad Chaulagain</t>
  </si>
  <si>
    <t>Jit Bahadur Budhathoki</t>
  </si>
  <si>
    <t>Sarmila Maya Gautam</t>
  </si>
  <si>
    <t>Chandra Bahadur Basnet</t>
  </si>
  <si>
    <t>Khadga Bahadur Shrestha</t>
  </si>
  <si>
    <t>Subol Khadka</t>
  </si>
  <si>
    <t>Poonam Sedai Mishra</t>
  </si>
  <si>
    <t>Kedar Thapa</t>
  </si>
  <si>
    <t>Bishwash Thapa</t>
  </si>
  <si>
    <t>Purushottam Khadka</t>
  </si>
  <si>
    <t>Chyamu Lal Chaudhary</t>
  </si>
  <si>
    <t>Dilli Kumari Shrestha</t>
  </si>
  <si>
    <t>Yagya Bahadur Baral</t>
  </si>
  <si>
    <t>Som Kumar Rai</t>
  </si>
  <si>
    <t>Ramlal Ghimire</t>
  </si>
  <si>
    <t>Bhim Kumari Dulal</t>
  </si>
  <si>
    <t>Chhetra Bahadur Shrestha</t>
  </si>
  <si>
    <t>Kaluman Shrestha</t>
  </si>
  <si>
    <t>Kesab Kumar Shrestha</t>
  </si>
  <si>
    <t>Gangaram Dangol</t>
  </si>
  <si>
    <t>रमेश सिंखडा</t>
  </si>
  <si>
    <t>रिनु गुरुङ</t>
  </si>
  <si>
    <t>रीता दमाई</t>
  </si>
  <si>
    <t>सुबास मादेन लिम्वु</t>
  </si>
  <si>
    <t>सुदर्शन सापकोटा</t>
  </si>
  <si>
    <t>मेनुका देवि श्रेष्ठ</t>
  </si>
  <si>
    <t>बसन्त केसी</t>
  </si>
  <si>
    <t>नारायण खत्री केसी</t>
  </si>
  <si>
    <t>शान्त बहादुर थापा</t>
  </si>
  <si>
    <t>नन्द किशोर प्रसाद</t>
  </si>
  <si>
    <t>मिठ्ठा राम खड्का</t>
  </si>
  <si>
    <t>नारायण खड्का</t>
  </si>
  <si>
    <t>रुद्र बहादुर कार्की</t>
  </si>
  <si>
    <t>ओम बहादुर भण्डारी</t>
  </si>
  <si>
    <t>श्याम पुलामी मगर</t>
  </si>
  <si>
    <t>लाल बहादुर कडेल</t>
  </si>
  <si>
    <t>अम्बिका थापा</t>
  </si>
  <si>
    <t>भिमसेन कार्की</t>
  </si>
  <si>
    <t>केशर बहादुर श्रेष्ठ</t>
  </si>
  <si>
    <t>शुशिला श्रेष्ठ</t>
  </si>
  <si>
    <t>बासुदेब मल्ल</t>
  </si>
  <si>
    <t>हितेन्द्र थापा क्षेत्री</t>
  </si>
  <si>
    <t>दिब्या गौतम</t>
  </si>
  <si>
    <t>यादव प्रसाद बासकोटा</t>
  </si>
  <si>
    <t>जानकी खड्का</t>
  </si>
  <si>
    <t>शिव कुमार चुडाल</t>
  </si>
  <si>
    <t>निरु विश्वकर्मा</t>
  </si>
  <si>
    <t>कुशल सिंह धामी</t>
  </si>
  <si>
    <t>कृष्ण प्रसाद चम्लागाई</t>
  </si>
  <si>
    <t>अन्जु श्रेष्ठ</t>
  </si>
  <si>
    <t>जीत बहादुर बुढथोकी</t>
  </si>
  <si>
    <t>शर्मिला माया गौतम</t>
  </si>
  <si>
    <t>चन्द्र बहादुर बस्नेत</t>
  </si>
  <si>
    <t>खड्ग बहादुर श्रेष्ठ</t>
  </si>
  <si>
    <t>सुवोल खड्का</t>
  </si>
  <si>
    <t>पुनम सेडाइ मिश्र</t>
  </si>
  <si>
    <t>केदार थापा</t>
  </si>
  <si>
    <t>विश्वास थापा</t>
  </si>
  <si>
    <t>पुरुषोत्तम खड्का</t>
  </si>
  <si>
    <t>च्यामु लाल चौधरी</t>
  </si>
  <si>
    <t>डिल्ली कुमारी श्रेष्ठ</t>
  </si>
  <si>
    <t>यज्ञ बहादुर वराल</t>
  </si>
  <si>
    <t>सोम कुमार राई</t>
  </si>
  <si>
    <t>रामलाल घिमिरे</t>
  </si>
  <si>
    <t>भिम कुमारी दुलाल</t>
  </si>
  <si>
    <t>छेत्र बहादुर श्रेष्ठ</t>
  </si>
  <si>
    <t>कालु मान श्रेष्ठ</t>
  </si>
  <si>
    <t>केशव कुमार श्रेष्ठ</t>
  </si>
  <si>
    <t>गंगाराम डंगोल</t>
  </si>
  <si>
    <t>१९९९०३०३०१५२९-७</t>
  </si>
  <si>
    <t>२०२४०१०८०१९१६-५</t>
  </si>
  <si>
    <t>Naradhwaj Thapa</t>
  </si>
  <si>
    <t>Rajendra Prasad Pokhrel</t>
  </si>
  <si>
    <t>Laxmi Prasad Tiwari</t>
  </si>
  <si>
    <t>Jeeba Prasad Dahal</t>
  </si>
  <si>
    <t>Chuda Mani Khanal</t>
  </si>
  <si>
    <t>Murari Subedi</t>
  </si>
  <si>
    <t>नरध्वज थापा</t>
  </si>
  <si>
    <t>राजेन्द्र प्रसाद पोख्रेल</t>
  </si>
  <si>
    <t>लक्ष्मी प्रसाद तिवारी</t>
  </si>
  <si>
    <t>जीब प्रसाद दाहाल</t>
  </si>
  <si>
    <t>चन्द्र बहादुङ बस्नेत</t>
  </si>
  <si>
    <t>चुडामणी खनाल</t>
  </si>
  <si>
    <t>मुरारी सुवेदी</t>
  </si>
  <si>
    <t>२०२९०१२२००१३२-७</t>
  </si>
  <si>
    <t>२०३६०११००१७२६-७</t>
  </si>
  <si>
    <t>विकास कार्की</t>
  </si>
  <si>
    <t>Total</t>
  </si>
  <si>
    <t>Male</t>
  </si>
  <si>
    <t>Female</t>
  </si>
  <si>
    <t>Lalitpur</t>
  </si>
  <si>
    <r>
      <t>Reasons (</t>
    </r>
    <r>
      <rPr>
        <b/>
        <sz val="11"/>
        <color theme="1"/>
        <rFont val="Preeti"/>
      </rPr>
      <t>sf/0f</t>
    </r>
    <r>
      <rPr>
        <b/>
        <sz val="11"/>
        <color theme="1"/>
        <rFont val="Calibri"/>
        <family val="2"/>
        <scheme val="minor"/>
      </rPr>
      <t>)</t>
    </r>
  </si>
  <si>
    <t>द्वन्द पिडित</t>
  </si>
  <si>
    <t>व्यापार व्यवसाय</t>
  </si>
  <si>
    <t>नोकरी</t>
  </si>
  <si>
    <t>अन्य</t>
  </si>
  <si>
    <t>नया अवसर</t>
  </si>
  <si>
    <t>नयाँ घर</t>
  </si>
  <si>
    <t>सरी जाने ठेगाना</t>
  </si>
  <si>
    <t>Lalitpur, Mahalaxmi-9</t>
  </si>
  <si>
    <t>Kathmandu, Shankharapur-9</t>
  </si>
  <si>
    <t>हालको ठेगाना</t>
  </si>
  <si>
    <t>सूचक</t>
  </si>
  <si>
    <t>Kageswori manohara-5</t>
  </si>
  <si>
    <t>Kathmandu, Shankharapur-10</t>
  </si>
  <si>
    <t>Sindhupalchowk, Jugal-7</t>
  </si>
  <si>
    <t>अध्ययन/शिक्षा</t>
  </si>
  <si>
    <t>Kathmandu, Kathmandu-7</t>
  </si>
  <si>
    <t>Sankhuwasabha, Madi-1</t>
  </si>
  <si>
    <t>Kathmandu, Shankharapur-8</t>
  </si>
  <si>
    <t>Parsa, Thori-3</t>
  </si>
  <si>
    <t>Kathmandu, Budanilkantha-8</t>
  </si>
  <si>
    <t>Kathmandu, Shankharapur-6</t>
  </si>
  <si>
    <t>Kathmandu, Ktm-7</t>
  </si>
  <si>
    <t>Lalitpur, Godavari-3</t>
  </si>
  <si>
    <t>Slukhumbu, Mahakulung-1</t>
  </si>
  <si>
    <t>Bhojpur, Arun-2</t>
  </si>
  <si>
    <t>Bardiya, Gulariya-6</t>
  </si>
  <si>
    <t>Jhapa, Gauradah-7</t>
  </si>
  <si>
    <t>Okhaldhunga, Molung-8</t>
  </si>
  <si>
    <t>Kathmandu, Kageswori manohara-6</t>
  </si>
  <si>
    <t>Solukhumbu, Khumbu Pasanglamhu-1</t>
  </si>
  <si>
    <t>Nawalparasi, Binaya Triveni-1</t>
  </si>
  <si>
    <t>Udayapur, Katari-10</t>
  </si>
  <si>
    <t>Kathmandu, Kathmandu-8</t>
  </si>
  <si>
    <t>Lalitpur, Lalitpur-15</t>
  </si>
  <si>
    <t>Lalitpur, Lalitpur-18</t>
  </si>
  <si>
    <t>Makwanpur, Makwanpurgadhi-2</t>
  </si>
  <si>
    <t>Dolakha, Melung-7</t>
  </si>
  <si>
    <t>Sankhuwasabha, Madi-3</t>
  </si>
  <si>
    <t>Okhaldhunga, Champadevi-7</t>
  </si>
  <si>
    <t>Solukhumbu, Sotang-5</t>
  </si>
  <si>
    <t>Udayapur, Katari-3</t>
  </si>
  <si>
    <t>Makwanpur, Hetauda-9</t>
  </si>
  <si>
    <t>Palpa, Rainadevi Chhahara-5</t>
  </si>
  <si>
    <t>Kathmandu, Tokha-7</t>
  </si>
  <si>
    <t>Solukhumbu, Thulung dudhkoshi-3</t>
  </si>
  <si>
    <t>Mahottari, Bardibas-3</t>
  </si>
  <si>
    <t>Ramechhap, Ramechap-3</t>
  </si>
  <si>
    <t>Ramechhap, Ramechap-5</t>
  </si>
  <si>
    <t>Rautahat, Chandrapur-8</t>
  </si>
  <si>
    <t>Ramechhap, Khadadevi-7</t>
  </si>
  <si>
    <t>Darchula, Malikarjun-2</t>
  </si>
  <si>
    <t>Makwanpur, Makwanpurgadhi-6</t>
  </si>
  <si>
    <t>Kathmandu, Gokarneshwor-5</t>
  </si>
  <si>
    <t>Makwanpur, Indrasarowar-1</t>
  </si>
  <si>
    <t>Darchula, Mahakali-8</t>
  </si>
  <si>
    <t>Ramechap, Sunapati-2</t>
  </si>
  <si>
    <t>Udayapur, Udayapurgadhi-4</t>
  </si>
  <si>
    <t>Kathmandu, Kageswori manohara-1</t>
  </si>
  <si>
    <t>Kathmandu, Kathmandu-5</t>
  </si>
  <si>
    <t>Kathmandu, Kathmandu-28</t>
  </si>
  <si>
    <t>Khotang, Barahapokhari-1</t>
  </si>
  <si>
    <t>Kathmandu, Shankharapur-7</t>
  </si>
  <si>
    <t>Morang, Pathari Shanischare-1</t>
  </si>
  <si>
    <t>Mahottari, Bardibas-5</t>
  </si>
  <si>
    <t>Dhading, Dhunibesi-3</t>
  </si>
  <si>
    <t>Dhading, Gajuri-1</t>
  </si>
  <si>
    <t>Kavrepalanchok, Banepa-2</t>
  </si>
  <si>
    <t>Sunsari, Duhabi-8</t>
  </si>
  <si>
    <t>Dhading, Khaniyabas-4</t>
  </si>
  <si>
    <t>Okhaldunga, Champadevi-8</t>
  </si>
  <si>
    <t>Sunsari, Dharan-13</t>
  </si>
  <si>
    <t>Sindhupalchowk, Lisankhu Pakhar-7</t>
  </si>
  <si>
    <t>Kathmandu, Kathmandu-30</t>
  </si>
  <si>
    <t>Bhaktapur, Changunarayan-5</t>
  </si>
  <si>
    <t>Sindhuli, Phikkal-5</t>
  </si>
  <si>
    <t>Tehrathum, Chhathar-2</t>
  </si>
  <si>
    <t>Kathmandu, Kathmandu-15</t>
  </si>
  <si>
    <t>Bhaktapur, Changunarayan-7</t>
  </si>
  <si>
    <t>Morang, Kanepokhari-6</t>
  </si>
  <si>
    <t>Jhapa, Gauradah-4</t>
  </si>
  <si>
    <t>Okhaldhunga, Manebhanjyang-6</t>
  </si>
  <si>
    <t>Syangja, Waling-6</t>
  </si>
  <si>
    <t>Makwanpur, Hetauda-10</t>
  </si>
  <si>
    <t>Gorkha, Sahid Lakhan-8</t>
  </si>
  <si>
    <t>Kathmandu, Gokarneswor-4</t>
  </si>
  <si>
    <t>Kathmandu, Budanilkantha-12</t>
  </si>
  <si>
    <t>Khotang, Ainselukharka-7</t>
  </si>
  <si>
    <t>Jhapa, Kamal-4</t>
  </si>
  <si>
    <t>Achham, Sanfebagar-4</t>
  </si>
  <si>
    <t>Kathmandu, Kathmandu-4</t>
  </si>
  <si>
    <t>Kavrepalanchok, Mandandeupur-10</t>
  </si>
  <si>
    <t>Makwanpur, Hetauda-6</t>
  </si>
  <si>
    <t>Udayapur, Tiyuga-5</t>
  </si>
  <si>
    <t>Banke, Kohalpur-10</t>
  </si>
  <si>
    <t>Okhaldhunga, Champadevi-8</t>
  </si>
  <si>
    <t>Sunsari, Inaruwa-1</t>
  </si>
  <si>
    <t>Kathmandu, Budanilkantha-9</t>
  </si>
  <si>
    <t>Kathmandu, Kathmandu-29</t>
  </si>
  <si>
    <t>Okhaldhunga, Champadevi-9</t>
  </si>
  <si>
    <t>Bhojpur, Hatuwagadhi-7</t>
  </si>
  <si>
    <t>Kathmandu, Shankharapur-3</t>
  </si>
  <si>
    <t>Sindhupalchowk, Melamchi-6</t>
  </si>
  <si>
    <t>Bara, Jitpursimara-3</t>
  </si>
  <si>
    <t>Ramechhap, DorambaSailung-4</t>
  </si>
  <si>
    <t>Rautahat, FatuwaBijaypur-9</t>
  </si>
  <si>
    <t>hGd ldlt</t>
  </si>
  <si>
    <t>ejfgL tfdfª nfdf</t>
  </si>
  <si>
    <t>k|uNe sfsL{</t>
  </si>
  <si>
    <t>cEo'bo sfsL{</t>
  </si>
  <si>
    <t>pld{nf j:tL</t>
  </si>
  <si>
    <t>6'd gfy Kofs'/]n</t>
  </si>
  <si>
    <t>/Ltf e§/fO{</t>
  </si>
  <si>
    <t>l;h{gf e§/fO{</t>
  </si>
  <si>
    <t>;fljlq Kofs'/]n</t>
  </si>
  <si>
    <t>s]zj k|;fb Kofs'/]n</t>
  </si>
  <si>
    <t>ljsf; sfsL{</t>
  </si>
  <si>
    <t>lbks axfb'/ e§/fO{</t>
  </si>
  <si>
    <t>s[i0f k|;fb Kofs'/]n</t>
  </si>
  <si>
    <t>7'nf] sfG5f] sfdL</t>
  </si>
  <si>
    <t>k|d] s'df/L sldgL</t>
  </si>
  <si>
    <t>dlgtf l/;fn</t>
  </si>
  <si>
    <t>l8s axfb'/ laZjsdf{</t>
  </si>
  <si>
    <t>;+sNk lt?jf</t>
  </si>
  <si>
    <t>cfg{e lt?jf</t>
  </si>
  <si>
    <t>b'uf{ k|;fb bfxfn</t>
  </si>
  <si>
    <t>;lGbk kl/of/</t>
  </si>
  <si>
    <t>l;tf clwsf/L</t>
  </si>
  <si>
    <t>;'/]z clwsf/L</t>
  </si>
  <si>
    <t>/~hgf 5Ts'nL</t>
  </si>
  <si>
    <t>;'a|t clwsf/L</t>
  </si>
  <si>
    <t>k'0o k|;fb l3ld/]</t>
  </si>
  <si>
    <t>uf]df l3ld/]</t>
  </si>
  <si>
    <t>cfo'iff l3ld/]</t>
  </si>
  <si>
    <t>cf/f]Uo l3ld/]</t>
  </si>
  <si>
    <t>/fh]z s'df/ lji6</t>
  </si>
  <si>
    <t>OlGb/f kl/of/</t>
  </si>
  <si>
    <t>ljs|d kl/of/</t>
  </si>
  <si>
    <t>k|ltIff kf}8]n kl/of/</t>
  </si>
  <si>
    <t>lji0f' kl/of/</t>
  </si>
  <si>
    <t>nIdL yfkf du/</t>
  </si>
  <si>
    <t>;ld{nf kl/of/</t>
  </si>
  <si>
    <t>k|lts kl/of/</t>
  </si>
  <si>
    <t>s]ljg kl/of/</t>
  </si>
  <si>
    <t>Zofd vqL</t>
  </si>
  <si>
    <t>;'s dfof nfdf</t>
  </si>
  <si>
    <t>/fh' dfemL</t>
  </si>
  <si>
    <t>;lGbk dfemL</t>
  </si>
  <si>
    <t>ljgf]b dfemL</t>
  </si>
  <si>
    <t>;+emgf sfsL{</t>
  </si>
  <si>
    <t>;'o{ axfb'/ sfsL{</t>
  </si>
  <si>
    <t>;'hg sfsL{</t>
  </si>
  <si>
    <t>s]z/ axfb'/ dxt</t>
  </si>
  <si>
    <t>eujtL dxt</t>
  </si>
  <si>
    <t>gj/fh dxt</t>
  </si>
  <si>
    <t>gljgf dxt</t>
  </si>
  <si>
    <t>emg s'df/L sfsL{ a:g]t</t>
  </si>
  <si>
    <t>;l/tf 5]qL</t>
  </si>
  <si>
    <t>led axfb'/ a:g]t</t>
  </si>
  <si>
    <t>pT;j 9sfn</t>
  </si>
  <si>
    <t>;'lhtf rf}nfufO{</t>
  </si>
  <si>
    <t>/fh]Gb| k|;fb 9sfn</t>
  </si>
  <si>
    <t>uLtf 9sfn</t>
  </si>
  <si>
    <t>:jl:tsf 9sfn</t>
  </si>
  <si>
    <t>l&gt;l4sf 9sfn</t>
  </si>
  <si>
    <t>;'o{ k|;fb vltj8f</t>
  </si>
  <si>
    <t>hgs nfn vltj8f</t>
  </si>
  <si>
    <t>dGh' vltj8f</t>
  </si>
  <si>
    <t>s';'d lg/f}nf</t>
  </si>
  <si>
    <t>ejfgL af:sf]6f</t>
  </si>
  <si>
    <t>ofbj k|;fb af:sf]6f</t>
  </si>
  <si>
    <t>cg' af:sf]6f</t>
  </si>
  <si>
    <t>cg'k /fh af:sf]6f</t>
  </si>
  <si>
    <t>ltndfof l3ld/]</t>
  </si>
  <si>
    <t>;'jf; /fhjfxs</t>
  </si>
  <si>
    <t>kf;fË nfdf</t>
  </si>
  <si>
    <t>s'Ëzª /fhjfxs</t>
  </si>
  <si>
    <t>sfo/j /fhjfxs</t>
  </si>
  <si>
    <t>sfo/f /fhjfxs</t>
  </si>
  <si>
    <t>hLjg sfsL{</t>
  </si>
  <si>
    <t>s'zn sfsL{</t>
  </si>
  <si>
    <t>nIdL a:g]t</t>
  </si>
  <si>
    <t>sNkgf sfsL{</t>
  </si>
  <si>
    <t>sljtf sfsL{</t>
  </si>
  <si>
    <t>jh| l;+x vltj8f</t>
  </si>
  <si>
    <t>aGbgf vltj8f</t>
  </si>
  <si>
    <t>lalgtf nIdL vltj8f</t>
  </si>
  <si>
    <t>ljh]z vltj8f</t>
  </si>
  <si>
    <t>l6sf /fd sfsL{</t>
  </si>
  <si>
    <t>gf/fo0fL sfsL{</t>
  </si>
  <si>
    <t>e'k]Gb| sfsL{</t>
  </si>
  <si>
    <t>cf]d h+u sfsL{</t>
  </si>
  <si>
    <t>n]v gfy sfsL{</t>
  </si>
  <si>
    <t>Plnhf s]=;L</t>
  </si>
  <si>
    <t>cf/f]Uo sfsL{</t>
  </si>
  <si>
    <t>/fs]z &gt;]i7</t>
  </si>
  <si>
    <t>bof /fd vqL</t>
  </si>
  <si>
    <t>z'e]R5f lai6</t>
  </si>
  <si>
    <t>;fgeL s]=;L</t>
  </si>
  <si>
    <t>;Gtf]if s]=;L</t>
  </si>
  <si>
    <t>;Gd]3 s]=;L</t>
  </si>
  <si>
    <t>uf]df s]=;L vqL</t>
  </si>
  <si>
    <t>lgd{nf vqL</t>
  </si>
  <si>
    <t>;'dg &gt;]i7</t>
  </si>
  <si>
    <t>sfn'dfg &gt;]i7</t>
  </si>
  <si>
    <t>/fdb]jL &gt;]i7</t>
  </si>
  <si>
    <t>/lagf &gt;]i7</t>
  </si>
  <si>
    <t>l;h{g &gt;]i7</t>
  </si>
  <si>
    <t>&gt;LofG;f &gt;]i7</t>
  </si>
  <si>
    <t>lszg l;x wfdL</t>
  </si>
  <si>
    <t>hd'gf wfdL</t>
  </si>
  <si>
    <t>s[:6Lgf wfdL</t>
  </si>
  <si>
    <t>s|Lhg wfdL</t>
  </si>
  <si>
    <t>lhjg v8\sf</t>
  </si>
  <si>
    <t>nIdL a/fn</t>
  </si>
  <si>
    <t>cfo"w las|d v8\sf</t>
  </si>
  <si>
    <t>cdfo/f v8\sf</t>
  </si>
  <si>
    <t>s'df/ sF'j/</t>
  </si>
  <si>
    <t>:j:tLsf sF'j/</t>
  </si>
  <si>
    <t>;/:jtL sF'j/</t>
  </si>
  <si>
    <t>;'eb|f sF'j/</t>
  </si>
  <si>
    <t>slkn k|;fb kf}8]n</t>
  </si>
  <si>
    <t>Clif/fd pkfWofo</t>
  </si>
  <si>
    <t>;Ltf kf}8]n</t>
  </si>
  <si>
    <t>;lGbk kf}8]n</t>
  </si>
  <si>
    <t>a]b axfb'/ &gt;]i7</t>
  </si>
  <si>
    <t>l/tf clwsf/L</t>
  </si>
  <si>
    <t>k|;+zf &gt;]i7</t>
  </si>
  <si>
    <t>k|frL clwsf/L</t>
  </si>
  <si>
    <t>k|Zgf clwsf/L</t>
  </si>
  <si>
    <t>b'uf{ axfb'/ IfqL</t>
  </si>
  <si>
    <t>cf;f b]jL IfqL</t>
  </si>
  <si>
    <t>/fx'n IfqL</t>
  </si>
  <si>
    <t>b]asL -vqL_ s]=;L</t>
  </si>
  <si>
    <t>k|1fg sfsL{</t>
  </si>
  <si>
    <t>cg' v8\sf</t>
  </si>
  <si>
    <t>d]l/sf sfsL{</t>
  </si>
  <si>
    <t>;+ho s'df/ nfdf</t>
  </si>
  <si>
    <t>;l/tf nfdf</t>
  </si>
  <si>
    <t>;f]gn nfdf</t>
  </si>
  <si>
    <t>;fof]g nfdf</t>
  </si>
  <si>
    <t>u0f]z axfb'/ &gt;]i7</t>
  </si>
  <si>
    <t>/fh s'df/ &gt;]i7</t>
  </si>
  <si>
    <t>lbn s'df/L &gt;]i7</t>
  </si>
  <si>
    <t>;Gtf]if &gt;]i7</t>
  </si>
  <si>
    <t>lg? la=s</t>
  </si>
  <si>
    <t>6]s axfb'/ ljZjsdf{</t>
  </si>
  <si>
    <t>lgzfg uxt/fh</t>
  </si>
  <si>
    <t>zf]ef vqL</t>
  </si>
  <si>
    <t>dg s'df/ vqL</t>
  </si>
  <si>
    <t>l8s /fh vqL</t>
  </si>
  <si>
    <t>ljzfn vqL</t>
  </si>
  <si>
    <t>clgn l;njfn</t>
  </si>
  <si>
    <t>;lgtf ;fksf]6f</t>
  </si>
  <si>
    <t>;'lk|d l;njfn</t>
  </si>
  <si>
    <t>;Ltf/fd &gt;]i7</t>
  </si>
  <si>
    <t>s[i0f dfof &gt;]i7</t>
  </si>
  <si>
    <t>/d]z l;+v8f</t>
  </si>
  <si>
    <t>;Ltf l;+v8f</t>
  </si>
  <si>
    <t>lbk]z l;+v8f</t>
  </si>
  <si>
    <t>l/g' u'?ª</t>
  </si>
  <si>
    <t>k|sfz u'?ª</t>
  </si>
  <si>
    <t>k|lgz u'?ª</t>
  </si>
  <si>
    <t>l/D;f u'?ª</t>
  </si>
  <si>
    <t>/Ltf bdfO{</t>
  </si>
  <si>
    <t>l;tf bdfO{</t>
  </si>
  <si>
    <t>l/hg bdfO{</t>
  </si>
  <si>
    <t>;'af; dfb]g lnDj'</t>
  </si>
  <si>
    <t>/f]hg dfb]g</t>
  </si>
  <si>
    <t>/]xg dfb]g</t>
  </si>
  <si>
    <t>k'ikf hj]u'</t>
  </si>
  <si>
    <t>;'bz{g ;fksf]6f</t>
  </si>
  <si>
    <t>;"o{axfb'/ ;fksf]6f</t>
  </si>
  <si>
    <t>u+uf ;fksf]6f</t>
  </si>
  <si>
    <t>v]ds'df/L ;fksf]6f -aflgof_</t>
  </si>
  <si>
    <t>;'lbk ;fksf]6f</t>
  </si>
  <si>
    <t>cfo'if ;fksf]6f</t>
  </si>
  <si>
    <t>cleif]s ;fksf]6f</t>
  </si>
  <si>
    <t>d]g'sf b]lj &gt;]i7</t>
  </si>
  <si>
    <t>hfd'g &gt;]i7</t>
  </si>
  <si>
    <t>h]l;sf &gt;]i7</t>
  </si>
  <si>
    <t>a;Gt s]=;L</t>
  </si>
  <si>
    <t>lzj s]=;L</t>
  </si>
  <si>
    <t>cK;/f s]=;L</t>
  </si>
  <si>
    <t>gljgf kf08]</t>
  </si>
  <si>
    <t>aiff{ s]=;L</t>
  </si>
  <si>
    <t>gf/fo0f vqL s]=;L</t>
  </si>
  <si>
    <t>lalgtf v8\sf</t>
  </si>
  <si>
    <t>c?0f s]=;L</t>
  </si>
  <si>
    <t>c?0ff s]=;L</t>
  </si>
  <si>
    <t>ljefg s]=;L</t>
  </si>
  <si>
    <t>zfGt axfb'/ yfkf</t>
  </si>
  <si>
    <t>ljgf v8\sf</t>
  </si>
  <si>
    <t>gGb lszf]/ k|;fb</t>
  </si>
  <si>
    <t>;ltif k|;fb</t>
  </si>
  <si>
    <t>cflzif u'Ktf</t>
  </si>
  <si>
    <t>k|ltdf tfdf+u</t>
  </si>
  <si>
    <t>ld¶f/fd v8\sf</t>
  </si>
  <si>
    <t>cg' v8\sf /f]Ssf</t>
  </si>
  <si>
    <t>slkn v8\sf</t>
  </si>
  <si>
    <t>;'hn v8\sf</t>
  </si>
  <si>
    <t>gf/fo0f v8\sf</t>
  </si>
  <si>
    <t>;fg' v8\sf</t>
  </si>
  <si>
    <t>;fu/ v8\sf</t>
  </si>
  <si>
    <t>;fhg v8\sf</t>
  </si>
  <si>
    <t>?b| axfb'/ sfsL{</t>
  </si>
  <si>
    <t>rGb| s'df/L sfsL{</t>
  </si>
  <si>
    <t>d]; s'df/L sfsL{</t>
  </si>
  <si>
    <t>l6sf s'df/L sfsL{</t>
  </si>
  <si>
    <t>cf]d axfb'/ e08f/L</t>
  </si>
  <si>
    <t>nLnf e08f/L</t>
  </si>
  <si>
    <t>s]zj axfb'/ e08f/L</t>
  </si>
  <si>
    <t>cflzif e08f/L</t>
  </si>
  <si>
    <t>dlgiff s]=;L</t>
  </si>
  <si>
    <t>Zofd k'nfdL du/</t>
  </si>
  <si>
    <t>sNkgf k'nfdL du/</t>
  </si>
  <si>
    <t>;+ho k'nfdL du/</t>
  </si>
  <si>
    <t>k'ikf kf7s</t>
  </si>
  <si>
    <t>;ofg k'nfdL du/</t>
  </si>
  <si>
    <t>;fOdf]g k'nfdL du/</t>
  </si>
  <si>
    <t>nfn axfb'/ s8]n</t>
  </si>
  <si>
    <t>1fgs'df/L s8]n</t>
  </si>
  <si>
    <t>?xg s8]n</t>
  </si>
  <si>
    <t>clDasf yfkf</t>
  </si>
  <si>
    <t>lqk]Gb| yfkf If]qL</t>
  </si>
  <si>
    <t>lIflth yfkf</t>
  </si>
  <si>
    <t>ck]Iff yfkf</t>
  </si>
  <si>
    <t>led;]g sfsL{</t>
  </si>
  <si>
    <t>s]z/ axfb'/ &gt;]i7</t>
  </si>
  <si>
    <t>;+lutf &gt;]i7</t>
  </si>
  <si>
    <t>;ljgf &gt;]i7</t>
  </si>
  <si>
    <t>;lngf &gt;]i7</t>
  </si>
  <si>
    <t>/f]zg &gt;]i7</t>
  </si>
  <si>
    <t>z'lznf &gt;]i7</t>
  </si>
  <si>
    <t>xl/ k|;fb &gt;]i7</t>
  </si>
  <si>
    <t>lgzfg &gt;]i7</t>
  </si>
  <si>
    <t>lg/h &gt;]i7</t>
  </si>
  <si>
    <t>af;'b]a dNn</t>
  </si>
  <si>
    <t>rËf &gt;]i7</t>
  </si>
  <si>
    <t>lxt]]Gb| yfkf If]qL</t>
  </si>
  <si>
    <t>cGh' ;'a]bL</t>
  </si>
  <si>
    <t>xlif{t yfkf If]qL</t>
  </si>
  <si>
    <t>cfudg yfkf If]qL</t>
  </si>
  <si>
    <t>lbAof uf}td</t>
  </si>
  <si>
    <t>k|sfz uf}td</t>
  </si>
  <si>
    <t>k|Ghn uf}td</t>
  </si>
  <si>
    <t>k|z+;f uf}td</t>
  </si>
  <si>
    <t>ofbj k|;fb af;sf]6f</t>
  </si>
  <si>
    <t>hfgsL v8\sf</t>
  </si>
  <si>
    <t>lr/fu v8\sf</t>
  </si>
  <si>
    <t>sljtf v8\sf</t>
  </si>
  <si>
    <t>lzj s'df/ r'8fn</t>
  </si>
  <si>
    <t>;+uLtf r'8fn</t>
  </si>
  <si>
    <t>cl:dtf r'8fn</t>
  </si>
  <si>
    <t>k|]/0ff r'8fn</t>
  </si>
  <si>
    <t>lg? ljZjsdf{</t>
  </si>
  <si>
    <t>lg;fg uxt/fh</t>
  </si>
  <si>
    <t>s'zn l;+x wfdL</t>
  </si>
  <si>
    <t>&gt;LdtL snfjtL b]jL wfdL</t>
  </si>
  <si>
    <t>gljg l;x wfdL</t>
  </si>
  <si>
    <t>s[i0f k|;fb rDnfufO{</t>
  </si>
  <si>
    <t>cl:dtf rDnfufO{</t>
  </si>
  <si>
    <t>cfo'if rDnfufO{</t>
  </si>
  <si>
    <t>cfo'idf rDnfufO{</t>
  </si>
  <si>
    <t>cGh' &gt;]i7</t>
  </si>
  <si>
    <t>cfs[t &gt;]i7</t>
  </si>
  <si>
    <t>k|s[t &gt;]i7</t>
  </si>
  <si>
    <t>cf:yf /fHo nIdL &gt;]i7</t>
  </si>
  <si>
    <t>hLt axfb'/ a'9fyf]sL</t>
  </si>
  <si>
    <t>l/tf s]=;L</t>
  </si>
  <si>
    <t>s[idf a'9fyf]sL</t>
  </si>
  <si>
    <t>k|lht a'9fyf]sL</t>
  </si>
  <si>
    <t>zld{nf dfof uf}td</t>
  </si>
  <si>
    <t>ljsf;s lu/L</t>
  </si>
  <si>
    <t>rGb| axfb'/ a:g]t</t>
  </si>
  <si>
    <t>kz'klt a:g]t</t>
  </si>
  <si>
    <t>ljzfn a:g]t</t>
  </si>
  <si>
    <t>ljj]s a:g]t</t>
  </si>
  <si>
    <t>v8\u axfb'/ &gt;]i7</t>
  </si>
  <si>
    <t>cl:dtf &gt;]i7</t>
  </si>
  <si>
    <t>cldt &gt;]i7</t>
  </si>
  <si>
    <t>;'l:dtf &gt;]i7</t>
  </si>
  <si>
    <t>;'jf]n v8\sf</t>
  </si>
  <si>
    <t>uf]df v8\sf</t>
  </si>
  <si>
    <t>;+lugf v8\sf</t>
  </si>
  <si>
    <t>;+ud v8\sf</t>
  </si>
  <si>
    <t>clgtf tfdfª</t>
  </si>
  <si>
    <t>k]Daf bf]h]{ tfdfª</t>
  </si>
  <si>
    <t>las|d tfdfª</t>
  </si>
  <si>
    <t>;+lha tfdfª</t>
  </si>
  <si>
    <t>k'gd ;]8fO ld&gt;</t>
  </si>
  <si>
    <t>s]bf/ yfkf</t>
  </si>
  <si>
    <t>ljzfn yfkf</t>
  </si>
  <si>
    <t>jiff{ yfkf</t>
  </si>
  <si>
    <t>/f]lhgf yfkf</t>
  </si>
  <si>
    <t>ljjz yfkf</t>
  </si>
  <si>
    <t>ljZjf; yfkf</t>
  </si>
  <si>
    <t>;'lgtf /}nf</t>
  </si>
  <si>
    <t>;Dj[lb yfkf</t>
  </si>
  <si>
    <t>a]|G8]g yfkf</t>
  </si>
  <si>
    <t>k'?iff]Qd v8\sf</t>
  </si>
  <si>
    <t>;'lznf v8\sf</t>
  </si>
  <si>
    <t>k'ikf v8\sf</t>
  </si>
  <si>
    <t>k'is/ v8\sf</t>
  </si>
  <si>
    <t>Rofd' nfn rf}w/L</t>
  </si>
  <si>
    <t>lg/h rf}w/L</t>
  </si>
  <si>
    <t>lgzfGt rf}w/L</t>
  </si>
  <si>
    <t>e'jg rf}w/L</t>
  </si>
  <si>
    <t>l8NnL s'df/L &gt;]i7</t>
  </si>
  <si>
    <t>k|]d axfb'/ &gt;]i7</t>
  </si>
  <si>
    <t>k'gd &gt;]i7</t>
  </si>
  <si>
    <t>k|lbk &gt;]i7</t>
  </si>
  <si>
    <t>o1 axfb'/ j/fn</t>
  </si>
  <si>
    <t>/df &gt;]i7</t>
  </si>
  <si>
    <t>;f]d s'df/ /fO{</t>
  </si>
  <si>
    <t>vf]l/gf /fO{</t>
  </si>
  <si>
    <t>s?0ff /fO{</t>
  </si>
  <si>
    <t>hf]/dtL /fO{</t>
  </si>
  <si>
    <t>/fdnfn l3ld/]</t>
  </si>
  <si>
    <t>led s'df/L b'nfn</t>
  </si>
  <si>
    <t>tf/fgfy b'nfn</t>
  </si>
  <si>
    <t>dLgfb]jL ;'j]bL</t>
  </si>
  <si>
    <t>;'/h b'nfn</t>
  </si>
  <si>
    <t>;'htf b'nfn</t>
  </si>
  <si>
    <t>5]q axfb'/ &gt;]i7</t>
  </si>
  <si>
    <t>;]tL dfof &gt;]i7</t>
  </si>
  <si>
    <t>Vofg axfb'/ &gt;]i7</t>
  </si>
  <si>
    <t>clgz &gt;]i7</t>
  </si>
  <si>
    <t>clgzf &gt;]i7</t>
  </si>
  <si>
    <t>s]zj s'df/ &gt;]i7</t>
  </si>
  <si>
    <t>lutf b]jL &gt;]i7</t>
  </si>
  <si>
    <t>;l/g s'df/ &gt;]i7</t>
  </si>
  <si>
    <t>;lng s'df/ &gt;]i7</t>
  </si>
  <si>
    <t>u+uf/fd 8+uf]n</t>
  </si>
  <si>
    <t>sfnLdfof 8+uf]n</t>
  </si>
  <si>
    <t>g/Wjh yfkf</t>
  </si>
  <si>
    <t>;+lutf yfkf</t>
  </si>
  <si>
    <t>g/dfof yfkf</t>
  </si>
  <si>
    <t>;ld/ yfkf</t>
  </si>
  <si>
    <t>s[i0f k|;fb rf}nfufO{</t>
  </si>
  <si>
    <t>cl:dtf rf}nfufO{</t>
  </si>
  <si>
    <t>cfo'if rf}nfufO{</t>
  </si>
  <si>
    <t>cfo'idf rf}nfufO{</t>
  </si>
  <si>
    <t>/fh]Gb| k|;fb kf]v|]n</t>
  </si>
  <si>
    <t>d08Lsf yfdL</t>
  </si>
  <si>
    <t>/:dL kf]v|]n</t>
  </si>
  <si>
    <t>ef]h s'df/L kf}8]n</t>
  </si>
  <si>
    <t>;GbLk kf}8]n</t>
  </si>
  <si>
    <t>nIdL k|;fb ltjf/L</t>
  </si>
  <si>
    <t>k"0f{ dfof clwsf/L</t>
  </si>
  <si>
    <t>s[i0f k|;fb ltjf/L</t>
  </si>
  <si>
    <t>/Tg s'df/L &gt;]i7</t>
  </si>
  <si>
    <t>/fd nfn &gt;]i7</t>
  </si>
  <si>
    <t>;/:jtL &gt;]i7</t>
  </si>
  <si>
    <t>l/ltdf &gt;]i7</t>
  </si>
  <si>
    <t>cflbTo &gt;]i7</t>
  </si>
  <si>
    <t>hLa k|;fb bfxfn</t>
  </si>
  <si>
    <t>s]z/ s'df/L bfxfn</t>
  </si>
  <si>
    <t>lgzf zdf{</t>
  </si>
  <si>
    <t>kf]if0f s'df/L zdf{</t>
  </si>
  <si>
    <t>g]z' zdf{</t>
  </si>
  <si>
    <t>piff zdf{</t>
  </si>
  <si>
    <t>rGb| axfb'ª a:g]t</t>
  </si>
  <si>
    <t>kz'klt sfsL{</t>
  </si>
  <si>
    <t>r'8fd0fL vgfn</t>
  </si>
  <si>
    <t>;'gfb]jL clwsf/L</t>
  </si>
  <si>
    <t>;'j0f{ vgfn</t>
  </si>
  <si>
    <t>d'/f/L ;'j]bL</t>
  </si>
  <si>
    <t>;'ldqf ;'j]bL</t>
  </si>
  <si>
    <t>laa]s ;'j]bL</t>
  </si>
  <si>
    <t>;[li6 ;'j]bL</t>
  </si>
  <si>
    <t>6]s axfb'/ du/ jnDkfsL</t>
  </si>
  <si>
    <t>lnnf dfof du/</t>
  </si>
  <si>
    <t xml:space="preserve">;Gtf]if anDkfsL du/ </t>
  </si>
  <si>
    <t>ladnf s'df/L du/</t>
  </si>
  <si>
    <t xml:space="preserve">/]zd anDkfsL du/ </t>
  </si>
  <si>
    <t>;Gtf]sL vqL</t>
  </si>
  <si>
    <t>gfgL/fd v8\sf</t>
  </si>
  <si>
    <t>bNnL ljZjsdf{</t>
  </si>
  <si>
    <t>1fg axfb'/ ljZjsdf{</t>
  </si>
  <si>
    <t>kq'; j/fOnL</t>
  </si>
  <si>
    <t>lagf sfdL</t>
  </si>
  <si>
    <t>o1 axfb'/ ljZjsdf{</t>
  </si>
  <si>
    <t>uf]df ljZjsdf{</t>
  </si>
  <si>
    <t>ld/f j/fOnL</t>
  </si>
  <si>
    <t>Oefg j/fOnL</t>
  </si>
  <si>
    <t>O;fs j/fOnL</t>
  </si>
  <si>
    <t>bf]rL{ z]kf{</t>
  </si>
  <si>
    <t>ldªdf nd' z]kf{</t>
  </si>
  <si>
    <t>k]Daf gf];f{ª z]kf{</t>
  </si>
  <si>
    <t>kf;fª 5f]6Lg z]kf{</t>
  </si>
  <si>
    <t>;+lhj tfdfª</t>
  </si>
  <si>
    <t>led axfb'/ &gt;]i7</t>
  </si>
  <si>
    <t>ladnf &gt;]i7</t>
  </si>
  <si>
    <t>cle &gt;]i7</t>
  </si>
  <si>
    <t>cfef &gt;]i7</t>
  </si>
  <si>
    <t>cfhsf] ldlt</t>
  </si>
  <si>
    <t>aif{</t>
  </si>
  <si>
    <t>du/</t>
  </si>
  <si>
    <t>First name</t>
  </si>
  <si>
    <t>Surname</t>
  </si>
  <si>
    <t>Religion</t>
  </si>
  <si>
    <t>count</t>
  </si>
  <si>
    <t>&gt;LdtL pld{nf lh;L</t>
  </si>
  <si>
    <t>a'4L axfb'/ lh;L</t>
  </si>
  <si>
    <t>ldng s'df/ lh;L</t>
  </si>
  <si>
    <t>sNkgf s]=;L</t>
  </si>
  <si>
    <t>Land ownership (Paisa)</t>
  </si>
  <si>
    <t>Ropani</t>
  </si>
  <si>
    <t>Aana</t>
  </si>
  <si>
    <t>Daam</t>
  </si>
  <si>
    <t>Paisa</t>
  </si>
  <si>
    <t>-</t>
  </si>
  <si>
    <t>Jaat</t>
  </si>
  <si>
    <t>Chettri</t>
  </si>
  <si>
    <t>janajati</t>
  </si>
  <si>
    <t>brahmin</t>
  </si>
  <si>
    <t>chettri</t>
  </si>
  <si>
    <t>dalit</t>
  </si>
  <si>
    <t>Marital stutus</t>
  </si>
  <si>
    <t>Married</t>
  </si>
  <si>
    <t>Unmarried</t>
  </si>
  <si>
    <t>Literacy status</t>
  </si>
  <si>
    <t>Count</t>
  </si>
  <si>
    <t>Brahmin</t>
  </si>
  <si>
    <t>Dalit</t>
  </si>
  <si>
    <t>Janajati</t>
  </si>
  <si>
    <t xml:space="preserve">विकास </t>
  </si>
  <si>
    <t>कार्की</t>
  </si>
  <si>
    <t>भट्टराई</t>
  </si>
  <si>
    <t>प्याकुरेल</t>
  </si>
  <si>
    <t>कामी</t>
  </si>
  <si>
    <t>रिसाल</t>
  </si>
  <si>
    <t>दाहाल</t>
  </si>
  <si>
    <t>परियार</t>
  </si>
  <si>
    <t>अधिकारी</t>
  </si>
  <si>
    <t>घिमिरे</t>
  </si>
  <si>
    <t>विष्ट</t>
  </si>
  <si>
    <t>खत्री</t>
  </si>
  <si>
    <t>लामा</t>
  </si>
  <si>
    <t>महत</t>
  </si>
  <si>
    <t>बस्नेत</t>
  </si>
  <si>
    <t>ढकाल</t>
  </si>
  <si>
    <t>खतिवडा</t>
  </si>
  <si>
    <t>बास्कोटा</t>
  </si>
  <si>
    <t>वलम्पाकी</t>
  </si>
  <si>
    <t xml:space="preserve">दिपक </t>
  </si>
  <si>
    <t xml:space="preserve">कृष्ण </t>
  </si>
  <si>
    <t xml:space="preserve">ठुलो </t>
  </si>
  <si>
    <t xml:space="preserve">मनिता </t>
  </si>
  <si>
    <t xml:space="preserve">दुर्गा </t>
  </si>
  <si>
    <t xml:space="preserve">सन्दिप </t>
  </si>
  <si>
    <t xml:space="preserve">सिता </t>
  </si>
  <si>
    <t xml:space="preserve">पुण्य </t>
  </si>
  <si>
    <t xml:space="preserve">राजेश </t>
  </si>
  <si>
    <t xml:space="preserve">इन्दिरा </t>
  </si>
  <si>
    <t xml:space="preserve">श्याम </t>
  </si>
  <si>
    <t xml:space="preserve">सुकमाया </t>
  </si>
  <si>
    <t xml:space="preserve">संझना </t>
  </si>
  <si>
    <t xml:space="preserve">केशर </t>
  </si>
  <si>
    <t xml:space="preserve">झन </t>
  </si>
  <si>
    <t xml:space="preserve">उत्सव </t>
  </si>
  <si>
    <t xml:space="preserve">सुर्य </t>
  </si>
  <si>
    <t xml:space="preserve">भवानी </t>
  </si>
  <si>
    <t xml:space="preserve">जीवन </t>
  </si>
  <si>
    <t>धामी</t>
  </si>
  <si>
    <t>खड्का</t>
  </si>
  <si>
    <t>कुँवर</t>
  </si>
  <si>
    <t xml:space="preserve">वज्र </t>
  </si>
  <si>
    <t xml:space="preserve">टिकाराम </t>
  </si>
  <si>
    <t xml:space="preserve">टेक </t>
  </si>
  <si>
    <t>क्षत्री</t>
  </si>
  <si>
    <t>जिसी</t>
  </si>
  <si>
    <t xml:space="preserve">सन्तोकी </t>
  </si>
  <si>
    <t xml:space="preserve">दया </t>
  </si>
  <si>
    <t>गुरुङ</t>
  </si>
  <si>
    <t xml:space="preserve">दल्ली </t>
  </si>
  <si>
    <t>विश्वकर्मा</t>
  </si>
  <si>
    <t>लिम्वु</t>
  </si>
  <si>
    <t xml:space="preserve">दोर्ची </t>
  </si>
  <si>
    <t>शेर्पा</t>
  </si>
  <si>
    <t>केसी</t>
  </si>
  <si>
    <t>प्रसाद</t>
  </si>
  <si>
    <t>भण्डारी</t>
  </si>
  <si>
    <t>मगर</t>
  </si>
  <si>
    <t xml:space="preserve">किशन </t>
  </si>
  <si>
    <t xml:space="preserve">जिवन </t>
  </si>
  <si>
    <t xml:space="preserve">कुमार </t>
  </si>
  <si>
    <t xml:space="preserve">बेद </t>
  </si>
  <si>
    <t>श्रेष्ठ</t>
  </si>
  <si>
    <t>थापा</t>
  </si>
  <si>
    <t>मल्ल</t>
  </si>
  <si>
    <t>क्षेत्री</t>
  </si>
  <si>
    <t xml:space="preserve">प्राची </t>
  </si>
  <si>
    <t xml:space="preserve">श्रीमती </t>
  </si>
  <si>
    <t>बासकोटा</t>
  </si>
  <si>
    <t>चुडाल</t>
  </si>
  <si>
    <t xml:space="preserve">संजय </t>
  </si>
  <si>
    <t xml:space="preserve">रत्न </t>
  </si>
  <si>
    <t>तामाङ</t>
  </si>
  <si>
    <t>मिश्र</t>
  </si>
  <si>
    <t xml:space="preserve">गणेश </t>
  </si>
  <si>
    <t xml:space="preserve">शोभा </t>
  </si>
  <si>
    <t>वराल</t>
  </si>
  <si>
    <t xml:space="preserve">सीता </t>
  </si>
  <si>
    <t>डंगोल</t>
  </si>
  <si>
    <t>चम्लागाई</t>
  </si>
  <si>
    <t>पोख्रेल</t>
  </si>
  <si>
    <t>पौडेल</t>
  </si>
  <si>
    <t>तिवारी</t>
  </si>
  <si>
    <t>खनाल</t>
  </si>
  <si>
    <t>सुवेदी</t>
  </si>
  <si>
    <t xml:space="preserve">रमेश </t>
  </si>
  <si>
    <t>सिंखडा</t>
  </si>
  <si>
    <t xml:space="preserve">रिनु </t>
  </si>
  <si>
    <t xml:space="preserve">रीता </t>
  </si>
  <si>
    <t>दमाई</t>
  </si>
  <si>
    <t xml:space="preserve">सुबास </t>
  </si>
  <si>
    <t xml:space="preserve">सुदर्शन </t>
  </si>
  <si>
    <t>सापकोटा</t>
  </si>
  <si>
    <t xml:space="preserve">मेनुका </t>
  </si>
  <si>
    <t xml:space="preserve">बसन्त </t>
  </si>
  <si>
    <t xml:space="preserve">नारायण </t>
  </si>
  <si>
    <t xml:space="preserve">नन्द </t>
  </si>
  <si>
    <t xml:space="preserve">मिठ्ठा </t>
  </si>
  <si>
    <t xml:space="preserve">रुद्र </t>
  </si>
  <si>
    <t xml:space="preserve">ओम </t>
  </si>
  <si>
    <t xml:space="preserve">लाल </t>
  </si>
  <si>
    <t>कडेल</t>
  </si>
  <si>
    <t xml:space="preserve">अम्बिका </t>
  </si>
  <si>
    <t xml:space="preserve">बासुदेब </t>
  </si>
  <si>
    <t xml:space="preserve">हितेन्द्र </t>
  </si>
  <si>
    <t xml:space="preserve">दिब्या </t>
  </si>
  <si>
    <t>गौतम</t>
  </si>
  <si>
    <t xml:space="preserve">यादव </t>
  </si>
  <si>
    <t xml:space="preserve">जानकी </t>
  </si>
  <si>
    <t xml:space="preserve">शिव </t>
  </si>
  <si>
    <t xml:space="preserve">निरु </t>
  </si>
  <si>
    <t xml:space="preserve">कुशल </t>
  </si>
  <si>
    <t xml:space="preserve">जीत </t>
  </si>
  <si>
    <t>बुढथोकी</t>
  </si>
  <si>
    <t xml:space="preserve">शर्मिला </t>
  </si>
  <si>
    <t xml:space="preserve">खड्ग </t>
  </si>
  <si>
    <t xml:space="preserve">अनिता </t>
  </si>
  <si>
    <t xml:space="preserve">पुनम </t>
  </si>
  <si>
    <t xml:space="preserve">केदार </t>
  </si>
  <si>
    <t xml:space="preserve">पुरुषोत्तम </t>
  </si>
  <si>
    <t xml:space="preserve">च्यामु </t>
  </si>
  <si>
    <t>चौधरी</t>
  </si>
  <si>
    <t xml:space="preserve">डिल्ली </t>
  </si>
  <si>
    <t xml:space="preserve">यज्ञ </t>
  </si>
  <si>
    <t xml:space="preserve">सोम </t>
  </si>
  <si>
    <t>राई</t>
  </si>
  <si>
    <t xml:space="preserve">रामलाल </t>
  </si>
  <si>
    <t xml:space="preserve">छेत्र </t>
  </si>
  <si>
    <t xml:space="preserve">केशव </t>
  </si>
  <si>
    <t xml:space="preserve">गंगाराम </t>
  </si>
  <si>
    <t xml:space="preserve">नरध्वज </t>
  </si>
  <si>
    <t xml:space="preserve">राजेन्द्र </t>
  </si>
  <si>
    <t xml:space="preserve">कपिल </t>
  </si>
  <si>
    <t xml:space="preserve">लक्ष्मी </t>
  </si>
  <si>
    <t xml:space="preserve">जीब </t>
  </si>
  <si>
    <t xml:space="preserve">चन्द्र </t>
  </si>
  <si>
    <t xml:space="preserve">चुडामणी </t>
  </si>
  <si>
    <t xml:space="preserve">मुरारी </t>
  </si>
  <si>
    <t>Unique</t>
  </si>
  <si>
    <t>Name</t>
  </si>
  <si>
    <t>First Name</t>
  </si>
  <si>
    <t>Sex</t>
  </si>
  <si>
    <t>Literate</t>
  </si>
  <si>
    <t>Illiterate</t>
  </si>
  <si>
    <t>literate</t>
  </si>
  <si>
    <t>literacy count</t>
  </si>
  <si>
    <t>unique</t>
  </si>
  <si>
    <t>ropani</t>
  </si>
  <si>
    <t>Literacy count variety</t>
  </si>
  <si>
    <t>Ethnicity</t>
  </si>
  <si>
    <t>Hindu</t>
  </si>
  <si>
    <t>Buddhist</t>
  </si>
  <si>
    <t>Christian</t>
  </si>
  <si>
    <t>Water source</t>
  </si>
  <si>
    <t>5yrs above</t>
  </si>
  <si>
    <t>Well</t>
  </si>
  <si>
    <t>Boring</t>
  </si>
  <si>
    <t>Piped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</si>
  <si>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</si>
  <si>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</si>
  <si>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</si>
  <si>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</si>
  <si>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</si>
  <si>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</si>
  <si>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</si>
  <si>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</si>
  <si>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</si>
  <si>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</si>
  <si>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</si>
  <si>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54-59</t>
  </si>
  <si>
    <t>60-64</t>
  </si>
  <si>
    <t>65+</t>
  </si>
  <si>
    <t xml:space="preserve">aif{ </t>
  </si>
  <si>
    <t>male</t>
  </si>
  <si>
    <t>female</t>
  </si>
  <si>
    <t>Marital Status count</t>
  </si>
  <si>
    <t>Marriage</t>
  </si>
  <si>
    <t>Work/Job</t>
  </si>
  <si>
    <t>Dependent family member</t>
  </si>
  <si>
    <t>Study/Training</t>
  </si>
  <si>
    <t>Other</t>
  </si>
  <si>
    <t>Agriculture</t>
  </si>
  <si>
    <t>Business</t>
  </si>
  <si>
    <t>Natural disaster</t>
  </si>
  <si>
    <t>Return</t>
  </si>
  <si>
    <t>Not stated</t>
  </si>
  <si>
    <t>Private job</t>
  </si>
  <si>
    <t>Government job</t>
  </si>
  <si>
    <t>Foreign Employment</t>
  </si>
  <si>
    <t>Satisfaction</t>
  </si>
  <si>
    <t>Yes</t>
  </si>
  <si>
    <t>No</t>
  </si>
  <si>
    <t>Reason for leaving place of origin</t>
  </si>
  <si>
    <t>limited market</t>
  </si>
  <si>
    <t>limited arable land</t>
  </si>
  <si>
    <t>limited job opportunity</t>
  </si>
  <si>
    <t>victim of conflict</t>
  </si>
  <si>
    <t>limited infrastructure</t>
  </si>
  <si>
    <t>Himself/Herself</t>
  </si>
  <si>
    <t>Spouse/children</t>
  </si>
  <si>
    <t>Near Relatives</t>
  </si>
  <si>
    <t>Friends</t>
  </si>
  <si>
    <t>Employers/Neighbors</t>
  </si>
  <si>
    <t>Responsible Person</t>
  </si>
  <si>
    <t>Solukhumbu, Mahakulung-1</t>
  </si>
  <si>
    <t>Same as before</t>
  </si>
  <si>
    <t>Insufficient health facilities</t>
  </si>
  <si>
    <t>Inadequate Development Funding</t>
  </si>
  <si>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Bad social environment</t>
    </r>
  </si>
  <si>
    <t>Inadequate Drinking water supply</t>
  </si>
  <si>
    <t>Lack of employment opportunity</t>
  </si>
  <si>
    <t>Problem facing by inmigrants in destination</t>
  </si>
  <si>
    <t xml:space="preserve"> Bad social environment</t>
  </si>
  <si>
    <t>Permanency</t>
  </si>
  <si>
    <t>Another Village/Town</t>
  </si>
  <si>
    <t>Culture</t>
  </si>
  <si>
    <t>Occupation</t>
  </si>
  <si>
    <t>Food Habit</t>
  </si>
  <si>
    <t>Better Education</t>
  </si>
  <si>
    <t>Increase in income</t>
  </si>
  <si>
    <t>Origin Income</t>
  </si>
  <si>
    <t>Destination Income</t>
  </si>
  <si>
    <t>below 10,000</t>
  </si>
  <si>
    <t>10000-19000</t>
  </si>
  <si>
    <t>20000-29000</t>
  </si>
  <si>
    <t>30000-39000</t>
  </si>
  <si>
    <t>40000-49000</t>
  </si>
  <si>
    <t>50000 and above</t>
  </si>
  <si>
    <t>Occupation Origin</t>
  </si>
  <si>
    <t>Occupation Destination</t>
  </si>
  <si>
    <t>Transportation</t>
  </si>
  <si>
    <t>Communication</t>
  </si>
  <si>
    <t>School</t>
  </si>
  <si>
    <t>Hospital</t>
  </si>
  <si>
    <t>Electricity</t>
  </si>
  <si>
    <t>Available</t>
  </si>
  <si>
    <t>Limited</t>
  </si>
  <si>
    <t>Come here</t>
  </si>
  <si>
    <t>Go to another place</t>
  </si>
  <si>
    <t>Suggestion</t>
  </si>
  <si>
    <t>As you 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</si>
</sst>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yyyy\-mm\-dd"/>
    <numFmt numFmtId="166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reeti"/>
    </font>
    <font>
      <sz val="14"/>
      <color theme="1"/>
      <name val="Preeti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4"/>
      <color rgb="FFFF0000"/>
      <name val="Preeti"/>
    </font>
    <font>
      <sz val="11"/>
      <color rgb="FFFF0000"/>
      <name val="Times New Roman"/>
      <family val="1"/>
    </font>
    <font>
      <b/>
      <sz val="11"/>
      <color rgb="FFFF0000"/>
      <name val="Preeti"/>
    </font>
    <font>
      <sz val="14"/>
      <color rgb="FFFF0000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3" fillId="0" borderId="0" xfId="0" quotePrefix="1" applyFont="1"/>
    <xf numFmtId="2" fontId="0" fillId="0" borderId="0" xfId="0" applyNumberForma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2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10" fillId="0" borderId="0" xfId="0" applyFont="1" applyAlignment="1">
      <alignment horizontal="center" vertical="center"/>
    </xf>
    <xf numFmtId="165" fontId="10" fillId="0" borderId="0" xfId="0" applyNumberFormat="1" applyFont="1"/>
    <xf numFmtId="0" fontId="8" fillId="2" borderId="0" xfId="0" applyFont="1" applyFill="1"/>
    <xf numFmtId="49" fontId="0" fillId="0" borderId="0" xfId="0" applyNumberFormat="1"/>
    <xf numFmtId="0" fontId="11" fillId="0" borderId="0" xfId="0" applyFont="1"/>
    <xf numFmtId="0" fontId="12" fillId="0" borderId="0" xfId="0" applyFont="1"/>
    <xf numFmtId="2" fontId="10" fillId="0" borderId="0" xfId="0" applyNumberFormat="1" applyFont="1"/>
    <xf numFmtId="164" fontId="13" fillId="0" borderId="0" xfId="0" applyNumberFormat="1" applyFont="1"/>
    <xf numFmtId="0" fontId="10" fillId="0" borderId="0" xfId="0" applyFont="1"/>
    <xf numFmtId="0" fontId="14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9" fillId="3" borderId="0" xfId="0" applyFont="1" applyFill="1"/>
    <xf numFmtId="0" fontId="1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vertical="center"/>
    </xf>
    <xf numFmtId="0" fontId="18" fillId="4" borderId="12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7"/>
  <sheetViews>
    <sheetView topLeftCell="A25" zoomScaleNormal="100" workbookViewId="0">
      <selection activeCell="F417" sqref="F417"/>
    </sheetView>
  </sheetViews>
  <sheetFormatPr defaultRowHeight="14.4" x14ac:dyDescent="0.3"/>
  <cols>
    <col min="1" max="1" width="5.109375" style="4" bestFit="1" customWidth="1"/>
    <col min="2" max="2" width="25.6640625" hidden="1" customWidth="1"/>
    <col min="3" max="3" width="25.33203125" bestFit="1" customWidth="1"/>
    <col min="4" max="4" width="10.5546875" bestFit="1" customWidth="1"/>
    <col min="5" max="5" width="9" bestFit="1" customWidth="1"/>
    <col min="6" max="6" width="9" customWidth="1"/>
    <col min="7" max="7" width="10.33203125" customWidth="1"/>
    <col min="8" max="8" width="10.33203125" hidden="1" customWidth="1"/>
    <col min="9" max="9" width="7.109375" hidden="1" customWidth="1"/>
    <col min="10" max="10" width="5.44140625" hidden="1" customWidth="1"/>
    <col min="11" max="11" width="6" hidden="1" customWidth="1"/>
    <col min="12" max="12" width="5.88671875" hidden="1" customWidth="1"/>
    <col min="13" max="13" width="11.5546875" hidden="1" customWidth="1"/>
    <col min="14" max="14" width="11.5546875" bestFit="1" customWidth="1"/>
    <col min="15" max="17" width="9" customWidth="1"/>
    <col min="18" max="18" width="11.5546875" bestFit="1" customWidth="1"/>
    <col min="19" max="19" width="18" bestFit="1" customWidth="1"/>
    <col min="20" max="20" width="11.5546875" bestFit="1" customWidth="1"/>
    <col min="21" max="21" width="17.6640625" style="2" bestFit="1" customWidth="1"/>
    <col min="22" max="22" width="5.44140625" style="2" bestFit="1" customWidth="1"/>
    <col min="23" max="23" width="5.5546875" style="2" bestFit="1" customWidth="1"/>
    <col min="24" max="24" width="7.5546875" style="2" bestFit="1" customWidth="1"/>
    <col min="25" max="25" width="14.88671875" bestFit="1" customWidth="1"/>
    <col min="26" max="26" width="35.33203125" bestFit="1" customWidth="1"/>
    <col min="27" max="27" width="33.109375" bestFit="1" customWidth="1"/>
    <col min="28" max="28" width="19.5546875" bestFit="1" customWidth="1"/>
  </cols>
  <sheetData>
    <row r="1" spans="1:28" ht="15" customHeight="1" x14ac:dyDescent="0.3">
      <c r="A1" s="56" t="s">
        <v>103</v>
      </c>
      <c r="B1" s="7" t="s">
        <v>102</v>
      </c>
      <c r="C1" s="56" t="s">
        <v>104</v>
      </c>
      <c r="D1" s="56" t="s">
        <v>735</v>
      </c>
      <c r="E1" s="56" t="s">
        <v>736</v>
      </c>
      <c r="F1" s="56" t="s">
        <v>904</v>
      </c>
      <c r="G1" s="58" t="s">
        <v>755</v>
      </c>
      <c r="H1" s="58" t="s">
        <v>758</v>
      </c>
      <c r="I1" s="60" t="s">
        <v>743</v>
      </c>
      <c r="J1" s="61"/>
      <c r="K1" s="61"/>
      <c r="L1" s="62"/>
      <c r="M1" s="63" t="s">
        <v>733</v>
      </c>
      <c r="N1" s="63" t="s">
        <v>342</v>
      </c>
      <c r="O1" s="56" t="s">
        <v>738</v>
      </c>
      <c r="P1" s="56" t="s">
        <v>737</v>
      </c>
      <c r="Q1" s="56" t="s">
        <v>749</v>
      </c>
      <c r="R1" s="63" t="s">
        <v>732</v>
      </c>
      <c r="S1" s="56" t="s">
        <v>106</v>
      </c>
      <c r="T1" s="56" t="s">
        <v>107</v>
      </c>
      <c r="U1" s="56" t="s">
        <v>101</v>
      </c>
      <c r="V1" s="48" t="s">
        <v>105</v>
      </c>
      <c r="W1" s="49"/>
      <c r="X1" s="50"/>
      <c r="Y1" s="51" t="s">
        <v>236</v>
      </c>
      <c r="Z1" s="52" t="s">
        <v>246</v>
      </c>
      <c r="AA1" s="53" t="s">
        <v>243</v>
      </c>
      <c r="AB1" s="55" t="s">
        <v>247</v>
      </c>
    </row>
    <row r="2" spans="1:28" x14ac:dyDescent="0.3">
      <c r="A2" s="57"/>
      <c r="B2" s="7"/>
      <c r="C2" s="57"/>
      <c r="D2" s="57"/>
      <c r="E2" s="57"/>
      <c r="F2" s="57"/>
      <c r="G2" s="59"/>
      <c r="H2" s="59"/>
      <c r="I2" s="18" t="s">
        <v>744</v>
      </c>
      <c r="J2" s="17" t="s">
        <v>745</v>
      </c>
      <c r="K2" s="17" t="s">
        <v>746</v>
      </c>
      <c r="L2" s="17" t="s">
        <v>747</v>
      </c>
      <c r="M2" s="64"/>
      <c r="N2" s="64"/>
      <c r="O2" s="57"/>
      <c r="P2" s="57"/>
      <c r="Q2" s="57"/>
      <c r="R2" s="64"/>
      <c r="S2" s="57"/>
      <c r="T2" s="57"/>
      <c r="U2" s="57"/>
      <c r="V2" s="7" t="s">
        <v>232</v>
      </c>
      <c r="W2" s="7" t="s">
        <v>233</v>
      </c>
      <c r="X2" s="7" t="s">
        <v>234</v>
      </c>
      <c r="Y2" s="51"/>
      <c r="Z2" s="52"/>
      <c r="AA2" s="53"/>
      <c r="AB2" s="55"/>
    </row>
    <row r="3" spans="1:28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  <c r="W3" s="11"/>
      <c r="X3" s="11"/>
      <c r="Y3" s="12"/>
      <c r="Z3" s="10"/>
      <c r="AA3" s="10"/>
    </row>
    <row r="4" spans="1:28" ht="18" x14ac:dyDescent="0.35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/>
      <c r="I4">
        <v>0</v>
      </c>
      <c r="J4" s="16">
        <f>2+1</f>
        <v>3</v>
      </c>
      <c r="K4" s="16">
        <f>3+3</f>
        <v>6</v>
      </c>
      <c r="L4" s="16">
        <v>1</v>
      </c>
      <c r="M4" s="15">
        <f t="shared" ref="M4:M67" si="1">(R4-N4)/365</f>
        <v>42.989041095890414</v>
      </c>
      <c r="N4" s="5">
        <v>51266</v>
      </c>
      <c r="O4" s="16">
        <f>COUNTIF($E$4:$E$416,P4)</f>
        <v>26</v>
      </c>
      <c r="P4" s="13" t="str" cm="1">
        <f t="array" ref="P4:P89">_xlfn.UNIQUE(E4:E416)</f>
        <v>sfsL{</v>
      </c>
      <c r="Q4" s="16" t="s">
        <v>750</v>
      </c>
      <c r="R4" s="5">
        <v>66957</v>
      </c>
      <c r="S4" t="s">
        <v>1</v>
      </c>
      <c r="T4" s="5">
        <v>66897</v>
      </c>
      <c r="U4" s="2" t="s">
        <v>2</v>
      </c>
      <c r="V4" s="3">
        <v>4</v>
      </c>
      <c r="W4" s="3">
        <v>3</v>
      </c>
      <c r="X4" s="3">
        <v>1</v>
      </c>
      <c r="Y4" t="s">
        <v>242</v>
      </c>
      <c r="Z4" t="s">
        <v>339</v>
      </c>
      <c r="AA4" t="s">
        <v>245</v>
      </c>
      <c r="AB4" s="13"/>
    </row>
    <row r="5" spans="1:28" ht="18" x14ac:dyDescent="0.35">
      <c r="A5" s="6"/>
      <c r="C5" s="13" t="s">
        <v>343</v>
      </c>
      <c r="D5" s="13" t="str">
        <f t="shared" si="0"/>
        <v xml:space="preserve">ejfgL </v>
      </c>
      <c r="E5" s="13" t="str">
        <f t="shared" ref="E5:E68" si="2">TRIM(RIGHT(SUBSTITUTE(C5," ",REPT(" ",255)),255))</f>
        <v>nfdf</v>
      </c>
      <c r="F5" s="21" t="s">
        <v>234</v>
      </c>
      <c r="G5" s="21" t="s">
        <v>756</v>
      </c>
      <c r="H5" s="21"/>
      <c r="I5" s="16"/>
      <c r="J5" s="16"/>
      <c r="K5" s="16"/>
      <c r="L5" s="16"/>
      <c r="M5" s="15">
        <f t="shared" si="1"/>
        <v>39.147945205479452</v>
      </c>
      <c r="N5" s="5">
        <v>52668</v>
      </c>
      <c r="O5" s="16">
        <f t="shared" ref="O5:O68" si="3">COUNTIF($E$4:$E$416,P5)</f>
        <v>7</v>
      </c>
      <c r="P5" s="13" t="str">
        <v>nfdf</v>
      </c>
      <c r="Q5" s="16" t="s">
        <v>751</v>
      </c>
      <c r="R5" s="5">
        <v>66957</v>
      </c>
      <c r="T5" s="5"/>
      <c r="V5" s="3"/>
      <c r="W5" s="3"/>
      <c r="X5" s="3"/>
    </row>
    <row r="6" spans="1:28" ht="18" x14ac:dyDescent="0.35">
      <c r="A6" s="6"/>
      <c r="C6" s="13" t="s">
        <v>344</v>
      </c>
      <c r="D6" s="13" t="str">
        <f t="shared" si="0"/>
        <v xml:space="preserve">k|uNe </v>
      </c>
      <c r="E6" s="13" t="str">
        <f t="shared" si="2"/>
        <v>sfsL{</v>
      </c>
      <c r="F6" s="21" t="s">
        <v>233</v>
      </c>
      <c r="G6" s="21" t="s">
        <v>757</v>
      </c>
      <c r="H6" s="21"/>
      <c r="I6" s="16"/>
      <c r="J6" s="16"/>
      <c r="K6" s="16"/>
      <c r="L6" s="16"/>
      <c r="M6" s="15">
        <f t="shared" si="1"/>
        <v>16.443835616438356</v>
      </c>
      <c r="N6" s="5">
        <v>60955</v>
      </c>
      <c r="O6" s="16">
        <f t="shared" si="3"/>
        <v>5</v>
      </c>
      <c r="P6" s="13" t="str">
        <v>e§/fO{</v>
      </c>
      <c r="Q6" s="16" t="s">
        <v>752</v>
      </c>
      <c r="R6" s="5">
        <v>66957</v>
      </c>
      <c r="T6" s="5"/>
      <c r="V6" s="3"/>
      <c r="W6" s="3"/>
      <c r="X6" s="3"/>
    </row>
    <row r="7" spans="1:28" ht="18" x14ac:dyDescent="0.35">
      <c r="A7" s="6"/>
      <c r="C7" s="13" t="s">
        <v>345</v>
      </c>
      <c r="D7" s="13" t="str">
        <f t="shared" si="0"/>
        <v xml:space="preserve">cEo'bo </v>
      </c>
      <c r="E7" s="13" t="str">
        <f t="shared" si="2"/>
        <v>sfsL{</v>
      </c>
      <c r="F7" s="21" t="s">
        <v>233</v>
      </c>
      <c r="G7" s="21" t="s">
        <v>757</v>
      </c>
      <c r="H7" s="21"/>
      <c r="I7" s="16"/>
      <c r="J7" s="16"/>
      <c r="K7" s="16"/>
      <c r="L7" s="16"/>
      <c r="M7" s="15">
        <f t="shared" si="1"/>
        <v>3.0246575342465754</v>
      </c>
      <c r="N7" s="5">
        <v>65853</v>
      </c>
      <c r="O7" s="16">
        <f t="shared" si="3"/>
        <v>1</v>
      </c>
      <c r="P7" s="13" t="str">
        <v>j:tL</v>
      </c>
      <c r="Q7" s="16" t="s">
        <v>753</v>
      </c>
      <c r="R7" s="5">
        <v>66957</v>
      </c>
      <c r="T7" s="5"/>
      <c r="V7" s="3"/>
      <c r="W7" s="3"/>
      <c r="X7" s="3"/>
    </row>
    <row r="8" spans="1:28" ht="18" x14ac:dyDescent="0.35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2"/>
        <v>e§/fO{</v>
      </c>
      <c r="F8" s="21" t="s">
        <v>233</v>
      </c>
      <c r="G8" s="21" t="s">
        <v>756</v>
      </c>
      <c r="H8" s="21"/>
      <c r="I8" s="16">
        <v>0</v>
      </c>
      <c r="J8" s="16">
        <f>1+3</f>
        <v>4</v>
      </c>
      <c r="K8" s="16">
        <v>0</v>
      </c>
      <c r="L8" s="16">
        <v>0</v>
      </c>
      <c r="M8" s="15">
        <f t="shared" si="1"/>
        <v>47.167123287671231</v>
      </c>
      <c r="N8" s="5">
        <v>49741</v>
      </c>
      <c r="O8" s="16">
        <f t="shared" si="3"/>
        <v>4</v>
      </c>
      <c r="P8" s="13" t="str">
        <v>Kofs'/]n</v>
      </c>
      <c r="Q8" s="16" t="s">
        <v>752</v>
      </c>
      <c r="R8" s="5">
        <v>66957</v>
      </c>
      <c r="S8" t="s">
        <v>4</v>
      </c>
      <c r="T8" s="5">
        <v>66890</v>
      </c>
      <c r="U8" s="2" t="s">
        <v>2</v>
      </c>
      <c r="V8" s="2">
        <v>4</v>
      </c>
      <c r="W8" s="2">
        <v>2</v>
      </c>
      <c r="X8" s="2">
        <v>2</v>
      </c>
      <c r="Y8" t="s">
        <v>242</v>
      </c>
      <c r="Z8" t="s">
        <v>332</v>
      </c>
      <c r="AA8" t="s">
        <v>245</v>
      </c>
      <c r="AB8" s="13" t="str">
        <f>C8</f>
        <v>lbks axfb'/ e§/fO{</v>
      </c>
    </row>
    <row r="9" spans="1:28" ht="18" x14ac:dyDescent="0.35">
      <c r="A9" s="6"/>
      <c r="C9" s="13" t="s">
        <v>346</v>
      </c>
      <c r="D9" s="13" t="str">
        <f t="shared" si="0"/>
        <v xml:space="preserve">pld{nf </v>
      </c>
      <c r="E9" s="13" t="str">
        <f t="shared" si="2"/>
        <v>j:tL</v>
      </c>
      <c r="F9" s="21" t="s">
        <v>234</v>
      </c>
      <c r="G9" s="21" t="s">
        <v>756</v>
      </c>
      <c r="H9" s="21"/>
      <c r="I9" s="16"/>
      <c r="J9" s="16"/>
      <c r="K9" s="16"/>
      <c r="L9" s="16"/>
      <c r="M9" s="15">
        <f t="shared" si="1"/>
        <v>40.983561643835614</v>
      </c>
      <c r="N9" s="5">
        <v>51998</v>
      </c>
      <c r="O9" s="16">
        <f t="shared" si="3"/>
        <v>2</v>
      </c>
      <c r="P9" s="13" t="str">
        <v>sfdL</v>
      </c>
      <c r="Q9" s="16" t="s">
        <v>754</v>
      </c>
      <c r="R9" s="5">
        <v>66957</v>
      </c>
      <c r="T9" s="5"/>
      <c r="V9" s="3"/>
      <c r="W9" s="3"/>
      <c r="X9" s="3"/>
    </row>
    <row r="10" spans="1:28" ht="18" x14ac:dyDescent="0.35">
      <c r="A10" s="6"/>
      <c r="C10" s="13" t="s">
        <v>348</v>
      </c>
      <c r="D10" s="13" t="str">
        <f t="shared" si="0"/>
        <v xml:space="preserve">/Ltf </v>
      </c>
      <c r="E10" s="13" t="str">
        <f t="shared" si="2"/>
        <v>e§/fO{</v>
      </c>
      <c r="F10" s="21" t="s">
        <v>234</v>
      </c>
      <c r="G10" s="21" t="s">
        <v>757</v>
      </c>
      <c r="H10" s="21"/>
      <c r="I10" s="16"/>
      <c r="J10" s="16"/>
      <c r="K10" s="16"/>
      <c r="L10" s="16"/>
      <c r="M10" s="15">
        <f t="shared" si="1"/>
        <v>17.117808219178084</v>
      </c>
      <c r="N10" s="5">
        <v>60709</v>
      </c>
      <c r="O10" s="16">
        <f t="shared" si="3"/>
        <v>1</v>
      </c>
      <c r="P10" s="13" t="str">
        <v>sldgL</v>
      </c>
      <c r="Q10" s="16" t="s">
        <v>754</v>
      </c>
      <c r="R10" s="5">
        <v>66957</v>
      </c>
      <c r="T10" s="5"/>
      <c r="V10" s="3"/>
      <c r="W10" s="3"/>
      <c r="X10" s="3"/>
    </row>
    <row r="11" spans="1:28" ht="18" x14ac:dyDescent="0.35">
      <c r="A11" s="6"/>
      <c r="C11" s="13" t="s">
        <v>345</v>
      </c>
      <c r="D11" s="13" t="str">
        <f t="shared" si="0"/>
        <v xml:space="preserve">cEo'bo </v>
      </c>
      <c r="E11" s="13" t="str">
        <f t="shared" si="2"/>
        <v>sfsL{</v>
      </c>
      <c r="F11" s="21" t="s">
        <v>233</v>
      </c>
      <c r="G11" s="21" t="s">
        <v>757</v>
      </c>
      <c r="H11" s="21"/>
      <c r="I11" s="16"/>
      <c r="J11" s="16"/>
      <c r="K11" s="16"/>
      <c r="L11" s="16"/>
      <c r="M11" s="15">
        <f t="shared" si="1"/>
        <v>14.632876712328768</v>
      </c>
      <c r="N11" s="5">
        <v>61616</v>
      </c>
      <c r="O11" s="16">
        <f t="shared" si="3"/>
        <v>1</v>
      </c>
      <c r="P11" s="13" t="str">
        <v>l/;fn</v>
      </c>
      <c r="Q11" s="16" t="s">
        <v>752</v>
      </c>
      <c r="R11" s="5">
        <v>66957</v>
      </c>
      <c r="T11" s="5"/>
      <c r="V11" s="3"/>
      <c r="W11" s="3"/>
      <c r="X11" s="3"/>
    </row>
    <row r="12" spans="1:28" ht="18" x14ac:dyDescent="0.35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2"/>
        <v>Kofs'/]n</v>
      </c>
      <c r="F12" s="21" t="s">
        <v>233</v>
      </c>
      <c r="G12" s="21" t="s">
        <v>756</v>
      </c>
      <c r="H12" s="21"/>
      <c r="I12" s="16">
        <v>0</v>
      </c>
      <c r="J12" s="16">
        <v>2</v>
      </c>
      <c r="K12" s="16">
        <v>3</v>
      </c>
      <c r="L12" s="16">
        <v>0</v>
      </c>
      <c r="M12" s="15">
        <f t="shared" si="1"/>
        <v>26.136986301369863</v>
      </c>
      <c r="N12" s="5">
        <v>57417</v>
      </c>
      <c r="O12" s="16">
        <f t="shared" si="3"/>
        <v>1</v>
      </c>
      <c r="P12" s="13" t="str">
        <v>laZjsdf{</v>
      </c>
      <c r="Q12" s="16" t="s">
        <v>754</v>
      </c>
      <c r="R12" s="5">
        <v>66957</v>
      </c>
      <c r="T12" s="5">
        <v>66876</v>
      </c>
      <c r="U12" s="2" t="s">
        <v>2</v>
      </c>
      <c r="V12" s="2">
        <v>5</v>
      </c>
      <c r="W12" s="2">
        <v>3</v>
      </c>
      <c r="X12" s="2">
        <v>2</v>
      </c>
      <c r="Y12" t="s">
        <v>242</v>
      </c>
      <c r="Z12" t="s">
        <v>338</v>
      </c>
      <c r="AA12" t="s">
        <v>245</v>
      </c>
      <c r="AB12" s="13" t="str">
        <f>C12</f>
        <v>s[i0f k|;fb Kofs'/]n</v>
      </c>
    </row>
    <row r="13" spans="1:28" ht="18" x14ac:dyDescent="0.35">
      <c r="A13" s="6"/>
      <c r="C13" s="13" t="s">
        <v>347</v>
      </c>
      <c r="D13" s="13" t="str">
        <f t="shared" si="0"/>
        <v xml:space="preserve">6'd </v>
      </c>
      <c r="E13" s="13" t="str">
        <f t="shared" si="2"/>
        <v>Kofs'/]n</v>
      </c>
      <c r="F13" s="21" t="s">
        <v>233</v>
      </c>
      <c r="G13" s="21" t="s">
        <v>756</v>
      </c>
      <c r="H13" s="21"/>
      <c r="I13" s="16"/>
      <c r="J13" s="16"/>
      <c r="K13" s="16"/>
      <c r="L13" s="16"/>
      <c r="M13" s="15">
        <f t="shared" si="1"/>
        <v>68.216438356164389</v>
      </c>
      <c r="N13" s="5">
        <v>42058</v>
      </c>
      <c r="O13" s="16">
        <f t="shared" si="3"/>
        <v>2</v>
      </c>
      <c r="P13" s="13" t="str">
        <v>lt?jf</v>
      </c>
      <c r="Q13" s="16" t="s">
        <v>750</v>
      </c>
      <c r="R13" s="5">
        <v>66957</v>
      </c>
      <c r="T13" s="5"/>
      <c r="V13" s="3"/>
      <c r="W13" s="3"/>
      <c r="X13" s="3"/>
    </row>
    <row r="14" spans="1:28" ht="18" x14ac:dyDescent="0.35">
      <c r="A14" s="6"/>
      <c r="C14" s="13" t="s">
        <v>349</v>
      </c>
      <c r="D14" s="13" t="str">
        <f t="shared" si="0"/>
        <v xml:space="preserve">l;h{gf </v>
      </c>
      <c r="E14" s="13" t="str">
        <f t="shared" si="2"/>
        <v>e§/fO{</v>
      </c>
      <c r="F14" s="21" t="s">
        <v>234</v>
      </c>
      <c r="G14" s="21" t="s">
        <v>756</v>
      </c>
      <c r="H14" s="21"/>
      <c r="I14" s="16"/>
      <c r="J14" s="16"/>
      <c r="K14" s="16"/>
      <c r="L14" s="16"/>
      <c r="M14" s="15">
        <f t="shared" si="1"/>
        <v>26.186301369863013</v>
      </c>
      <c r="N14" s="5">
        <v>57399</v>
      </c>
      <c r="O14" s="16">
        <f t="shared" si="3"/>
        <v>3</v>
      </c>
      <c r="P14" s="13" t="str">
        <v>bfxfn</v>
      </c>
      <c r="Q14" s="16" t="s">
        <v>752</v>
      </c>
      <c r="R14" s="5">
        <v>66957</v>
      </c>
      <c r="T14" s="5"/>
      <c r="V14" s="3"/>
      <c r="W14" s="3"/>
      <c r="X14" s="3"/>
    </row>
    <row r="15" spans="1:28" ht="18" x14ac:dyDescent="0.35">
      <c r="A15" s="6"/>
      <c r="C15" s="13" t="s">
        <v>350</v>
      </c>
      <c r="D15" s="13" t="str">
        <f t="shared" si="0"/>
        <v xml:space="preserve">;fljlq </v>
      </c>
      <c r="E15" s="13" t="str">
        <f t="shared" si="2"/>
        <v>Kofs'/]n</v>
      </c>
      <c r="F15" s="21" t="s">
        <v>234</v>
      </c>
      <c r="G15" s="21" t="s">
        <v>757</v>
      </c>
      <c r="H15" s="21"/>
      <c r="I15" s="16"/>
      <c r="J15" s="16"/>
      <c r="K15" s="16"/>
      <c r="L15" s="16"/>
      <c r="M15" s="15">
        <f t="shared" si="1"/>
        <v>3.2273972602739724</v>
      </c>
      <c r="N15" s="5">
        <v>65779</v>
      </c>
      <c r="O15" s="16">
        <f t="shared" si="3"/>
        <v>8</v>
      </c>
      <c r="P15" s="13" t="str">
        <v>kl/of/</v>
      </c>
      <c r="Q15" s="16" t="s">
        <v>754</v>
      </c>
      <c r="R15" s="5">
        <v>66957</v>
      </c>
      <c r="T15" s="5"/>
      <c r="V15" s="3"/>
      <c r="W15" s="3"/>
      <c r="X15" s="3"/>
    </row>
    <row r="16" spans="1:28" ht="18" x14ac:dyDescent="0.35">
      <c r="A16" s="6"/>
      <c r="C16" s="13" t="s">
        <v>351</v>
      </c>
      <c r="D16" s="13" t="str">
        <f t="shared" si="0"/>
        <v xml:space="preserve">s]zj </v>
      </c>
      <c r="E16" s="13" t="str">
        <f t="shared" si="2"/>
        <v>Kofs'/]n</v>
      </c>
      <c r="F16" s="21" t="s">
        <v>233</v>
      </c>
      <c r="G16" s="21" t="s">
        <v>757</v>
      </c>
      <c r="H16" s="21"/>
      <c r="I16" s="16"/>
      <c r="J16" s="16"/>
      <c r="K16" s="16"/>
      <c r="L16" s="16"/>
      <c r="M16" s="15">
        <f t="shared" si="1"/>
        <v>0.34246575342465752</v>
      </c>
      <c r="N16" s="5">
        <v>66832</v>
      </c>
      <c r="O16" s="16">
        <f t="shared" si="3"/>
        <v>8</v>
      </c>
      <c r="P16" s="13" t="str">
        <v>clwsf/L</v>
      </c>
      <c r="Q16" s="16" t="s">
        <v>752</v>
      </c>
      <c r="R16" s="5">
        <v>66957</v>
      </c>
      <c r="T16" s="5"/>
      <c r="V16" s="3"/>
      <c r="W16" s="3"/>
      <c r="X16" s="3"/>
    </row>
    <row r="17" spans="1:28" ht="18" x14ac:dyDescent="0.35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2"/>
        <v>sfdL</v>
      </c>
      <c r="F17" s="21" t="s">
        <v>233</v>
      </c>
      <c r="G17" s="21" t="s">
        <v>756</v>
      </c>
      <c r="H17" s="21"/>
      <c r="I17" s="16">
        <f>1+1+(3)</f>
        <v>5</v>
      </c>
      <c r="J17" s="16">
        <v>3</v>
      </c>
      <c r="K17" s="16">
        <f>2</f>
        <v>2</v>
      </c>
      <c r="L17" s="19">
        <f>3.99</f>
        <v>3.99</v>
      </c>
      <c r="M17" s="15">
        <f t="shared" si="1"/>
        <v>66.301369863013704</v>
      </c>
      <c r="N17" s="5">
        <v>42757</v>
      </c>
      <c r="O17" s="16">
        <f t="shared" si="3"/>
        <v>1</v>
      </c>
      <c r="P17" s="13" t="str">
        <v>5Ts'nL</v>
      </c>
      <c r="Q17" s="16" t="s">
        <v>752</v>
      </c>
      <c r="R17" s="5">
        <v>66957</v>
      </c>
      <c r="T17" s="5">
        <v>66828</v>
      </c>
      <c r="U17" s="2" t="s">
        <v>2</v>
      </c>
      <c r="V17" s="2">
        <v>2</v>
      </c>
      <c r="W17" s="2">
        <v>1</v>
      </c>
      <c r="X17" s="2">
        <v>1</v>
      </c>
      <c r="Y17" t="s">
        <v>242</v>
      </c>
      <c r="Z17" t="s">
        <v>337</v>
      </c>
      <c r="AA17" t="s">
        <v>245</v>
      </c>
      <c r="AB17" s="13" t="str">
        <f>C17</f>
        <v>7'nf] sfG5f] sfdL</v>
      </c>
    </row>
    <row r="18" spans="1:28" ht="18" x14ac:dyDescent="0.35">
      <c r="A18" s="6"/>
      <c r="C18" s="13" t="s">
        <v>356</v>
      </c>
      <c r="D18" s="13" t="str">
        <f t="shared" si="0"/>
        <v xml:space="preserve">k|d] </v>
      </c>
      <c r="E18" s="13" t="str">
        <f t="shared" si="2"/>
        <v>sldgL</v>
      </c>
      <c r="F18" s="21" t="s">
        <v>234</v>
      </c>
      <c r="G18" s="21" t="s">
        <v>756</v>
      </c>
      <c r="H18" s="21"/>
      <c r="I18" s="16"/>
      <c r="J18" s="16"/>
      <c r="K18" s="16"/>
      <c r="L18" s="16"/>
      <c r="M18" s="15">
        <f t="shared" si="1"/>
        <v>65.123287671232873</v>
      </c>
      <c r="N18" s="5">
        <v>43187</v>
      </c>
      <c r="O18" s="16">
        <f t="shared" si="3"/>
        <v>7</v>
      </c>
      <c r="P18" s="13" t="str">
        <v>l3ld/]</v>
      </c>
      <c r="Q18" s="16" t="s">
        <v>752</v>
      </c>
      <c r="R18" s="5">
        <v>66957</v>
      </c>
      <c r="T18" s="5"/>
      <c r="V18" s="3"/>
      <c r="W18" s="3"/>
      <c r="X18" s="3"/>
    </row>
    <row r="19" spans="1:28" ht="18" x14ac:dyDescent="0.35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2"/>
        <v>l/;fn</v>
      </c>
      <c r="F19" s="21" t="s">
        <v>234</v>
      </c>
      <c r="G19" s="21" t="s">
        <v>756</v>
      </c>
      <c r="H19" s="21"/>
      <c r="I19" s="16">
        <v>0</v>
      </c>
      <c r="J19" s="16">
        <v>4</v>
      </c>
      <c r="K19" s="16">
        <v>2</v>
      </c>
      <c r="L19" s="16">
        <v>0</v>
      </c>
      <c r="M19" s="15">
        <f t="shared" si="1"/>
        <v>38.30958904109589</v>
      </c>
      <c r="N19" s="5">
        <v>52974</v>
      </c>
      <c r="O19" s="16">
        <f t="shared" si="3"/>
        <v>1</v>
      </c>
      <c r="P19" s="13" t="str">
        <v>lji6</v>
      </c>
      <c r="Q19" s="16" t="s">
        <v>754</v>
      </c>
      <c r="R19" s="5">
        <v>66957</v>
      </c>
      <c r="T19" s="5">
        <v>66809</v>
      </c>
      <c r="U19" s="2" t="s">
        <v>2</v>
      </c>
      <c r="V19" s="2">
        <v>4</v>
      </c>
      <c r="W19" s="2">
        <v>3</v>
      </c>
      <c r="X19" s="2">
        <v>1</v>
      </c>
      <c r="Y19" t="s">
        <v>238</v>
      </c>
      <c r="Z19" t="s">
        <v>336</v>
      </c>
      <c r="AA19" t="s">
        <v>245</v>
      </c>
      <c r="AB19" s="13" t="str">
        <f>C19</f>
        <v>dlgtf l/;fn</v>
      </c>
    </row>
    <row r="20" spans="1:28" ht="18" x14ac:dyDescent="0.35">
      <c r="A20" s="6"/>
      <c r="C20" s="13" t="s">
        <v>358</v>
      </c>
      <c r="D20" s="13" t="str">
        <f t="shared" si="0"/>
        <v xml:space="preserve">l8s </v>
      </c>
      <c r="E20" s="13" t="str">
        <f t="shared" si="2"/>
        <v>laZjsdf{</v>
      </c>
      <c r="F20" s="21" t="s">
        <v>233</v>
      </c>
      <c r="G20" s="21" t="s">
        <v>756</v>
      </c>
      <c r="H20" s="21"/>
      <c r="I20" s="16"/>
      <c r="J20" s="16"/>
      <c r="K20" s="16"/>
      <c r="L20" s="16"/>
      <c r="M20" s="15">
        <f t="shared" si="1"/>
        <v>39.389041095890413</v>
      </c>
      <c r="N20" s="5">
        <v>52580</v>
      </c>
      <c r="O20" s="16">
        <f t="shared" si="3"/>
        <v>10</v>
      </c>
      <c r="P20" s="13" t="str">
        <v>du/</v>
      </c>
      <c r="Q20" s="16" t="s">
        <v>751</v>
      </c>
      <c r="R20" s="5">
        <v>66957</v>
      </c>
      <c r="T20" s="5"/>
      <c r="V20" s="3"/>
      <c r="W20" s="3"/>
      <c r="X20" s="3"/>
    </row>
    <row r="21" spans="1:28" ht="18" x14ac:dyDescent="0.35">
      <c r="A21" s="6"/>
      <c r="C21" s="13" t="s">
        <v>359</v>
      </c>
      <c r="D21" s="13" t="str">
        <f t="shared" si="0"/>
        <v xml:space="preserve">;+sNk </v>
      </c>
      <c r="E21" s="13" t="str">
        <f t="shared" si="2"/>
        <v>lt?jf</v>
      </c>
      <c r="F21" s="21" t="s">
        <v>233</v>
      </c>
      <c r="G21" s="21" t="s">
        <v>757</v>
      </c>
      <c r="H21" s="21"/>
      <c r="I21" s="16"/>
      <c r="J21" s="16"/>
      <c r="K21" s="16"/>
      <c r="L21" s="16"/>
      <c r="M21" s="15">
        <f t="shared" si="1"/>
        <v>11.317808219178081</v>
      </c>
      <c r="N21" s="5">
        <v>62826</v>
      </c>
      <c r="O21" s="16">
        <f t="shared" si="3"/>
        <v>9</v>
      </c>
      <c r="P21" s="13" t="str">
        <v>vqL</v>
      </c>
      <c r="Q21" s="16" t="s">
        <v>750</v>
      </c>
      <c r="R21" s="5">
        <v>66957</v>
      </c>
      <c r="T21" s="5"/>
      <c r="V21" s="3"/>
      <c r="W21" s="3"/>
      <c r="X21" s="3"/>
    </row>
    <row r="22" spans="1:28" ht="18" x14ac:dyDescent="0.35">
      <c r="A22" s="6"/>
      <c r="C22" s="13" t="s">
        <v>360</v>
      </c>
      <c r="D22" s="13" t="str">
        <f t="shared" si="0"/>
        <v xml:space="preserve">cfg{e </v>
      </c>
      <c r="E22" s="13" t="str">
        <f t="shared" si="2"/>
        <v>lt?jf</v>
      </c>
      <c r="F22" s="21" t="s">
        <v>233</v>
      </c>
      <c r="G22" s="21" t="s">
        <v>757</v>
      </c>
      <c r="H22" s="21"/>
      <c r="I22" s="16"/>
      <c r="J22" s="16"/>
      <c r="K22" s="16"/>
      <c r="L22" s="16"/>
      <c r="M22" s="15">
        <f t="shared" si="1"/>
        <v>4.4986301369863018</v>
      </c>
      <c r="N22" s="5">
        <v>65315</v>
      </c>
      <c r="O22" s="16">
        <f t="shared" si="3"/>
        <v>3</v>
      </c>
      <c r="P22" s="13" t="str">
        <v>dfemL</v>
      </c>
      <c r="Q22" s="16" t="s">
        <v>751</v>
      </c>
      <c r="R22" s="5">
        <v>66957</v>
      </c>
      <c r="T22" s="5"/>
      <c r="V22" s="3"/>
      <c r="W22" s="3"/>
      <c r="X22" s="3"/>
    </row>
    <row r="23" spans="1:28" ht="18" x14ac:dyDescent="0.35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2"/>
        <v>bfxfn</v>
      </c>
      <c r="F23" s="21" t="s">
        <v>233</v>
      </c>
      <c r="G23" s="21" t="s">
        <v>756</v>
      </c>
      <c r="H23" s="21"/>
      <c r="I23" s="16">
        <v>0</v>
      </c>
      <c r="J23" s="16">
        <v>5</v>
      </c>
      <c r="K23" s="16">
        <v>0</v>
      </c>
      <c r="L23" s="16">
        <v>2</v>
      </c>
      <c r="M23" s="15">
        <f t="shared" si="1"/>
        <v>56.008219178082193</v>
      </c>
      <c r="N23" s="5">
        <v>46514</v>
      </c>
      <c r="O23" s="16">
        <f t="shared" si="3"/>
        <v>4</v>
      </c>
      <c r="P23" s="13" t="str">
        <v>dxt</v>
      </c>
      <c r="Q23" s="16" t="s">
        <v>751</v>
      </c>
      <c r="R23" s="5">
        <v>66957</v>
      </c>
      <c r="T23" s="5">
        <v>66762</v>
      </c>
      <c r="U23" s="2" t="s">
        <v>2</v>
      </c>
      <c r="V23" s="2">
        <v>1</v>
      </c>
      <c r="W23" s="2">
        <v>1</v>
      </c>
      <c r="Y23" t="s">
        <v>242</v>
      </c>
      <c r="Z23" t="s">
        <v>341</v>
      </c>
      <c r="AA23" t="s">
        <v>245</v>
      </c>
      <c r="AB23" s="13" t="str">
        <f>C23</f>
        <v>b'uf{ k|;fb bfxfn</v>
      </c>
    </row>
    <row r="24" spans="1:28" ht="18" x14ac:dyDescent="0.35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2"/>
        <v>kl/of/</v>
      </c>
      <c r="F24" s="21" t="s">
        <v>233</v>
      </c>
      <c r="G24" s="21" t="s">
        <v>757</v>
      </c>
      <c r="H24" s="21"/>
      <c r="I24" s="16" t="s">
        <v>748</v>
      </c>
      <c r="J24" s="16" t="s">
        <v>748</v>
      </c>
      <c r="K24" s="16" t="s">
        <v>748</v>
      </c>
      <c r="L24" s="16" t="s">
        <v>748</v>
      </c>
      <c r="M24" s="15">
        <f t="shared" si="1"/>
        <v>18.876712328767123</v>
      </c>
      <c r="N24" s="5">
        <v>60067</v>
      </c>
      <c r="O24" s="16">
        <f t="shared" si="3"/>
        <v>10</v>
      </c>
      <c r="P24" s="13" t="str">
        <v>a:g]t</v>
      </c>
      <c r="Q24" s="16" t="s">
        <v>752</v>
      </c>
      <c r="R24" s="5">
        <v>66957</v>
      </c>
      <c r="T24" s="5">
        <v>66760</v>
      </c>
      <c r="U24" s="2" t="s">
        <v>2</v>
      </c>
      <c r="V24" s="2">
        <v>1</v>
      </c>
      <c r="W24" s="2">
        <v>1</v>
      </c>
      <c r="Y24" t="s">
        <v>242</v>
      </c>
      <c r="Z24" t="s">
        <v>340</v>
      </c>
      <c r="AA24" t="s">
        <v>245</v>
      </c>
      <c r="AB24" s="13" t="str">
        <f>C24</f>
        <v>;lGbk kl/of/</v>
      </c>
    </row>
    <row r="25" spans="1:28" ht="18" x14ac:dyDescent="0.35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2"/>
        <v>clwsf/L</v>
      </c>
      <c r="F25" s="21" t="s">
        <v>234</v>
      </c>
      <c r="G25" s="21" t="s">
        <v>756</v>
      </c>
      <c r="H25" s="21"/>
      <c r="I25" s="16">
        <v>0</v>
      </c>
      <c r="J25" s="16">
        <f>2+(1)</f>
        <v>3</v>
      </c>
      <c r="K25" s="16">
        <v>2</v>
      </c>
      <c r="L25" s="16">
        <v>0</v>
      </c>
      <c r="M25" s="15">
        <f t="shared" si="1"/>
        <v>54.92876712328767</v>
      </c>
      <c r="N25" s="5">
        <v>46908</v>
      </c>
      <c r="O25" s="16">
        <f t="shared" si="3"/>
        <v>1</v>
      </c>
      <c r="P25" s="13" t="str">
        <v>5]qL</v>
      </c>
      <c r="Q25" s="16" t="s">
        <v>750</v>
      </c>
      <c r="R25" s="5">
        <v>66957</v>
      </c>
      <c r="T25" s="5">
        <v>66711</v>
      </c>
      <c r="U25" s="2" t="s">
        <v>2</v>
      </c>
      <c r="V25" s="2">
        <v>4</v>
      </c>
      <c r="W25" s="2">
        <v>2</v>
      </c>
      <c r="X25" s="2">
        <v>2</v>
      </c>
      <c r="Y25" t="s">
        <v>238</v>
      </c>
      <c r="Z25" t="s">
        <v>320</v>
      </c>
      <c r="AA25" t="s">
        <v>245</v>
      </c>
      <c r="AB25" s="13" t="str">
        <f>C25</f>
        <v>l;tf clwsf/L</v>
      </c>
    </row>
    <row r="26" spans="1:28" ht="18" x14ac:dyDescent="0.35">
      <c r="A26" s="6"/>
      <c r="C26" s="13" t="s">
        <v>364</v>
      </c>
      <c r="D26" s="13" t="str">
        <f t="shared" si="0"/>
        <v xml:space="preserve">;'/]z </v>
      </c>
      <c r="E26" s="13" t="str">
        <f t="shared" si="2"/>
        <v>clwsf/L</v>
      </c>
      <c r="F26" s="21" t="s">
        <v>233</v>
      </c>
      <c r="G26" s="21" t="s">
        <v>756</v>
      </c>
      <c r="H26" s="21"/>
      <c r="I26" s="16"/>
      <c r="J26" s="16"/>
      <c r="K26" s="16"/>
      <c r="L26" s="16"/>
      <c r="M26" s="15">
        <f t="shared" si="1"/>
        <v>34.054794520547944</v>
      </c>
      <c r="N26" s="5">
        <v>54527</v>
      </c>
      <c r="O26" s="16">
        <f t="shared" si="3"/>
        <v>5</v>
      </c>
      <c r="P26" s="13" t="str">
        <v>9sfn</v>
      </c>
      <c r="Q26" s="16" t="s">
        <v>752</v>
      </c>
      <c r="R26" s="5">
        <v>66957</v>
      </c>
      <c r="T26" s="5"/>
      <c r="V26" s="3"/>
      <c r="W26" s="3"/>
      <c r="X26" s="3"/>
    </row>
    <row r="27" spans="1:28" ht="18" x14ac:dyDescent="0.35">
      <c r="A27" s="6"/>
      <c r="C27" s="13" t="s">
        <v>365</v>
      </c>
      <c r="D27" s="13" t="str">
        <f t="shared" si="0"/>
        <v xml:space="preserve">/~hgf </v>
      </c>
      <c r="E27" s="13" t="str">
        <f t="shared" si="2"/>
        <v>5Ts'nL</v>
      </c>
      <c r="F27" s="21" t="s">
        <v>234</v>
      </c>
      <c r="G27" s="21" t="s">
        <v>756</v>
      </c>
      <c r="H27" s="21"/>
      <c r="I27" s="16"/>
      <c r="J27" s="16"/>
      <c r="K27" s="16"/>
      <c r="L27" s="16"/>
      <c r="M27" s="15">
        <f t="shared" si="1"/>
        <v>27.06027397260274</v>
      </c>
      <c r="N27" s="5">
        <v>57080</v>
      </c>
      <c r="O27" s="16">
        <f t="shared" si="3"/>
        <v>5</v>
      </c>
      <c r="P27" s="13" t="str">
        <v>rf}nfufO{</v>
      </c>
      <c r="Q27" s="16" t="s">
        <v>752</v>
      </c>
      <c r="R27" s="5">
        <v>66957</v>
      </c>
      <c r="T27" s="5"/>
      <c r="V27" s="3"/>
      <c r="W27" s="3"/>
      <c r="X27" s="3"/>
    </row>
    <row r="28" spans="1:28" ht="18" x14ac:dyDescent="0.35">
      <c r="A28" s="6"/>
      <c r="C28" s="13" t="s">
        <v>366</v>
      </c>
      <c r="D28" s="13" t="str">
        <f t="shared" si="0"/>
        <v xml:space="preserve">;'a|t </v>
      </c>
      <c r="E28" s="13" t="str">
        <f t="shared" si="2"/>
        <v>clwsf/L</v>
      </c>
      <c r="F28" s="21" t="s">
        <v>233</v>
      </c>
      <c r="G28" s="21" t="s">
        <v>757</v>
      </c>
      <c r="H28" s="21"/>
      <c r="I28" s="16"/>
      <c r="J28" s="16"/>
      <c r="K28" s="16"/>
      <c r="L28" s="16"/>
      <c r="M28" s="15">
        <f t="shared" si="1"/>
        <v>3.5287671232876714</v>
      </c>
      <c r="N28" s="5">
        <v>65669</v>
      </c>
      <c r="O28" s="16">
        <f t="shared" si="3"/>
        <v>7</v>
      </c>
      <c r="P28" s="13" t="str">
        <v>vltj8f</v>
      </c>
      <c r="Q28" s="16" t="s">
        <v>752</v>
      </c>
      <c r="R28" s="5">
        <v>66957</v>
      </c>
      <c r="T28" s="5"/>
      <c r="V28" s="3"/>
      <c r="W28" s="3"/>
      <c r="X28" s="3"/>
    </row>
    <row r="29" spans="1:28" ht="18" x14ac:dyDescent="0.35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2"/>
        <v>l3ld/]</v>
      </c>
      <c r="F29" s="21" t="s">
        <v>233</v>
      </c>
      <c r="G29" s="21" t="s">
        <v>756</v>
      </c>
      <c r="H29" s="21"/>
      <c r="I29" s="16">
        <v>0</v>
      </c>
      <c r="J29" s="16">
        <v>4</v>
      </c>
      <c r="K29" s="16">
        <v>3</v>
      </c>
      <c r="L29" s="16">
        <v>2</v>
      </c>
      <c r="M29" s="15">
        <f t="shared" si="1"/>
        <v>48.030136986301372</v>
      </c>
      <c r="N29" s="5">
        <v>49426</v>
      </c>
      <c r="O29" s="16">
        <f t="shared" si="3"/>
        <v>1</v>
      </c>
      <c r="P29" s="13" t="str">
        <v>lg/f}nf</v>
      </c>
      <c r="Q29" s="16" t="s">
        <v>752</v>
      </c>
      <c r="R29" s="5">
        <v>66957</v>
      </c>
      <c r="T29" s="5">
        <v>66689</v>
      </c>
      <c r="U29" s="2" t="s">
        <v>2</v>
      </c>
      <c r="V29" s="2">
        <v>4</v>
      </c>
      <c r="W29" s="2">
        <v>2</v>
      </c>
      <c r="X29" s="2">
        <v>2</v>
      </c>
      <c r="Y29" t="s">
        <v>242</v>
      </c>
      <c r="Z29" t="s">
        <v>303</v>
      </c>
      <c r="AA29" t="s">
        <v>245</v>
      </c>
      <c r="AB29" s="13" t="str">
        <f>C29</f>
        <v>k'0o k|;fb l3ld/]</v>
      </c>
    </row>
    <row r="30" spans="1:28" ht="18" x14ac:dyDescent="0.35">
      <c r="A30" s="6"/>
      <c r="C30" s="13" t="s">
        <v>368</v>
      </c>
      <c r="D30" s="13" t="str">
        <f t="shared" si="0"/>
        <v xml:space="preserve">uf]df </v>
      </c>
      <c r="E30" s="13" t="str">
        <f t="shared" si="2"/>
        <v>l3ld/]</v>
      </c>
      <c r="F30" s="21" t="s">
        <v>234</v>
      </c>
      <c r="G30" s="21" t="s">
        <v>756</v>
      </c>
      <c r="H30" s="21"/>
      <c r="I30" s="16"/>
      <c r="J30" s="16"/>
      <c r="K30" s="16"/>
      <c r="L30" s="16"/>
      <c r="M30" s="15">
        <f t="shared" si="1"/>
        <v>42.205479452054796</v>
      </c>
      <c r="N30" s="5">
        <v>51552</v>
      </c>
      <c r="O30" s="16">
        <f t="shared" si="3"/>
        <v>4</v>
      </c>
      <c r="P30" s="13" t="str">
        <v>af:sf]6f</v>
      </c>
      <c r="Q30" s="16" t="s">
        <v>752</v>
      </c>
      <c r="R30" s="5">
        <v>66957</v>
      </c>
      <c r="T30" s="5"/>
      <c r="V30" s="3"/>
      <c r="W30" s="3"/>
      <c r="X30" s="3"/>
    </row>
    <row r="31" spans="1:28" ht="18" x14ac:dyDescent="0.35">
      <c r="A31" s="6"/>
      <c r="C31" s="13" t="s">
        <v>369</v>
      </c>
      <c r="D31" s="13" t="str">
        <f t="shared" si="0"/>
        <v xml:space="preserve">cfo'iff </v>
      </c>
      <c r="E31" s="13" t="str">
        <f t="shared" si="2"/>
        <v>l3ld/]</v>
      </c>
      <c r="F31" s="21" t="s">
        <v>234</v>
      </c>
      <c r="G31" s="21" t="s">
        <v>757</v>
      </c>
      <c r="H31" s="21"/>
      <c r="I31" s="16"/>
      <c r="J31" s="16"/>
      <c r="K31" s="16"/>
      <c r="L31" s="16"/>
      <c r="M31" s="15">
        <f t="shared" si="1"/>
        <v>19.709589041095889</v>
      </c>
      <c r="N31" s="5">
        <v>59763</v>
      </c>
      <c r="O31" s="16">
        <f t="shared" si="3"/>
        <v>4</v>
      </c>
      <c r="P31" s="13" t="str">
        <v>/fhjfxs</v>
      </c>
      <c r="Q31" s="16" t="s">
        <v>751</v>
      </c>
      <c r="R31" s="5">
        <v>66957</v>
      </c>
      <c r="T31" s="5"/>
      <c r="V31" s="3"/>
      <c r="W31" s="3"/>
      <c r="X31" s="3"/>
    </row>
    <row r="32" spans="1:28" ht="18" x14ac:dyDescent="0.35">
      <c r="A32" s="6"/>
      <c r="C32" s="13" t="s">
        <v>370</v>
      </c>
      <c r="D32" s="13" t="str">
        <f t="shared" si="0"/>
        <v xml:space="preserve">cf/f]Uo </v>
      </c>
      <c r="E32" s="13" t="str">
        <f t="shared" si="2"/>
        <v>l3ld/]</v>
      </c>
      <c r="F32" s="21" t="s">
        <v>233</v>
      </c>
      <c r="G32" s="21" t="s">
        <v>757</v>
      </c>
      <c r="H32" s="21"/>
      <c r="I32" s="16"/>
      <c r="J32" s="16"/>
      <c r="K32" s="16"/>
      <c r="L32" s="16"/>
      <c r="M32" s="15">
        <f t="shared" si="1"/>
        <v>12.947945205479453</v>
      </c>
      <c r="N32" s="5">
        <v>62231</v>
      </c>
      <c r="O32" s="16">
        <f t="shared" si="3"/>
        <v>16</v>
      </c>
      <c r="P32" s="13" t="str">
        <v>s]=;L</v>
      </c>
      <c r="Q32" s="16" t="s">
        <v>750</v>
      </c>
      <c r="R32" s="5">
        <v>66957</v>
      </c>
      <c r="T32" s="5"/>
      <c r="V32" s="3"/>
      <c r="W32" s="3"/>
      <c r="X32" s="3"/>
    </row>
    <row r="33" spans="1:28" ht="18" x14ac:dyDescent="0.35">
      <c r="A33" s="6">
        <v>10</v>
      </c>
      <c r="B33" t="s">
        <v>12</v>
      </c>
      <c r="C33" s="13" t="s">
        <v>371</v>
      </c>
      <c r="D33" s="13" t="str">
        <f t="shared" si="0"/>
        <v xml:space="preserve">/fh]z </v>
      </c>
      <c r="E33" s="13" t="str">
        <f t="shared" si="2"/>
        <v>lji6</v>
      </c>
      <c r="F33" s="21" t="s">
        <v>233</v>
      </c>
      <c r="G33" s="21" t="s">
        <v>756</v>
      </c>
      <c r="H33" s="21"/>
      <c r="I33" s="16" t="s">
        <v>748</v>
      </c>
      <c r="J33" s="16" t="s">
        <v>748</v>
      </c>
      <c r="K33" s="16" t="s">
        <v>748</v>
      </c>
      <c r="L33" s="16" t="s">
        <v>748</v>
      </c>
      <c r="M33" s="15">
        <f t="shared" si="1"/>
        <v>183.44383561643835</v>
      </c>
      <c r="N33" s="5"/>
      <c r="O33" s="16">
        <f t="shared" si="3"/>
        <v>1</v>
      </c>
      <c r="P33" s="13" t="str">
        <v>jnDkfsL</v>
      </c>
      <c r="Q33" s="16" t="s">
        <v>751</v>
      </c>
      <c r="R33" s="5">
        <v>66957</v>
      </c>
      <c r="T33" s="5">
        <v>66687</v>
      </c>
      <c r="U33" s="2" t="s">
        <v>2</v>
      </c>
      <c r="V33" s="2">
        <v>4</v>
      </c>
      <c r="Y33" t="s">
        <v>242</v>
      </c>
      <c r="AB33" s="13" t="str">
        <f>C33</f>
        <v>/fh]z s'df/ lji6</v>
      </c>
    </row>
    <row r="34" spans="1:28" ht="18" x14ac:dyDescent="0.35">
      <c r="A34" s="6">
        <v>11</v>
      </c>
      <c r="B34" t="s">
        <v>13</v>
      </c>
      <c r="C34" s="13" t="s">
        <v>372</v>
      </c>
      <c r="D34" s="13" t="str">
        <f t="shared" si="0"/>
        <v xml:space="preserve">OlGb/f </v>
      </c>
      <c r="E34" s="13" t="str">
        <f t="shared" si="2"/>
        <v>kl/of/</v>
      </c>
      <c r="F34" s="21" t="s">
        <v>234</v>
      </c>
      <c r="G34" s="21" t="s">
        <v>756</v>
      </c>
      <c r="H34" s="21"/>
      <c r="I34" s="16">
        <v>0</v>
      </c>
      <c r="J34" s="16">
        <v>3</v>
      </c>
      <c r="K34" s="16">
        <v>0</v>
      </c>
      <c r="L34" s="16">
        <v>0</v>
      </c>
      <c r="M34" s="15">
        <f t="shared" si="1"/>
        <v>55.046575342465751</v>
      </c>
      <c r="N34" s="5">
        <v>46865</v>
      </c>
      <c r="O34" s="16">
        <f t="shared" si="3"/>
        <v>390</v>
      </c>
      <c r="P34" s="13" t="str">
        <v>&gt;]i7</v>
      </c>
      <c r="Q34" s="16" t="s">
        <v>751</v>
      </c>
      <c r="R34" s="5">
        <v>66957</v>
      </c>
      <c r="T34" s="5">
        <v>66674</v>
      </c>
      <c r="U34" s="2" t="s">
        <v>2</v>
      </c>
      <c r="V34" s="2">
        <v>8</v>
      </c>
      <c r="W34" s="2">
        <v>4</v>
      </c>
      <c r="X34" s="2">
        <v>4</v>
      </c>
      <c r="Y34" t="s">
        <v>242</v>
      </c>
      <c r="Z34" t="s">
        <v>272</v>
      </c>
      <c r="AA34" t="s">
        <v>245</v>
      </c>
      <c r="AB34" s="13" t="str">
        <f>C34</f>
        <v>OlGb/f kl/of/</v>
      </c>
    </row>
    <row r="35" spans="1:28" ht="18" x14ac:dyDescent="0.35">
      <c r="A35" s="6"/>
      <c r="C35" s="13" t="s">
        <v>373</v>
      </c>
      <c r="D35" s="13" t="str">
        <f t="shared" si="0"/>
        <v xml:space="preserve">ljs|d </v>
      </c>
      <c r="E35" s="13" t="str">
        <f t="shared" si="2"/>
        <v>kl/of/</v>
      </c>
      <c r="F35" s="21" t="s">
        <v>233</v>
      </c>
      <c r="G35" s="21" t="s">
        <v>756</v>
      </c>
      <c r="H35" s="21"/>
      <c r="I35" s="16"/>
      <c r="J35" s="16"/>
      <c r="K35" s="16"/>
      <c r="L35" s="16"/>
      <c r="M35" s="15">
        <f t="shared" si="1"/>
        <v>35.701369863013696</v>
      </c>
      <c r="N35" s="5">
        <v>53926</v>
      </c>
      <c r="O35" s="16">
        <f t="shared" si="3"/>
        <v>1</v>
      </c>
      <c r="P35" s="13" t="str">
        <v>lai6</v>
      </c>
      <c r="Q35" s="16" t="s">
        <v>754</v>
      </c>
      <c r="R35" s="5">
        <v>66957</v>
      </c>
      <c r="T35" s="5"/>
      <c r="V35" s="3"/>
      <c r="W35" s="3"/>
      <c r="X35" s="3"/>
    </row>
    <row r="36" spans="1:28" ht="18" x14ac:dyDescent="0.35">
      <c r="A36" s="6"/>
      <c r="C36" s="13" t="s">
        <v>374</v>
      </c>
      <c r="D36" s="13" t="str">
        <f t="shared" si="0"/>
        <v xml:space="preserve">k|ltIff </v>
      </c>
      <c r="E36" s="13" t="str">
        <f t="shared" si="2"/>
        <v>kl/of/</v>
      </c>
      <c r="F36" s="21" t="s">
        <v>234</v>
      </c>
      <c r="G36" s="21" t="s">
        <v>756</v>
      </c>
      <c r="H36" s="21"/>
      <c r="I36" s="16"/>
      <c r="J36" s="16"/>
      <c r="K36" s="16"/>
      <c r="L36" s="16"/>
      <c r="M36" s="15">
        <f t="shared" si="1"/>
        <v>30.602739726027398</v>
      </c>
      <c r="N36" s="5">
        <v>55787</v>
      </c>
      <c r="O36" s="16">
        <f t="shared" si="3"/>
        <v>25</v>
      </c>
      <c r="P36" s="13" t="str">
        <v>v8\sf</v>
      </c>
      <c r="Q36" s="16" t="s">
        <v>750</v>
      </c>
      <c r="R36" s="5">
        <v>66957</v>
      </c>
      <c r="T36" s="5"/>
      <c r="V36" s="3"/>
      <c r="W36" s="3"/>
      <c r="X36" s="3"/>
    </row>
    <row r="37" spans="1:28" ht="18" x14ac:dyDescent="0.35">
      <c r="A37" s="6"/>
      <c r="C37" s="13" t="s">
        <v>375</v>
      </c>
      <c r="D37" s="13" t="str">
        <f t="shared" si="0"/>
        <v xml:space="preserve">lji0f' </v>
      </c>
      <c r="E37" s="13" t="str">
        <f t="shared" si="2"/>
        <v>kl/of/</v>
      </c>
      <c r="F37" s="21" t="s">
        <v>233</v>
      </c>
      <c r="G37" s="21" t="s">
        <v>756</v>
      </c>
      <c r="H37" s="21"/>
      <c r="I37" s="16"/>
      <c r="J37" s="16"/>
      <c r="K37" s="16"/>
      <c r="L37" s="16"/>
      <c r="M37" s="15">
        <f t="shared" si="1"/>
        <v>34.832876712328769</v>
      </c>
      <c r="N37" s="5">
        <v>54243</v>
      </c>
      <c r="O37" s="16">
        <f t="shared" si="3"/>
        <v>7</v>
      </c>
      <c r="P37" s="13" t="str">
        <v>ljZjsdf{</v>
      </c>
      <c r="Q37" s="16" t="s">
        <v>754</v>
      </c>
      <c r="R37" s="5">
        <v>66957</v>
      </c>
      <c r="T37" s="5"/>
      <c r="V37" s="3"/>
      <c r="W37" s="3"/>
      <c r="X37" s="3"/>
    </row>
    <row r="38" spans="1:28" ht="18" x14ac:dyDescent="0.35">
      <c r="A38" s="6"/>
      <c r="C38" s="13" t="s">
        <v>376</v>
      </c>
      <c r="D38" s="13" t="str">
        <f t="shared" si="0"/>
        <v xml:space="preserve">nIdL </v>
      </c>
      <c r="E38" s="13" t="str">
        <f t="shared" si="2"/>
        <v>du/</v>
      </c>
      <c r="F38" s="21" t="s">
        <v>234</v>
      </c>
      <c r="G38" s="21" t="s">
        <v>756</v>
      </c>
      <c r="H38" s="21"/>
      <c r="I38" s="16"/>
      <c r="J38" s="16"/>
      <c r="K38" s="16"/>
      <c r="L38" s="16"/>
      <c r="M38" s="15">
        <f t="shared" si="1"/>
        <v>34.57260273972603</v>
      </c>
      <c r="N38" s="5">
        <v>54338</v>
      </c>
      <c r="O38" s="16">
        <f t="shared" si="3"/>
        <v>4</v>
      </c>
      <c r="P38" s="13" t="str">
        <v>j/fOnL</v>
      </c>
      <c r="Q38" s="16" t="s">
        <v>754</v>
      </c>
      <c r="R38" s="5">
        <v>66957</v>
      </c>
      <c r="T38" s="5"/>
      <c r="V38" s="3"/>
      <c r="W38" s="3"/>
      <c r="X38" s="3"/>
    </row>
    <row r="39" spans="1:28" ht="18" x14ac:dyDescent="0.35">
      <c r="A39" s="6"/>
      <c r="C39" s="13" t="s">
        <v>377</v>
      </c>
      <c r="D39" s="13" t="str">
        <f t="shared" si="0"/>
        <v xml:space="preserve">;ld{nf </v>
      </c>
      <c r="E39" s="13" t="str">
        <f t="shared" si="2"/>
        <v>kl/of/</v>
      </c>
      <c r="F39" s="21" t="s">
        <v>234</v>
      </c>
      <c r="G39" s="21" t="s">
        <v>757</v>
      </c>
      <c r="H39" s="21"/>
      <c r="I39" s="16"/>
      <c r="J39" s="16"/>
      <c r="K39" s="16"/>
      <c r="L39" s="16"/>
      <c r="M39" s="15">
        <f t="shared" si="1"/>
        <v>30.8</v>
      </c>
      <c r="N39" s="5">
        <v>55715</v>
      </c>
      <c r="O39" s="16">
        <f t="shared" si="3"/>
        <v>4</v>
      </c>
      <c r="P39" s="13" t="str">
        <v>z]kf{</v>
      </c>
      <c r="Q39" s="16" t="s">
        <v>751</v>
      </c>
      <c r="R39" s="5">
        <v>66957</v>
      </c>
      <c r="T39" s="5"/>
      <c r="V39" s="3"/>
      <c r="W39" s="3"/>
      <c r="X39" s="3"/>
    </row>
    <row r="40" spans="1:28" ht="18" x14ac:dyDescent="0.35">
      <c r="A40" s="6"/>
      <c r="C40" s="13" t="s">
        <v>378</v>
      </c>
      <c r="D40" s="13" t="str">
        <f t="shared" si="0"/>
        <v xml:space="preserve">k|lts </v>
      </c>
      <c r="E40" s="13" t="str">
        <f t="shared" si="2"/>
        <v>kl/of/</v>
      </c>
      <c r="F40" s="21" t="s">
        <v>233</v>
      </c>
      <c r="G40" s="21" t="s">
        <v>757</v>
      </c>
      <c r="H40" s="21"/>
      <c r="I40" s="16"/>
      <c r="J40" s="16"/>
      <c r="K40" s="16"/>
      <c r="L40" s="16"/>
      <c r="M40" s="15">
        <f t="shared" si="1"/>
        <v>14.90958904109589</v>
      </c>
      <c r="N40" s="5">
        <v>61515</v>
      </c>
      <c r="O40" s="16">
        <f t="shared" si="3"/>
        <v>7</v>
      </c>
      <c r="P40" s="13" t="str">
        <v>wfdL</v>
      </c>
      <c r="Q40" s="16" t="s">
        <v>750</v>
      </c>
      <c r="R40" s="5">
        <v>66957</v>
      </c>
      <c r="T40" s="5"/>
      <c r="V40" s="3"/>
      <c r="W40" s="3"/>
      <c r="X40" s="3"/>
    </row>
    <row r="41" spans="1:28" ht="18" x14ac:dyDescent="0.35">
      <c r="A41" s="6"/>
      <c r="C41" s="13" t="s">
        <v>379</v>
      </c>
      <c r="D41" s="13" t="str">
        <f t="shared" si="0"/>
        <v xml:space="preserve">s]ljg </v>
      </c>
      <c r="E41" s="13" t="str">
        <f t="shared" si="2"/>
        <v>kl/of/</v>
      </c>
      <c r="F41" s="21" t="s">
        <v>233</v>
      </c>
      <c r="G41" s="21" t="s">
        <v>757</v>
      </c>
      <c r="H41" s="21"/>
      <c r="I41" s="16"/>
      <c r="J41" s="16"/>
      <c r="K41" s="16"/>
      <c r="L41" s="16"/>
      <c r="M41" s="15">
        <f t="shared" si="1"/>
        <v>1.0575342465753426</v>
      </c>
      <c r="N41" s="5">
        <v>66571</v>
      </c>
      <c r="O41" s="16">
        <f t="shared" si="3"/>
        <v>1</v>
      </c>
      <c r="P41" s="13" t="str">
        <v>a/fn</v>
      </c>
      <c r="Q41" s="16" t="s">
        <v>752</v>
      </c>
      <c r="R41" s="5">
        <v>66957</v>
      </c>
      <c r="T41" s="5"/>
      <c r="V41" s="3"/>
      <c r="W41" s="3"/>
      <c r="X41" s="3"/>
    </row>
    <row r="42" spans="1:28" ht="18" x14ac:dyDescent="0.35">
      <c r="A42" s="6">
        <v>12</v>
      </c>
      <c r="B42" t="s">
        <v>14</v>
      </c>
      <c r="C42" s="13" t="s">
        <v>380</v>
      </c>
      <c r="D42" s="13" t="str">
        <f t="shared" si="0"/>
        <v xml:space="preserve">Zofd </v>
      </c>
      <c r="E42" s="13" t="str">
        <f t="shared" si="2"/>
        <v>vqL</v>
      </c>
      <c r="F42" s="21" t="s">
        <v>233</v>
      </c>
      <c r="G42" s="21" t="s">
        <v>756</v>
      </c>
      <c r="H42" s="21"/>
      <c r="I42" s="16">
        <f>1+(1)</f>
        <v>2</v>
      </c>
      <c r="J42" s="16">
        <v>3</v>
      </c>
      <c r="K42" s="16">
        <v>2</v>
      </c>
      <c r="L42" s="16">
        <v>1</v>
      </c>
      <c r="M42" s="15">
        <f t="shared" si="1"/>
        <v>47.443835616438356</v>
      </c>
      <c r="N42" s="5">
        <v>49640</v>
      </c>
      <c r="O42" s="16">
        <f t="shared" si="3"/>
        <v>4</v>
      </c>
      <c r="P42" s="13" t="str">
        <v>sF'j/</v>
      </c>
      <c r="Q42" s="16" t="s">
        <v>751</v>
      </c>
      <c r="R42" s="5">
        <v>66957</v>
      </c>
      <c r="T42" s="5">
        <v>66668</v>
      </c>
      <c r="U42" s="2" t="s">
        <v>2</v>
      </c>
      <c r="V42" s="2">
        <v>1</v>
      </c>
      <c r="W42" s="2">
        <v>1</v>
      </c>
      <c r="Y42" t="s">
        <v>242</v>
      </c>
      <c r="Z42" t="s">
        <v>319</v>
      </c>
      <c r="AA42" t="s">
        <v>245</v>
      </c>
      <c r="AB42" s="13" t="str">
        <f>C42</f>
        <v>Zofd vqL</v>
      </c>
    </row>
    <row r="43" spans="1:28" ht="18" x14ac:dyDescent="0.35">
      <c r="A43" s="6">
        <v>13</v>
      </c>
      <c r="B43" t="s">
        <v>15</v>
      </c>
      <c r="C43" s="13" t="s">
        <v>381</v>
      </c>
      <c r="D43" s="13" t="str">
        <f t="shared" si="0"/>
        <v xml:space="preserve">;'s </v>
      </c>
      <c r="E43" s="13" t="str">
        <f t="shared" si="2"/>
        <v>nfdf</v>
      </c>
      <c r="F43" s="21" t="s">
        <v>234</v>
      </c>
      <c r="G43" s="21" t="s">
        <v>756</v>
      </c>
      <c r="H43" s="21"/>
      <c r="I43" s="16">
        <v>0</v>
      </c>
      <c r="J43" s="16">
        <v>4</v>
      </c>
      <c r="K43" s="16">
        <v>3</v>
      </c>
      <c r="L43" s="16">
        <v>2</v>
      </c>
      <c r="M43" s="15">
        <f t="shared" si="1"/>
        <v>55.257534246575339</v>
      </c>
      <c r="N43" s="5">
        <v>46788</v>
      </c>
      <c r="O43" s="16">
        <f t="shared" si="3"/>
        <v>7</v>
      </c>
      <c r="P43" s="13" t="str">
        <v>kf}8]n</v>
      </c>
      <c r="Q43" s="16" t="s">
        <v>752</v>
      </c>
      <c r="R43" s="5">
        <v>66957</v>
      </c>
      <c r="T43" s="5">
        <v>66618</v>
      </c>
      <c r="U43" s="2" t="s">
        <v>2</v>
      </c>
      <c r="V43" s="2">
        <v>4</v>
      </c>
      <c r="W43" s="2">
        <v>3</v>
      </c>
      <c r="X43" s="2">
        <v>1</v>
      </c>
      <c r="Y43" t="s">
        <v>242</v>
      </c>
      <c r="Z43" t="s">
        <v>327</v>
      </c>
      <c r="AA43" t="s">
        <v>245</v>
      </c>
    </row>
    <row r="44" spans="1:28" ht="18" x14ac:dyDescent="0.35">
      <c r="A44" s="6"/>
      <c r="C44" s="13" t="s">
        <v>382</v>
      </c>
      <c r="D44" s="13" t="str">
        <f t="shared" si="0"/>
        <v xml:space="preserve">/fh' </v>
      </c>
      <c r="E44" s="13" t="str">
        <f t="shared" si="2"/>
        <v>dfemL</v>
      </c>
      <c r="F44" s="21" t="s">
        <v>233</v>
      </c>
      <c r="G44" s="21" t="s">
        <v>756</v>
      </c>
      <c r="H44" s="21"/>
      <c r="I44" s="16"/>
      <c r="J44" s="16"/>
      <c r="K44" s="16"/>
      <c r="L44" s="16"/>
      <c r="M44" s="15">
        <f t="shared" si="1"/>
        <v>52.909589041095892</v>
      </c>
      <c r="N44" s="5">
        <v>47645</v>
      </c>
      <c r="O44" s="16">
        <f t="shared" si="3"/>
        <v>2</v>
      </c>
      <c r="P44" s="13" t="str">
        <v>pkfWofo</v>
      </c>
      <c r="Q44" s="16" t="s">
        <v>752</v>
      </c>
      <c r="R44" s="5">
        <v>66957</v>
      </c>
      <c r="T44" s="5"/>
    </row>
    <row r="45" spans="1:28" ht="18" x14ac:dyDescent="0.35">
      <c r="A45" s="6"/>
      <c r="C45" s="13" t="s">
        <v>383</v>
      </c>
      <c r="D45" s="13" t="str">
        <f t="shared" si="0"/>
        <v xml:space="preserve">;lGbk </v>
      </c>
      <c r="E45" s="13" t="str">
        <f t="shared" si="2"/>
        <v>dfemL</v>
      </c>
      <c r="F45" s="21" t="s">
        <v>233</v>
      </c>
      <c r="G45" s="21" t="s">
        <v>757</v>
      </c>
      <c r="H45" s="21"/>
      <c r="I45" s="16"/>
      <c r="J45" s="16"/>
      <c r="K45" s="16"/>
      <c r="L45" s="16"/>
      <c r="M45" s="15">
        <f t="shared" si="1"/>
        <v>26.991780821917807</v>
      </c>
      <c r="N45" s="5">
        <v>57105</v>
      </c>
      <c r="O45" s="16">
        <f t="shared" si="3"/>
        <v>3</v>
      </c>
      <c r="P45" s="13" t="str">
        <v>IfqL</v>
      </c>
      <c r="Q45" s="16" t="s">
        <v>750</v>
      </c>
      <c r="R45" s="5">
        <v>66957</v>
      </c>
      <c r="T45" s="5"/>
    </row>
    <row r="46" spans="1:28" ht="18" x14ac:dyDescent="0.35">
      <c r="A46" s="6"/>
      <c r="C46" s="13" t="s">
        <v>384</v>
      </c>
      <c r="D46" s="13" t="str">
        <f t="shared" si="0"/>
        <v xml:space="preserve">ljgf]b </v>
      </c>
      <c r="E46" s="13" t="str">
        <f t="shared" si="2"/>
        <v>dfemL</v>
      </c>
      <c r="F46" s="21" t="s">
        <v>233</v>
      </c>
      <c r="G46" s="21" t="s">
        <v>757</v>
      </c>
      <c r="H46" s="21"/>
      <c r="I46" s="16"/>
      <c r="J46" s="16"/>
      <c r="K46" s="16"/>
      <c r="L46" s="16"/>
      <c r="M46" s="15">
        <f t="shared" si="1"/>
        <v>28.079452054794519</v>
      </c>
      <c r="N46" s="5">
        <v>56708</v>
      </c>
      <c r="O46" s="16">
        <f t="shared" si="3"/>
        <v>3</v>
      </c>
      <c r="P46" s="13" t="str">
        <v>lh;L</v>
      </c>
      <c r="Q46" s="16" t="s">
        <v>754</v>
      </c>
      <c r="R46" s="5">
        <v>66957</v>
      </c>
      <c r="T46" s="5"/>
    </row>
    <row r="47" spans="1:28" ht="18" x14ac:dyDescent="0.35">
      <c r="A47" s="6">
        <v>14</v>
      </c>
      <c r="B47" t="s">
        <v>16</v>
      </c>
      <c r="C47" s="13" t="s">
        <v>385</v>
      </c>
      <c r="D47" s="13" t="str">
        <f t="shared" si="0"/>
        <v xml:space="preserve">;+emgf </v>
      </c>
      <c r="E47" s="13" t="str">
        <f t="shared" si="2"/>
        <v>sfsL{</v>
      </c>
      <c r="F47" s="21" t="s">
        <v>234</v>
      </c>
      <c r="G47" s="21" t="s">
        <v>756</v>
      </c>
      <c r="H47" s="21"/>
      <c r="I47" s="16">
        <v>0</v>
      </c>
      <c r="J47" s="16">
        <v>3</v>
      </c>
      <c r="K47" s="16">
        <v>0</v>
      </c>
      <c r="L47" s="16">
        <v>1</v>
      </c>
      <c r="M47" s="15">
        <f t="shared" si="1"/>
        <v>40.169863013698631</v>
      </c>
      <c r="N47" s="5">
        <v>52295</v>
      </c>
      <c r="O47" s="16">
        <f t="shared" si="3"/>
        <v>8</v>
      </c>
      <c r="P47" s="13" t="str">
        <v>tfdfª</v>
      </c>
      <c r="Q47" s="16" t="s">
        <v>751</v>
      </c>
      <c r="R47" s="5">
        <v>66957</v>
      </c>
      <c r="T47" s="5">
        <v>66605</v>
      </c>
      <c r="U47" s="2" t="s">
        <v>2</v>
      </c>
      <c r="V47" s="2">
        <v>3</v>
      </c>
      <c r="W47" s="2">
        <v>2</v>
      </c>
      <c r="X47" s="2">
        <v>1</v>
      </c>
      <c r="Y47" t="s">
        <v>242</v>
      </c>
      <c r="Z47" t="s">
        <v>312</v>
      </c>
      <c r="AA47" t="s">
        <v>245</v>
      </c>
    </row>
    <row r="48" spans="1:28" ht="18" x14ac:dyDescent="0.35">
      <c r="A48" s="6"/>
      <c r="C48" s="13" t="s">
        <v>386</v>
      </c>
      <c r="D48" s="13" t="str">
        <f t="shared" si="0"/>
        <v xml:space="preserve">;'o{ </v>
      </c>
      <c r="E48" s="13" t="str">
        <f t="shared" si="2"/>
        <v>sfsL{</v>
      </c>
      <c r="F48" s="21" t="s">
        <v>233</v>
      </c>
      <c r="G48" s="21" t="s">
        <v>756</v>
      </c>
      <c r="H48" s="21"/>
      <c r="I48" s="16"/>
      <c r="J48" s="16"/>
      <c r="K48" s="16"/>
      <c r="L48" s="16"/>
      <c r="M48" s="15">
        <f t="shared" si="1"/>
        <v>47.241095890410961</v>
      </c>
      <c r="N48" s="5">
        <v>49714</v>
      </c>
      <c r="O48" s="16">
        <f t="shared" si="3"/>
        <v>1</v>
      </c>
      <c r="P48" s="13" t="str">
        <v>la=s</v>
      </c>
      <c r="Q48" s="16" t="s">
        <v>754</v>
      </c>
      <c r="R48" s="5">
        <v>66957</v>
      </c>
      <c r="T48" s="5"/>
    </row>
    <row r="49" spans="1:27" ht="18" x14ac:dyDescent="0.35">
      <c r="A49" s="6"/>
      <c r="C49" s="14" t="s">
        <v>387</v>
      </c>
      <c r="D49" s="13" t="str">
        <f t="shared" si="0"/>
        <v xml:space="preserve">;'hg </v>
      </c>
      <c r="E49" s="13" t="str">
        <f t="shared" si="2"/>
        <v>sfsL{</v>
      </c>
      <c r="F49" s="21" t="s">
        <v>233</v>
      </c>
      <c r="G49" s="21" t="s">
        <v>757</v>
      </c>
      <c r="H49" s="21"/>
      <c r="I49" s="16"/>
      <c r="J49" s="16"/>
      <c r="K49" s="16"/>
      <c r="L49" s="16"/>
      <c r="M49" s="15">
        <f t="shared" si="1"/>
        <v>22.493150684931507</v>
      </c>
      <c r="N49" s="5">
        <v>58747</v>
      </c>
      <c r="O49" s="16">
        <f t="shared" si="3"/>
        <v>2</v>
      </c>
      <c r="P49" s="13" t="str">
        <v>uxt/fh</v>
      </c>
      <c r="Q49" s="16" t="s">
        <v>751</v>
      </c>
      <c r="R49" s="5">
        <v>66957</v>
      </c>
      <c r="T49" s="5"/>
    </row>
    <row r="50" spans="1:27" ht="18" x14ac:dyDescent="0.35">
      <c r="A50" s="6">
        <v>15</v>
      </c>
      <c r="B50" t="s">
        <v>17</v>
      </c>
      <c r="C50" s="14" t="s">
        <v>388</v>
      </c>
      <c r="D50" s="13" t="str">
        <f t="shared" si="0"/>
        <v xml:space="preserve">s]z/ </v>
      </c>
      <c r="E50" s="13" t="str">
        <f t="shared" si="2"/>
        <v>dxt</v>
      </c>
      <c r="F50" s="21" t="s">
        <v>233</v>
      </c>
      <c r="G50" s="21" t="s">
        <v>756</v>
      </c>
      <c r="H50" s="21"/>
      <c r="I50" s="16">
        <v>0</v>
      </c>
      <c r="J50" s="16">
        <v>3</v>
      </c>
      <c r="K50" s="16">
        <v>0</v>
      </c>
      <c r="L50" s="16">
        <v>0</v>
      </c>
      <c r="M50" s="15">
        <f t="shared" si="1"/>
        <v>57.583561643835615</v>
      </c>
      <c r="N50" s="5">
        <v>45939</v>
      </c>
      <c r="O50" s="16">
        <f t="shared" si="3"/>
        <v>2</v>
      </c>
      <c r="P50" s="13" t="str">
        <v>l;njfn</v>
      </c>
      <c r="Q50" s="16" t="s">
        <v>752</v>
      </c>
      <c r="R50" s="5">
        <v>66957</v>
      </c>
      <c r="T50" s="5">
        <v>66605</v>
      </c>
      <c r="U50" s="2" t="s">
        <v>2</v>
      </c>
      <c r="V50" s="2">
        <v>4</v>
      </c>
      <c r="W50" s="2">
        <v>2</v>
      </c>
      <c r="X50" s="2">
        <v>2</v>
      </c>
      <c r="Y50" t="s">
        <v>242</v>
      </c>
      <c r="Z50" t="s">
        <v>285</v>
      </c>
      <c r="AA50" t="s">
        <v>245</v>
      </c>
    </row>
    <row r="51" spans="1:27" ht="18" x14ac:dyDescent="0.35">
      <c r="A51" s="6"/>
      <c r="C51" s="14" t="s">
        <v>389</v>
      </c>
      <c r="D51" s="13" t="str">
        <f t="shared" si="0"/>
        <v xml:space="preserve">eujtL </v>
      </c>
      <c r="E51" s="13" t="str">
        <f t="shared" si="2"/>
        <v>dxt</v>
      </c>
      <c r="F51" s="21" t="s">
        <v>234</v>
      </c>
      <c r="G51" s="21" t="s">
        <v>756</v>
      </c>
      <c r="H51" s="21"/>
      <c r="I51" s="16"/>
      <c r="J51" s="16"/>
      <c r="K51" s="16"/>
      <c r="L51" s="16"/>
      <c r="M51" s="15">
        <f t="shared" si="1"/>
        <v>52.534246575342465</v>
      </c>
      <c r="N51" s="5">
        <v>47782</v>
      </c>
      <c r="O51" s="16">
        <f t="shared" si="3"/>
        <v>7</v>
      </c>
      <c r="P51" s="13" t="str">
        <v>;fksf]6f</v>
      </c>
      <c r="Q51" s="16" t="s">
        <v>752</v>
      </c>
      <c r="R51" s="5">
        <v>66957</v>
      </c>
      <c r="T51" s="5"/>
    </row>
    <row r="52" spans="1:27" ht="18" x14ac:dyDescent="0.35">
      <c r="A52" s="6"/>
      <c r="C52" s="14" t="s">
        <v>390</v>
      </c>
      <c r="D52" s="13" t="str">
        <f t="shared" si="0"/>
        <v xml:space="preserve">gj/fh </v>
      </c>
      <c r="E52" s="13" t="str">
        <f t="shared" si="2"/>
        <v>dxt</v>
      </c>
      <c r="F52" s="21" t="s">
        <v>233</v>
      </c>
      <c r="G52" s="21" t="s">
        <v>757</v>
      </c>
      <c r="H52" s="21"/>
      <c r="I52" s="16"/>
      <c r="J52" s="16"/>
      <c r="K52" s="16"/>
      <c r="L52" s="16"/>
      <c r="M52" s="15">
        <f t="shared" si="1"/>
        <v>28.583561643835615</v>
      </c>
      <c r="N52" s="5">
        <v>56524</v>
      </c>
      <c r="O52" s="16">
        <f t="shared" si="3"/>
        <v>3</v>
      </c>
      <c r="P52" s="13" t="str">
        <v>l;+v8f</v>
      </c>
      <c r="Q52" s="16" t="s">
        <v>752</v>
      </c>
      <c r="R52" s="5">
        <v>66957</v>
      </c>
      <c r="T52" s="5"/>
    </row>
    <row r="53" spans="1:27" ht="18" x14ac:dyDescent="0.35">
      <c r="A53" s="6"/>
      <c r="C53" s="14" t="s">
        <v>391</v>
      </c>
      <c r="D53" s="13" t="str">
        <f t="shared" si="0"/>
        <v xml:space="preserve">gljgf </v>
      </c>
      <c r="E53" s="13" t="str">
        <f t="shared" si="2"/>
        <v>dxt</v>
      </c>
      <c r="F53" s="21" t="s">
        <v>234</v>
      </c>
      <c r="G53" s="21" t="s">
        <v>757</v>
      </c>
      <c r="H53" s="21"/>
      <c r="I53" s="16"/>
      <c r="J53" s="16"/>
      <c r="K53" s="16"/>
      <c r="L53" s="16"/>
      <c r="M53" s="15">
        <f t="shared" si="1"/>
        <v>24.460273972602739</v>
      </c>
      <c r="N53" s="5">
        <v>58029</v>
      </c>
      <c r="O53" s="16">
        <f t="shared" si="3"/>
        <v>4</v>
      </c>
      <c r="P53" s="13" t="str">
        <v>u'?ª</v>
      </c>
      <c r="Q53" s="16" t="s">
        <v>751</v>
      </c>
      <c r="R53" s="5">
        <v>66957</v>
      </c>
      <c r="T53" s="5"/>
    </row>
    <row r="54" spans="1:27" ht="18" x14ac:dyDescent="0.35">
      <c r="A54" s="6">
        <v>16</v>
      </c>
      <c r="B54" t="s">
        <v>19</v>
      </c>
      <c r="C54" s="14" t="s">
        <v>392</v>
      </c>
      <c r="D54" s="13" t="str">
        <f t="shared" si="0"/>
        <v xml:space="preserve">emg </v>
      </c>
      <c r="E54" s="13" t="str">
        <f t="shared" si="2"/>
        <v>a:g]t</v>
      </c>
      <c r="F54" s="21" t="s">
        <v>234</v>
      </c>
      <c r="G54" s="21" t="s">
        <v>756</v>
      </c>
      <c r="H54" s="21"/>
      <c r="I54" s="16">
        <v>0</v>
      </c>
      <c r="J54" s="16">
        <v>3</v>
      </c>
      <c r="K54" s="16">
        <v>0</v>
      </c>
      <c r="L54" s="16">
        <v>0</v>
      </c>
      <c r="M54" s="15">
        <f t="shared" si="1"/>
        <v>52.895890410958906</v>
      </c>
      <c r="N54" s="5">
        <v>47650</v>
      </c>
      <c r="O54" s="16">
        <f t="shared" si="3"/>
        <v>3</v>
      </c>
      <c r="P54" s="13" t="str">
        <v>bdfO{</v>
      </c>
      <c r="Q54" s="16" t="s">
        <v>754</v>
      </c>
      <c r="R54" s="5">
        <v>66957</v>
      </c>
      <c r="T54" s="5">
        <v>66594</v>
      </c>
      <c r="U54" s="2" t="s">
        <v>2</v>
      </c>
      <c r="V54" s="2">
        <v>3</v>
      </c>
      <c r="W54" s="2">
        <v>1</v>
      </c>
      <c r="X54" s="2">
        <v>2</v>
      </c>
      <c r="Y54" t="s">
        <v>242</v>
      </c>
      <c r="Z54" t="s">
        <v>275</v>
      </c>
      <c r="AA54" t="s">
        <v>245</v>
      </c>
    </row>
    <row r="55" spans="1:27" ht="18" x14ac:dyDescent="0.35">
      <c r="A55" s="6"/>
      <c r="C55" s="14" t="s">
        <v>393</v>
      </c>
      <c r="D55" s="13" t="str">
        <f t="shared" si="0"/>
        <v xml:space="preserve">;l/tf </v>
      </c>
      <c r="E55" s="13" t="str">
        <f t="shared" si="2"/>
        <v>5]qL</v>
      </c>
      <c r="F55" s="21" t="s">
        <v>234</v>
      </c>
      <c r="G55" s="21" t="s">
        <v>757</v>
      </c>
      <c r="H55" s="21"/>
      <c r="I55" s="16"/>
      <c r="J55" s="16"/>
      <c r="K55" s="16"/>
      <c r="L55" s="16"/>
      <c r="M55" s="15">
        <f t="shared" si="1"/>
        <v>24.487671232876714</v>
      </c>
      <c r="N55" s="5">
        <v>58019</v>
      </c>
      <c r="O55" s="16">
        <f t="shared" si="3"/>
        <v>1</v>
      </c>
      <c r="P55" s="13" t="str">
        <v>lnDj'</v>
      </c>
      <c r="Q55" s="16" t="s">
        <v>751</v>
      </c>
      <c r="R55" s="5">
        <v>66957</v>
      </c>
      <c r="T55" s="5"/>
    </row>
    <row r="56" spans="1:27" ht="18" x14ac:dyDescent="0.35">
      <c r="A56" s="6"/>
      <c r="C56" s="14" t="s">
        <v>394</v>
      </c>
      <c r="D56" s="13" t="str">
        <f t="shared" si="0"/>
        <v xml:space="preserve">led </v>
      </c>
      <c r="E56" s="13" t="str">
        <f t="shared" si="2"/>
        <v>a:g]t</v>
      </c>
      <c r="F56" s="21" t="s">
        <v>233</v>
      </c>
      <c r="G56" s="21" t="s">
        <v>757</v>
      </c>
      <c r="H56" s="21"/>
      <c r="I56" s="16"/>
      <c r="J56" s="16"/>
      <c r="K56" s="16"/>
      <c r="L56" s="16"/>
      <c r="M56" s="15">
        <f t="shared" si="1"/>
        <v>29.567123287671233</v>
      </c>
      <c r="N56" s="5">
        <v>56165</v>
      </c>
      <c r="O56" s="16">
        <f t="shared" si="3"/>
        <v>2</v>
      </c>
      <c r="P56" s="13" t="str">
        <v>dfb]g</v>
      </c>
      <c r="Q56" s="16" t="s">
        <v>751</v>
      </c>
      <c r="R56" s="5">
        <v>66957</v>
      </c>
      <c r="T56" s="5"/>
    </row>
    <row r="57" spans="1:27" ht="18" x14ac:dyDescent="0.35">
      <c r="A57" s="6">
        <v>17</v>
      </c>
      <c r="B57" t="s">
        <v>18</v>
      </c>
      <c r="C57" s="14" t="s">
        <v>395</v>
      </c>
      <c r="D57" s="13" t="str">
        <f t="shared" si="0"/>
        <v xml:space="preserve">pT;j </v>
      </c>
      <c r="E57" s="13" t="str">
        <f t="shared" si="2"/>
        <v>9sfn</v>
      </c>
      <c r="F57" s="21" t="s">
        <v>233</v>
      </c>
      <c r="G57" s="21" t="s">
        <v>756</v>
      </c>
      <c r="H57" s="21"/>
      <c r="I57" s="16">
        <v>1</v>
      </c>
      <c r="J57" s="16">
        <v>8</v>
      </c>
      <c r="K57" s="16">
        <v>0</v>
      </c>
      <c r="L57" s="16">
        <v>0</v>
      </c>
      <c r="M57" s="15">
        <f t="shared" si="1"/>
        <v>30.638356164383563</v>
      </c>
      <c r="N57" s="5">
        <v>55774</v>
      </c>
      <c r="O57" s="16">
        <f t="shared" si="3"/>
        <v>1</v>
      </c>
      <c r="P57" s="13" t="str">
        <v>hj]u'</v>
      </c>
      <c r="Q57" s="16" t="s">
        <v>751</v>
      </c>
      <c r="R57" s="5">
        <v>66957</v>
      </c>
      <c r="T57" s="5">
        <v>66589</v>
      </c>
      <c r="U57" s="2" t="s">
        <v>2</v>
      </c>
      <c r="V57" s="2">
        <v>6</v>
      </c>
      <c r="W57" s="2">
        <v>2</v>
      </c>
      <c r="X57" s="2">
        <v>4</v>
      </c>
      <c r="Y57" t="s">
        <v>242</v>
      </c>
      <c r="Z57" t="s">
        <v>333</v>
      </c>
      <c r="AA57" t="s">
        <v>245</v>
      </c>
    </row>
    <row r="58" spans="1:27" ht="18" x14ac:dyDescent="0.35">
      <c r="A58" s="6"/>
      <c r="C58" s="14" t="s">
        <v>396</v>
      </c>
      <c r="D58" s="13" t="str">
        <f t="shared" si="0"/>
        <v xml:space="preserve">;'lhtf </v>
      </c>
      <c r="E58" s="13" t="str">
        <f t="shared" si="2"/>
        <v>rf}nfufO{</v>
      </c>
      <c r="F58" s="21" t="s">
        <v>234</v>
      </c>
      <c r="G58" s="21" t="s">
        <v>756</v>
      </c>
      <c r="H58" s="21"/>
      <c r="I58" s="16"/>
      <c r="J58" s="16"/>
      <c r="K58" s="16"/>
      <c r="L58" s="16"/>
      <c r="M58" s="15">
        <f t="shared" si="1"/>
        <v>30.860273972602741</v>
      </c>
      <c r="N58" s="5">
        <v>55693</v>
      </c>
      <c r="O58" s="16">
        <f t="shared" si="3"/>
        <v>1</v>
      </c>
      <c r="P58" s="13" t="str">
        <v>-aflgof_</v>
      </c>
      <c r="Q58" s="16" t="s">
        <v>750</v>
      </c>
      <c r="R58" s="5">
        <v>66957</v>
      </c>
      <c r="T58" s="5"/>
    </row>
    <row r="59" spans="1:27" ht="18" x14ac:dyDescent="0.35">
      <c r="A59" s="6"/>
      <c r="C59" s="14" t="s">
        <v>397</v>
      </c>
      <c r="D59" s="13" t="str">
        <f t="shared" si="0"/>
        <v xml:space="preserve">/fh]Gb| </v>
      </c>
      <c r="E59" s="13" t="str">
        <f t="shared" si="2"/>
        <v>9sfn</v>
      </c>
      <c r="F59" s="21" t="s">
        <v>233</v>
      </c>
      <c r="G59" s="21" t="s">
        <v>756</v>
      </c>
      <c r="H59" s="21"/>
      <c r="I59" s="16"/>
      <c r="J59" s="16"/>
      <c r="K59" s="16"/>
      <c r="L59" s="16"/>
      <c r="M59" s="15">
        <f t="shared" si="1"/>
        <v>56.101369863013701</v>
      </c>
      <c r="N59" s="5">
        <v>46480</v>
      </c>
      <c r="O59" s="16">
        <f t="shared" si="3"/>
        <v>1</v>
      </c>
      <c r="P59" s="13" t="str">
        <v>kf08]</v>
      </c>
      <c r="Q59" s="16" t="s">
        <v>752</v>
      </c>
      <c r="R59" s="5">
        <v>66957</v>
      </c>
      <c r="T59" s="5"/>
    </row>
    <row r="60" spans="1:27" ht="18" x14ac:dyDescent="0.35">
      <c r="A60" s="6"/>
      <c r="C60" s="14" t="s">
        <v>398</v>
      </c>
      <c r="D60" s="13" t="str">
        <f t="shared" si="0"/>
        <v xml:space="preserve">uLtf </v>
      </c>
      <c r="E60" s="13" t="str">
        <f t="shared" si="2"/>
        <v>9sfn</v>
      </c>
      <c r="F60" s="21" t="s">
        <v>234</v>
      </c>
      <c r="G60" s="21" t="s">
        <v>756</v>
      </c>
      <c r="H60" s="21"/>
      <c r="I60" s="16"/>
      <c r="J60" s="16"/>
      <c r="K60" s="16"/>
      <c r="L60" s="16"/>
      <c r="M60" s="15">
        <f t="shared" si="1"/>
        <v>50.805479452054797</v>
      </c>
      <c r="N60" s="5">
        <v>48413</v>
      </c>
      <c r="O60" s="16">
        <f t="shared" si="3"/>
        <v>16</v>
      </c>
      <c r="P60" s="13" t="str">
        <v>yfkf</v>
      </c>
      <c r="Q60" s="16" t="s">
        <v>750</v>
      </c>
      <c r="R60" s="5">
        <v>66957</v>
      </c>
      <c r="T60" s="5"/>
    </row>
    <row r="61" spans="1:27" ht="18" x14ac:dyDescent="0.35">
      <c r="A61" s="6"/>
      <c r="C61" s="14" t="s">
        <v>399</v>
      </c>
      <c r="D61" s="13" t="str">
        <f t="shared" si="0"/>
        <v xml:space="preserve">:jl:tsf </v>
      </c>
      <c r="E61" s="13" t="str">
        <f t="shared" si="2"/>
        <v>9sfn</v>
      </c>
      <c r="F61" s="21" t="s">
        <v>234</v>
      </c>
      <c r="G61" s="21" t="s">
        <v>757</v>
      </c>
      <c r="H61" s="21"/>
      <c r="I61" s="16"/>
      <c r="J61" s="16"/>
      <c r="K61" s="16"/>
      <c r="L61" s="16"/>
      <c r="M61" s="15">
        <f t="shared" si="1"/>
        <v>27.432876712328767</v>
      </c>
      <c r="N61" s="5">
        <v>56944</v>
      </c>
      <c r="O61" s="16">
        <f t="shared" si="3"/>
        <v>2</v>
      </c>
      <c r="P61" s="13" t="str">
        <v>k|;fb</v>
      </c>
      <c r="Q61" s="16" t="s">
        <v>750</v>
      </c>
      <c r="R61" s="5">
        <v>66957</v>
      </c>
      <c r="T61" s="5"/>
    </row>
    <row r="62" spans="1:27" ht="18" x14ac:dyDescent="0.35">
      <c r="A62" s="6"/>
      <c r="C62" s="14" t="s">
        <v>400</v>
      </c>
      <c r="D62" s="13" t="str">
        <f t="shared" si="0"/>
        <v xml:space="preserve">l&gt;l4sf </v>
      </c>
      <c r="E62" s="13" t="str">
        <f t="shared" si="2"/>
        <v>9sfn</v>
      </c>
      <c r="F62" s="21" t="s">
        <v>234</v>
      </c>
      <c r="G62" s="21" t="s">
        <v>757</v>
      </c>
      <c r="H62" s="21"/>
      <c r="I62" s="16"/>
      <c r="J62" s="16"/>
      <c r="K62" s="16"/>
      <c r="L62" s="16"/>
      <c r="M62" s="15">
        <f t="shared" si="1"/>
        <v>4.4000000000000004</v>
      </c>
      <c r="N62" s="5">
        <v>65351</v>
      </c>
      <c r="O62" s="16">
        <f t="shared" si="3"/>
        <v>1</v>
      </c>
      <c r="P62" s="13" t="str">
        <v>u'Ktf</v>
      </c>
      <c r="Q62" s="16" t="s">
        <v>752</v>
      </c>
      <c r="R62" s="5">
        <v>66957</v>
      </c>
      <c r="T62" s="5"/>
    </row>
    <row r="63" spans="1:27" ht="18" x14ac:dyDescent="0.35">
      <c r="A63" s="6">
        <v>18</v>
      </c>
      <c r="B63" t="s">
        <v>20</v>
      </c>
      <c r="C63" s="14" t="s">
        <v>401</v>
      </c>
      <c r="D63" s="13" t="str">
        <f t="shared" si="0"/>
        <v xml:space="preserve">;'o{ </v>
      </c>
      <c r="E63" s="13" t="str">
        <f t="shared" si="2"/>
        <v>vltj8f</v>
      </c>
      <c r="F63" s="21" t="s">
        <v>233</v>
      </c>
      <c r="G63" s="21" t="s">
        <v>756</v>
      </c>
      <c r="H63" s="21"/>
      <c r="I63" s="16" t="s">
        <v>748</v>
      </c>
      <c r="J63" s="16" t="s">
        <v>748</v>
      </c>
      <c r="K63" s="16" t="s">
        <v>748</v>
      </c>
      <c r="L63" s="16" t="s">
        <v>748</v>
      </c>
      <c r="M63" s="15">
        <f t="shared" si="1"/>
        <v>46.276712328767125</v>
      </c>
      <c r="N63" s="5">
        <v>50066</v>
      </c>
      <c r="O63" s="16">
        <f t="shared" si="3"/>
        <v>1</v>
      </c>
      <c r="P63" s="13" t="str">
        <v>tfdf+u</v>
      </c>
      <c r="Q63" s="16" t="s">
        <v>751</v>
      </c>
      <c r="R63" s="5">
        <v>66957</v>
      </c>
      <c r="T63" s="5">
        <v>66587</v>
      </c>
      <c r="U63" s="2" t="s">
        <v>2</v>
      </c>
      <c r="V63" s="2">
        <v>4</v>
      </c>
      <c r="W63" s="2">
        <v>2</v>
      </c>
      <c r="X63" s="2">
        <v>2</v>
      </c>
      <c r="Y63" t="s">
        <v>242</v>
      </c>
      <c r="Z63" t="s">
        <v>252</v>
      </c>
      <c r="AA63" t="s">
        <v>245</v>
      </c>
    </row>
    <row r="64" spans="1:27" ht="18" x14ac:dyDescent="0.35">
      <c r="A64" s="6"/>
      <c r="C64" s="14" t="s">
        <v>402</v>
      </c>
      <c r="D64" s="13" t="str">
        <f t="shared" si="0"/>
        <v xml:space="preserve">hgs </v>
      </c>
      <c r="E64" s="13" t="str">
        <f t="shared" si="2"/>
        <v>vltj8f</v>
      </c>
      <c r="F64" s="21" t="s">
        <v>233</v>
      </c>
      <c r="G64" s="21" t="s">
        <v>756</v>
      </c>
      <c r="H64" s="21"/>
      <c r="I64" s="16"/>
      <c r="J64" s="16"/>
      <c r="K64" s="16"/>
      <c r="L64" s="16"/>
      <c r="M64" s="15">
        <f t="shared" si="1"/>
        <v>57.515068493150686</v>
      </c>
      <c r="N64" s="5">
        <v>45964</v>
      </c>
      <c r="O64" s="16">
        <f t="shared" si="3"/>
        <v>1</v>
      </c>
      <c r="P64" s="13" t="str">
        <v>/f]Ssf</v>
      </c>
      <c r="Q64" s="16" t="s">
        <v>750</v>
      </c>
      <c r="R64" s="5">
        <v>66957</v>
      </c>
      <c r="T64" s="5"/>
    </row>
    <row r="65" spans="1:27" ht="18" x14ac:dyDescent="0.35">
      <c r="A65" s="6"/>
      <c r="C65" s="14" t="s">
        <v>403</v>
      </c>
      <c r="D65" s="13" t="str">
        <f t="shared" si="0"/>
        <v xml:space="preserve">dGh' </v>
      </c>
      <c r="E65" s="13" t="str">
        <f t="shared" si="2"/>
        <v>vltj8f</v>
      </c>
      <c r="F65" s="21" t="s">
        <v>234</v>
      </c>
      <c r="G65" s="21" t="s">
        <v>756</v>
      </c>
      <c r="H65" s="21"/>
      <c r="I65" s="16"/>
      <c r="J65" s="16"/>
      <c r="K65" s="16"/>
      <c r="L65" s="16"/>
      <c r="M65" s="15">
        <f t="shared" si="1"/>
        <v>47.282191780821918</v>
      </c>
      <c r="N65" s="5">
        <v>49699</v>
      </c>
      <c r="O65" s="16">
        <f t="shared" si="3"/>
        <v>4</v>
      </c>
      <c r="P65" s="13" t="str">
        <v>e08f/L</v>
      </c>
      <c r="Q65" s="16" t="s">
        <v>752</v>
      </c>
      <c r="R65" s="5">
        <v>66957</v>
      </c>
      <c r="T65" s="5"/>
    </row>
    <row r="66" spans="1:27" ht="18" x14ac:dyDescent="0.35">
      <c r="A66" s="6"/>
      <c r="C66" s="14" t="s">
        <v>404</v>
      </c>
      <c r="D66" s="13" t="str">
        <f t="shared" si="0"/>
        <v xml:space="preserve">s';'d </v>
      </c>
      <c r="E66" s="13" t="str">
        <f t="shared" si="2"/>
        <v>lg/f}nf</v>
      </c>
      <c r="F66" s="21" t="s">
        <v>234</v>
      </c>
      <c r="G66" s="21" t="s">
        <v>756</v>
      </c>
      <c r="H66" s="21"/>
      <c r="I66" s="16"/>
      <c r="J66" s="16"/>
      <c r="K66" s="16"/>
      <c r="L66" s="16"/>
      <c r="M66" s="15">
        <f t="shared" si="1"/>
        <v>34.778082191780825</v>
      </c>
      <c r="N66" s="5">
        <v>54263</v>
      </c>
      <c r="O66" s="16">
        <f t="shared" si="3"/>
        <v>1</v>
      </c>
      <c r="P66" s="13" t="str">
        <v>kf7s</v>
      </c>
      <c r="Q66" s="16" t="s">
        <v>750</v>
      </c>
      <c r="R66" s="5">
        <v>66957</v>
      </c>
      <c r="T66" s="5"/>
    </row>
    <row r="67" spans="1:27" ht="18" x14ac:dyDescent="0.35">
      <c r="A67" s="6">
        <v>19</v>
      </c>
      <c r="B67" t="s">
        <v>21</v>
      </c>
      <c r="C67" s="14" t="s">
        <v>405</v>
      </c>
      <c r="D67" s="13" t="str">
        <f t="shared" si="0"/>
        <v xml:space="preserve">ejfgL </v>
      </c>
      <c r="E67" s="13" t="str">
        <f t="shared" si="2"/>
        <v>af:sf]6f</v>
      </c>
      <c r="F67" s="21" t="s">
        <v>234</v>
      </c>
      <c r="G67" s="21" t="s">
        <v>756</v>
      </c>
      <c r="H67" s="21"/>
      <c r="I67" s="16">
        <v>0</v>
      </c>
      <c r="J67" s="16">
        <v>6</v>
      </c>
      <c r="K67" s="16">
        <v>0</v>
      </c>
      <c r="L67" s="16">
        <v>2</v>
      </c>
      <c r="M67" s="15">
        <f t="shared" si="1"/>
        <v>51.975342465753428</v>
      </c>
      <c r="N67" s="5">
        <v>47986</v>
      </c>
      <c r="O67" s="16">
        <f t="shared" si="3"/>
        <v>3</v>
      </c>
      <c r="P67" s="13" t="str">
        <v>s8]n</v>
      </c>
      <c r="Q67" s="16" t="s">
        <v>750</v>
      </c>
      <c r="R67" s="5">
        <v>66957</v>
      </c>
      <c r="T67" s="5">
        <v>66573</v>
      </c>
      <c r="U67" s="2" t="s">
        <v>2</v>
      </c>
      <c r="V67" s="2">
        <v>4</v>
      </c>
      <c r="W67" s="2">
        <v>2</v>
      </c>
      <c r="X67" s="2">
        <v>2</v>
      </c>
      <c r="Y67" t="s">
        <v>242</v>
      </c>
      <c r="Z67" t="s">
        <v>256</v>
      </c>
      <c r="AA67" t="s">
        <v>245</v>
      </c>
    </row>
    <row r="68" spans="1:27" ht="18" x14ac:dyDescent="0.35">
      <c r="A68" s="6"/>
      <c r="C68" s="14" t="s">
        <v>406</v>
      </c>
      <c r="D68" s="13" t="str">
        <f t="shared" ref="D68:D131" si="4">LEFT(C68,(FIND(" ",C68)))</f>
        <v xml:space="preserve">ofbj </v>
      </c>
      <c r="E68" s="13" t="str">
        <f t="shared" si="2"/>
        <v>af:sf]6f</v>
      </c>
      <c r="F68" s="21" t="s">
        <v>233</v>
      </c>
      <c r="G68" s="21" t="s">
        <v>756</v>
      </c>
      <c r="H68" s="21"/>
      <c r="I68" s="16"/>
      <c r="J68" s="16"/>
      <c r="K68" s="16"/>
      <c r="L68" s="16"/>
      <c r="M68" s="15">
        <f t="shared" ref="M68:M131" si="5">(R68-N68)/365</f>
        <v>63.441095890410956</v>
      </c>
      <c r="N68" s="5">
        <v>43801</v>
      </c>
      <c r="O68" s="16">
        <f t="shared" si="3"/>
        <v>4</v>
      </c>
      <c r="P68" s="13" t="str">
        <v>If]qL</v>
      </c>
      <c r="Q68" s="16" t="s">
        <v>750</v>
      </c>
      <c r="R68" s="5">
        <v>66957</v>
      </c>
      <c r="T68" s="5"/>
    </row>
    <row r="69" spans="1:27" ht="18" x14ac:dyDescent="0.35">
      <c r="A69" s="6"/>
      <c r="C69" s="14" t="s">
        <v>407</v>
      </c>
      <c r="D69" s="13" t="str">
        <f t="shared" si="4"/>
        <v xml:space="preserve">cg' </v>
      </c>
      <c r="E69" s="13" t="str">
        <f t="shared" ref="E69:E132" si="6">TRIM(RIGHT(SUBSTITUTE(C69," ",REPT(" ",255)),255))</f>
        <v>af:sf]6f</v>
      </c>
      <c r="F69" s="21" t="s">
        <v>234</v>
      </c>
      <c r="G69" s="21" t="s">
        <v>757</v>
      </c>
      <c r="H69" s="21"/>
      <c r="I69" s="16"/>
      <c r="J69" s="16"/>
      <c r="K69" s="16"/>
      <c r="L69" s="16"/>
      <c r="M69" s="15">
        <f t="shared" si="5"/>
        <v>32.728767123287675</v>
      </c>
      <c r="N69" s="5">
        <v>55011</v>
      </c>
      <c r="O69" s="16">
        <f t="shared" ref="O69:O89" si="7">COUNTIF($E$4:$E$416,P69)</f>
        <v>1</v>
      </c>
      <c r="P69" s="13" t="str">
        <v>dNn</v>
      </c>
      <c r="Q69" s="16" t="s">
        <v>751</v>
      </c>
      <c r="R69" s="5">
        <v>66957</v>
      </c>
      <c r="T69" s="5"/>
    </row>
    <row r="70" spans="1:27" ht="18" x14ac:dyDescent="0.35">
      <c r="A70" s="6"/>
      <c r="C70" s="14" t="s">
        <v>408</v>
      </c>
      <c r="D70" s="13" t="str">
        <f t="shared" si="4"/>
        <v xml:space="preserve">cg'k </v>
      </c>
      <c r="E70" s="13" t="str">
        <f t="shared" si="6"/>
        <v>af:sf]6f</v>
      </c>
      <c r="F70" s="21" t="s">
        <v>233</v>
      </c>
      <c r="G70" s="21" t="s">
        <v>757</v>
      </c>
      <c r="H70" s="21"/>
      <c r="I70" s="16"/>
      <c r="J70" s="16"/>
      <c r="K70" s="16"/>
      <c r="L70" s="16"/>
      <c r="M70" s="15">
        <f t="shared" si="5"/>
        <v>31.257534246575343</v>
      </c>
      <c r="N70" s="5">
        <v>55548</v>
      </c>
      <c r="O70" s="16">
        <f t="shared" si="7"/>
        <v>1</v>
      </c>
      <c r="P70" s="13" t="str">
        <v>;'a]bL</v>
      </c>
      <c r="Q70" s="16" t="s">
        <v>752</v>
      </c>
      <c r="R70" s="5">
        <v>66957</v>
      </c>
      <c r="T70" s="5"/>
    </row>
    <row r="71" spans="1:27" ht="18" x14ac:dyDescent="0.35">
      <c r="A71" s="6">
        <v>20</v>
      </c>
      <c r="B71" t="s">
        <v>22</v>
      </c>
      <c r="C71" s="14" t="s">
        <v>409</v>
      </c>
      <c r="D71" s="13" t="str">
        <f t="shared" si="4"/>
        <v xml:space="preserve">ltndfof </v>
      </c>
      <c r="E71" s="13" t="str">
        <f t="shared" si="6"/>
        <v>l3ld/]</v>
      </c>
      <c r="F71" s="21" t="s">
        <v>234</v>
      </c>
      <c r="G71" s="21" t="s">
        <v>756</v>
      </c>
      <c r="H71" s="21"/>
      <c r="I71" s="16">
        <v>0</v>
      </c>
      <c r="J71" s="16">
        <v>3</v>
      </c>
      <c r="K71" s="16">
        <v>3</v>
      </c>
      <c r="L71" s="16">
        <v>0</v>
      </c>
      <c r="M71" s="15">
        <f t="shared" si="5"/>
        <v>76.452054794520549</v>
      </c>
      <c r="N71" s="5">
        <v>39052</v>
      </c>
      <c r="O71" s="16">
        <f t="shared" si="7"/>
        <v>5</v>
      </c>
      <c r="P71" s="13" t="str">
        <v>uf}td</v>
      </c>
      <c r="Q71" s="16" t="s">
        <v>752</v>
      </c>
      <c r="R71" s="5">
        <v>66957</v>
      </c>
      <c r="T71" s="5">
        <v>66559</v>
      </c>
      <c r="U71" s="2" t="s">
        <v>100</v>
      </c>
      <c r="V71" s="2">
        <v>1</v>
      </c>
      <c r="X71" s="2">
        <v>1</v>
      </c>
      <c r="Y71" t="s">
        <v>240</v>
      </c>
      <c r="Z71" t="s">
        <v>245</v>
      </c>
      <c r="AA71" t="s">
        <v>331</v>
      </c>
    </row>
    <row r="72" spans="1:27" ht="18" x14ac:dyDescent="0.35">
      <c r="A72" s="6">
        <v>21</v>
      </c>
      <c r="B72" t="s">
        <v>23</v>
      </c>
      <c r="C72" s="14" t="s">
        <v>410</v>
      </c>
      <c r="D72" s="13" t="str">
        <f t="shared" si="4"/>
        <v xml:space="preserve">;'jf; </v>
      </c>
      <c r="E72" s="13" t="str">
        <f t="shared" si="6"/>
        <v>/fhjfxs</v>
      </c>
      <c r="F72" s="21" t="s">
        <v>233</v>
      </c>
      <c r="G72" s="21" t="s">
        <v>756</v>
      </c>
      <c r="H72" s="21"/>
      <c r="I72" s="16">
        <v>0</v>
      </c>
      <c r="J72" s="16">
        <v>3</v>
      </c>
      <c r="K72" s="16">
        <f>2+(1)</f>
        <v>3</v>
      </c>
      <c r="L72" s="16">
        <v>0</v>
      </c>
      <c r="M72" s="15">
        <f t="shared" si="5"/>
        <v>30.920547945205481</v>
      </c>
      <c r="N72" s="5">
        <v>55671</v>
      </c>
      <c r="O72" s="16">
        <f t="shared" si="7"/>
        <v>1</v>
      </c>
      <c r="P72" s="13" t="str">
        <v>af;sf]6f</v>
      </c>
      <c r="Q72" s="16" t="s">
        <v>752</v>
      </c>
      <c r="R72" s="5">
        <v>66957</v>
      </c>
      <c r="T72" s="5">
        <v>66423</v>
      </c>
      <c r="U72" s="2" t="s">
        <v>100</v>
      </c>
      <c r="V72" s="2">
        <v>5</v>
      </c>
      <c r="W72" s="2">
        <v>2</v>
      </c>
      <c r="X72" s="2">
        <v>3</v>
      </c>
      <c r="Y72" t="s">
        <v>242</v>
      </c>
      <c r="Z72" t="s">
        <v>245</v>
      </c>
      <c r="AA72" t="s">
        <v>325</v>
      </c>
    </row>
    <row r="73" spans="1:27" ht="18" x14ac:dyDescent="0.35">
      <c r="A73" s="6"/>
      <c r="C73" s="14" t="s">
        <v>411</v>
      </c>
      <c r="D73" s="13" t="str">
        <f t="shared" si="4"/>
        <v xml:space="preserve">kf;fË </v>
      </c>
      <c r="E73" s="13" t="str">
        <f t="shared" si="6"/>
        <v>nfdf</v>
      </c>
      <c r="F73" s="21" t="s">
        <v>234</v>
      </c>
      <c r="G73" s="21" t="s">
        <v>756</v>
      </c>
      <c r="H73" s="21"/>
      <c r="I73" s="16"/>
      <c r="J73" s="16"/>
      <c r="K73" s="16"/>
      <c r="L73" s="16"/>
      <c r="M73" s="15">
        <f t="shared" si="5"/>
        <v>27.778082191780822</v>
      </c>
      <c r="N73" s="5">
        <v>56818</v>
      </c>
      <c r="O73" s="16">
        <f t="shared" si="7"/>
        <v>4</v>
      </c>
      <c r="P73" s="13" t="str">
        <v>r'8fn</v>
      </c>
      <c r="Q73" s="16" t="s">
        <v>752</v>
      </c>
      <c r="R73" s="5">
        <v>66957</v>
      </c>
      <c r="T73" s="5"/>
    </row>
    <row r="74" spans="1:27" ht="18" x14ac:dyDescent="0.35">
      <c r="A74" s="6"/>
      <c r="C74" s="14" t="s">
        <v>412</v>
      </c>
      <c r="D74" s="13" t="str">
        <f t="shared" si="4"/>
        <v xml:space="preserve">s'Ëzª </v>
      </c>
      <c r="E74" s="13" t="str">
        <f t="shared" si="6"/>
        <v>/fhjfxs</v>
      </c>
      <c r="F74" s="21" t="s">
        <v>234</v>
      </c>
      <c r="G74" s="21" t="s">
        <v>757</v>
      </c>
      <c r="H74" s="21"/>
      <c r="I74" s="16"/>
      <c r="J74" s="16"/>
      <c r="K74" s="16"/>
      <c r="L74" s="16"/>
      <c r="M74" s="15">
        <f t="shared" si="5"/>
        <v>6.646575342465753</v>
      </c>
      <c r="N74" s="5">
        <v>64531</v>
      </c>
      <c r="O74" s="16">
        <f t="shared" si="7"/>
        <v>4</v>
      </c>
      <c r="P74" s="13" t="str">
        <v>rDnfufO{</v>
      </c>
      <c r="Q74" s="16" t="s">
        <v>752</v>
      </c>
      <c r="R74" s="5">
        <v>66957</v>
      </c>
      <c r="T74" s="5"/>
    </row>
    <row r="75" spans="1:27" ht="18" x14ac:dyDescent="0.35">
      <c r="A75" s="6"/>
      <c r="C75" s="14" t="s">
        <v>413</v>
      </c>
      <c r="D75" s="13" t="str">
        <f t="shared" si="4"/>
        <v xml:space="preserve">sfo/j </v>
      </c>
      <c r="E75" s="13" t="str">
        <f t="shared" si="6"/>
        <v>/fhjfxs</v>
      </c>
      <c r="F75" s="21" t="s">
        <v>233</v>
      </c>
      <c r="G75" s="21" t="s">
        <v>757</v>
      </c>
      <c r="H75" s="21"/>
      <c r="I75" s="16"/>
      <c r="J75" s="16"/>
      <c r="K75" s="16"/>
      <c r="L75" s="16"/>
      <c r="M75" s="15">
        <f t="shared" si="5"/>
        <v>3.3397260273972602</v>
      </c>
      <c r="N75" s="5">
        <v>65738</v>
      </c>
      <c r="O75" s="16">
        <f t="shared" si="7"/>
        <v>3</v>
      </c>
      <c r="P75" s="13" t="str">
        <v>a'9fyf]sL</v>
      </c>
      <c r="Q75" s="16" t="s">
        <v>752</v>
      </c>
      <c r="R75" s="5">
        <v>66957</v>
      </c>
      <c r="T75" s="5"/>
    </row>
    <row r="76" spans="1:27" ht="18" x14ac:dyDescent="0.35">
      <c r="A76" s="6"/>
      <c r="C76" s="14" t="s">
        <v>414</v>
      </c>
      <c r="D76" s="13" t="str">
        <f t="shared" si="4"/>
        <v xml:space="preserve">sfo/f </v>
      </c>
      <c r="E76" s="13" t="str">
        <f t="shared" si="6"/>
        <v>/fhjfxs</v>
      </c>
      <c r="F76" s="21" t="s">
        <v>234</v>
      </c>
      <c r="G76" s="21" t="s">
        <v>757</v>
      </c>
      <c r="H76" s="21"/>
      <c r="I76" s="16"/>
      <c r="J76" s="16"/>
      <c r="K76" s="16"/>
      <c r="L76" s="16"/>
      <c r="M76" s="15">
        <f t="shared" si="5"/>
        <v>1.9315068493150684</v>
      </c>
      <c r="N76" s="5">
        <v>66252</v>
      </c>
      <c r="O76" s="16">
        <f t="shared" si="7"/>
        <v>1</v>
      </c>
      <c r="P76" s="13" t="str">
        <v>lu/L</v>
      </c>
      <c r="Q76" s="16" t="s">
        <v>750</v>
      </c>
      <c r="R76" s="5">
        <v>66957</v>
      </c>
      <c r="T76" s="5"/>
    </row>
    <row r="77" spans="1:27" ht="18" x14ac:dyDescent="0.35">
      <c r="A77" s="6">
        <v>22</v>
      </c>
      <c r="B77" t="s">
        <v>24</v>
      </c>
      <c r="C77" s="14" t="s">
        <v>415</v>
      </c>
      <c r="D77" s="13" t="str">
        <f t="shared" si="4"/>
        <v xml:space="preserve">hLjg </v>
      </c>
      <c r="E77" s="13" t="str">
        <f t="shared" si="6"/>
        <v>sfsL{</v>
      </c>
      <c r="F77" s="21" t="s">
        <v>233</v>
      </c>
      <c r="G77" s="21" t="s">
        <v>756</v>
      </c>
      <c r="H77" s="21"/>
      <c r="I77" s="16">
        <f>0</f>
        <v>0</v>
      </c>
      <c r="J77" s="16">
        <f>2+(1)</f>
        <v>3</v>
      </c>
      <c r="K77" s="16">
        <v>0</v>
      </c>
      <c r="L77" s="16">
        <v>0</v>
      </c>
      <c r="M77" s="15">
        <f t="shared" si="5"/>
        <v>39.871232876712327</v>
      </c>
      <c r="N77" s="5">
        <v>52404</v>
      </c>
      <c r="O77" s="16">
        <f t="shared" si="7"/>
        <v>1</v>
      </c>
      <c r="P77" s="13" t="str">
        <v>ld&gt;</v>
      </c>
      <c r="Q77" s="16" t="s">
        <v>752</v>
      </c>
      <c r="R77" s="5">
        <v>66957</v>
      </c>
      <c r="T77" s="5">
        <v>66408</v>
      </c>
      <c r="U77" s="2" t="s">
        <v>2</v>
      </c>
      <c r="V77" s="2">
        <v>5</v>
      </c>
      <c r="W77" s="2">
        <v>2</v>
      </c>
      <c r="X77" s="2">
        <v>3</v>
      </c>
      <c r="Y77" t="s">
        <v>242</v>
      </c>
      <c r="Z77" t="s">
        <v>276</v>
      </c>
      <c r="AA77" t="s">
        <v>245</v>
      </c>
    </row>
    <row r="78" spans="1:27" ht="18" x14ac:dyDescent="0.35">
      <c r="A78" s="6"/>
      <c r="C78" s="14" t="s">
        <v>416</v>
      </c>
      <c r="D78" s="13" t="str">
        <f t="shared" si="4"/>
        <v xml:space="preserve">s'zn </v>
      </c>
      <c r="E78" s="13" t="str">
        <f t="shared" si="6"/>
        <v>sfsL{</v>
      </c>
      <c r="F78" s="21" t="s">
        <v>233</v>
      </c>
      <c r="G78" s="21" t="s">
        <v>757</v>
      </c>
      <c r="H78" s="21"/>
      <c r="I78" s="16"/>
      <c r="J78" s="16"/>
      <c r="K78" s="16"/>
      <c r="L78" s="16"/>
      <c r="M78" s="15">
        <f t="shared" si="5"/>
        <v>7.2520547945205482</v>
      </c>
      <c r="N78" s="5">
        <v>64310</v>
      </c>
      <c r="O78" s="16">
        <f t="shared" si="7"/>
        <v>1</v>
      </c>
      <c r="P78" s="13" t="str">
        <v>/}nf</v>
      </c>
      <c r="Q78" s="16" t="s">
        <v>751</v>
      </c>
      <c r="R78" s="5">
        <v>66957</v>
      </c>
      <c r="T78" s="5"/>
    </row>
    <row r="79" spans="1:27" ht="18" x14ac:dyDescent="0.35">
      <c r="A79" s="6"/>
      <c r="C79" s="14" t="s">
        <v>417</v>
      </c>
      <c r="D79" s="13" t="str">
        <f t="shared" si="4"/>
        <v xml:space="preserve">nIdL </v>
      </c>
      <c r="E79" s="13" t="str">
        <f t="shared" si="6"/>
        <v>a:g]t</v>
      </c>
      <c r="F79" s="21" t="s">
        <v>234</v>
      </c>
      <c r="G79" s="21" t="s">
        <v>756</v>
      </c>
      <c r="H79" s="21"/>
      <c r="I79" s="16"/>
      <c r="J79" s="16"/>
      <c r="K79" s="16"/>
      <c r="L79" s="16"/>
      <c r="M79" s="15">
        <f t="shared" si="5"/>
        <v>36.482191780821921</v>
      </c>
      <c r="N79" s="5">
        <v>53641</v>
      </c>
      <c r="O79" s="16">
        <f t="shared" si="7"/>
        <v>4</v>
      </c>
      <c r="P79" s="13" t="str">
        <v>rf}w/L</v>
      </c>
      <c r="Q79" s="16" t="s">
        <v>751</v>
      </c>
      <c r="R79" s="5">
        <v>66957</v>
      </c>
      <c r="T79" s="5"/>
    </row>
    <row r="80" spans="1:27" ht="18" x14ac:dyDescent="0.35">
      <c r="A80" s="6"/>
      <c r="C80" s="14" t="s">
        <v>418</v>
      </c>
      <c r="D80" s="13" t="str">
        <f t="shared" si="4"/>
        <v xml:space="preserve">sNkgf </v>
      </c>
      <c r="E80" s="13" t="str">
        <f t="shared" si="6"/>
        <v>sfsL{</v>
      </c>
      <c r="F80" s="21" t="s">
        <v>234</v>
      </c>
      <c r="G80" s="21" t="s">
        <v>757</v>
      </c>
      <c r="H80" s="21"/>
      <c r="I80" s="16"/>
      <c r="J80" s="16"/>
      <c r="K80" s="16"/>
      <c r="L80" s="16"/>
      <c r="M80" s="15">
        <f t="shared" si="5"/>
        <v>9.7479452054794518</v>
      </c>
      <c r="N80" s="5">
        <v>63399</v>
      </c>
      <c r="O80" s="16">
        <f t="shared" si="7"/>
        <v>1</v>
      </c>
      <c r="P80" s="13" t="str">
        <v>j/fn</v>
      </c>
      <c r="Q80" s="16" t="s">
        <v>752</v>
      </c>
      <c r="R80" s="5">
        <v>66957</v>
      </c>
      <c r="T80" s="5"/>
    </row>
    <row r="81" spans="1:27" ht="18" x14ac:dyDescent="0.35">
      <c r="A81" s="6"/>
      <c r="C81" s="14" t="s">
        <v>419</v>
      </c>
      <c r="D81" s="13" t="str">
        <f t="shared" si="4"/>
        <v xml:space="preserve">sljtf </v>
      </c>
      <c r="E81" s="13" t="str">
        <f t="shared" si="6"/>
        <v>sfsL{</v>
      </c>
      <c r="F81" s="21" t="s">
        <v>234</v>
      </c>
      <c r="G81" s="21" t="s">
        <v>757</v>
      </c>
      <c r="H81" s="21"/>
      <c r="I81" s="16"/>
      <c r="J81" s="16"/>
      <c r="K81" s="16"/>
      <c r="L81" s="16"/>
      <c r="M81" s="15">
        <f t="shared" si="5"/>
        <v>11.764383561643836</v>
      </c>
      <c r="N81" s="5">
        <v>62663</v>
      </c>
      <c r="O81" s="16">
        <f t="shared" si="7"/>
        <v>4</v>
      </c>
      <c r="P81" s="13" t="str">
        <v>/fO{</v>
      </c>
      <c r="Q81" s="16" t="s">
        <v>751</v>
      </c>
      <c r="R81" s="5">
        <v>66957</v>
      </c>
      <c r="T81" s="5"/>
    </row>
    <row r="82" spans="1:27" ht="18" x14ac:dyDescent="0.35">
      <c r="A82" s="6">
        <v>23</v>
      </c>
      <c r="B82" t="s">
        <v>25</v>
      </c>
      <c r="C82" s="14" t="s">
        <v>420</v>
      </c>
      <c r="D82" s="13" t="str">
        <f t="shared" si="4"/>
        <v xml:space="preserve">jh| </v>
      </c>
      <c r="E82" s="13" t="str">
        <f t="shared" si="6"/>
        <v>vltj8f</v>
      </c>
      <c r="F82" s="21" t="s">
        <v>233</v>
      </c>
      <c r="G82" s="21" t="s">
        <v>756</v>
      </c>
      <c r="H82" s="21"/>
      <c r="I82" s="16">
        <v>0</v>
      </c>
      <c r="J82" s="16">
        <v>4</v>
      </c>
      <c r="K82" s="16">
        <v>0</v>
      </c>
      <c r="L82" s="16">
        <v>0</v>
      </c>
      <c r="M82" s="15">
        <f t="shared" si="5"/>
        <v>49.923287671232877</v>
      </c>
      <c r="N82" s="5">
        <v>48735</v>
      </c>
      <c r="O82" s="16">
        <f t="shared" si="7"/>
        <v>4</v>
      </c>
      <c r="P82" s="13" t="str">
        <v>b'nfn</v>
      </c>
      <c r="Q82" s="16" t="s">
        <v>752</v>
      </c>
      <c r="R82" s="5">
        <v>66957</v>
      </c>
      <c r="T82" s="5">
        <v>66392</v>
      </c>
      <c r="U82" s="2" t="s">
        <v>2</v>
      </c>
      <c r="V82" s="2">
        <v>4</v>
      </c>
      <c r="W82" s="2">
        <v>2</v>
      </c>
      <c r="X82" s="2">
        <v>2</v>
      </c>
      <c r="Y82" t="s">
        <v>238</v>
      </c>
      <c r="Z82" t="s">
        <v>253</v>
      </c>
      <c r="AA82" t="s">
        <v>245</v>
      </c>
    </row>
    <row r="83" spans="1:27" ht="18" x14ac:dyDescent="0.35">
      <c r="A83" s="6"/>
      <c r="C83" s="14" t="s">
        <v>421</v>
      </c>
      <c r="D83" s="13" t="str">
        <f t="shared" si="4"/>
        <v xml:space="preserve">aGbgf </v>
      </c>
      <c r="E83" s="13" t="str">
        <f t="shared" si="6"/>
        <v>vltj8f</v>
      </c>
      <c r="F83" s="21" t="s">
        <v>234</v>
      </c>
      <c r="G83" s="21" t="s">
        <v>756</v>
      </c>
      <c r="H83" s="21"/>
      <c r="I83" s="16"/>
      <c r="J83" s="16"/>
      <c r="K83" s="16"/>
      <c r="L83" s="16"/>
      <c r="M83" s="15">
        <f t="shared" si="5"/>
        <v>45.063013698630137</v>
      </c>
      <c r="N83" s="5">
        <v>50509</v>
      </c>
      <c r="O83" s="16">
        <f t="shared" si="7"/>
        <v>5</v>
      </c>
      <c r="P83" s="13" t="str">
        <v>;'j]bL</v>
      </c>
      <c r="Q83" s="16" t="s">
        <v>752</v>
      </c>
      <c r="R83" s="5">
        <v>66957</v>
      </c>
      <c r="T83" s="5"/>
    </row>
    <row r="84" spans="1:27" ht="18" x14ac:dyDescent="0.35">
      <c r="A84" s="6"/>
      <c r="C84" s="14" t="s">
        <v>422</v>
      </c>
      <c r="D84" s="13" t="str">
        <f t="shared" si="4"/>
        <v xml:space="preserve">lalgtf </v>
      </c>
      <c r="E84" s="13" t="str">
        <f t="shared" si="6"/>
        <v>vltj8f</v>
      </c>
      <c r="F84" s="21" t="s">
        <v>234</v>
      </c>
      <c r="G84" s="21" t="s">
        <v>757</v>
      </c>
      <c r="H84" s="21"/>
      <c r="I84" s="16"/>
      <c r="J84" s="16"/>
      <c r="K84" s="16"/>
      <c r="L84" s="16"/>
      <c r="M84" s="15">
        <f t="shared" si="5"/>
        <v>25.657534246575342</v>
      </c>
      <c r="N84" s="5">
        <v>57592</v>
      </c>
      <c r="O84" s="16">
        <f t="shared" si="7"/>
        <v>2</v>
      </c>
      <c r="P84" s="13" t="str">
        <v>8+uf]n</v>
      </c>
      <c r="Q84" s="16" t="s">
        <v>751</v>
      </c>
      <c r="R84" s="5">
        <v>66957</v>
      </c>
      <c r="T84" s="5"/>
    </row>
    <row r="85" spans="1:27" ht="18" x14ac:dyDescent="0.35">
      <c r="A85" s="6"/>
      <c r="C85" s="14" t="s">
        <v>423</v>
      </c>
      <c r="D85" s="13" t="str">
        <f t="shared" si="4"/>
        <v xml:space="preserve">ljh]z </v>
      </c>
      <c r="E85" s="13" t="str">
        <f t="shared" si="6"/>
        <v>vltj8f</v>
      </c>
      <c r="F85" s="21" t="s">
        <v>233</v>
      </c>
      <c r="G85" s="21" t="s">
        <v>757</v>
      </c>
      <c r="H85" s="21"/>
      <c r="I85" s="16"/>
      <c r="J85" s="16"/>
      <c r="K85" s="16"/>
      <c r="L85" s="16"/>
      <c r="M85" s="15">
        <f t="shared" si="5"/>
        <v>21.101369863013698</v>
      </c>
      <c r="N85" s="5">
        <v>59255</v>
      </c>
      <c r="O85" s="16">
        <f t="shared" si="7"/>
        <v>2</v>
      </c>
      <c r="P85" s="13" t="str">
        <v>kf]v|]n</v>
      </c>
      <c r="Q85" s="16" t="s">
        <v>752</v>
      </c>
      <c r="R85" s="5">
        <v>66957</v>
      </c>
      <c r="T85" s="5"/>
    </row>
    <row r="86" spans="1:27" ht="18" x14ac:dyDescent="0.35">
      <c r="A86" s="6">
        <v>24</v>
      </c>
      <c r="B86" t="s">
        <v>26</v>
      </c>
      <c r="C86" s="14" t="s">
        <v>424</v>
      </c>
      <c r="D86" s="13" t="str">
        <f t="shared" si="4"/>
        <v xml:space="preserve">l6sf </v>
      </c>
      <c r="E86" s="13" t="str">
        <f t="shared" si="6"/>
        <v>sfsL{</v>
      </c>
      <c r="F86" s="21" t="s">
        <v>233</v>
      </c>
      <c r="G86" s="21" t="s">
        <v>756</v>
      </c>
      <c r="H86" s="21"/>
      <c r="I86" s="16">
        <v>1</v>
      </c>
      <c r="J86" s="16">
        <v>1</v>
      </c>
      <c r="K86" s="16">
        <v>0</v>
      </c>
      <c r="L86" s="16">
        <v>0</v>
      </c>
      <c r="M86" s="15">
        <f t="shared" si="5"/>
        <v>73.079452054794515</v>
      </c>
      <c r="N86" s="5">
        <v>40283</v>
      </c>
      <c r="O86" s="16">
        <f t="shared" si="7"/>
        <v>1</v>
      </c>
      <c r="P86" s="13" t="str">
        <v>yfdL</v>
      </c>
      <c r="Q86" s="16" t="s">
        <v>750</v>
      </c>
      <c r="R86" s="5">
        <v>66957</v>
      </c>
      <c r="T86" s="5">
        <v>66262</v>
      </c>
      <c r="U86" s="2" t="s">
        <v>2</v>
      </c>
      <c r="V86" s="2">
        <v>8</v>
      </c>
      <c r="W86" s="2">
        <v>5</v>
      </c>
      <c r="X86" s="2">
        <v>3</v>
      </c>
      <c r="Y86" t="s">
        <v>242</v>
      </c>
      <c r="Z86" t="s">
        <v>330</v>
      </c>
      <c r="AA86" t="s">
        <v>245</v>
      </c>
    </row>
    <row r="87" spans="1:27" ht="18" x14ac:dyDescent="0.35">
      <c r="A87" s="6"/>
      <c r="C87" s="14" t="s">
        <v>425</v>
      </c>
      <c r="D87" s="13" t="str">
        <f t="shared" si="4"/>
        <v xml:space="preserve">gf/fo0fL </v>
      </c>
      <c r="E87" s="13" t="str">
        <f t="shared" si="6"/>
        <v>sfsL{</v>
      </c>
      <c r="F87" s="21" t="s">
        <v>234</v>
      </c>
      <c r="G87" s="21" t="s">
        <v>756</v>
      </c>
      <c r="H87" s="21"/>
      <c r="I87" s="16"/>
      <c r="J87" s="16"/>
      <c r="K87" s="16"/>
      <c r="L87" s="16"/>
      <c r="M87" s="15">
        <f t="shared" si="5"/>
        <v>61.734246575342468</v>
      </c>
      <c r="N87" s="5">
        <v>44424</v>
      </c>
      <c r="O87" s="16">
        <f t="shared" si="7"/>
        <v>2</v>
      </c>
      <c r="P87" s="13" t="str">
        <v>ltjf/L</v>
      </c>
      <c r="Q87" s="16" t="s">
        <v>752</v>
      </c>
      <c r="R87" s="5">
        <v>66957</v>
      </c>
      <c r="T87" s="5"/>
    </row>
    <row r="88" spans="1:27" ht="18" x14ac:dyDescent="0.35">
      <c r="A88" s="6"/>
      <c r="C88" s="14" t="s">
        <v>426</v>
      </c>
      <c r="D88" s="13" t="str">
        <f t="shared" si="4"/>
        <v xml:space="preserve">e'k]Gb| </v>
      </c>
      <c r="E88" s="13" t="str">
        <f t="shared" si="6"/>
        <v>sfsL{</v>
      </c>
      <c r="F88" s="21" t="s">
        <v>233</v>
      </c>
      <c r="G88" s="21" t="s">
        <v>756</v>
      </c>
      <c r="H88" s="21"/>
      <c r="I88" s="16"/>
      <c r="J88" s="16"/>
      <c r="K88" s="16"/>
      <c r="L88" s="16"/>
      <c r="M88" s="15">
        <f t="shared" si="5"/>
        <v>45.024657534246572</v>
      </c>
      <c r="N88" s="5">
        <v>50523</v>
      </c>
      <c r="O88" s="16">
        <f t="shared" si="7"/>
        <v>4</v>
      </c>
      <c r="P88" s="13" t="str">
        <v>zdf{</v>
      </c>
      <c r="Q88" s="16" t="s">
        <v>750</v>
      </c>
      <c r="R88" s="5">
        <v>66957</v>
      </c>
      <c r="T88" s="5"/>
    </row>
    <row r="89" spans="1:27" ht="18" x14ac:dyDescent="0.35">
      <c r="A89" s="6"/>
      <c r="C89" s="14" t="s">
        <v>742</v>
      </c>
      <c r="D89" s="13" t="str">
        <f t="shared" si="4"/>
        <v xml:space="preserve">sNkgf </v>
      </c>
      <c r="E89" s="13" t="str">
        <f t="shared" si="6"/>
        <v>s]=;L</v>
      </c>
      <c r="F89" s="21" t="s">
        <v>234</v>
      </c>
      <c r="G89" s="21" t="s">
        <v>756</v>
      </c>
      <c r="H89" s="21"/>
      <c r="I89" s="16"/>
      <c r="J89" s="16"/>
      <c r="K89" s="16"/>
      <c r="L89" s="16"/>
      <c r="M89" s="15">
        <f t="shared" si="5"/>
        <v>37.610958904109587</v>
      </c>
      <c r="N89" s="5">
        <v>53229</v>
      </c>
      <c r="O89" s="16">
        <f t="shared" si="7"/>
        <v>2</v>
      </c>
      <c r="P89" s="13" t="str">
        <v>vgfn</v>
      </c>
      <c r="Q89" s="16" t="s">
        <v>752</v>
      </c>
      <c r="R89" s="5">
        <v>66957</v>
      </c>
      <c r="T89" s="5"/>
    </row>
    <row r="90" spans="1:27" ht="18" x14ac:dyDescent="0.35">
      <c r="A90" s="6"/>
      <c r="C90" s="14" t="s">
        <v>427</v>
      </c>
      <c r="D90" s="13" t="str">
        <f t="shared" si="4"/>
        <v xml:space="preserve">cf]d </v>
      </c>
      <c r="E90" s="13" t="str">
        <f t="shared" si="6"/>
        <v>sfsL{</v>
      </c>
      <c r="F90" s="21" t="s">
        <v>233</v>
      </c>
      <c r="G90" s="21" t="s">
        <v>757</v>
      </c>
      <c r="H90" s="21"/>
      <c r="I90" s="16"/>
      <c r="J90" s="16"/>
      <c r="K90" s="16"/>
      <c r="L90" s="16"/>
      <c r="M90" s="15">
        <f t="shared" si="5"/>
        <v>12.134246575342466</v>
      </c>
      <c r="N90" s="5">
        <v>62528</v>
      </c>
      <c r="O90" s="16"/>
      <c r="P90" s="13"/>
      <c r="Q90" s="16"/>
      <c r="R90" s="5">
        <v>66957</v>
      </c>
      <c r="T90" s="5"/>
    </row>
    <row r="91" spans="1:27" ht="18" x14ac:dyDescent="0.35">
      <c r="A91" s="6"/>
      <c r="C91" s="14" t="s">
        <v>428</v>
      </c>
      <c r="D91" s="13" t="str">
        <f t="shared" si="4"/>
        <v xml:space="preserve">n]v </v>
      </c>
      <c r="E91" s="13" t="str">
        <f t="shared" si="6"/>
        <v>sfsL{</v>
      </c>
      <c r="F91" s="21" t="s">
        <v>233</v>
      </c>
      <c r="G91" s="21" t="s">
        <v>756</v>
      </c>
      <c r="H91" s="21"/>
      <c r="I91" s="16"/>
      <c r="J91" s="16"/>
      <c r="K91" s="16"/>
      <c r="L91" s="16"/>
      <c r="M91" s="15">
        <f t="shared" si="5"/>
        <v>43.578082191780823</v>
      </c>
      <c r="N91" s="5">
        <v>51051</v>
      </c>
      <c r="O91" s="16"/>
      <c r="P91" s="16"/>
      <c r="Q91" s="16"/>
      <c r="R91" s="5">
        <v>66957</v>
      </c>
      <c r="T91" s="5"/>
    </row>
    <row r="92" spans="1:27" ht="18" x14ac:dyDescent="0.35">
      <c r="A92" s="6"/>
      <c r="C92" s="14" t="s">
        <v>429</v>
      </c>
      <c r="D92" s="13" t="str">
        <f t="shared" si="4"/>
        <v xml:space="preserve">Plnhf </v>
      </c>
      <c r="E92" s="13" t="str">
        <f t="shared" si="6"/>
        <v>s]=;L</v>
      </c>
      <c r="F92" s="21" t="s">
        <v>234</v>
      </c>
      <c r="G92" s="21" t="s">
        <v>756</v>
      </c>
      <c r="H92" s="21"/>
      <c r="I92" s="16"/>
      <c r="J92" s="16"/>
      <c r="K92" s="16"/>
      <c r="L92" s="16"/>
      <c r="M92" s="15">
        <f t="shared" si="5"/>
        <v>37.180821917808217</v>
      </c>
      <c r="N92" s="5">
        <v>53386</v>
      </c>
      <c r="O92" s="16"/>
      <c r="P92" s="16"/>
      <c r="Q92" s="16"/>
      <c r="R92" s="5">
        <v>66957</v>
      </c>
      <c r="T92" s="5"/>
    </row>
    <row r="93" spans="1:27" ht="18" x14ac:dyDescent="0.35">
      <c r="A93" s="6"/>
      <c r="C93" s="14" t="s">
        <v>430</v>
      </c>
      <c r="D93" s="13" t="str">
        <f t="shared" si="4"/>
        <v xml:space="preserve">cf/f]Uo </v>
      </c>
      <c r="E93" s="13" t="str">
        <f t="shared" si="6"/>
        <v>sfsL{</v>
      </c>
      <c r="F93" s="21" t="s">
        <v>233</v>
      </c>
      <c r="G93" s="21" t="s">
        <v>757</v>
      </c>
      <c r="H93" s="21"/>
      <c r="I93" s="16"/>
      <c r="J93" s="16"/>
      <c r="K93" s="16"/>
      <c r="L93" s="16"/>
      <c r="M93" s="15">
        <f t="shared" si="5"/>
        <v>12.608219178082193</v>
      </c>
      <c r="N93" s="5">
        <v>62355</v>
      </c>
      <c r="O93" s="16"/>
      <c r="P93" s="16"/>
      <c r="Q93" s="16"/>
      <c r="R93" s="5">
        <v>66957</v>
      </c>
      <c r="T93" s="5"/>
    </row>
    <row r="94" spans="1:27" ht="18" x14ac:dyDescent="0.35">
      <c r="A94" s="6">
        <v>25</v>
      </c>
      <c r="B94" t="s">
        <v>3</v>
      </c>
      <c r="C94" s="13" t="s">
        <v>353</v>
      </c>
      <c r="D94" s="13" t="str">
        <f t="shared" si="4"/>
        <v xml:space="preserve">lbks </v>
      </c>
      <c r="E94" s="13" t="str">
        <f t="shared" si="6"/>
        <v>e§/fO{</v>
      </c>
      <c r="F94" s="21" t="s">
        <v>233</v>
      </c>
      <c r="G94" s="21" t="s">
        <v>756</v>
      </c>
      <c r="H94" s="21"/>
      <c r="I94" s="16" t="s">
        <v>748</v>
      </c>
      <c r="J94" s="16" t="s">
        <v>748</v>
      </c>
      <c r="K94" s="16" t="s">
        <v>748</v>
      </c>
      <c r="L94" s="16" t="s">
        <v>748</v>
      </c>
      <c r="M94" s="15">
        <f t="shared" si="5"/>
        <v>47.167123287671231</v>
      </c>
      <c r="N94" s="5">
        <v>49741</v>
      </c>
      <c r="O94" s="16"/>
      <c r="P94" s="16"/>
      <c r="Q94" s="16"/>
      <c r="R94" s="5">
        <v>66957</v>
      </c>
      <c r="T94" s="5">
        <v>66242</v>
      </c>
      <c r="U94" s="2" t="s">
        <v>100</v>
      </c>
      <c r="V94" s="2">
        <v>3</v>
      </c>
      <c r="W94" s="2">
        <v>1</v>
      </c>
      <c r="X94" s="2">
        <v>2</v>
      </c>
      <c r="Y94" t="s">
        <v>238</v>
      </c>
      <c r="Z94" t="s">
        <v>245</v>
      </c>
      <c r="AA94" t="s">
        <v>332</v>
      </c>
    </row>
    <row r="95" spans="1:27" ht="18" x14ac:dyDescent="0.35">
      <c r="A95" s="6"/>
      <c r="C95" s="13" t="s">
        <v>348</v>
      </c>
      <c r="D95" s="13" t="str">
        <f t="shared" si="4"/>
        <v xml:space="preserve">/Ltf </v>
      </c>
      <c r="E95" s="13" t="str">
        <f t="shared" si="6"/>
        <v>e§/fO{</v>
      </c>
      <c r="F95" s="21" t="s">
        <v>234</v>
      </c>
      <c r="G95" s="21" t="s">
        <v>757</v>
      </c>
      <c r="H95" s="21"/>
      <c r="I95" s="16"/>
      <c r="J95" s="16"/>
      <c r="K95" s="16"/>
      <c r="L95" s="16"/>
      <c r="M95" s="15">
        <f t="shared" si="5"/>
        <v>17.117808219178084</v>
      </c>
      <c r="N95" s="5">
        <v>60709</v>
      </c>
      <c r="O95" s="16"/>
      <c r="P95" s="16"/>
      <c r="Q95" s="16"/>
      <c r="R95" s="5">
        <v>66957</v>
      </c>
      <c r="T95" s="5"/>
      <c r="V95" s="3"/>
      <c r="W95" s="3"/>
      <c r="X95" s="3"/>
    </row>
    <row r="96" spans="1:27" ht="18" x14ac:dyDescent="0.35">
      <c r="A96" s="6"/>
      <c r="C96" s="13" t="s">
        <v>345</v>
      </c>
      <c r="D96" s="13" t="str">
        <f t="shared" si="4"/>
        <v xml:space="preserve">cEo'bo </v>
      </c>
      <c r="E96" s="13" t="str">
        <f t="shared" si="6"/>
        <v>sfsL{</v>
      </c>
      <c r="F96" s="21" t="s">
        <v>233</v>
      </c>
      <c r="G96" s="21" t="s">
        <v>757</v>
      </c>
      <c r="H96" s="21"/>
      <c r="I96" s="16"/>
      <c r="J96" s="16"/>
      <c r="K96" s="16"/>
      <c r="L96" s="16"/>
      <c r="M96" s="15">
        <f t="shared" si="5"/>
        <v>14.632876712328768</v>
      </c>
      <c r="N96" s="5">
        <v>61616</v>
      </c>
      <c r="O96" s="16"/>
      <c r="P96" s="16"/>
      <c r="Q96" s="16"/>
      <c r="R96" s="5">
        <v>66957</v>
      </c>
      <c r="T96" s="5"/>
      <c r="V96" s="3"/>
      <c r="W96" s="3"/>
      <c r="X96" s="3"/>
    </row>
    <row r="97" spans="1:27" ht="18" x14ac:dyDescent="0.35">
      <c r="A97" s="6">
        <v>26</v>
      </c>
      <c r="B97" t="s">
        <v>27</v>
      </c>
      <c r="C97" s="13" t="s">
        <v>707</v>
      </c>
      <c r="D97" s="13" t="str">
        <f t="shared" si="4"/>
        <v xml:space="preserve">6]s </v>
      </c>
      <c r="E97" s="13" t="str">
        <f t="shared" si="6"/>
        <v>jnDkfsL</v>
      </c>
      <c r="F97" s="21" t="s">
        <v>233</v>
      </c>
      <c r="G97" s="21" t="s">
        <v>756</v>
      </c>
      <c r="H97" s="21"/>
      <c r="I97" s="16">
        <v>0</v>
      </c>
      <c r="J97" s="16">
        <v>4</v>
      </c>
      <c r="K97" s="16">
        <v>2</v>
      </c>
      <c r="L97" s="16">
        <v>0</v>
      </c>
      <c r="M97" s="15">
        <f t="shared" si="5"/>
        <v>61.846575342465755</v>
      </c>
      <c r="N97" s="5">
        <v>44383</v>
      </c>
      <c r="O97" s="16"/>
      <c r="P97" s="16"/>
      <c r="Q97" s="16"/>
      <c r="R97" s="5">
        <v>66957</v>
      </c>
      <c r="T97" s="5">
        <v>66240</v>
      </c>
      <c r="U97" s="2" t="s">
        <v>2</v>
      </c>
      <c r="V97" s="2">
        <v>5</v>
      </c>
      <c r="W97" s="2">
        <v>3</v>
      </c>
      <c r="X97" s="2">
        <v>2</v>
      </c>
      <c r="Y97" t="s">
        <v>242</v>
      </c>
      <c r="Z97" t="s">
        <v>329</v>
      </c>
      <c r="AA97" t="s">
        <v>245</v>
      </c>
    </row>
    <row r="98" spans="1:27" ht="18" x14ac:dyDescent="0.35">
      <c r="A98" s="6"/>
      <c r="C98" s="13" t="s">
        <v>708</v>
      </c>
      <c r="D98" s="13" t="str">
        <f t="shared" si="4"/>
        <v xml:space="preserve">lnnf </v>
      </c>
      <c r="E98" s="13" t="str">
        <f t="shared" si="6"/>
        <v>du/</v>
      </c>
      <c r="F98" s="21" t="s">
        <v>234</v>
      </c>
      <c r="G98" s="21" t="s">
        <v>756</v>
      </c>
      <c r="H98" s="21"/>
      <c r="I98" s="16"/>
      <c r="J98" s="16"/>
      <c r="K98" s="16"/>
      <c r="L98" s="16"/>
      <c r="M98" s="15">
        <f t="shared" si="5"/>
        <v>52.5013698630137</v>
      </c>
      <c r="N98" s="5">
        <v>47794</v>
      </c>
      <c r="O98" s="16"/>
      <c r="P98" s="16"/>
      <c r="Q98" s="16"/>
      <c r="R98" s="5">
        <v>66957</v>
      </c>
      <c r="T98" s="5"/>
    </row>
    <row r="99" spans="1:27" ht="18" x14ac:dyDescent="0.35">
      <c r="A99" s="6"/>
      <c r="C99" s="13" t="s">
        <v>709</v>
      </c>
      <c r="D99" s="13" t="str">
        <f t="shared" si="4"/>
        <v xml:space="preserve">;Gtf]if </v>
      </c>
      <c r="E99" s="13" t="s">
        <v>734</v>
      </c>
      <c r="F99" s="21" t="s">
        <v>233</v>
      </c>
      <c r="G99" s="21" t="s">
        <v>757</v>
      </c>
      <c r="H99" s="21"/>
      <c r="I99" s="16"/>
      <c r="J99" s="16"/>
      <c r="K99" s="16"/>
      <c r="L99" s="16"/>
      <c r="M99" s="15">
        <f t="shared" si="5"/>
        <v>33.898630136986299</v>
      </c>
      <c r="N99" s="5">
        <v>54584</v>
      </c>
      <c r="O99" s="16"/>
      <c r="P99" s="16"/>
      <c r="Q99" s="16"/>
      <c r="R99" s="5">
        <v>66957</v>
      </c>
      <c r="T99" s="5"/>
    </row>
    <row r="100" spans="1:27" ht="18" x14ac:dyDescent="0.35">
      <c r="A100" s="6"/>
      <c r="C100" s="13" t="s">
        <v>710</v>
      </c>
      <c r="D100" s="13" t="str">
        <f t="shared" si="4"/>
        <v xml:space="preserve">ladnf </v>
      </c>
      <c r="E100" s="13" t="str">
        <f t="shared" si="6"/>
        <v>du/</v>
      </c>
      <c r="F100" s="21" t="s">
        <v>234</v>
      </c>
      <c r="G100" s="21" t="s">
        <v>757</v>
      </c>
      <c r="H100" s="21"/>
      <c r="I100" s="16"/>
      <c r="J100" s="16"/>
      <c r="K100" s="16"/>
      <c r="L100" s="16"/>
      <c r="M100" s="15">
        <f t="shared" si="5"/>
        <v>31.731506849315068</v>
      </c>
      <c r="N100" s="5">
        <v>55375</v>
      </c>
      <c r="O100" s="16"/>
      <c r="P100" s="16"/>
      <c r="Q100" s="16"/>
      <c r="R100" s="5">
        <v>66957</v>
      </c>
      <c r="T100" s="5"/>
    </row>
    <row r="101" spans="1:27" ht="18" x14ac:dyDescent="0.35">
      <c r="A101" s="6"/>
      <c r="C101" s="13" t="s">
        <v>711</v>
      </c>
      <c r="D101" s="13" t="str">
        <f t="shared" si="4"/>
        <v xml:space="preserve">/]zd </v>
      </c>
      <c r="E101" s="13" t="s">
        <v>734</v>
      </c>
      <c r="F101" s="21" t="s">
        <v>233</v>
      </c>
      <c r="G101" s="21" t="s">
        <v>757</v>
      </c>
      <c r="H101" s="21"/>
      <c r="I101" s="16"/>
      <c r="J101" s="16"/>
      <c r="K101" s="16"/>
      <c r="L101" s="16"/>
      <c r="M101" s="15">
        <f t="shared" si="5"/>
        <v>26.764383561643836</v>
      </c>
      <c r="N101" s="5">
        <v>57188</v>
      </c>
      <c r="O101" s="16"/>
      <c r="P101" s="16"/>
      <c r="Q101" s="16"/>
      <c r="R101" s="5">
        <v>66957</v>
      </c>
      <c r="T101" s="5"/>
    </row>
    <row r="102" spans="1:27" ht="18" x14ac:dyDescent="0.35">
      <c r="A102" s="6">
        <v>27</v>
      </c>
      <c r="B102" t="s">
        <v>28</v>
      </c>
      <c r="C102" s="13" t="s">
        <v>712</v>
      </c>
      <c r="D102" s="13" t="str">
        <f t="shared" si="4"/>
        <v xml:space="preserve">;Gtf]sL </v>
      </c>
      <c r="E102" s="13" t="str">
        <f t="shared" si="6"/>
        <v>vqL</v>
      </c>
      <c r="F102" s="21" t="s">
        <v>234</v>
      </c>
      <c r="G102" s="21" t="s">
        <v>756</v>
      </c>
      <c r="H102" s="21"/>
      <c r="I102" s="16">
        <v>3</v>
      </c>
      <c r="J102" s="16">
        <v>7</v>
      </c>
      <c r="K102" s="16">
        <v>2</v>
      </c>
      <c r="L102" s="16">
        <v>0</v>
      </c>
      <c r="M102" s="15">
        <f t="shared" si="5"/>
        <v>66.169863013698631</v>
      </c>
      <c r="N102" s="5">
        <v>42805</v>
      </c>
      <c r="O102" s="16"/>
      <c r="P102" s="16"/>
      <c r="Q102" s="16"/>
      <c r="R102" s="5">
        <v>66957</v>
      </c>
      <c r="T102" s="5">
        <v>66231</v>
      </c>
      <c r="U102" s="2" t="s">
        <v>2</v>
      </c>
      <c r="V102" s="2">
        <v>1</v>
      </c>
      <c r="W102" s="2">
        <v>1</v>
      </c>
      <c r="Y102" t="s">
        <v>242</v>
      </c>
      <c r="Z102" t="s">
        <v>314</v>
      </c>
      <c r="AA102" t="s">
        <v>245</v>
      </c>
    </row>
    <row r="103" spans="1:27" ht="18" x14ac:dyDescent="0.35">
      <c r="A103" s="6">
        <v>28</v>
      </c>
      <c r="B103" t="s">
        <v>29</v>
      </c>
      <c r="C103" s="13" t="s">
        <v>431</v>
      </c>
      <c r="D103" s="13" t="str">
        <f t="shared" si="4"/>
        <v xml:space="preserve">/fs]z </v>
      </c>
      <c r="E103" s="13" t="str">
        <f t="shared" si="6"/>
        <v>&gt;]i7</v>
      </c>
      <c r="F103" s="21" t="s">
        <v>233</v>
      </c>
      <c r="G103" s="21" t="s">
        <v>756</v>
      </c>
      <c r="H103" s="21"/>
      <c r="I103" s="16">
        <v>0</v>
      </c>
      <c r="J103" s="16">
        <v>4</v>
      </c>
      <c r="K103" s="16">
        <v>0</v>
      </c>
      <c r="L103" s="16">
        <v>2</v>
      </c>
      <c r="M103" s="15">
        <f t="shared" si="5"/>
        <v>49.060273972602737</v>
      </c>
      <c r="N103" s="5">
        <v>49050</v>
      </c>
      <c r="O103" s="16"/>
      <c r="P103" s="16"/>
      <c r="Q103" s="16"/>
      <c r="R103" s="5">
        <v>66957</v>
      </c>
      <c r="T103" s="5">
        <v>66195</v>
      </c>
      <c r="U103" s="2" t="s">
        <v>100</v>
      </c>
      <c r="V103" s="2">
        <v>1</v>
      </c>
      <c r="W103" s="2">
        <v>1</v>
      </c>
      <c r="Y103" t="s">
        <v>242</v>
      </c>
      <c r="Z103" t="s">
        <v>245</v>
      </c>
      <c r="AA103" t="s">
        <v>304</v>
      </c>
    </row>
    <row r="104" spans="1:27" ht="18" x14ac:dyDescent="0.35">
      <c r="A104" s="6">
        <v>29</v>
      </c>
      <c r="B104" t="s">
        <v>30</v>
      </c>
      <c r="C104" s="13" t="s">
        <v>432</v>
      </c>
      <c r="D104" s="13" t="str">
        <f t="shared" si="4"/>
        <v xml:space="preserve">bof </v>
      </c>
      <c r="E104" s="13" t="str">
        <f t="shared" si="6"/>
        <v>vqL</v>
      </c>
      <c r="F104" s="21" t="s">
        <v>233</v>
      </c>
      <c r="G104" s="21" t="s">
        <v>756</v>
      </c>
      <c r="H104" s="21"/>
      <c r="I104" s="16">
        <v>0</v>
      </c>
      <c r="J104" s="16">
        <v>4</v>
      </c>
      <c r="K104" s="16">
        <v>0</v>
      </c>
      <c r="L104" s="16">
        <v>0</v>
      </c>
      <c r="M104" s="15">
        <f t="shared" si="5"/>
        <v>58.81095890410959</v>
      </c>
      <c r="N104" s="5">
        <v>45491</v>
      </c>
      <c r="O104" s="16"/>
      <c r="P104" s="16"/>
      <c r="Q104" s="16"/>
      <c r="R104" s="5">
        <v>66957</v>
      </c>
      <c r="T104" s="5">
        <v>66188</v>
      </c>
      <c r="U104" s="2" t="s">
        <v>2</v>
      </c>
      <c r="V104" s="2">
        <v>7</v>
      </c>
      <c r="W104" s="2">
        <v>3</v>
      </c>
      <c r="X104" s="2">
        <v>4</v>
      </c>
      <c r="Y104" t="s">
        <v>242</v>
      </c>
      <c r="Z104" t="s">
        <v>254</v>
      </c>
      <c r="AA104" t="s">
        <v>245</v>
      </c>
    </row>
    <row r="105" spans="1:27" ht="18" x14ac:dyDescent="0.35">
      <c r="A105" s="6"/>
      <c r="C105" s="13" t="s">
        <v>433</v>
      </c>
      <c r="D105" s="13" t="str">
        <f t="shared" si="4"/>
        <v xml:space="preserve">z'e]R5f </v>
      </c>
      <c r="E105" s="13" t="str">
        <f t="shared" si="6"/>
        <v>lai6</v>
      </c>
      <c r="F105" s="21" t="s">
        <v>234</v>
      </c>
      <c r="G105" s="21" t="s">
        <v>756</v>
      </c>
      <c r="H105" s="21"/>
      <c r="I105" s="16"/>
      <c r="J105" s="16"/>
      <c r="K105" s="16"/>
      <c r="L105" s="16"/>
      <c r="M105" s="15">
        <f t="shared" si="5"/>
        <v>29.986301369863014</v>
      </c>
      <c r="N105" s="5">
        <v>56012</v>
      </c>
      <c r="O105" s="16"/>
      <c r="P105" s="16"/>
      <c r="Q105" s="16"/>
      <c r="R105" s="5">
        <v>66957</v>
      </c>
      <c r="T105" s="5"/>
    </row>
    <row r="106" spans="1:27" ht="18" x14ac:dyDescent="0.35">
      <c r="A106" s="6"/>
      <c r="C106" s="13" t="s">
        <v>434</v>
      </c>
      <c r="D106" s="13" t="str">
        <f t="shared" si="4"/>
        <v xml:space="preserve">;fgeL </v>
      </c>
      <c r="E106" s="13" t="str">
        <f t="shared" si="6"/>
        <v>s]=;L</v>
      </c>
      <c r="F106" s="21" t="s">
        <v>234</v>
      </c>
      <c r="G106" s="21" t="s">
        <v>757</v>
      </c>
      <c r="H106" s="21"/>
      <c r="I106" s="16"/>
      <c r="J106" s="16"/>
      <c r="K106" s="16"/>
      <c r="L106" s="16"/>
      <c r="M106" s="15">
        <f t="shared" si="5"/>
        <v>3.4164383561643836</v>
      </c>
      <c r="N106" s="5">
        <v>65710</v>
      </c>
      <c r="O106" s="16"/>
      <c r="P106" s="16"/>
      <c r="Q106" s="16"/>
      <c r="R106" s="5">
        <v>66957</v>
      </c>
      <c r="T106" s="5"/>
    </row>
    <row r="107" spans="1:27" ht="18" x14ac:dyDescent="0.35">
      <c r="A107" s="6"/>
      <c r="C107" s="13" t="s">
        <v>435</v>
      </c>
      <c r="D107" s="13" t="str">
        <f t="shared" si="4"/>
        <v xml:space="preserve">;Gtf]if </v>
      </c>
      <c r="E107" s="13" t="str">
        <f t="shared" si="6"/>
        <v>s]=;L</v>
      </c>
      <c r="F107" s="21" t="s">
        <v>233</v>
      </c>
      <c r="G107" s="21" t="s">
        <v>756</v>
      </c>
      <c r="H107" s="21"/>
      <c r="I107" s="16"/>
      <c r="J107" s="16"/>
      <c r="K107" s="16"/>
      <c r="L107" s="16"/>
      <c r="M107" s="15">
        <f t="shared" si="5"/>
        <v>36.063013698630137</v>
      </c>
      <c r="N107" s="5">
        <v>53794</v>
      </c>
      <c r="O107" s="16"/>
      <c r="P107" s="16"/>
      <c r="Q107" s="16"/>
      <c r="R107" s="5">
        <v>66957</v>
      </c>
      <c r="T107" s="5"/>
    </row>
    <row r="108" spans="1:27" ht="18" x14ac:dyDescent="0.35">
      <c r="A108" s="6"/>
      <c r="C108" s="13" t="s">
        <v>436</v>
      </c>
      <c r="D108" s="13" t="str">
        <f t="shared" si="4"/>
        <v xml:space="preserve">;Gd]3 </v>
      </c>
      <c r="E108" s="13" t="str">
        <f t="shared" si="6"/>
        <v>s]=;L</v>
      </c>
      <c r="F108" s="21" t="s">
        <v>233</v>
      </c>
      <c r="G108" s="21" t="s">
        <v>757</v>
      </c>
      <c r="H108" s="21"/>
      <c r="I108" s="16"/>
      <c r="J108" s="16"/>
      <c r="K108" s="16"/>
      <c r="L108" s="16"/>
      <c r="M108" s="15">
        <f t="shared" si="5"/>
        <v>7.1698630136986301</v>
      </c>
      <c r="N108" s="5">
        <v>64340</v>
      </c>
      <c r="O108" s="16"/>
      <c r="P108" s="16"/>
      <c r="Q108" s="16"/>
      <c r="R108" s="5">
        <v>66957</v>
      </c>
      <c r="T108" s="5"/>
    </row>
    <row r="109" spans="1:27" ht="18" x14ac:dyDescent="0.35">
      <c r="A109" s="6"/>
      <c r="C109" s="13" t="s">
        <v>437</v>
      </c>
      <c r="D109" s="13" t="str">
        <f t="shared" si="4"/>
        <v xml:space="preserve">uf]df </v>
      </c>
      <c r="E109" s="13" t="str">
        <f t="shared" si="6"/>
        <v>vqL</v>
      </c>
      <c r="F109" s="21" t="s">
        <v>234</v>
      </c>
      <c r="G109" s="21" t="s">
        <v>756</v>
      </c>
      <c r="H109" s="21"/>
      <c r="I109" s="16"/>
      <c r="J109" s="16"/>
      <c r="K109" s="16"/>
      <c r="L109" s="16"/>
      <c r="M109" s="15">
        <f t="shared" si="5"/>
        <v>92.460273972602735</v>
      </c>
      <c r="N109" s="5">
        <v>33209</v>
      </c>
      <c r="O109" s="16"/>
      <c r="P109" s="16"/>
      <c r="Q109" s="16"/>
      <c r="R109" s="5">
        <v>66957</v>
      </c>
      <c r="T109" s="5"/>
    </row>
    <row r="110" spans="1:27" ht="18" x14ac:dyDescent="0.35">
      <c r="A110" s="6"/>
      <c r="C110" s="13" t="s">
        <v>438</v>
      </c>
      <c r="D110" s="13" t="str">
        <f t="shared" si="4"/>
        <v xml:space="preserve">lgd{nf </v>
      </c>
      <c r="E110" s="13" t="str">
        <f t="shared" si="6"/>
        <v>vqL</v>
      </c>
      <c r="F110" s="21" t="s">
        <v>234</v>
      </c>
      <c r="G110" s="21" t="s">
        <v>756</v>
      </c>
      <c r="H110" s="21"/>
      <c r="I110" s="16"/>
      <c r="J110" s="16"/>
      <c r="K110" s="16"/>
      <c r="L110" s="16"/>
      <c r="M110" s="15">
        <f t="shared" si="5"/>
        <v>59.246575342465754</v>
      </c>
      <c r="N110" s="5">
        <v>45332</v>
      </c>
      <c r="O110" s="16"/>
      <c r="P110" s="16"/>
      <c r="Q110" s="16"/>
      <c r="R110" s="5">
        <v>66957</v>
      </c>
      <c r="T110" s="5"/>
    </row>
    <row r="111" spans="1:27" ht="18" x14ac:dyDescent="0.35">
      <c r="A111" s="6">
        <v>30</v>
      </c>
      <c r="B111" t="s">
        <v>31</v>
      </c>
      <c r="C111" s="13" t="s">
        <v>713</v>
      </c>
      <c r="D111" s="13" t="str">
        <f t="shared" si="4"/>
        <v xml:space="preserve">gfgL/fd </v>
      </c>
      <c r="E111" s="13" t="str">
        <f t="shared" si="6"/>
        <v>v8\sf</v>
      </c>
      <c r="F111" s="21" t="s">
        <v>233</v>
      </c>
      <c r="G111" s="21" t="s">
        <v>756</v>
      </c>
      <c r="H111" s="21"/>
      <c r="I111" s="16">
        <v>2</v>
      </c>
      <c r="J111" s="16">
        <v>10</v>
      </c>
      <c r="K111" s="16">
        <v>2</v>
      </c>
      <c r="L111" s="16">
        <v>0</v>
      </c>
      <c r="M111" s="15">
        <f t="shared" si="5"/>
        <v>70.167123287671231</v>
      </c>
      <c r="N111" s="5">
        <v>41346</v>
      </c>
      <c r="O111" s="16"/>
      <c r="P111" s="16"/>
      <c r="Q111" s="16"/>
      <c r="R111" s="5">
        <v>66957</v>
      </c>
      <c r="T111" s="5">
        <v>66183</v>
      </c>
      <c r="U111" s="2" t="s">
        <v>100</v>
      </c>
      <c r="V111" s="2">
        <v>1</v>
      </c>
      <c r="W111" s="2">
        <v>1</v>
      </c>
      <c r="Y111" t="s">
        <v>242</v>
      </c>
      <c r="Z111" t="s">
        <v>245</v>
      </c>
      <c r="AA111" t="s">
        <v>269</v>
      </c>
    </row>
    <row r="112" spans="1:27" ht="18" x14ac:dyDescent="0.35">
      <c r="A112" s="6">
        <v>31</v>
      </c>
      <c r="B112" t="s">
        <v>32</v>
      </c>
      <c r="C112" s="13" t="s">
        <v>714</v>
      </c>
      <c r="D112" s="13" t="str">
        <f t="shared" si="4"/>
        <v xml:space="preserve">bNnL </v>
      </c>
      <c r="E112" s="13" t="str">
        <f t="shared" si="6"/>
        <v>ljZjsdf{</v>
      </c>
      <c r="F112" s="21" t="s">
        <v>234</v>
      </c>
      <c r="G112" s="21" t="s">
        <v>756</v>
      </c>
      <c r="H112" s="21"/>
      <c r="I112" s="16">
        <v>0</v>
      </c>
      <c r="J112" s="16">
        <v>3</v>
      </c>
      <c r="K112" s="16">
        <v>2</v>
      </c>
      <c r="L112" s="16">
        <v>0</v>
      </c>
      <c r="M112" s="15">
        <f t="shared" si="5"/>
        <v>55.175342465753424</v>
      </c>
      <c r="N112" s="5">
        <v>46818</v>
      </c>
      <c r="O112" s="16"/>
      <c r="P112" s="16"/>
      <c r="Q112" s="16"/>
      <c r="R112" s="5">
        <v>66957</v>
      </c>
      <c r="T112" s="5">
        <v>66182</v>
      </c>
      <c r="U112" s="2" t="s">
        <v>2</v>
      </c>
      <c r="V112" s="2">
        <v>9</v>
      </c>
      <c r="W112" s="2">
        <v>5</v>
      </c>
      <c r="X112" s="2">
        <v>4</v>
      </c>
      <c r="Y112" t="s">
        <v>241</v>
      </c>
      <c r="Z112" t="s">
        <v>264</v>
      </c>
      <c r="AA112" t="s">
        <v>245</v>
      </c>
    </row>
    <row r="113" spans="1:27" ht="18" x14ac:dyDescent="0.35">
      <c r="A113" s="6"/>
      <c r="C113" s="13" t="s">
        <v>715</v>
      </c>
      <c r="D113" s="13" t="str">
        <f t="shared" si="4"/>
        <v xml:space="preserve">1fg </v>
      </c>
      <c r="E113" s="13" t="str">
        <f t="shared" si="6"/>
        <v>ljZjsdf{</v>
      </c>
      <c r="F113" s="21" t="s">
        <v>233</v>
      </c>
      <c r="G113" s="21" t="s">
        <v>756</v>
      </c>
      <c r="H113" s="21"/>
      <c r="I113" s="16"/>
      <c r="J113" s="16"/>
      <c r="K113" s="16"/>
      <c r="L113" s="16"/>
      <c r="M113" s="15">
        <f t="shared" si="5"/>
        <v>56.594520547945208</v>
      </c>
      <c r="N113" s="5">
        <v>46300</v>
      </c>
      <c r="O113" s="16"/>
      <c r="P113" s="16"/>
      <c r="Q113" s="16"/>
      <c r="R113" s="5">
        <v>66957</v>
      </c>
      <c r="T113" s="5"/>
    </row>
    <row r="114" spans="1:27" ht="18" x14ac:dyDescent="0.35">
      <c r="A114" s="6"/>
      <c r="C114" s="13" t="s">
        <v>716</v>
      </c>
      <c r="D114" s="13" t="str">
        <f t="shared" si="4"/>
        <v xml:space="preserve">kq'; </v>
      </c>
      <c r="E114" s="13" t="str">
        <f t="shared" si="6"/>
        <v>j/fOnL</v>
      </c>
      <c r="F114" s="21" t="s">
        <v>233</v>
      </c>
      <c r="G114" s="21" t="s">
        <v>756</v>
      </c>
      <c r="H114" s="21"/>
      <c r="I114" s="16"/>
      <c r="J114" s="16"/>
      <c r="K114" s="16"/>
      <c r="L114" s="16"/>
      <c r="M114" s="15">
        <f t="shared" si="5"/>
        <v>33.473972602739728</v>
      </c>
      <c r="N114" s="5">
        <v>54739</v>
      </c>
      <c r="O114" s="16"/>
      <c r="P114" s="16"/>
      <c r="Q114" s="16"/>
      <c r="R114" s="5">
        <v>66957</v>
      </c>
      <c r="T114" s="5"/>
    </row>
    <row r="115" spans="1:27" ht="18" x14ac:dyDescent="0.35">
      <c r="A115" s="6"/>
      <c r="C115" s="13" t="s">
        <v>717</v>
      </c>
      <c r="D115" s="13" t="str">
        <f t="shared" si="4"/>
        <v xml:space="preserve">lagf </v>
      </c>
      <c r="E115" s="13" t="str">
        <f t="shared" si="6"/>
        <v>sfdL</v>
      </c>
      <c r="F115" s="21" t="s">
        <v>234</v>
      </c>
      <c r="G115" s="21" t="s">
        <v>756</v>
      </c>
      <c r="H115" s="21"/>
      <c r="I115" s="16"/>
      <c r="J115" s="16"/>
      <c r="K115" s="16"/>
      <c r="L115" s="16"/>
      <c r="M115" s="15">
        <f t="shared" si="5"/>
        <v>27.989041095890411</v>
      </c>
      <c r="N115" s="5">
        <v>56741</v>
      </c>
      <c r="O115" s="16"/>
      <c r="P115" s="16"/>
      <c r="Q115" s="16"/>
      <c r="R115" s="5">
        <v>66957</v>
      </c>
      <c r="T115" s="5"/>
    </row>
    <row r="116" spans="1:27" ht="18" x14ac:dyDescent="0.35">
      <c r="A116" s="6"/>
      <c r="C116" s="13" t="s">
        <v>718</v>
      </c>
      <c r="D116" s="13" t="str">
        <f t="shared" si="4"/>
        <v xml:space="preserve">o1 </v>
      </c>
      <c r="E116" s="13" t="str">
        <f t="shared" si="6"/>
        <v>ljZjsdf{</v>
      </c>
      <c r="F116" s="21" t="s">
        <v>233</v>
      </c>
      <c r="G116" s="21" t="s">
        <v>756</v>
      </c>
      <c r="H116" s="21"/>
      <c r="I116" s="16"/>
      <c r="J116" s="16"/>
      <c r="K116" s="16"/>
      <c r="L116" s="16"/>
      <c r="M116" s="15">
        <f t="shared" si="5"/>
        <v>34.876712328767127</v>
      </c>
      <c r="N116" s="5">
        <v>54227</v>
      </c>
      <c r="O116" s="16"/>
      <c r="P116" s="16"/>
      <c r="Q116" s="16"/>
      <c r="R116" s="5">
        <v>66957</v>
      </c>
      <c r="T116" s="5"/>
    </row>
    <row r="117" spans="1:27" ht="18" x14ac:dyDescent="0.35">
      <c r="A117" s="6"/>
      <c r="C117" s="13" t="s">
        <v>719</v>
      </c>
      <c r="D117" s="13" t="str">
        <f t="shared" si="4"/>
        <v xml:space="preserve">uf]df </v>
      </c>
      <c r="E117" s="13" t="str">
        <f t="shared" si="6"/>
        <v>ljZjsdf{</v>
      </c>
      <c r="F117" s="21" t="s">
        <v>234</v>
      </c>
      <c r="G117" s="21" t="s">
        <v>756</v>
      </c>
      <c r="H117" s="21"/>
      <c r="I117" s="16"/>
      <c r="J117" s="16"/>
      <c r="K117" s="16"/>
      <c r="L117" s="16"/>
      <c r="M117" s="15">
        <f t="shared" si="5"/>
        <v>29.575342465753426</v>
      </c>
      <c r="N117" s="5">
        <v>56162</v>
      </c>
      <c r="O117" s="16"/>
      <c r="P117" s="16"/>
      <c r="Q117" s="16"/>
      <c r="R117" s="5">
        <v>66957</v>
      </c>
      <c r="T117" s="5"/>
    </row>
    <row r="118" spans="1:27" ht="18" x14ac:dyDescent="0.35">
      <c r="A118" s="6"/>
      <c r="C118" s="13" t="s">
        <v>720</v>
      </c>
      <c r="D118" s="13" t="str">
        <f t="shared" si="4"/>
        <v xml:space="preserve">ld/f </v>
      </c>
      <c r="E118" s="13" t="str">
        <f t="shared" si="6"/>
        <v>j/fOnL</v>
      </c>
      <c r="F118" s="21" t="s">
        <v>234</v>
      </c>
      <c r="G118" s="21" t="s">
        <v>757</v>
      </c>
      <c r="H118" s="21"/>
      <c r="I118" s="16"/>
      <c r="J118" s="16"/>
      <c r="K118" s="16"/>
      <c r="L118" s="16"/>
      <c r="M118" s="15">
        <f t="shared" si="5"/>
        <v>24.243835616438357</v>
      </c>
      <c r="N118" s="5">
        <v>58108</v>
      </c>
      <c r="O118" s="16"/>
      <c r="P118" s="16"/>
      <c r="Q118" s="16"/>
      <c r="R118" s="5">
        <v>66957</v>
      </c>
      <c r="T118" s="5"/>
    </row>
    <row r="119" spans="1:27" ht="18" x14ac:dyDescent="0.35">
      <c r="A119" s="6"/>
      <c r="C119" s="13" t="s">
        <v>721</v>
      </c>
      <c r="D119" s="13" t="str">
        <f t="shared" si="4"/>
        <v xml:space="preserve">Oefg </v>
      </c>
      <c r="E119" s="13" t="str">
        <f t="shared" si="6"/>
        <v>j/fOnL</v>
      </c>
      <c r="F119" s="21" t="s">
        <v>233</v>
      </c>
      <c r="G119" s="21" t="s">
        <v>757</v>
      </c>
      <c r="H119" s="21"/>
      <c r="I119" s="16"/>
      <c r="J119" s="16"/>
      <c r="K119" s="16"/>
      <c r="L119" s="16"/>
      <c r="M119" s="15">
        <f t="shared" si="5"/>
        <v>4.8904109589041092</v>
      </c>
      <c r="N119" s="5">
        <v>65172</v>
      </c>
      <c r="O119" s="16"/>
      <c r="P119" s="16"/>
      <c r="Q119" s="16"/>
      <c r="R119" s="5">
        <v>66957</v>
      </c>
      <c r="T119" s="5"/>
    </row>
    <row r="120" spans="1:27" ht="18" x14ac:dyDescent="0.35">
      <c r="A120" s="6"/>
      <c r="C120" s="13" t="s">
        <v>722</v>
      </c>
      <c r="D120" s="13" t="str">
        <f t="shared" si="4"/>
        <v xml:space="preserve">O;fs </v>
      </c>
      <c r="E120" s="13" t="str">
        <f t="shared" si="6"/>
        <v>j/fOnL</v>
      </c>
      <c r="F120" s="21" t="s">
        <v>233</v>
      </c>
      <c r="G120" s="21" t="s">
        <v>757</v>
      </c>
      <c r="H120" s="21"/>
      <c r="I120" s="16"/>
      <c r="J120" s="16"/>
      <c r="K120" s="16"/>
      <c r="L120" s="16"/>
      <c r="M120" s="15">
        <f t="shared" si="5"/>
        <v>12.575342465753424</v>
      </c>
      <c r="N120" s="5">
        <v>62367</v>
      </c>
      <c r="O120" s="16"/>
      <c r="P120" s="16"/>
      <c r="Q120" s="16"/>
      <c r="R120" s="5">
        <v>66957</v>
      </c>
      <c r="T120" s="5"/>
    </row>
    <row r="121" spans="1:27" ht="18" x14ac:dyDescent="0.35">
      <c r="A121" s="6">
        <v>32</v>
      </c>
      <c r="B121" t="s">
        <v>33</v>
      </c>
      <c r="C121" s="13" t="s">
        <v>439</v>
      </c>
      <c r="D121" s="13" t="str">
        <f t="shared" si="4"/>
        <v xml:space="preserve">;'dg </v>
      </c>
      <c r="E121" s="13" t="str">
        <f t="shared" si="6"/>
        <v>&gt;]i7</v>
      </c>
      <c r="F121" s="21" t="s">
        <v>233</v>
      </c>
      <c r="G121" s="21" t="s">
        <v>756</v>
      </c>
      <c r="H121" s="21"/>
      <c r="I121" s="16">
        <v>0</v>
      </c>
      <c r="J121" s="16">
        <v>8</v>
      </c>
      <c r="K121" s="16">
        <v>0</v>
      </c>
      <c r="L121" s="16">
        <v>0</v>
      </c>
      <c r="M121" s="15">
        <f t="shared" si="5"/>
        <v>35.783561643835618</v>
      </c>
      <c r="N121" s="5">
        <v>53896</v>
      </c>
      <c r="O121" s="16"/>
      <c r="P121" s="16"/>
      <c r="Q121" s="16"/>
      <c r="R121" s="5">
        <v>66957</v>
      </c>
      <c r="T121" s="5">
        <v>66169</v>
      </c>
      <c r="U121" s="2" t="s">
        <v>100</v>
      </c>
      <c r="V121" s="2">
        <v>6</v>
      </c>
      <c r="W121" s="2">
        <v>3</v>
      </c>
      <c r="X121" s="2">
        <v>3</v>
      </c>
      <c r="Y121" t="s">
        <v>242</v>
      </c>
      <c r="Z121" t="s">
        <v>245</v>
      </c>
      <c r="AA121" t="s">
        <v>328</v>
      </c>
    </row>
    <row r="122" spans="1:27" ht="18" x14ac:dyDescent="0.35">
      <c r="A122" s="6"/>
      <c r="C122" s="13" t="s">
        <v>440</v>
      </c>
      <c r="D122" s="13" t="str">
        <f t="shared" si="4"/>
        <v xml:space="preserve">sfn'dfg </v>
      </c>
      <c r="E122" s="13" t="str">
        <f t="shared" si="6"/>
        <v>&gt;]i7</v>
      </c>
      <c r="F122" s="21" t="s">
        <v>233</v>
      </c>
      <c r="G122" s="21" t="s">
        <v>756</v>
      </c>
      <c r="H122" s="21"/>
      <c r="I122" s="16"/>
      <c r="J122" s="16"/>
      <c r="K122" s="16"/>
      <c r="L122" s="16"/>
      <c r="M122" s="15">
        <f t="shared" si="5"/>
        <v>59.750684931506846</v>
      </c>
      <c r="N122" s="5">
        <v>45148</v>
      </c>
      <c r="O122" s="16"/>
      <c r="P122" s="16"/>
      <c r="Q122" s="16"/>
      <c r="R122" s="5">
        <v>66957</v>
      </c>
      <c r="T122" s="5"/>
    </row>
    <row r="123" spans="1:27" ht="18" x14ac:dyDescent="0.35">
      <c r="A123" s="6"/>
      <c r="C123" s="13" t="s">
        <v>441</v>
      </c>
      <c r="D123" s="13" t="str">
        <f t="shared" si="4"/>
        <v xml:space="preserve">/fdb]jL </v>
      </c>
      <c r="E123" s="13" t="str">
        <f t="shared" si="6"/>
        <v>&gt;]i7</v>
      </c>
      <c r="F123" s="21" t="s">
        <v>234</v>
      </c>
      <c r="G123" s="21" t="s">
        <v>756</v>
      </c>
      <c r="H123" s="21"/>
      <c r="I123" s="16"/>
      <c r="J123" s="16"/>
      <c r="K123" s="16"/>
      <c r="L123" s="16"/>
      <c r="M123" s="15">
        <f t="shared" si="5"/>
        <v>56.021917808219179</v>
      </c>
      <c r="N123" s="5">
        <v>46509</v>
      </c>
      <c r="O123" s="16"/>
      <c r="P123" s="16"/>
      <c r="Q123" s="16"/>
      <c r="R123" s="5">
        <v>66957</v>
      </c>
      <c r="T123" s="5"/>
    </row>
    <row r="124" spans="1:27" ht="18" x14ac:dyDescent="0.35">
      <c r="A124" s="6"/>
      <c r="C124" s="13" t="s">
        <v>442</v>
      </c>
      <c r="D124" s="13" t="str">
        <f t="shared" si="4"/>
        <v xml:space="preserve">/lagf </v>
      </c>
      <c r="E124" s="13" t="str">
        <f t="shared" si="6"/>
        <v>&gt;]i7</v>
      </c>
      <c r="F124" s="21" t="s">
        <v>234</v>
      </c>
      <c r="G124" s="21" t="s">
        <v>756</v>
      </c>
      <c r="H124" s="21"/>
      <c r="I124" s="16"/>
      <c r="J124" s="16"/>
      <c r="K124" s="16"/>
      <c r="L124" s="16"/>
      <c r="M124" s="15">
        <f t="shared" si="5"/>
        <v>32.728767123287675</v>
      </c>
      <c r="N124" s="5">
        <v>55011</v>
      </c>
      <c r="O124" s="16"/>
      <c r="P124" s="16"/>
      <c r="Q124" s="16"/>
      <c r="R124" s="5">
        <v>66957</v>
      </c>
      <c r="T124" s="5"/>
    </row>
    <row r="125" spans="1:27" ht="18" x14ac:dyDescent="0.35">
      <c r="A125" s="6"/>
      <c r="C125" s="13" t="s">
        <v>443</v>
      </c>
      <c r="D125" s="13" t="str">
        <f t="shared" si="4"/>
        <v xml:space="preserve">l;h{g </v>
      </c>
      <c r="E125" s="13" t="str">
        <f t="shared" si="6"/>
        <v>&gt;]i7</v>
      </c>
      <c r="F125" s="21" t="s">
        <v>233</v>
      </c>
      <c r="G125" s="21" t="s">
        <v>757</v>
      </c>
      <c r="H125" s="21"/>
      <c r="I125" s="16"/>
      <c r="J125" s="16"/>
      <c r="K125" s="16"/>
      <c r="L125" s="16"/>
      <c r="M125" s="15">
        <f t="shared" si="5"/>
        <v>10.265753424657534</v>
      </c>
      <c r="N125" s="5">
        <v>63210</v>
      </c>
      <c r="O125" s="16"/>
      <c r="P125" s="16"/>
      <c r="Q125" s="16"/>
      <c r="R125" s="5">
        <v>66957</v>
      </c>
      <c r="T125" s="5"/>
    </row>
    <row r="126" spans="1:27" ht="18" x14ac:dyDescent="0.35">
      <c r="A126" s="6"/>
      <c r="C126" s="13" t="s">
        <v>444</v>
      </c>
      <c r="D126" s="13" t="str">
        <f t="shared" si="4"/>
        <v xml:space="preserve">&gt;LofG;f </v>
      </c>
      <c r="E126" s="13" t="str">
        <f t="shared" si="6"/>
        <v>&gt;]i7</v>
      </c>
      <c r="F126" s="21" t="s">
        <v>234</v>
      </c>
      <c r="G126" s="21" t="s">
        <v>757</v>
      </c>
      <c r="H126" s="21"/>
      <c r="I126" s="16"/>
      <c r="J126" s="16"/>
      <c r="K126" s="16"/>
      <c r="L126" s="16"/>
      <c r="M126" s="15">
        <f t="shared" si="5"/>
        <v>3.6219178082191781</v>
      </c>
      <c r="N126" s="5">
        <v>65635</v>
      </c>
      <c r="O126" s="16"/>
      <c r="P126" s="16"/>
      <c r="Q126" s="16"/>
      <c r="R126" s="5">
        <v>66957</v>
      </c>
      <c r="T126" s="5"/>
    </row>
    <row r="127" spans="1:27" ht="18" x14ac:dyDescent="0.35">
      <c r="A127" s="6">
        <v>33</v>
      </c>
      <c r="B127" t="s">
        <v>34</v>
      </c>
      <c r="C127" s="13" t="s">
        <v>723</v>
      </c>
      <c r="D127" s="13" t="str">
        <f t="shared" si="4"/>
        <v xml:space="preserve">bf]rL{ </v>
      </c>
      <c r="E127" s="13" t="str">
        <f t="shared" si="6"/>
        <v>z]kf{</v>
      </c>
      <c r="F127" s="21" t="s">
        <v>234</v>
      </c>
      <c r="G127" s="21" t="s">
        <v>756</v>
      </c>
      <c r="H127" s="21"/>
      <c r="I127" s="16">
        <v>0</v>
      </c>
      <c r="J127" s="16">
        <v>4</v>
      </c>
      <c r="K127" s="16">
        <v>0</v>
      </c>
      <c r="L127" s="16">
        <v>0</v>
      </c>
      <c r="M127" s="15">
        <f t="shared" si="5"/>
        <v>55.578082191780823</v>
      </c>
      <c r="N127" s="5">
        <v>46671</v>
      </c>
      <c r="O127" s="16"/>
      <c r="P127" s="16"/>
      <c r="Q127" s="16"/>
      <c r="R127" s="5">
        <v>66957</v>
      </c>
      <c r="T127" s="5">
        <v>66138</v>
      </c>
      <c r="U127" s="2" t="s">
        <v>2</v>
      </c>
      <c r="V127" s="2">
        <v>4</v>
      </c>
      <c r="W127" s="2">
        <v>2</v>
      </c>
      <c r="X127" s="2">
        <v>2</v>
      </c>
      <c r="Y127" t="s">
        <v>242</v>
      </c>
      <c r="Z127" t="s">
        <v>266</v>
      </c>
      <c r="AA127" t="s">
        <v>245</v>
      </c>
    </row>
    <row r="128" spans="1:27" ht="18" x14ac:dyDescent="0.35">
      <c r="A128" s="6"/>
      <c r="C128" s="13" t="s">
        <v>724</v>
      </c>
      <c r="D128" s="13" t="str">
        <f t="shared" si="4"/>
        <v xml:space="preserve">ldªdf </v>
      </c>
      <c r="E128" s="13" t="str">
        <f t="shared" si="6"/>
        <v>z]kf{</v>
      </c>
      <c r="F128" s="21" t="s">
        <v>233</v>
      </c>
      <c r="G128" s="21" t="s">
        <v>756</v>
      </c>
      <c r="H128" s="21"/>
      <c r="I128" s="16"/>
      <c r="J128" s="16"/>
      <c r="K128" s="16"/>
      <c r="L128" s="16"/>
      <c r="M128" s="15">
        <f t="shared" si="5"/>
        <v>51.553424657534244</v>
      </c>
      <c r="N128" s="5">
        <v>48140</v>
      </c>
      <c r="O128" s="16"/>
      <c r="P128" s="16"/>
      <c r="Q128" s="16"/>
      <c r="R128" s="5">
        <v>66957</v>
      </c>
      <c r="T128" s="5"/>
    </row>
    <row r="129" spans="1:27" ht="18" x14ac:dyDescent="0.35">
      <c r="A129" s="6"/>
      <c r="C129" s="13" t="s">
        <v>725</v>
      </c>
      <c r="D129" s="13" t="str">
        <f t="shared" si="4"/>
        <v xml:space="preserve">k]Daf </v>
      </c>
      <c r="E129" s="13" t="str">
        <f t="shared" si="6"/>
        <v>z]kf{</v>
      </c>
      <c r="F129" s="21" t="s">
        <v>233</v>
      </c>
      <c r="G129" s="21" t="s">
        <v>757</v>
      </c>
      <c r="H129" s="21"/>
      <c r="I129" s="16"/>
      <c r="J129" s="16"/>
      <c r="K129" s="16"/>
      <c r="L129" s="16"/>
      <c r="M129" s="15">
        <f t="shared" si="5"/>
        <v>26.268493150684932</v>
      </c>
      <c r="N129" s="5">
        <v>57369</v>
      </c>
      <c r="O129" s="16"/>
      <c r="P129" s="16"/>
      <c r="Q129" s="16"/>
      <c r="R129" s="5">
        <v>66957</v>
      </c>
      <c r="T129" s="5"/>
    </row>
    <row r="130" spans="1:27" ht="18" x14ac:dyDescent="0.35">
      <c r="A130" s="6"/>
      <c r="C130" s="13" t="s">
        <v>726</v>
      </c>
      <c r="D130" s="13" t="str">
        <f t="shared" si="4"/>
        <v xml:space="preserve">kf;fª </v>
      </c>
      <c r="E130" s="13" t="str">
        <f t="shared" si="6"/>
        <v>z]kf{</v>
      </c>
      <c r="F130" s="21" t="s">
        <v>234</v>
      </c>
      <c r="G130" s="21" t="s">
        <v>757</v>
      </c>
      <c r="H130" s="21"/>
      <c r="I130" s="16"/>
      <c r="J130" s="16"/>
      <c r="K130" s="16"/>
      <c r="L130" s="16"/>
      <c r="M130" s="15">
        <f t="shared" si="5"/>
        <v>22.457534246575342</v>
      </c>
      <c r="N130" s="5">
        <v>58760</v>
      </c>
      <c r="O130" s="16"/>
      <c r="P130" s="16"/>
      <c r="Q130" s="16"/>
      <c r="R130" s="5">
        <v>66957</v>
      </c>
      <c r="T130" s="5"/>
    </row>
    <row r="131" spans="1:27" ht="18" x14ac:dyDescent="0.35">
      <c r="A131" s="6">
        <v>34</v>
      </c>
      <c r="B131" t="s">
        <v>35</v>
      </c>
      <c r="C131" s="13" t="s">
        <v>445</v>
      </c>
      <c r="D131" s="13" t="str">
        <f t="shared" si="4"/>
        <v xml:space="preserve">lszg </v>
      </c>
      <c r="E131" s="13" t="str">
        <f t="shared" si="6"/>
        <v>wfdL</v>
      </c>
      <c r="F131" s="21" t="s">
        <v>233</v>
      </c>
      <c r="G131" s="21" t="s">
        <v>756</v>
      </c>
      <c r="H131" s="21"/>
      <c r="I131" s="16">
        <v>0</v>
      </c>
      <c r="J131" s="16">
        <v>3</v>
      </c>
      <c r="K131" s="16">
        <v>0</v>
      </c>
      <c r="L131" s="16">
        <v>0</v>
      </c>
      <c r="M131" s="15">
        <f t="shared" si="5"/>
        <v>42.975342465753428</v>
      </c>
      <c r="N131" s="5">
        <v>51271</v>
      </c>
      <c r="O131" s="16"/>
      <c r="P131" s="16"/>
      <c r="Q131" s="16"/>
      <c r="R131" s="5">
        <v>66957</v>
      </c>
      <c r="T131" s="5">
        <v>66132</v>
      </c>
      <c r="U131" s="2" t="s">
        <v>2</v>
      </c>
      <c r="V131" s="2">
        <v>4</v>
      </c>
      <c r="W131" s="2">
        <v>2</v>
      </c>
      <c r="X131" s="2">
        <v>2</v>
      </c>
      <c r="Y131" t="s">
        <v>242</v>
      </c>
      <c r="Z131" t="s">
        <v>287</v>
      </c>
      <c r="AA131" t="s">
        <v>245</v>
      </c>
    </row>
    <row r="132" spans="1:27" ht="18" x14ac:dyDescent="0.35">
      <c r="A132" s="6"/>
      <c r="C132" s="13" t="s">
        <v>446</v>
      </c>
      <c r="D132" s="13" t="str">
        <f t="shared" ref="D132:D195" si="8">LEFT(C132,(FIND(" ",C132)))</f>
        <v xml:space="preserve">hd'gf </v>
      </c>
      <c r="E132" s="13" t="str">
        <f t="shared" si="6"/>
        <v>wfdL</v>
      </c>
      <c r="F132" s="21" t="s">
        <v>234</v>
      </c>
      <c r="G132" s="21" t="s">
        <v>756</v>
      </c>
      <c r="H132" s="21"/>
      <c r="I132" s="16"/>
      <c r="J132" s="16"/>
      <c r="K132" s="16"/>
      <c r="L132" s="16"/>
      <c r="M132" s="15">
        <f t="shared" ref="M132:M195" si="9">(R132-N132)/365</f>
        <v>40.178082191780824</v>
      </c>
      <c r="N132" s="5">
        <v>52292</v>
      </c>
      <c r="O132" s="16"/>
      <c r="P132" s="16"/>
      <c r="Q132" s="16"/>
      <c r="R132" s="5">
        <v>66957</v>
      </c>
      <c r="T132" s="5"/>
    </row>
    <row r="133" spans="1:27" ht="18" x14ac:dyDescent="0.35">
      <c r="A133" s="6"/>
      <c r="C133" s="13" t="s">
        <v>447</v>
      </c>
      <c r="D133" s="13" t="str">
        <f t="shared" si="8"/>
        <v xml:space="preserve">s[:6Lgf </v>
      </c>
      <c r="E133" s="13" t="str">
        <f t="shared" ref="E133:E196" si="10">TRIM(RIGHT(SUBSTITUTE(C133," ",REPT(" ",255)),255))</f>
        <v>wfdL</v>
      </c>
      <c r="F133" s="21" t="s">
        <v>234</v>
      </c>
      <c r="G133" s="21" t="s">
        <v>757</v>
      </c>
      <c r="H133" s="21"/>
      <c r="I133" s="16"/>
      <c r="J133" s="16"/>
      <c r="K133" s="16"/>
      <c r="L133" s="16"/>
      <c r="M133" s="15">
        <f t="shared" si="9"/>
        <v>18.315068493150687</v>
      </c>
      <c r="N133" s="5">
        <v>60272</v>
      </c>
      <c r="O133" s="16"/>
      <c r="P133" s="16"/>
      <c r="Q133" s="16"/>
      <c r="R133" s="5">
        <v>66957</v>
      </c>
      <c r="T133" s="5"/>
    </row>
    <row r="134" spans="1:27" ht="18" x14ac:dyDescent="0.35">
      <c r="A134" s="6"/>
      <c r="C134" s="13" t="s">
        <v>448</v>
      </c>
      <c r="D134" s="13" t="str">
        <f t="shared" si="8"/>
        <v xml:space="preserve">s|Lhg </v>
      </c>
      <c r="E134" s="13" t="str">
        <f t="shared" si="10"/>
        <v>wfdL</v>
      </c>
      <c r="F134" s="21" t="s">
        <v>233</v>
      </c>
      <c r="G134" s="21" t="s">
        <v>757</v>
      </c>
      <c r="H134" s="21"/>
      <c r="I134" s="16"/>
      <c r="J134" s="16"/>
      <c r="K134" s="16"/>
      <c r="L134" s="16"/>
      <c r="M134" s="15">
        <f t="shared" si="9"/>
        <v>14.224657534246575</v>
      </c>
      <c r="N134" s="5">
        <v>61765</v>
      </c>
      <c r="O134" s="16"/>
      <c r="P134" s="16"/>
      <c r="Q134" s="16"/>
      <c r="R134" s="5">
        <v>66957</v>
      </c>
      <c r="T134" s="5"/>
    </row>
    <row r="135" spans="1:27" ht="18" x14ac:dyDescent="0.35">
      <c r="A135" s="6">
        <v>35</v>
      </c>
      <c r="B135" t="s">
        <v>36</v>
      </c>
      <c r="C135" s="13" t="s">
        <v>449</v>
      </c>
      <c r="D135" s="13" t="str">
        <f t="shared" si="8"/>
        <v xml:space="preserve">lhjg </v>
      </c>
      <c r="E135" s="13" t="str">
        <f t="shared" si="10"/>
        <v>v8\sf</v>
      </c>
      <c r="F135" s="21" t="s">
        <v>233</v>
      </c>
      <c r="G135" s="21" t="s">
        <v>756</v>
      </c>
      <c r="H135" s="21"/>
      <c r="I135" s="16">
        <v>0</v>
      </c>
      <c r="J135" s="16">
        <v>8</v>
      </c>
      <c r="K135" s="16">
        <v>4</v>
      </c>
      <c r="L135" s="16">
        <v>3</v>
      </c>
      <c r="M135" s="15">
        <f t="shared" si="9"/>
        <v>36.038356164383565</v>
      </c>
      <c r="N135" s="5">
        <v>53803</v>
      </c>
      <c r="O135" s="16"/>
      <c r="P135" s="16"/>
      <c r="Q135" s="16"/>
      <c r="R135" s="5">
        <v>66957</v>
      </c>
      <c r="T135" s="5">
        <v>66127</v>
      </c>
      <c r="U135" s="2" t="s">
        <v>2</v>
      </c>
      <c r="V135" s="2">
        <v>4</v>
      </c>
      <c r="W135" s="2">
        <v>2</v>
      </c>
      <c r="X135" s="2">
        <v>2</v>
      </c>
      <c r="Y135" t="s">
        <v>242</v>
      </c>
      <c r="Z135" t="s">
        <v>275</v>
      </c>
      <c r="AA135" t="s">
        <v>245</v>
      </c>
    </row>
    <row r="136" spans="1:27" ht="18" x14ac:dyDescent="0.35">
      <c r="A136" s="6"/>
      <c r="C136" s="13" t="s">
        <v>450</v>
      </c>
      <c r="D136" s="13" t="str">
        <f t="shared" si="8"/>
        <v xml:space="preserve">nIdL </v>
      </c>
      <c r="E136" s="13" t="str">
        <f t="shared" si="10"/>
        <v>a/fn</v>
      </c>
      <c r="F136" s="21" t="s">
        <v>234</v>
      </c>
      <c r="G136" s="21" t="s">
        <v>756</v>
      </c>
      <c r="H136" s="21"/>
      <c r="I136" s="16"/>
      <c r="J136" s="16"/>
      <c r="K136" s="16"/>
      <c r="L136" s="16"/>
      <c r="M136" s="15">
        <f t="shared" si="9"/>
        <v>37.769863013698632</v>
      </c>
      <c r="N136" s="5">
        <v>53171</v>
      </c>
      <c r="O136" s="16"/>
      <c r="P136" s="16"/>
      <c r="Q136" s="16"/>
      <c r="R136" s="5">
        <v>66957</v>
      </c>
      <c r="T136" s="5"/>
    </row>
    <row r="137" spans="1:27" ht="18" x14ac:dyDescent="0.35">
      <c r="A137" s="6"/>
      <c r="C137" s="13" t="s">
        <v>451</v>
      </c>
      <c r="D137" s="13" t="str">
        <f t="shared" si="8"/>
        <v xml:space="preserve">cfo"w </v>
      </c>
      <c r="E137" s="13" t="str">
        <f t="shared" si="10"/>
        <v>v8\sf</v>
      </c>
      <c r="F137" s="21" t="s">
        <v>233</v>
      </c>
      <c r="G137" s="21" t="s">
        <v>757</v>
      </c>
      <c r="H137" s="21"/>
      <c r="I137" s="16"/>
      <c r="J137" s="16"/>
      <c r="K137" s="16"/>
      <c r="L137" s="16"/>
      <c r="M137" s="15">
        <f t="shared" si="9"/>
        <v>11.473972602739726</v>
      </c>
      <c r="N137" s="5">
        <v>62769</v>
      </c>
      <c r="O137" s="16"/>
      <c r="P137" s="16"/>
      <c r="Q137" s="16"/>
      <c r="R137" s="5">
        <v>66957</v>
      </c>
      <c r="T137" s="5"/>
    </row>
    <row r="138" spans="1:27" ht="18" x14ac:dyDescent="0.35">
      <c r="A138" s="6"/>
      <c r="C138" s="13" t="s">
        <v>452</v>
      </c>
      <c r="D138" s="13" t="str">
        <f t="shared" si="8"/>
        <v xml:space="preserve">cdfo/f </v>
      </c>
      <c r="E138" s="13" t="str">
        <f t="shared" si="10"/>
        <v>v8\sf</v>
      </c>
      <c r="F138" s="21" t="s">
        <v>234</v>
      </c>
      <c r="G138" s="21" t="s">
        <v>757</v>
      </c>
      <c r="H138" s="21"/>
      <c r="I138" s="16"/>
      <c r="J138" s="16"/>
      <c r="K138" s="16"/>
      <c r="L138" s="16"/>
      <c r="M138" s="15">
        <f t="shared" si="9"/>
        <v>6.558904109589041</v>
      </c>
      <c r="N138" s="5">
        <v>64563</v>
      </c>
      <c r="O138" s="16"/>
      <c r="P138" s="16"/>
      <c r="Q138" s="16"/>
      <c r="R138" s="5">
        <v>66957</v>
      </c>
      <c r="T138" s="5"/>
    </row>
    <row r="139" spans="1:27" ht="18" x14ac:dyDescent="0.35">
      <c r="A139" s="6">
        <v>36</v>
      </c>
      <c r="B139" t="s">
        <v>37</v>
      </c>
      <c r="C139" s="13" t="s">
        <v>453</v>
      </c>
      <c r="D139" s="13" t="str">
        <f t="shared" si="8"/>
        <v xml:space="preserve">s'df/ </v>
      </c>
      <c r="E139" s="13" t="str">
        <f t="shared" si="10"/>
        <v>sF'j/</v>
      </c>
      <c r="F139" s="21" t="s">
        <v>233</v>
      </c>
      <c r="G139" s="21" t="s">
        <v>756</v>
      </c>
      <c r="H139" s="21"/>
      <c r="I139" s="16" t="s">
        <v>748</v>
      </c>
      <c r="J139" s="16" t="s">
        <v>748</v>
      </c>
      <c r="K139" s="16" t="s">
        <v>748</v>
      </c>
      <c r="L139" s="16" t="s">
        <v>748</v>
      </c>
      <c r="M139" s="15">
        <f t="shared" si="9"/>
        <v>45.336986301369862</v>
      </c>
      <c r="N139" s="5">
        <v>50409</v>
      </c>
      <c r="O139" s="16"/>
      <c r="P139" s="16"/>
      <c r="Q139" s="16"/>
      <c r="R139" s="5">
        <v>66957</v>
      </c>
      <c r="T139" s="5">
        <v>66121</v>
      </c>
      <c r="U139" s="2" t="s">
        <v>2</v>
      </c>
      <c r="V139" s="2">
        <v>4</v>
      </c>
      <c r="W139" s="2">
        <v>1</v>
      </c>
      <c r="X139" s="2">
        <v>3</v>
      </c>
      <c r="Y139" t="s">
        <v>242</v>
      </c>
      <c r="Z139" t="s">
        <v>290</v>
      </c>
      <c r="AA139" t="s">
        <v>245</v>
      </c>
    </row>
    <row r="140" spans="1:27" ht="18" x14ac:dyDescent="0.35">
      <c r="A140" s="6"/>
      <c r="C140" s="13" t="s">
        <v>454</v>
      </c>
      <c r="D140" s="13" t="str">
        <f t="shared" si="8"/>
        <v xml:space="preserve">:j:tLsf </v>
      </c>
      <c r="E140" s="13" t="str">
        <f t="shared" si="10"/>
        <v>sF'j/</v>
      </c>
      <c r="F140" s="21" t="s">
        <v>234</v>
      </c>
      <c r="G140" s="21" t="s">
        <v>757</v>
      </c>
      <c r="H140" s="21"/>
      <c r="I140" s="16"/>
      <c r="J140" s="16"/>
      <c r="K140" s="16"/>
      <c r="L140" s="16"/>
      <c r="M140" s="15">
        <f t="shared" si="9"/>
        <v>19.098630136986301</v>
      </c>
      <c r="N140" s="5">
        <v>59986</v>
      </c>
      <c r="O140" s="16"/>
      <c r="P140" s="16"/>
      <c r="Q140" s="16"/>
      <c r="R140" s="5">
        <v>66957</v>
      </c>
      <c r="T140" s="5"/>
    </row>
    <row r="141" spans="1:27" ht="18" x14ac:dyDescent="0.35">
      <c r="A141" s="6"/>
      <c r="C141" s="13" t="s">
        <v>455</v>
      </c>
      <c r="D141" s="13" t="str">
        <f t="shared" si="8"/>
        <v xml:space="preserve">;/:jtL </v>
      </c>
      <c r="E141" s="13" t="str">
        <f t="shared" si="10"/>
        <v>sF'j/</v>
      </c>
      <c r="F141" s="21" t="s">
        <v>234</v>
      </c>
      <c r="G141" s="21" t="s">
        <v>756</v>
      </c>
      <c r="H141" s="21"/>
      <c r="I141" s="16"/>
      <c r="J141" s="16"/>
      <c r="K141" s="16"/>
      <c r="L141" s="16"/>
      <c r="M141" s="15">
        <f t="shared" si="9"/>
        <v>40.090410958904108</v>
      </c>
      <c r="N141" s="5">
        <v>52324</v>
      </c>
      <c r="O141" s="16"/>
      <c r="P141" s="16"/>
      <c r="Q141" s="16"/>
      <c r="R141" s="5">
        <v>66957</v>
      </c>
      <c r="T141" s="5"/>
    </row>
    <row r="142" spans="1:27" ht="18" x14ac:dyDescent="0.35">
      <c r="A142" s="6"/>
      <c r="C142" s="13" t="s">
        <v>456</v>
      </c>
      <c r="D142" s="13" t="str">
        <f t="shared" si="8"/>
        <v xml:space="preserve">;'eb|f </v>
      </c>
      <c r="E142" s="13" t="str">
        <f t="shared" si="10"/>
        <v>sF'j/</v>
      </c>
      <c r="F142" s="21" t="s">
        <v>234</v>
      </c>
      <c r="G142" s="21" t="s">
        <v>757</v>
      </c>
      <c r="H142" s="21"/>
      <c r="I142" s="16"/>
      <c r="J142" s="16"/>
      <c r="K142" s="16"/>
      <c r="L142" s="16"/>
      <c r="M142" s="15">
        <f t="shared" si="9"/>
        <v>22.065753424657533</v>
      </c>
      <c r="N142" s="5">
        <v>58903</v>
      </c>
      <c r="O142" s="16"/>
      <c r="P142" s="16"/>
      <c r="Q142" s="16"/>
      <c r="R142" s="5">
        <v>66957</v>
      </c>
      <c r="T142" s="5"/>
    </row>
    <row r="143" spans="1:27" ht="18" x14ac:dyDescent="0.35">
      <c r="A143" s="6">
        <v>37</v>
      </c>
      <c r="B143" t="s">
        <v>38</v>
      </c>
      <c r="C143" s="13" t="s">
        <v>457</v>
      </c>
      <c r="D143" s="13" t="str">
        <f t="shared" si="8"/>
        <v xml:space="preserve">slkn </v>
      </c>
      <c r="E143" s="13" t="str">
        <f t="shared" si="10"/>
        <v>kf}8]n</v>
      </c>
      <c r="F143" s="21" t="s">
        <v>233</v>
      </c>
      <c r="G143" s="21" t="s">
        <v>756</v>
      </c>
      <c r="H143" s="21"/>
      <c r="I143" s="16" t="s">
        <v>748</v>
      </c>
      <c r="J143" s="16" t="s">
        <v>748</v>
      </c>
      <c r="K143" s="16" t="s">
        <v>748</v>
      </c>
      <c r="L143" s="16" t="s">
        <v>748</v>
      </c>
      <c r="M143" s="15">
        <f t="shared" si="9"/>
        <v>63.158904109589038</v>
      </c>
      <c r="N143" s="5">
        <v>43904</v>
      </c>
      <c r="O143" s="16"/>
      <c r="P143" s="16"/>
      <c r="Q143" s="16"/>
      <c r="R143" s="5">
        <v>66957</v>
      </c>
      <c r="T143" s="5">
        <v>66058</v>
      </c>
      <c r="U143" s="2" t="s">
        <v>100</v>
      </c>
      <c r="V143" s="2">
        <v>4</v>
      </c>
      <c r="W143" s="2">
        <v>3</v>
      </c>
      <c r="X143" s="2">
        <v>1</v>
      </c>
      <c r="Y143" t="s">
        <v>242</v>
      </c>
      <c r="Z143" t="s">
        <v>245</v>
      </c>
      <c r="AA143" t="s">
        <v>280</v>
      </c>
    </row>
    <row r="144" spans="1:27" ht="18" x14ac:dyDescent="0.35">
      <c r="A144" s="6"/>
      <c r="C144" s="13" t="s">
        <v>458</v>
      </c>
      <c r="D144" s="13" t="str">
        <f t="shared" si="8"/>
        <v xml:space="preserve">Clif/fd </v>
      </c>
      <c r="E144" s="13" t="str">
        <f t="shared" si="10"/>
        <v>pkfWofo</v>
      </c>
      <c r="F144" s="21" t="s">
        <v>233</v>
      </c>
      <c r="G144" s="21" t="s">
        <v>756</v>
      </c>
      <c r="H144" s="21"/>
      <c r="I144" s="16"/>
      <c r="J144" s="16"/>
      <c r="K144" s="16"/>
      <c r="L144" s="16"/>
      <c r="M144" s="15">
        <f t="shared" si="9"/>
        <v>93.589041095890408</v>
      </c>
      <c r="N144" s="5">
        <v>32797</v>
      </c>
      <c r="O144" s="16"/>
      <c r="P144" s="16"/>
      <c r="Q144" s="16"/>
      <c r="R144" s="5">
        <v>66957</v>
      </c>
      <c r="T144" s="5"/>
    </row>
    <row r="145" spans="1:27" ht="18" x14ac:dyDescent="0.35">
      <c r="A145" s="6"/>
      <c r="C145" s="13" t="s">
        <v>459</v>
      </c>
      <c r="D145" s="13" t="str">
        <f t="shared" si="8"/>
        <v xml:space="preserve">;Ltf </v>
      </c>
      <c r="E145" s="13" t="str">
        <f t="shared" si="10"/>
        <v>kf}8]n</v>
      </c>
      <c r="F145" s="21" t="s">
        <v>234</v>
      </c>
      <c r="G145" s="21" t="s">
        <v>756</v>
      </c>
      <c r="H145" s="21"/>
      <c r="I145" s="16"/>
      <c r="J145" s="16"/>
      <c r="K145" s="16"/>
      <c r="L145" s="16"/>
      <c r="M145" s="15">
        <f t="shared" si="9"/>
        <v>60.843835616438355</v>
      </c>
      <c r="N145" s="5">
        <v>44749</v>
      </c>
      <c r="O145" s="16"/>
      <c r="P145" s="16"/>
      <c r="Q145" s="16"/>
      <c r="R145" s="5">
        <v>66957</v>
      </c>
      <c r="T145" s="5"/>
    </row>
    <row r="146" spans="1:27" ht="18" x14ac:dyDescent="0.35">
      <c r="A146" s="6"/>
      <c r="C146" s="13" t="s">
        <v>460</v>
      </c>
      <c r="D146" s="13" t="str">
        <f t="shared" si="8"/>
        <v xml:space="preserve">;lGbk </v>
      </c>
      <c r="E146" s="13" t="str">
        <f t="shared" si="10"/>
        <v>kf}8]n</v>
      </c>
      <c r="F146" s="21" t="s">
        <v>233</v>
      </c>
      <c r="G146" s="21" t="s">
        <v>757</v>
      </c>
      <c r="H146" s="21"/>
      <c r="I146" s="16"/>
      <c r="J146" s="16"/>
      <c r="K146" s="16"/>
      <c r="L146" s="16"/>
      <c r="M146" s="15">
        <f t="shared" si="9"/>
        <v>33.419178082191777</v>
      </c>
      <c r="N146" s="5">
        <v>54759</v>
      </c>
      <c r="O146" s="16"/>
      <c r="P146" s="16"/>
      <c r="Q146" s="16"/>
      <c r="R146" s="5">
        <v>66957</v>
      </c>
      <c r="T146" s="5"/>
    </row>
    <row r="147" spans="1:27" ht="18" x14ac:dyDescent="0.35">
      <c r="A147" s="6">
        <v>38</v>
      </c>
      <c r="B147" t="s">
        <v>39</v>
      </c>
      <c r="C147" s="13" t="s">
        <v>461</v>
      </c>
      <c r="D147" s="13" t="str">
        <f t="shared" si="8"/>
        <v xml:space="preserve">a]b </v>
      </c>
      <c r="E147" s="13" t="str">
        <f t="shared" si="10"/>
        <v>&gt;]i7</v>
      </c>
      <c r="F147" s="21" t="s">
        <v>233</v>
      </c>
      <c r="G147" s="21" t="s">
        <v>756</v>
      </c>
      <c r="H147" s="21"/>
      <c r="I147" s="16">
        <v>0</v>
      </c>
      <c r="J147" s="16">
        <v>3</v>
      </c>
      <c r="K147" s="16">
        <v>1</v>
      </c>
      <c r="L147" s="16">
        <v>0</v>
      </c>
      <c r="M147" s="15">
        <f t="shared" si="9"/>
        <v>43.81095890410959</v>
      </c>
      <c r="N147" s="5">
        <v>50966</v>
      </c>
      <c r="O147" s="16"/>
      <c r="P147" s="16"/>
      <c r="Q147" s="16"/>
      <c r="R147" s="5">
        <v>66957</v>
      </c>
      <c r="T147" s="5">
        <v>66029</v>
      </c>
      <c r="U147" s="2" t="s">
        <v>2</v>
      </c>
      <c r="V147" s="2">
        <v>3</v>
      </c>
      <c r="W147" s="2">
        <v>1</v>
      </c>
      <c r="X147" s="2">
        <v>2</v>
      </c>
      <c r="Y147" t="s">
        <v>242</v>
      </c>
      <c r="Z147" t="s">
        <v>255</v>
      </c>
      <c r="AA147" t="s">
        <v>245</v>
      </c>
    </row>
    <row r="148" spans="1:27" ht="18" x14ac:dyDescent="0.35">
      <c r="A148" s="6"/>
      <c r="C148" s="13" t="s">
        <v>462</v>
      </c>
      <c r="D148" s="13" t="str">
        <f t="shared" si="8"/>
        <v xml:space="preserve">l/tf </v>
      </c>
      <c r="E148" s="13" t="str">
        <f t="shared" si="10"/>
        <v>clwsf/L</v>
      </c>
      <c r="F148" s="21" t="s">
        <v>234</v>
      </c>
      <c r="G148" s="21" t="s">
        <v>756</v>
      </c>
      <c r="H148" s="21"/>
      <c r="I148" s="16"/>
      <c r="J148" s="16"/>
      <c r="K148" s="16"/>
      <c r="L148" s="16"/>
      <c r="M148" s="15">
        <f t="shared" si="9"/>
        <v>41.961643835616435</v>
      </c>
      <c r="N148" s="5">
        <v>51641</v>
      </c>
      <c r="O148" s="16"/>
      <c r="P148" s="16"/>
      <c r="Q148" s="16"/>
      <c r="R148" s="5">
        <v>66957</v>
      </c>
      <c r="T148" s="5"/>
    </row>
    <row r="149" spans="1:27" ht="18" x14ac:dyDescent="0.35">
      <c r="A149" s="6"/>
      <c r="C149" s="13" t="s">
        <v>463</v>
      </c>
      <c r="D149" s="13" t="str">
        <f t="shared" si="8"/>
        <v xml:space="preserve">k|;+zf </v>
      </c>
      <c r="E149" s="13" t="str">
        <f t="shared" si="10"/>
        <v>&gt;]i7</v>
      </c>
      <c r="F149" s="21" t="s">
        <v>234</v>
      </c>
      <c r="G149" s="21" t="s">
        <v>757</v>
      </c>
      <c r="H149" s="21"/>
      <c r="I149" s="16"/>
      <c r="J149" s="16"/>
      <c r="K149" s="16"/>
      <c r="L149" s="16"/>
      <c r="M149" s="15">
        <f t="shared" si="9"/>
        <v>10.443835616438356</v>
      </c>
      <c r="N149" s="5">
        <v>63145</v>
      </c>
      <c r="O149" s="16"/>
      <c r="P149" s="16"/>
      <c r="Q149" s="16"/>
      <c r="R149" s="5">
        <v>66957</v>
      </c>
      <c r="T149" s="5"/>
    </row>
    <row r="150" spans="1:27" ht="18" x14ac:dyDescent="0.35">
      <c r="A150" s="6">
        <v>39</v>
      </c>
      <c r="B150" t="s">
        <v>40</v>
      </c>
      <c r="C150" s="13" t="s">
        <v>464</v>
      </c>
      <c r="D150" s="13" t="str">
        <f t="shared" si="8"/>
        <v xml:space="preserve">k|frL </v>
      </c>
      <c r="E150" s="13" t="str">
        <f t="shared" si="10"/>
        <v>clwsf/L</v>
      </c>
      <c r="F150" s="21" t="s">
        <v>234</v>
      </c>
      <c r="G150" s="21" t="s">
        <v>757</v>
      </c>
      <c r="H150" s="21"/>
      <c r="I150" s="16" t="s">
        <v>748</v>
      </c>
      <c r="J150" s="16" t="s">
        <v>748</v>
      </c>
      <c r="K150" s="16" t="s">
        <v>748</v>
      </c>
      <c r="L150" s="16" t="s">
        <v>748</v>
      </c>
      <c r="M150" s="15">
        <f t="shared" si="9"/>
        <v>22.517808219178082</v>
      </c>
      <c r="N150" s="5">
        <v>58738</v>
      </c>
      <c r="O150" s="16"/>
      <c r="P150" s="16"/>
      <c r="Q150" s="16"/>
      <c r="R150" s="5">
        <v>66957</v>
      </c>
      <c r="T150" s="5">
        <v>66029</v>
      </c>
      <c r="U150" s="2" t="s">
        <v>2</v>
      </c>
      <c r="V150" s="2">
        <v>2</v>
      </c>
      <c r="X150" s="2">
        <v>2</v>
      </c>
      <c r="Y150" t="s">
        <v>242</v>
      </c>
      <c r="Z150" t="s">
        <v>302</v>
      </c>
      <c r="AA150" t="s">
        <v>245</v>
      </c>
    </row>
    <row r="151" spans="1:27" ht="18" x14ac:dyDescent="0.35">
      <c r="A151" s="6"/>
      <c r="C151" s="13" t="s">
        <v>465</v>
      </c>
      <c r="D151" s="13" t="str">
        <f t="shared" si="8"/>
        <v xml:space="preserve">k|Zgf </v>
      </c>
      <c r="E151" s="13" t="str">
        <f t="shared" si="10"/>
        <v>clwsf/L</v>
      </c>
      <c r="F151" s="21" t="s">
        <v>234</v>
      </c>
      <c r="G151" s="21" t="s">
        <v>757</v>
      </c>
      <c r="H151" s="21"/>
      <c r="I151" s="16"/>
      <c r="J151" s="16"/>
      <c r="K151" s="16"/>
      <c r="L151" s="16"/>
      <c r="M151" s="15">
        <f t="shared" si="9"/>
        <v>19.884931506849316</v>
      </c>
      <c r="N151" s="5">
        <v>59699</v>
      </c>
      <c r="O151" s="16"/>
      <c r="P151" s="16"/>
      <c r="Q151" s="16"/>
      <c r="R151" s="5">
        <v>66957</v>
      </c>
      <c r="T151" s="5"/>
    </row>
    <row r="152" spans="1:27" ht="18" x14ac:dyDescent="0.35">
      <c r="A152" s="6">
        <v>40</v>
      </c>
      <c r="B152" t="s">
        <v>41</v>
      </c>
      <c r="C152" s="13" t="s">
        <v>466</v>
      </c>
      <c r="D152" s="13" t="str">
        <f t="shared" si="8"/>
        <v xml:space="preserve">b'uf{ </v>
      </c>
      <c r="E152" s="13" t="str">
        <f t="shared" si="10"/>
        <v>IfqL</v>
      </c>
      <c r="F152" s="21" t="s">
        <v>233</v>
      </c>
      <c r="G152" s="21" t="s">
        <v>756</v>
      </c>
      <c r="H152" s="21"/>
      <c r="I152" s="16" t="s">
        <v>748</v>
      </c>
      <c r="J152" s="16" t="s">
        <v>748</v>
      </c>
      <c r="K152" s="16" t="s">
        <v>748</v>
      </c>
      <c r="L152" s="16" t="s">
        <v>748</v>
      </c>
      <c r="M152" s="15">
        <f t="shared" si="9"/>
        <v>75.904109589041099</v>
      </c>
      <c r="N152" s="5">
        <v>39252</v>
      </c>
      <c r="O152" s="16"/>
      <c r="P152" s="16"/>
      <c r="Q152" s="16"/>
      <c r="R152" s="5">
        <v>66957</v>
      </c>
      <c r="T152" s="5">
        <v>66021</v>
      </c>
      <c r="U152" s="2" t="s">
        <v>2</v>
      </c>
      <c r="V152" s="2">
        <v>4</v>
      </c>
      <c r="W152" s="2">
        <v>2</v>
      </c>
      <c r="X152" s="2">
        <v>2</v>
      </c>
      <c r="Y152" t="s">
        <v>242</v>
      </c>
      <c r="Z152" t="s">
        <v>267</v>
      </c>
      <c r="AA152" t="s">
        <v>245</v>
      </c>
    </row>
    <row r="153" spans="1:27" ht="18" x14ac:dyDescent="0.35">
      <c r="A153" s="6"/>
      <c r="C153" s="13" t="s">
        <v>467</v>
      </c>
      <c r="D153" s="13" t="str">
        <f t="shared" si="8"/>
        <v xml:space="preserve">cf;f </v>
      </c>
      <c r="E153" s="13" t="str">
        <f t="shared" si="10"/>
        <v>IfqL</v>
      </c>
      <c r="F153" s="21" t="s">
        <v>234</v>
      </c>
      <c r="G153" s="21" t="s">
        <v>756</v>
      </c>
      <c r="H153" s="21"/>
      <c r="I153" s="16"/>
      <c r="J153" s="16"/>
      <c r="K153" s="16"/>
      <c r="L153" s="16"/>
      <c r="M153" s="15">
        <f t="shared" si="9"/>
        <v>59.041095890410958</v>
      </c>
      <c r="N153" s="5">
        <v>45407</v>
      </c>
      <c r="O153" s="16"/>
      <c r="P153" s="16"/>
      <c r="Q153" s="16"/>
      <c r="R153" s="5">
        <v>66957</v>
      </c>
      <c r="T153" s="5"/>
    </row>
    <row r="154" spans="1:27" ht="18" x14ac:dyDescent="0.35">
      <c r="A154" s="6"/>
      <c r="C154" s="13" t="s">
        <v>468</v>
      </c>
      <c r="D154" s="13" t="str">
        <f t="shared" si="8"/>
        <v xml:space="preserve">/fx'n </v>
      </c>
      <c r="E154" s="13" t="str">
        <f t="shared" si="10"/>
        <v>IfqL</v>
      </c>
      <c r="F154" s="21" t="s">
        <v>233</v>
      </c>
      <c r="G154" s="21" t="s">
        <v>756</v>
      </c>
      <c r="H154" s="21"/>
      <c r="I154" s="16"/>
      <c r="J154" s="16"/>
      <c r="K154" s="16"/>
      <c r="L154" s="16"/>
      <c r="M154" s="15">
        <f t="shared" si="9"/>
        <v>42.38356164383562</v>
      </c>
      <c r="N154" s="5">
        <v>51487</v>
      </c>
      <c r="O154" s="16"/>
      <c r="P154" s="16"/>
      <c r="Q154" s="16"/>
      <c r="R154" s="5">
        <v>66957</v>
      </c>
      <c r="T154" s="5"/>
    </row>
    <row r="155" spans="1:27" ht="18" x14ac:dyDescent="0.35">
      <c r="A155" s="6"/>
      <c r="C155" s="13" t="s">
        <v>469</v>
      </c>
      <c r="D155" s="13" t="str">
        <f t="shared" si="8"/>
        <v xml:space="preserve">b]asL </v>
      </c>
      <c r="E155" s="13" t="str">
        <f t="shared" si="10"/>
        <v>s]=;L</v>
      </c>
      <c r="F155" s="21" t="s">
        <v>234</v>
      </c>
      <c r="G155" s="21" t="s">
        <v>756</v>
      </c>
      <c r="H155" s="21"/>
      <c r="I155" s="16"/>
      <c r="J155" s="16"/>
      <c r="K155" s="16"/>
      <c r="L155" s="16"/>
      <c r="M155" s="15">
        <f t="shared" si="9"/>
        <v>42.158904109589038</v>
      </c>
      <c r="N155" s="5">
        <v>51569</v>
      </c>
      <c r="O155" s="16"/>
      <c r="P155" s="16"/>
      <c r="Q155" s="16"/>
      <c r="R155" s="5">
        <v>66957</v>
      </c>
      <c r="T155" s="5"/>
    </row>
    <row r="156" spans="1:27" ht="18" x14ac:dyDescent="0.35">
      <c r="A156" s="6">
        <v>41</v>
      </c>
      <c r="B156" t="s">
        <v>42</v>
      </c>
      <c r="C156" s="14" t="s">
        <v>470</v>
      </c>
      <c r="D156" s="13" t="str">
        <f t="shared" si="8"/>
        <v xml:space="preserve">k|1fg </v>
      </c>
      <c r="E156" s="13" t="str">
        <f t="shared" si="10"/>
        <v>sfsL{</v>
      </c>
      <c r="F156" s="21" t="s">
        <v>233</v>
      </c>
      <c r="G156" s="21" t="s">
        <v>756</v>
      </c>
      <c r="H156" s="21"/>
      <c r="I156" s="16">
        <v>0</v>
      </c>
      <c r="J156" s="16">
        <v>10</v>
      </c>
      <c r="K156" s="16">
        <v>0</v>
      </c>
      <c r="L156" s="16">
        <v>0</v>
      </c>
      <c r="M156" s="15">
        <f t="shared" si="9"/>
        <v>35.564383561643837</v>
      </c>
      <c r="N156" s="5">
        <v>53976</v>
      </c>
      <c r="O156" s="16"/>
      <c r="P156" s="16"/>
      <c r="Q156" s="16"/>
      <c r="R156" s="5">
        <v>66957</v>
      </c>
      <c r="T156" s="5">
        <v>65997</v>
      </c>
      <c r="U156" s="2" t="s">
        <v>100</v>
      </c>
      <c r="V156" s="2">
        <v>3</v>
      </c>
      <c r="W156" s="2">
        <v>1</v>
      </c>
      <c r="X156" s="2">
        <v>2</v>
      </c>
      <c r="Y156" t="s">
        <v>242</v>
      </c>
      <c r="Z156" t="s">
        <v>245</v>
      </c>
      <c r="AA156" t="s">
        <v>257</v>
      </c>
    </row>
    <row r="157" spans="1:27" ht="18" x14ac:dyDescent="0.35">
      <c r="A157" s="6"/>
      <c r="C157" s="14" t="s">
        <v>471</v>
      </c>
      <c r="D157" s="13" t="str">
        <f t="shared" si="8"/>
        <v xml:space="preserve">cg' </v>
      </c>
      <c r="E157" s="13" t="str">
        <f t="shared" si="10"/>
        <v>v8\sf</v>
      </c>
      <c r="F157" s="21" t="s">
        <v>234</v>
      </c>
      <c r="G157" s="21" t="s">
        <v>756</v>
      </c>
      <c r="H157" s="21"/>
      <c r="I157" s="16"/>
      <c r="J157" s="16"/>
      <c r="K157" s="16"/>
      <c r="L157" s="16"/>
      <c r="M157" s="15">
        <f t="shared" si="9"/>
        <v>27.663013698630138</v>
      </c>
      <c r="N157" s="5">
        <v>56860</v>
      </c>
      <c r="O157" s="16"/>
      <c r="P157" s="16"/>
      <c r="Q157" s="16"/>
      <c r="R157" s="5">
        <v>66957</v>
      </c>
      <c r="T157" s="5"/>
    </row>
    <row r="158" spans="1:27" ht="18" x14ac:dyDescent="0.35">
      <c r="A158" s="6"/>
      <c r="C158" s="14" t="s">
        <v>472</v>
      </c>
      <c r="D158" s="13" t="str">
        <f t="shared" si="8"/>
        <v xml:space="preserve">d]l/sf </v>
      </c>
      <c r="E158" s="13" t="str">
        <f t="shared" si="10"/>
        <v>sfsL{</v>
      </c>
      <c r="F158" s="21" t="s">
        <v>234</v>
      </c>
      <c r="G158" s="21" t="s">
        <v>757</v>
      </c>
      <c r="H158" s="21"/>
      <c r="I158" s="16"/>
      <c r="J158" s="16"/>
      <c r="K158" s="16"/>
      <c r="L158" s="16"/>
      <c r="M158" s="15">
        <f t="shared" si="9"/>
        <v>6.7095890410958905</v>
      </c>
      <c r="N158" s="5">
        <v>64508</v>
      </c>
      <c r="O158" s="16"/>
      <c r="P158" s="16"/>
      <c r="Q158" s="16"/>
      <c r="R158" s="5">
        <v>66957</v>
      </c>
      <c r="T158" s="5"/>
    </row>
    <row r="159" spans="1:27" ht="18" x14ac:dyDescent="0.35">
      <c r="A159" s="6">
        <v>42</v>
      </c>
      <c r="B159" t="s">
        <v>43</v>
      </c>
      <c r="C159" s="14" t="s">
        <v>739</v>
      </c>
      <c r="D159" s="13" t="str">
        <f t="shared" si="8"/>
        <v xml:space="preserve">&gt;LdtL </v>
      </c>
      <c r="E159" s="13" t="str">
        <f t="shared" si="10"/>
        <v>lh;L</v>
      </c>
      <c r="F159" s="21" t="s">
        <v>234</v>
      </c>
      <c r="G159" s="21" t="s">
        <v>756</v>
      </c>
      <c r="H159" s="21"/>
      <c r="I159" s="16" t="s">
        <v>748</v>
      </c>
      <c r="J159" s="16" t="s">
        <v>748</v>
      </c>
      <c r="K159" s="16" t="s">
        <v>748</v>
      </c>
      <c r="L159" s="16" t="s">
        <v>748</v>
      </c>
      <c r="M159" s="15">
        <f t="shared" si="9"/>
        <v>55.052054794520551</v>
      </c>
      <c r="N159" s="5">
        <v>46863</v>
      </c>
      <c r="O159" s="16"/>
      <c r="P159" s="16"/>
      <c r="Q159" s="16"/>
      <c r="R159" s="5">
        <v>66957</v>
      </c>
      <c r="T159" s="5">
        <v>65972</v>
      </c>
      <c r="U159" s="2" t="s">
        <v>2</v>
      </c>
      <c r="V159" s="2">
        <v>3</v>
      </c>
      <c r="W159" s="2">
        <v>2</v>
      </c>
      <c r="X159" s="2">
        <v>1</v>
      </c>
      <c r="Y159" t="s">
        <v>242</v>
      </c>
      <c r="Z159" t="s">
        <v>322</v>
      </c>
      <c r="AA159" t="s">
        <v>245</v>
      </c>
    </row>
    <row r="160" spans="1:27" ht="18" x14ac:dyDescent="0.35">
      <c r="A160" s="6"/>
      <c r="C160" s="14" t="s">
        <v>740</v>
      </c>
      <c r="D160" s="13" t="str">
        <f t="shared" si="8"/>
        <v xml:space="preserve">a'4L </v>
      </c>
      <c r="E160" s="13" t="str">
        <f t="shared" si="10"/>
        <v>lh;L</v>
      </c>
      <c r="F160" s="21" t="s">
        <v>233</v>
      </c>
      <c r="G160" s="21" t="s">
        <v>756</v>
      </c>
      <c r="H160" s="21"/>
      <c r="I160" s="16"/>
      <c r="J160" s="16"/>
      <c r="K160" s="16"/>
      <c r="L160" s="16"/>
      <c r="M160" s="15">
        <f t="shared" si="9"/>
        <v>60.556164383561644</v>
      </c>
      <c r="N160" s="5">
        <v>44854</v>
      </c>
      <c r="O160" s="16"/>
      <c r="P160" s="16"/>
      <c r="Q160" s="16"/>
      <c r="R160" s="5">
        <v>66957</v>
      </c>
      <c r="T160" s="5"/>
    </row>
    <row r="161" spans="1:27" ht="18" x14ac:dyDescent="0.35">
      <c r="A161" s="6"/>
      <c r="C161" s="14" t="s">
        <v>741</v>
      </c>
      <c r="D161" s="13" t="str">
        <f t="shared" si="8"/>
        <v xml:space="preserve">ldng </v>
      </c>
      <c r="E161" s="13" t="str">
        <f t="shared" si="10"/>
        <v>lh;L</v>
      </c>
      <c r="F161" s="21" t="s">
        <v>233</v>
      </c>
      <c r="G161" s="21" t="s">
        <v>756</v>
      </c>
      <c r="H161" s="21"/>
      <c r="I161" s="16"/>
      <c r="J161" s="16"/>
      <c r="K161" s="16"/>
      <c r="L161" s="16"/>
      <c r="M161" s="15">
        <f t="shared" si="9"/>
        <v>37.128767123287673</v>
      </c>
      <c r="N161" s="5">
        <v>53405</v>
      </c>
      <c r="O161" s="16"/>
      <c r="P161" s="16"/>
      <c r="Q161" s="16"/>
      <c r="R161" s="5">
        <v>66957</v>
      </c>
      <c r="T161" s="5"/>
    </row>
    <row r="162" spans="1:27" ht="18" x14ac:dyDescent="0.35">
      <c r="A162" s="6">
        <v>43</v>
      </c>
      <c r="B162" t="s">
        <v>44</v>
      </c>
      <c r="C162" s="14" t="s">
        <v>473</v>
      </c>
      <c r="D162" s="13" t="str">
        <f t="shared" si="8"/>
        <v xml:space="preserve">;+ho </v>
      </c>
      <c r="E162" s="13" t="str">
        <f t="shared" si="10"/>
        <v>nfdf</v>
      </c>
      <c r="F162" s="21" t="s">
        <v>233</v>
      </c>
      <c r="G162" s="21" t="s">
        <v>756</v>
      </c>
      <c r="H162" s="21"/>
      <c r="I162" s="16" t="s">
        <v>748</v>
      </c>
      <c r="J162" s="16" t="s">
        <v>748</v>
      </c>
      <c r="K162" s="16" t="s">
        <v>748</v>
      </c>
      <c r="L162" s="16" t="s">
        <v>748</v>
      </c>
      <c r="M162" s="15">
        <f t="shared" si="9"/>
        <v>52.079452054794523</v>
      </c>
      <c r="N162" s="5">
        <v>47948</v>
      </c>
      <c r="O162" s="16"/>
      <c r="P162" s="16"/>
      <c r="Q162" s="16"/>
      <c r="R162" s="5">
        <v>66957</v>
      </c>
      <c r="S162" t="s">
        <v>115</v>
      </c>
      <c r="T162" s="5">
        <v>65949</v>
      </c>
      <c r="U162" s="2" t="s">
        <v>2</v>
      </c>
      <c r="V162" s="2">
        <v>4</v>
      </c>
      <c r="W162" s="2">
        <v>2</v>
      </c>
      <c r="X162" s="2">
        <v>2</v>
      </c>
      <c r="Y162" t="s">
        <v>242</v>
      </c>
      <c r="Z162" t="s">
        <v>313</v>
      </c>
      <c r="AA162" t="s">
        <v>245</v>
      </c>
    </row>
    <row r="163" spans="1:27" ht="18" x14ac:dyDescent="0.35">
      <c r="A163" s="6"/>
      <c r="C163" s="14" t="s">
        <v>474</v>
      </c>
      <c r="D163" s="13" t="str">
        <f t="shared" si="8"/>
        <v xml:space="preserve">;l/tf </v>
      </c>
      <c r="E163" s="13" t="str">
        <f t="shared" si="10"/>
        <v>nfdf</v>
      </c>
      <c r="F163" s="21" t="s">
        <v>234</v>
      </c>
      <c r="G163" s="21" t="s">
        <v>756</v>
      </c>
      <c r="H163" s="21"/>
      <c r="I163" s="16"/>
      <c r="J163" s="16"/>
      <c r="K163" s="16"/>
      <c r="L163" s="16"/>
      <c r="M163" s="15">
        <f t="shared" si="9"/>
        <v>35.594520547945208</v>
      </c>
      <c r="N163" s="5">
        <v>53965</v>
      </c>
      <c r="O163" s="16"/>
      <c r="P163" s="16"/>
      <c r="Q163" s="16"/>
      <c r="R163" s="5">
        <v>66957</v>
      </c>
      <c r="T163" s="5"/>
    </row>
    <row r="164" spans="1:27" ht="18" x14ac:dyDescent="0.35">
      <c r="A164" s="6"/>
      <c r="C164" s="14" t="s">
        <v>475</v>
      </c>
      <c r="D164" s="13" t="str">
        <f t="shared" si="8"/>
        <v xml:space="preserve">;f]gn </v>
      </c>
      <c r="E164" s="13" t="str">
        <f t="shared" si="10"/>
        <v>nfdf</v>
      </c>
      <c r="F164" s="21" t="s">
        <v>234</v>
      </c>
      <c r="G164" s="21" t="s">
        <v>757</v>
      </c>
      <c r="H164" s="21"/>
      <c r="I164" s="16"/>
      <c r="J164" s="16"/>
      <c r="K164" s="16"/>
      <c r="L164" s="16"/>
      <c r="M164" s="15">
        <f t="shared" si="9"/>
        <v>14.854794520547944</v>
      </c>
      <c r="N164" s="5">
        <v>61535</v>
      </c>
      <c r="O164" s="16"/>
      <c r="P164" s="16"/>
      <c r="Q164" s="16"/>
      <c r="R164" s="5">
        <v>66957</v>
      </c>
      <c r="T164" s="5"/>
    </row>
    <row r="165" spans="1:27" ht="18" x14ac:dyDescent="0.35">
      <c r="A165" s="6"/>
      <c r="C165" s="14" t="s">
        <v>476</v>
      </c>
      <c r="D165" s="13" t="str">
        <f t="shared" si="8"/>
        <v xml:space="preserve">;fof]g </v>
      </c>
      <c r="E165" s="13" t="str">
        <f t="shared" si="10"/>
        <v>nfdf</v>
      </c>
      <c r="F165" s="21" t="s">
        <v>233</v>
      </c>
      <c r="G165" s="21" t="s">
        <v>757</v>
      </c>
      <c r="H165" s="21"/>
      <c r="I165" s="16"/>
      <c r="J165" s="16"/>
      <c r="K165" s="16"/>
      <c r="L165" s="16"/>
      <c r="M165" s="15">
        <f t="shared" si="9"/>
        <v>10.413698630136986</v>
      </c>
      <c r="N165" s="5">
        <v>63156</v>
      </c>
      <c r="O165" s="16"/>
      <c r="P165" s="16"/>
      <c r="Q165" s="16"/>
      <c r="R165" s="5">
        <v>66957</v>
      </c>
      <c r="T165" s="5"/>
    </row>
    <row r="166" spans="1:27" ht="18" x14ac:dyDescent="0.35">
      <c r="A166" s="6">
        <v>44</v>
      </c>
      <c r="B166" t="s">
        <v>45</v>
      </c>
      <c r="C166" s="14" t="s">
        <v>622</v>
      </c>
      <c r="D166" s="13" t="str">
        <f t="shared" si="8"/>
        <v xml:space="preserve">clgtf </v>
      </c>
      <c r="E166" s="13" t="str">
        <f t="shared" si="10"/>
        <v>tfdfª</v>
      </c>
      <c r="F166" s="21" t="s">
        <v>234</v>
      </c>
      <c r="G166" s="21" t="s">
        <v>756</v>
      </c>
      <c r="H166" s="21"/>
      <c r="I166" s="16">
        <v>0</v>
      </c>
      <c r="J166" s="16">
        <v>5</v>
      </c>
      <c r="K166" s="16">
        <v>1</v>
      </c>
      <c r="L166" s="16">
        <v>2</v>
      </c>
      <c r="M166" s="15">
        <f t="shared" si="9"/>
        <v>52.339726027397262</v>
      </c>
      <c r="N166" s="5">
        <v>47853</v>
      </c>
      <c r="O166" s="16"/>
      <c r="P166" s="16"/>
      <c r="Q166" s="16"/>
      <c r="R166" s="5">
        <v>66957</v>
      </c>
      <c r="S166" t="s">
        <v>114</v>
      </c>
      <c r="T166" s="5">
        <v>65877</v>
      </c>
      <c r="U166" s="2" t="s">
        <v>100</v>
      </c>
      <c r="V166" s="2">
        <v>4</v>
      </c>
      <c r="W166" s="2">
        <v>3</v>
      </c>
      <c r="X166" s="2">
        <v>1</v>
      </c>
      <c r="Y166" t="s">
        <v>242</v>
      </c>
      <c r="Z166" t="s">
        <v>249</v>
      </c>
      <c r="AA166" t="s">
        <v>248</v>
      </c>
    </row>
    <row r="167" spans="1:27" ht="18" x14ac:dyDescent="0.35">
      <c r="A167" s="6"/>
      <c r="C167" s="14" t="s">
        <v>623</v>
      </c>
      <c r="D167" s="13" t="str">
        <f t="shared" si="8"/>
        <v xml:space="preserve">k]Daf </v>
      </c>
      <c r="E167" s="13" t="str">
        <f t="shared" si="10"/>
        <v>tfdfª</v>
      </c>
      <c r="F167" s="21" t="s">
        <v>233</v>
      </c>
      <c r="G167" s="21" t="s">
        <v>756</v>
      </c>
      <c r="H167" s="21"/>
      <c r="I167" s="16"/>
      <c r="J167" s="16"/>
      <c r="K167" s="16"/>
      <c r="L167" s="16"/>
      <c r="M167" s="15">
        <f t="shared" si="9"/>
        <v>59.197260273972603</v>
      </c>
      <c r="N167" s="5">
        <v>45350</v>
      </c>
      <c r="O167" s="16"/>
      <c r="P167" s="16"/>
      <c r="Q167" s="16"/>
      <c r="R167" s="5">
        <v>66957</v>
      </c>
      <c r="T167" s="5"/>
    </row>
    <row r="168" spans="1:27" ht="18" x14ac:dyDescent="0.35">
      <c r="A168" s="6"/>
      <c r="C168" s="14" t="s">
        <v>624</v>
      </c>
      <c r="D168" s="13" t="str">
        <f t="shared" si="8"/>
        <v xml:space="preserve">las|d </v>
      </c>
      <c r="E168" s="13" t="str">
        <f t="shared" si="10"/>
        <v>tfdfª</v>
      </c>
      <c r="F168" s="21" t="s">
        <v>233</v>
      </c>
      <c r="G168" s="21" t="s">
        <v>757</v>
      </c>
      <c r="H168" s="21"/>
      <c r="I168" s="16"/>
      <c r="J168" s="16"/>
      <c r="K168" s="16"/>
      <c r="L168" s="16"/>
      <c r="M168" s="15">
        <f t="shared" si="9"/>
        <v>33.172602739726024</v>
      </c>
      <c r="N168" s="5">
        <v>54849</v>
      </c>
      <c r="O168" s="16"/>
      <c r="P168" s="16"/>
      <c r="Q168" s="16"/>
      <c r="R168" s="5">
        <v>66957</v>
      </c>
      <c r="T168" s="5"/>
    </row>
    <row r="169" spans="1:27" ht="18" x14ac:dyDescent="0.35">
      <c r="A169" s="6"/>
      <c r="C169" s="14" t="s">
        <v>727</v>
      </c>
      <c r="D169" s="13" t="str">
        <f t="shared" si="8"/>
        <v xml:space="preserve">;+lhj </v>
      </c>
      <c r="E169" s="13" t="str">
        <f t="shared" si="10"/>
        <v>tfdfª</v>
      </c>
      <c r="F169" s="21" t="s">
        <v>233</v>
      </c>
      <c r="G169" s="21" t="s">
        <v>757</v>
      </c>
      <c r="H169" s="21"/>
      <c r="I169" s="16"/>
      <c r="J169" s="16"/>
      <c r="K169" s="16"/>
      <c r="L169" s="16"/>
      <c r="M169" s="15">
        <f t="shared" si="9"/>
        <v>30.980821917808218</v>
      </c>
      <c r="N169" s="5">
        <v>55649</v>
      </c>
      <c r="O169" s="16"/>
      <c r="P169" s="16"/>
      <c r="Q169" s="16"/>
      <c r="R169" s="5">
        <v>66957</v>
      </c>
      <c r="T169" s="5"/>
    </row>
    <row r="170" spans="1:27" ht="18" x14ac:dyDescent="0.35">
      <c r="A170" s="6">
        <v>45</v>
      </c>
      <c r="B170" t="s">
        <v>46</v>
      </c>
      <c r="C170" s="13" t="s">
        <v>687</v>
      </c>
      <c r="D170" s="13" t="str">
        <f t="shared" si="8"/>
        <v xml:space="preserve">/Tg </v>
      </c>
      <c r="E170" s="13" t="str">
        <f t="shared" si="10"/>
        <v>&gt;]i7</v>
      </c>
      <c r="F170" s="21" t="s">
        <v>234</v>
      </c>
      <c r="G170" s="21" t="s">
        <v>756</v>
      </c>
      <c r="H170" s="21"/>
      <c r="I170" s="16">
        <v>0</v>
      </c>
      <c r="J170" s="16">
        <v>4</v>
      </c>
      <c r="K170" s="16">
        <v>0</v>
      </c>
      <c r="L170" s="16">
        <v>0</v>
      </c>
      <c r="M170" s="15">
        <f t="shared" si="9"/>
        <v>57.30958904109589</v>
      </c>
      <c r="N170" s="5">
        <v>46039</v>
      </c>
      <c r="P170" s="16"/>
      <c r="Q170" s="16"/>
      <c r="R170" s="5">
        <v>66957</v>
      </c>
      <c r="S170" t="s">
        <v>113</v>
      </c>
      <c r="T170" s="5">
        <v>65858</v>
      </c>
      <c r="U170" s="2" t="s">
        <v>2</v>
      </c>
      <c r="V170" s="2">
        <v>5</v>
      </c>
      <c r="W170" s="2">
        <v>2</v>
      </c>
      <c r="X170" s="2">
        <v>3</v>
      </c>
      <c r="Y170" t="s">
        <v>242</v>
      </c>
      <c r="Z170" t="s">
        <v>308</v>
      </c>
      <c r="AA170" t="s">
        <v>245</v>
      </c>
    </row>
    <row r="171" spans="1:27" ht="18" x14ac:dyDescent="0.35">
      <c r="A171" s="6"/>
      <c r="C171" s="13" t="s">
        <v>728</v>
      </c>
      <c r="D171" s="13" t="str">
        <f t="shared" si="8"/>
        <v xml:space="preserve">led </v>
      </c>
      <c r="E171" s="13" t="str">
        <f t="shared" si="10"/>
        <v>&gt;]i7</v>
      </c>
      <c r="F171" s="21" t="s">
        <v>233</v>
      </c>
      <c r="G171" s="21" t="s">
        <v>756</v>
      </c>
      <c r="H171" s="21"/>
      <c r="I171" s="16"/>
      <c r="J171" s="16"/>
      <c r="K171" s="16"/>
      <c r="L171" s="16"/>
      <c r="M171" s="15">
        <f t="shared" si="9"/>
        <v>36.136986301369866</v>
      </c>
      <c r="N171" s="5">
        <v>53767</v>
      </c>
      <c r="O171" s="16"/>
      <c r="P171" s="16"/>
      <c r="Q171" s="16"/>
      <c r="R171" s="5">
        <v>66957</v>
      </c>
      <c r="T171" s="5"/>
    </row>
    <row r="172" spans="1:27" ht="18" x14ac:dyDescent="0.35">
      <c r="A172" s="6"/>
      <c r="C172" s="13" t="s">
        <v>729</v>
      </c>
      <c r="D172" s="13" t="str">
        <f t="shared" si="8"/>
        <v xml:space="preserve">ladnf </v>
      </c>
      <c r="E172" s="13" t="str">
        <f t="shared" si="10"/>
        <v>&gt;]i7</v>
      </c>
      <c r="F172" s="21" t="s">
        <v>234</v>
      </c>
      <c r="G172" s="21" t="s">
        <v>756</v>
      </c>
      <c r="H172" s="21"/>
      <c r="I172" s="16"/>
      <c r="J172" s="16"/>
      <c r="K172" s="16"/>
      <c r="L172" s="16"/>
      <c r="M172" s="15">
        <f t="shared" si="9"/>
        <v>34.665753424657531</v>
      </c>
      <c r="N172" s="5">
        <v>54304</v>
      </c>
      <c r="O172" s="16"/>
      <c r="P172" s="16"/>
      <c r="Q172" s="16"/>
      <c r="R172" s="5">
        <v>66957</v>
      </c>
      <c r="T172" s="5"/>
    </row>
    <row r="173" spans="1:27" ht="18" x14ac:dyDescent="0.35">
      <c r="A173" s="6"/>
      <c r="C173" s="13" t="s">
        <v>730</v>
      </c>
      <c r="D173" s="13" t="str">
        <f t="shared" si="8"/>
        <v xml:space="preserve">cle </v>
      </c>
      <c r="E173" s="13" t="str">
        <f t="shared" si="10"/>
        <v>&gt;]i7</v>
      </c>
      <c r="F173" s="21" t="s">
        <v>233</v>
      </c>
      <c r="G173" s="21" t="s">
        <v>757</v>
      </c>
      <c r="H173" s="21"/>
      <c r="I173" s="16"/>
      <c r="J173" s="16"/>
      <c r="K173" s="16"/>
      <c r="L173" s="16"/>
      <c r="M173" s="15">
        <f t="shared" si="9"/>
        <v>7.7479452054794518</v>
      </c>
      <c r="N173" s="5">
        <v>64129</v>
      </c>
      <c r="O173" s="16"/>
      <c r="P173" s="16"/>
      <c r="Q173" s="16"/>
      <c r="R173" s="5">
        <v>66957</v>
      </c>
      <c r="T173" s="5"/>
    </row>
    <row r="174" spans="1:27" ht="18" x14ac:dyDescent="0.35">
      <c r="A174" s="6"/>
      <c r="C174" s="13" t="s">
        <v>731</v>
      </c>
      <c r="D174" s="13" t="str">
        <f t="shared" si="8"/>
        <v xml:space="preserve">cfef </v>
      </c>
      <c r="E174" s="13" t="str">
        <f t="shared" si="10"/>
        <v>&gt;]i7</v>
      </c>
      <c r="F174" s="21" t="s">
        <v>234</v>
      </c>
      <c r="G174" s="21" t="s">
        <v>757</v>
      </c>
      <c r="H174" s="21"/>
      <c r="I174" s="16"/>
      <c r="J174" s="16"/>
      <c r="K174" s="16"/>
      <c r="L174" s="16"/>
      <c r="M174" s="15">
        <f t="shared" si="9"/>
        <v>3.7863013698630139</v>
      </c>
      <c r="N174" s="5">
        <v>65575</v>
      </c>
      <c r="O174" s="16"/>
      <c r="P174" s="16"/>
      <c r="Q174" s="16"/>
      <c r="R174" s="5">
        <v>66957</v>
      </c>
      <c r="T174" s="5"/>
    </row>
    <row r="175" spans="1:27" ht="18" x14ac:dyDescent="0.35">
      <c r="A175" s="6">
        <v>46</v>
      </c>
      <c r="B175" t="s">
        <v>47</v>
      </c>
      <c r="C175" s="13" t="s">
        <v>477</v>
      </c>
      <c r="D175" s="13" t="str">
        <f t="shared" si="8"/>
        <v xml:space="preserve">u0f]z </v>
      </c>
      <c r="E175" s="13" t="str">
        <f t="shared" si="10"/>
        <v>&gt;]i7</v>
      </c>
      <c r="F175" s="21" t="s">
        <v>233</v>
      </c>
      <c r="G175" s="21" t="s">
        <v>756</v>
      </c>
      <c r="H175" s="21"/>
      <c r="I175" s="16">
        <v>0</v>
      </c>
      <c r="J175" s="16">
        <v>3</v>
      </c>
      <c r="K175" s="16">
        <v>1</v>
      </c>
      <c r="L175" s="16">
        <v>0</v>
      </c>
      <c r="M175" s="15">
        <f t="shared" si="9"/>
        <v>48.841095890410962</v>
      </c>
      <c r="N175" s="5">
        <v>49130</v>
      </c>
      <c r="O175" s="16"/>
      <c r="P175" s="16"/>
      <c r="Q175" s="16"/>
      <c r="R175" s="5">
        <v>66957</v>
      </c>
      <c r="S175" t="s">
        <v>112</v>
      </c>
      <c r="T175" s="5">
        <v>65840</v>
      </c>
      <c r="U175" s="2" t="s">
        <v>2</v>
      </c>
      <c r="V175" s="2">
        <v>4</v>
      </c>
      <c r="W175" s="2">
        <v>3</v>
      </c>
      <c r="X175" s="2">
        <v>1</v>
      </c>
      <c r="Y175" t="s">
        <v>242</v>
      </c>
      <c r="Z175" t="s">
        <v>268</v>
      </c>
      <c r="AA175" t="s">
        <v>245</v>
      </c>
    </row>
    <row r="176" spans="1:27" ht="18" x14ac:dyDescent="0.35">
      <c r="A176" s="6"/>
      <c r="C176" s="13" t="s">
        <v>478</v>
      </c>
      <c r="D176" s="13" t="str">
        <f t="shared" si="8"/>
        <v xml:space="preserve">/fh </v>
      </c>
      <c r="E176" s="13" t="str">
        <f t="shared" si="10"/>
        <v>&gt;]i7</v>
      </c>
      <c r="F176" s="21" t="s">
        <v>233</v>
      </c>
      <c r="G176" s="21" t="s">
        <v>757</v>
      </c>
      <c r="H176" s="21"/>
      <c r="I176" s="16"/>
      <c r="J176" s="16"/>
      <c r="K176" s="16"/>
      <c r="L176" s="16"/>
      <c r="M176" s="15">
        <f t="shared" si="9"/>
        <v>20.12054794520548</v>
      </c>
      <c r="N176" s="5">
        <v>59613</v>
      </c>
      <c r="O176" s="16"/>
      <c r="P176" s="16"/>
      <c r="Q176" s="16"/>
      <c r="R176" s="5">
        <v>66957</v>
      </c>
      <c r="T176" s="5"/>
    </row>
    <row r="177" spans="1:27" ht="18" x14ac:dyDescent="0.35">
      <c r="A177" s="6"/>
      <c r="C177" s="13" t="s">
        <v>479</v>
      </c>
      <c r="D177" s="13" t="str">
        <f t="shared" si="8"/>
        <v xml:space="preserve">lbn </v>
      </c>
      <c r="E177" s="13" t="str">
        <f t="shared" si="10"/>
        <v>&gt;]i7</v>
      </c>
      <c r="F177" s="21" t="s">
        <v>234</v>
      </c>
      <c r="G177" s="21" t="s">
        <v>756</v>
      </c>
      <c r="H177" s="21"/>
      <c r="I177" s="16"/>
      <c r="J177" s="16"/>
      <c r="K177" s="16"/>
      <c r="L177" s="16"/>
      <c r="M177" s="15">
        <f t="shared" si="9"/>
        <v>51.076712328767123</v>
      </c>
      <c r="N177" s="5">
        <v>48314</v>
      </c>
      <c r="O177" s="16"/>
      <c r="P177" s="16"/>
      <c r="Q177" s="16"/>
      <c r="R177" s="5">
        <v>66957</v>
      </c>
      <c r="T177" s="5"/>
    </row>
    <row r="178" spans="1:27" ht="18" x14ac:dyDescent="0.35">
      <c r="A178" s="6"/>
      <c r="C178" s="13" t="s">
        <v>480</v>
      </c>
      <c r="D178" s="13" t="str">
        <f t="shared" si="8"/>
        <v xml:space="preserve">;Gtf]if </v>
      </c>
      <c r="E178" s="13" t="str">
        <f t="shared" si="10"/>
        <v>&gt;]i7</v>
      </c>
      <c r="F178" s="21" t="s">
        <v>233</v>
      </c>
      <c r="G178" s="21" t="s">
        <v>757</v>
      </c>
      <c r="H178" s="21"/>
      <c r="I178" s="16"/>
      <c r="J178" s="16"/>
      <c r="K178" s="16"/>
      <c r="L178" s="16"/>
      <c r="M178" s="15">
        <f t="shared" si="9"/>
        <v>21.520547945205479</v>
      </c>
      <c r="N178" s="5">
        <v>59102</v>
      </c>
      <c r="O178" s="16"/>
      <c r="P178" s="16"/>
      <c r="Q178" s="16"/>
      <c r="R178" s="5">
        <v>66957</v>
      </c>
      <c r="T178" s="5"/>
    </row>
    <row r="179" spans="1:27" ht="18" x14ac:dyDescent="0.35">
      <c r="A179" s="6">
        <v>47</v>
      </c>
      <c r="B179" t="s">
        <v>48</v>
      </c>
      <c r="C179" s="13" t="s">
        <v>481</v>
      </c>
      <c r="D179" s="13" t="str">
        <f t="shared" si="8"/>
        <v xml:space="preserve">lg? </v>
      </c>
      <c r="E179" s="13" t="str">
        <f t="shared" si="10"/>
        <v>la=s</v>
      </c>
      <c r="F179" s="21" t="s">
        <v>234</v>
      </c>
      <c r="G179" s="21" t="s">
        <v>756</v>
      </c>
      <c r="H179" s="21"/>
      <c r="I179" s="16" t="s">
        <v>748</v>
      </c>
      <c r="J179" s="16" t="s">
        <v>748</v>
      </c>
      <c r="K179" s="16" t="s">
        <v>748</v>
      </c>
      <c r="L179" s="16" t="s">
        <v>748</v>
      </c>
      <c r="M179" s="15">
        <f t="shared" si="9"/>
        <v>44.482191780821921</v>
      </c>
      <c r="N179" s="5">
        <v>50721</v>
      </c>
      <c r="O179" s="16"/>
      <c r="P179" s="16"/>
      <c r="Q179" s="16"/>
      <c r="R179" s="5">
        <v>66957</v>
      </c>
      <c r="S179" t="s">
        <v>111</v>
      </c>
      <c r="T179" s="5">
        <v>65826</v>
      </c>
      <c r="U179" s="2" t="s">
        <v>100</v>
      </c>
      <c r="V179" s="2">
        <v>3</v>
      </c>
      <c r="W179" s="2">
        <v>2</v>
      </c>
      <c r="X179" s="2">
        <v>1</v>
      </c>
      <c r="Y179" t="s">
        <v>242</v>
      </c>
      <c r="Z179" t="s">
        <v>245</v>
      </c>
      <c r="AA179" t="s">
        <v>298</v>
      </c>
    </row>
    <row r="180" spans="1:27" ht="18" x14ac:dyDescent="0.35">
      <c r="A180" s="6"/>
      <c r="C180" s="13" t="s">
        <v>482</v>
      </c>
      <c r="D180" s="13" t="str">
        <f t="shared" si="8"/>
        <v xml:space="preserve">6]s </v>
      </c>
      <c r="E180" s="13" t="str">
        <f t="shared" si="10"/>
        <v>ljZjsdf{</v>
      </c>
      <c r="F180" s="21" t="s">
        <v>233</v>
      </c>
      <c r="G180" s="21" t="s">
        <v>756</v>
      </c>
      <c r="H180" s="21"/>
      <c r="I180" s="16"/>
      <c r="J180" s="16"/>
      <c r="K180" s="16"/>
      <c r="L180" s="16"/>
      <c r="M180" s="15">
        <f t="shared" si="9"/>
        <v>45.56712328767123</v>
      </c>
      <c r="N180" s="5">
        <v>50325</v>
      </c>
      <c r="O180" s="16"/>
      <c r="P180" s="16"/>
      <c r="Q180" s="16"/>
      <c r="R180" s="5">
        <v>66957</v>
      </c>
      <c r="T180" s="5"/>
    </row>
    <row r="181" spans="1:27" ht="18" x14ac:dyDescent="0.35">
      <c r="A181" s="6"/>
      <c r="C181" s="13" t="s">
        <v>483</v>
      </c>
      <c r="D181" s="13" t="str">
        <f t="shared" si="8"/>
        <v xml:space="preserve">lgzfg </v>
      </c>
      <c r="E181" s="13" t="str">
        <f t="shared" si="10"/>
        <v>uxt/fh</v>
      </c>
      <c r="F181" s="21" t="s">
        <v>233</v>
      </c>
      <c r="G181" s="21" t="s">
        <v>757</v>
      </c>
      <c r="H181" s="21"/>
      <c r="I181" s="16"/>
      <c r="J181" s="16"/>
      <c r="K181" s="16"/>
      <c r="L181" s="16"/>
      <c r="M181" s="15">
        <f t="shared" si="9"/>
        <v>21.717808219178082</v>
      </c>
      <c r="N181" s="5">
        <v>59030</v>
      </c>
      <c r="O181" s="16"/>
      <c r="P181" s="16"/>
      <c r="Q181" s="16"/>
      <c r="R181" s="5">
        <v>66957</v>
      </c>
      <c r="T181" s="5"/>
    </row>
    <row r="182" spans="1:27" ht="18" x14ac:dyDescent="0.35">
      <c r="A182" s="6">
        <v>48</v>
      </c>
      <c r="B182" t="s">
        <v>49</v>
      </c>
      <c r="C182" s="13" t="s">
        <v>484</v>
      </c>
      <c r="D182" s="13" t="str">
        <f t="shared" si="8"/>
        <v xml:space="preserve">zf]ef </v>
      </c>
      <c r="E182" s="13" t="str">
        <f t="shared" si="10"/>
        <v>vqL</v>
      </c>
      <c r="F182" s="21" t="s">
        <v>234</v>
      </c>
      <c r="G182" s="21" t="s">
        <v>756</v>
      </c>
      <c r="H182" s="21"/>
      <c r="I182" s="16" t="s">
        <v>748</v>
      </c>
      <c r="J182" s="16" t="s">
        <v>748</v>
      </c>
      <c r="K182" s="16" t="s">
        <v>748</v>
      </c>
      <c r="L182" s="16" t="s">
        <v>748</v>
      </c>
      <c r="M182" s="15">
        <f t="shared" si="9"/>
        <v>47.624657534246573</v>
      </c>
      <c r="N182" s="5">
        <v>49574</v>
      </c>
      <c r="O182" s="16"/>
      <c r="P182" s="16"/>
      <c r="Q182" s="16"/>
      <c r="R182" s="5">
        <v>66957</v>
      </c>
      <c r="S182" t="s">
        <v>110</v>
      </c>
      <c r="T182" s="5">
        <v>65825</v>
      </c>
      <c r="U182" s="2" t="s">
        <v>2</v>
      </c>
      <c r="V182" s="2">
        <v>4</v>
      </c>
      <c r="W182" s="2">
        <v>3</v>
      </c>
      <c r="X182" s="2">
        <v>1</v>
      </c>
      <c r="Y182" t="s">
        <v>242</v>
      </c>
      <c r="Z182" t="s">
        <v>317</v>
      </c>
      <c r="AA182" t="s">
        <v>245</v>
      </c>
    </row>
    <row r="183" spans="1:27" ht="18" x14ac:dyDescent="0.35">
      <c r="A183" s="6"/>
      <c r="C183" s="13" t="s">
        <v>485</v>
      </c>
      <c r="D183" s="13" t="str">
        <f t="shared" si="8"/>
        <v xml:space="preserve">dg </v>
      </c>
      <c r="E183" s="13" t="str">
        <f t="shared" si="10"/>
        <v>vqL</v>
      </c>
      <c r="F183" s="21" t="s">
        <v>233</v>
      </c>
      <c r="G183" s="21" t="s">
        <v>756</v>
      </c>
      <c r="H183" s="21"/>
      <c r="I183" s="16"/>
      <c r="J183" s="16"/>
      <c r="K183" s="16"/>
      <c r="L183" s="16"/>
      <c r="M183" s="15">
        <f t="shared" si="9"/>
        <v>52.397260273972606</v>
      </c>
      <c r="N183" s="5">
        <v>47832</v>
      </c>
      <c r="O183" s="16"/>
      <c r="P183" s="16"/>
      <c r="Q183" s="16"/>
      <c r="R183" s="5">
        <v>66957</v>
      </c>
      <c r="T183" s="5"/>
    </row>
    <row r="184" spans="1:27" ht="18" x14ac:dyDescent="0.35">
      <c r="A184" s="6"/>
      <c r="C184" s="13" t="s">
        <v>486</v>
      </c>
      <c r="D184" s="13" t="str">
        <f t="shared" si="8"/>
        <v xml:space="preserve">l8s </v>
      </c>
      <c r="E184" s="13" t="str">
        <f t="shared" si="10"/>
        <v>vqL</v>
      </c>
      <c r="F184" s="21" t="s">
        <v>233</v>
      </c>
      <c r="G184" s="21" t="s">
        <v>757</v>
      </c>
      <c r="H184" s="21"/>
      <c r="I184" s="16"/>
      <c r="J184" s="16"/>
      <c r="K184" s="16"/>
      <c r="L184" s="16"/>
      <c r="M184" s="15">
        <f t="shared" si="9"/>
        <v>27.742465753424657</v>
      </c>
      <c r="N184" s="5">
        <v>56831</v>
      </c>
      <c r="O184" s="16"/>
      <c r="P184" s="16"/>
      <c r="Q184" s="16"/>
      <c r="R184" s="5">
        <v>66957</v>
      </c>
      <c r="T184" s="5"/>
    </row>
    <row r="185" spans="1:27" ht="18" x14ac:dyDescent="0.35">
      <c r="A185" s="6"/>
      <c r="C185" s="13" t="s">
        <v>487</v>
      </c>
      <c r="D185" s="13" t="str">
        <f t="shared" si="8"/>
        <v xml:space="preserve">ljzfn </v>
      </c>
      <c r="E185" s="13" t="str">
        <f t="shared" si="10"/>
        <v>vqL</v>
      </c>
      <c r="F185" s="21" t="s">
        <v>233</v>
      </c>
      <c r="G185" s="21" t="s">
        <v>757</v>
      </c>
      <c r="H185" s="21"/>
      <c r="I185" s="16"/>
      <c r="J185" s="16"/>
      <c r="K185" s="16"/>
      <c r="L185" s="16"/>
      <c r="M185" s="15">
        <f t="shared" si="9"/>
        <v>23.55890410958904</v>
      </c>
      <c r="N185" s="5">
        <v>58358</v>
      </c>
      <c r="O185" s="16"/>
      <c r="P185" s="16"/>
      <c r="Q185" s="16"/>
      <c r="R185" s="5">
        <v>66957</v>
      </c>
      <c r="T185" s="5"/>
    </row>
    <row r="186" spans="1:27" ht="18" x14ac:dyDescent="0.35">
      <c r="A186" s="6">
        <v>49</v>
      </c>
      <c r="B186" t="s">
        <v>50</v>
      </c>
      <c r="C186" s="13" t="s">
        <v>488</v>
      </c>
      <c r="D186" s="13" t="str">
        <f t="shared" si="8"/>
        <v xml:space="preserve">clgn </v>
      </c>
      <c r="E186" s="13" t="str">
        <f t="shared" si="10"/>
        <v>l;njfn</v>
      </c>
      <c r="F186" s="21" t="s">
        <v>233</v>
      </c>
      <c r="G186" s="21" t="s">
        <v>756</v>
      </c>
      <c r="H186" s="21"/>
      <c r="I186" s="16" t="s">
        <v>748</v>
      </c>
      <c r="J186" s="16" t="s">
        <v>748</v>
      </c>
      <c r="K186" s="16" t="s">
        <v>748</v>
      </c>
      <c r="L186" s="16" t="s">
        <v>748</v>
      </c>
      <c r="M186" s="15">
        <f t="shared" si="9"/>
        <v>37.728767123287675</v>
      </c>
      <c r="N186" s="5">
        <v>53186</v>
      </c>
      <c r="O186" s="16"/>
      <c r="P186" s="16"/>
      <c r="Q186" s="16"/>
      <c r="R186" s="5">
        <v>66957</v>
      </c>
      <c r="S186" t="s">
        <v>109</v>
      </c>
      <c r="T186" s="5">
        <v>65800</v>
      </c>
      <c r="U186" s="2" t="s">
        <v>100</v>
      </c>
      <c r="V186" s="2">
        <v>3</v>
      </c>
      <c r="W186" s="2">
        <v>2</v>
      </c>
      <c r="X186" s="2">
        <v>1</v>
      </c>
      <c r="Y186" t="s">
        <v>242</v>
      </c>
      <c r="Z186" t="s">
        <v>245</v>
      </c>
      <c r="AA186" t="s">
        <v>244</v>
      </c>
    </row>
    <row r="187" spans="1:27" ht="18" x14ac:dyDescent="0.35">
      <c r="A187" s="6"/>
      <c r="C187" s="13" t="s">
        <v>489</v>
      </c>
      <c r="D187" s="13" t="str">
        <f t="shared" si="8"/>
        <v xml:space="preserve">;lgtf </v>
      </c>
      <c r="E187" s="13" t="str">
        <f t="shared" si="10"/>
        <v>;fksf]6f</v>
      </c>
      <c r="F187" s="21" t="s">
        <v>234</v>
      </c>
      <c r="G187" s="21" t="s">
        <v>756</v>
      </c>
      <c r="H187" s="21"/>
      <c r="I187" s="16"/>
      <c r="J187" s="16"/>
      <c r="K187" s="16"/>
      <c r="L187" s="16"/>
      <c r="M187" s="15">
        <f t="shared" si="9"/>
        <v>38.156164383561645</v>
      </c>
      <c r="N187" s="5">
        <v>53030</v>
      </c>
      <c r="O187" s="16"/>
      <c r="P187" s="16"/>
      <c r="Q187" s="16"/>
      <c r="R187" s="5">
        <v>66957</v>
      </c>
      <c r="T187" s="5"/>
    </row>
    <row r="188" spans="1:27" ht="18" x14ac:dyDescent="0.35">
      <c r="A188" s="6"/>
      <c r="C188" s="13" t="s">
        <v>490</v>
      </c>
      <c r="D188" s="13" t="str">
        <f t="shared" si="8"/>
        <v xml:space="preserve">;'lk|d </v>
      </c>
      <c r="E188" s="13" t="str">
        <f t="shared" si="10"/>
        <v>l;njfn</v>
      </c>
      <c r="F188" s="21" t="s">
        <v>233</v>
      </c>
      <c r="G188" s="21" t="s">
        <v>757</v>
      </c>
      <c r="H188" s="21"/>
      <c r="I188" s="16"/>
      <c r="J188" s="16"/>
      <c r="K188" s="16"/>
      <c r="L188" s="16"/>
      <c r="M188" s="15">
        <f t="shared" si="9"/>
        <v>31.857534246575341</v>
      </c>
      <c r="N188" s="5">
        <v>55329</v>
      </c>
      <c r="O188" s="16"/>
      <c r="P188" s="16"/>
      <c r="Q188" s="16"/>
      <c r="R188" s="5">
        <v>66957</v>
      </c>
      <c r="T188" s="5"/>
    </row>
    <row r="189" spans="1:27" ht="18" x14ac:dyDescent="0.35">
      <c r="A189" s="6">
        <v>50</v>
      </c>
      <c r="B189" t="s">
        <v>51</v>
      </c>
      <c r="C189" s="13" t="s">
        <v>491</v>
      </c>
      <c r="D189" s="13" t="str">
        <f t="shared" si="8"/>
        <v xml:space="preserve">;Ltf/fd </v>
      </c>
      <c r="E189" s="13" t="str">
        <f t="shared" si="10"/>
        <v>&gt;]i7</v>
      </c>
      <c r="F189" s="21" t="s">
        <v>233</v>
      </c>
      <c r="G189" s="21" t="s">
        <v>756</v>
      </c>
      <c r="H189" s="21"/>
      <c r="I189" s="16">
        <v>0</v>
      </c>
      <c r="J189" s="16">
        <v>4</v>
      </c>
      <c r="K189" s="16">
        <v>0</v>
      </c>
      <c r="L189" s="16">
        <v>0</v>
      </c>
      <c r="M189" s="15">
        <f t="shared" si="9"/>
        <v>69.06575342465753</v>
      </c>
      <c r="N189" s="5">
        <v>41748</v>
      </c>
      <c r="O189" s="16"/>
      <c r="P189" s="16"/>
      <c r="Q189" s="16"/>
      <c r="R189" s="5">
        <v>66957</v>
      </c>
      <c r="S189" t="s">
        <v>108</v>
      </c>
      <c r="T189" s="5">
        <v>65762</v>
      </c>
      <c r="U189" s="2" t="s">
        <v>2</v>
      </c>
      <c r="V189" s="2">
        <v>2</v>
      </c>
      <c r="W189" s="2">
        <v>1</v>
      </c>
      <c r="X189" s="2">
        <v>1</v>
      </c>
      <c r="Y189" t="s">
        <v>242</v>
      </c>
      <c r="Z189" t="s">
        <v>321</v>
      </c>
      <c r="AA189" t="s">
        <v>245</v>
      </c>
    </row>
    <row r="190" spans="1:27" ht="18" x14ac:dyDescent="0.35">
      <c r="A190" s="6"/>
      <c r="C190" s="13" t="s">
        <v>492</v>
      </c>
      <c r="D190" s="13" t="str">
        <f t="shared" si="8"/>
        <v xml:space="preserve">s[i0f </v>
      </c>
      <c r="E190" s="13" t="str">
        <f t="shared" si="10"/>
        <v>&gt;]i7</v>
      </c>
      <c r="F190" s="21" t="s">
        <v>234</v>
      </c>
      <c r="G190" s="21" t="s">
        <v>756</v>
      </c>
      <c r="H190" s="21"/>
      <c r="I190" s="16"/>
      <c r="J190" s="16"/>
      <c r="K190" s="16"/>
      <c r="L190" s="16"/>
      <c r="M190" s="15">
        <f t="shared" si="9"/>
        <v>65.991780821917814</v>
      </c>
      <c r="N190" s="5">
        <v>42870</v>
      </c>
      <c r="O190" s="16"/>
      <c r="P190" s="16"/>
      <c r="Q190" s="16"/>
      <c r="R190" s="5">
        <v>66957</v>
      </c>
      <c r="T190" s="5"/>
    </row>
    <row r="191" spans="1:27" ht="18" x14ac:dyDescent="0.35">
      <c r="A191" s="6">
        <v>51</v>
      </c>
      <c r="B191" t="s">
        <v>116</v>
      </c>
      <c r="C191" s="13" t="s">
        <v>493</v>
      </c>
      <c r="D191" s="13" t="str">
        <f t="shared" si="8"/>
        <v xml:space="preserve">/d]z </v>
      </c>
      <c r="E191" s="13" t="str">
        <f t="shared" si="10"/>
        <v>l;+v8f</v>
      </c>
      <c r="F191" s="21" t="s">
        <v>233</v>
      </c>
      <c r="G191" s="21" t="s">
        <v>756</v>
      </c>
      <c r="H191" s="21"/>
      <c r="I191" s="16" t="s">
        <v>748</v>
      </c>
      <c r="J191" s="16" t="s">
        <v>748</v>
      </c>
      <c r="K191" s="16" t="s">
        <v>748</v>
      </c>
      <c r="L191" s="16" t="s">
        <v>748</v>
      </c>
      <c r="M191" s="15">
        <f t="shared" si="9"/>
        <v>59.336986301369862</v>
      </c>
      <c r="N191" s="5">
        <v>45299</v>
      </c>
      <c r="O191" s="16"/>
      <c r="P191" s="16"/>
      <c r="Q191" s="16"/>
      <c r="R191" s="5">
        <v>66957</v>
      </c>
      <c r="S191" t="s">
        <v>215</v>
      </c>
      <c r="T191" s="5">
        <v>65736</v>
      </c>
      <c r="U191" s="2" t="s">
        <v>2</v>
      </c>
      <c r="V191" s="2">
        <v>3</v>
      </c>
      <c r="W191" s="2">
        <v>2</v>
      </c>
      <c r="X191" s="2">
        <v>1</v>
      </c>
      <c r="Y191" t="s">
        <v>242</v>
      </c>
      <c r="Z191" t="s">
        <v>305</v>
      </c>
      <c r="AA191" t="s">
        <v>245</v>
      </c>
    </row>
    <row r="192" spans="1:27" ht="18" x14ac:dyDescent="0.35">
      <c r="A192" s="6"/>
      <c r="C192" s="13" t="s">
        <v>494</v>
      </c>
      <c r="D192" s="13" t="str">
        <f t="shared" si="8"/>
        <v xml:space="preserve">;Ltf </v>
      </c>
      <c r="E192" s="13" t="str">
        <f t="shared" si="10"/>
        <v>l;+v8f</v>
      </c>
      <c r="F192" s="21" t="s">
        <v>234</v>
      </c>
      <c r="G192" s="21" t="s">
        <v>756</v>
      </c>
      <c r="H192" s="21"/>
      <c r="I192" s="16"/>
      <c r="J192" s="16"/>
      <c r="K192" s="16"/>
      <c r="L192" s="16"/>
      <c r="M192" s="15">
        <f t="shared" si="9"/>
        <v>51.509589041095893</v>
      </c>
      <c r="N192" s="5">
        <v>48156</v>
      </c>
      <c r="O192" s="16"/>
      <c r="P192" s="16"/>
      <c r="Q192" s="16"/>
      <c r="R192" s="5">
        <v>66957</v>
      </c>
      <c r="T192" s="5"/>
    </row>
    <row r="193" spans="1:27" ht="18" x14ac:dyDescent="0.35">
      <c r="A193" s="6"/>
      <c r="C193" s="13" t="s">
        <v>495</v>
      </c>
      <c r="D193" s="13" t="str">
        <f t="shared" si="8"/>
        <v xml:space="preserve">lbk]z </v>
      </c>
      <c r="E193" s="13" t="str">
        <f t="shared" si="10"/>
        <v>l;+v8f</v>
      </c>
      <c r="F193" s="21" t="s">
        <v>233</v>
      </c>
      <c r="G193" s="21" t="s">
        <v>757</v>
      </c>
      <c r="H193" s="21"/>
      <c r="I193" s="16"/>
      <c r="J193" s="16"/>
      <c r="K193" s="16"/>
      <c r="L193" s="16"/>
      <c r="M193" s="15">
        <f t="shared" si="9"/>
        <v>30.578082191780823</v>
      </c>
      <c r="N193" s="5">
        <v>55796</v>
      </c>
      <c r="O193" s="16"/>
      <c r="P193" s="16"/>
      <c r="Q193" s="16"/>
      <c r="R193" s="5">
        <v>66957</v>
      </c>
      <c r="T193" s="5"/>
    </row>
    <row r="194" spans="1:27" ht="18" x14ac:dyDescent="0.35">
      <c r="A194" s="6">
        <v>52</v>
      </c>
      <c r="B194" t="s">
        <v>117</v>
      </c>
      <c r="C194" s="13" t="s">
        <v>496</v>
      </c>
      <c r="D194" s="13" t="str">
        <f t="shared" si="8"/>
        <v xml:space="preserve">l/g' </v>
      </c>
      <c r="E194" s="13" t="str">
        <f t="shared" si="10"/>
        <v>u'?ª</v>
      </c>
      <c r="F194" s="21" t="s">
        <v>234</v>
      </c>
      <c r="G194" s="21" t="s">
        <v>756</v>
      </c>
      <c r="H194" s="21"/>
      <c r="I194" s="16" t="s">
        <v>748</v>
      </c>
      <c r="J194" s="16" t="s">
        <v>748</v>
      </c>
      <c r="K194" s="16" t="s">
        <v>748</v>
      </c>
      <c r="L194" s="16" t="s">
        <v>748</v>
      </c>
      <c r="M194" s="15">
        <f t="shared" si="9"/>
        <v>44.967123287671235</v>
      </c>
      <c r="N194" s="5">
        <v>50544</v>
      </c>
      <c r="O194" s="16"/>
      <c r="P194" s="16"/>
      <c r="Q194" s="16"/>
      <c r="R194" s="5">
        <v>66957</v>
      </c>
      <c r="T194" s="5">
        <v>65695</v>
      </c>
      <c r="U194" s="2" t="s">
        <v>2</v>
      </c>
      <c r="V194" s="2">
        <v>4</v>
      </c>
      <c r="W194" s="2">
        <v>2</v>
      </c>
      <c r="X194" s="2">
        <v>2</v>
      </c>
      <c r="Y194" t="s">
        <v>242</v>
      </c>
      <c r="Z194" t="s">
        <v>309</v>
      </c>
      <c r="AA194" t="s">
        <v>245</v>
      </c>
    </row>
    <row r="195" spans="1:27" ht="18" x14ac:dyDescent="0.35">
      <c r="A195" s="6"/>
      <c r="C195" s="13" t="s">
        <v>497</v>
      </c>
      <c r="D195" s="13" t="str">
        <f t="shared" si="8"/>
        <v xml:space="preserve">k|sfz </v>
      </c>
      <c r="E195" s="13" t="str">
        <f t="shared" si="10"/>
        <v>u'?ª</v>
      </c>
      <c r="F195" s="21" t="s">
        <v>233</v>
      </c>
      <c r="G195" s="21" t="s">
        <v>756</v>
      </c>
      <c r="H195" s="21"/>
      <c r="I195" s="16"/>
      <c r="J195" s="16"/>
      <c r="K195" s="16"/>
      <c r="L195" s="16"/>
      <c r="M195" s="15">
        <f t="shared" si="9"/>
        <v>48.254794520547946</v>
      </c>
      <c r="N195" s="5">
        <v>49344</v>
      </c>
      <c r="O195" s="16"/>
      <c r="P195" s="16"/>
      <c r="Q195" s="16"/>
      <c r="R195" s="5">
        <v>66957</v>
      </c>
      <c r="T195" s="5"/>
    </row>
    <row r="196" spans="1:27" ht="18" x14ac:dyDescent="0.35">
      <c r="A196" s="6"/>
      <c r="C196" s="13" t="s">
        <v>498</v>
      </c>
      <c r="D196" s="13" t="str">
        <f t="shared" ref="D196:D259" si="11">LEFT(C196,(FIND(" ",C196)))</f>
        <v xml:space="preserve">k|lgz </v>
      </c>
      <c r="E196" s="13" t="str">
        <f t="shared" si="10"/>
        <v>u'?ª</v>
      </c>
      <c r="F196" s="21" t="s">
        <v>233</v>
      </c>
      <c r="G196" s="21" t="s">
        <v>757</v>
      </c>
      <c r="H196" s="21"/>
      <c r="I196" s="16"/>
      <c r="J196" s="16"/>
      <c r="K196" s="16"/>
      <c r="L196" s="16"/>
      <c r="M196" s="15">
        <f t="shared" ref="M196:M259" si="12">(R196-N196)/365</f>
        <v>20.778082191780822</v>
      </c>
      <c r="N196" s="5">
        <v>59373</v>
      </c>
      <c r="O196" s="16"/>
      <c r="P196" s="16"/>
      <c r="Q196" s="16"/>
      <c r="R196" s="5">
        <v>66957</v>
      </c>
      <c r="T196" s="5"/>
    </row>
    <row r="197" spans="1:27" ht="18" x14ac:dyDescent="0.35">
      <c r="A197" s="6"/>
      <c r="C197" s="13" t="s">
        <v>499</v>
      </c>
      <c r="D197" s="13" t="str">
        <f t="shared" si="11"/>
        <v xml:space="preserve">l/D;f </v>
      </c>
      <c r="E197" s="13" t="str">
        <f t="shared" ref="E197:E260" si="13">TRIM(RIGHT(SUBSTITUTE(C197," ",REPT(" ",255)),255))</f>
        <v>u'?ª</v>
      </c>
      <c r="F197" s="21" t="s">
        <v>234</v>
      </c>
      <c r="G197" s="21" t="s">
        <v>757</v>
      </c>
      <c r="H197" s="21"/>
      <c r="I197" s="16"/>
      <c r="J197" s="16"/>
      <c r="K197" s="16"/>
      <c r="L197" s="16"/>
      <c r="M197" s="15">
        <f t="shared" si="12"/>
        <v>10.375342465753425</v>
      </c>
      <c r="N197" s="5">
        <v>63170</v>
      </c>
      <c r="O197" s="16"/>
      <c r="P197" s="16"/>
      <c r="Q197" s="16"/>
      <c r="R197" s="5">
        <v>66957</v>
      </c>
      <c r="T197" s="5"/>
    </row>
    <row r="198" spans="1:27" ht="18" x14ac:dyDescent="0.35">
      <c r="A198" s="6">
        <v>53</v>
      </c>
      <c r="B198" t="s">
        <v>118</v>
      </c>
      <c r="C198" s="13" t="s">
        <v>500</v>
      </c>
      <c r="D198" s="13" t="str">
        <f t="shared" si="11"/>
        <v xml:space="preserve">/Ltf </v>
      </c>
      <c r="E198" s="13" t="str">
        <f t="shared" si="13"/>
        <v>bdfO{</v>
      </c>
      <c r="F198" s="21" t="s">
        <v>234</v>
      </c>
      <c r="G198" s="21" t="s">
        <v>757</v>
      </c>
      <c r="H198" s="21"/>
      <c r="I198" s="16">
        <v>0</v>
      </c>
      <c r="J198" s="16">
        <v>6</v>
      </c>
      <c r="K198" s="16">
        <v>0</v>
      </c>
      <c r="L198" s="16">
        <v>0</v>
      </c>
      <c r="M198" s="15">
        <f t="shared" si="12"/>
        <v>29.583561643835615</v>
      </c>
      <c r="N198" s="5">
        <v>56159</v>
      </c>
      <c r="O198" s="16"/>
      <c r="P198" s="16"/>
      <c r="Q198" s="16"/>
      <c r="R198" s="5">
        <v>66957</v>
      </c>
      <c r="T198" s="5">
        <v>65644</v>
      </c>
      <c r="U198" s="2" t="s">
        <v>2</v>
      </c>
      <c r="V198" s="2">
        <v>3</v>
      </c>
      <c r="W198" s="2">
        <v>1</v>
      </c>
      <c r="X198" s="2">
        <v>2</v>
      </c>
      <c r="Y198" t="s">
        <v>242</v>
      </c>
      <c r="Z198" t="s">
        <v>310</v>
      </c>
      <c r="AA198" t="s">
        <v>245</v>
      </c>
    </row>
    <row r="199" spans="1:27" ht="18" x14ac:dyDescent="0.35">
      <c r="A199" s="6"/>
      <c r="C199" s="13" t="s">
        <v>501</v>
      </c>
      <c r="D199" s="13" t="str">
        <f t="shared" si="11"/>
        <v xml:space="preserve">l;tf </v>
      </c>
      <c r="E199" s="13" t="str">
        <f t="shared" si="13"/>
        <v>bdfO{</v>
      </c>
      <c r="F199" s="21" t="s">
        <v>234</v>
      </c>
      <c r="G199" s="21" t="s">
        <v>756</v>
      </c>
      <c r="H199" s="21"/>
      <c r="I199" s="16"/>
      <c r="J199" s="16"/>
      <c r="K199" s="16"/>
      <c r="L199" s="16"/>
      <c r="M199" s="15">
        <f t="shared" si="12"/>
        <v>52.983561643835614</v>
      </c>
      <c r="N199" s="5">
        <v>47618</v>
      </c>
      <c r="O199" s="16"/>
      <c r="P199" s="16"/>
      <c r="Q199" s="16"/>
      <c r="R199" s="5">
        <v>66957</v>
      </c>
      <c r="T199" s="5"/>
    </row>
    <row r="200" spans="1:27" ht="18" x14ac:dyDescent="0.35">
      <c r="A200" s="6"/>
      <c r="C200" s="13" t="s">
        <v>502</v>
      </c>
      <c r="D200" s="13" t="str">
        <f t="shared" si="11"/>
        <v xml:space="preserve">l/hg </v>
      </c>
      <c r="E200" s="13" t="str">
        <f t="shared" si="13"/>
        <v>bdfO{</v>
      </c>
      <c r="F200" s="21" t="s">
        <v>233</v>
      </c>
      <c r="G200" s="21" t="s">
        <v>757</v>
      </c>
      <c r="H200" s="21"/>
      <c r="I200" s="16"/>
      <c r="J200" s="16"/>
      <c r="K200" s="16"/>
      <c r="L200" s="16"/>
      <c r="M200" s="15">
        <f t="shared" si="12"/>
        <v>25.016438356164382</v>
      </c>
      <c r="N200" s="5">
        <v>57826</v>
      </c>
      <c r="O200" s="16"/>
      <c r="P200" s="16"/>
      <c r="Q200" s="16"/>
      <c r="R200" s="5">
        <v>66957</v>
      </c>
      <c r="T200" s="5"/>
    </row>
    <row r="201" spans="1:27" ht="18" x14ac:dyDescent="0.35">
      <c r="A201" s="6">
        <v>54</v>
      </c>
      <c r="B201" t="s">
        <v>119</v>
      </c>
      <c r="C201" s="13" t="s">
        <v>503</v>
      </c>
      <c r="D201" s="13" t="str">
        <f t="shared" si="11"/>
        <v xml:space="preserve">;'af; </v>
      </c>
      <c r="E201" s="13" t="str">
        <f t="shared" si="13"/>
        <v>lnDj'</v>
      </c>
      <c r="F201" s="21" t="s">
        <v>233</v>
      </c>
      <c r="G201" s="21" t="s">
        <v>756</v>
      </c>
      <c r="H201" s="21"/>
      <c r="I201" s="16">
        <v>0</v>
      </c>
      <c r="J201" s="16">
        <v>7</v>
      </c>
      <c r="K201" s="16">
        <v>0</v>
      </c>
      <c r="L201" s="16">
        <v>0</v>
      </c>
      <c r="M201" s="15">
        <f t="shared" si="12"/>
        <v>58.18904109589041</v>
      </c>
      <c r="N201" s="5">
        <v>45718</v>
      </c>
      <c r="O201" s="16"/>
      <c r="P201" s="16"/>
      <c r="Q201" s="16"/>
      <c r="R201" s="5">
        <v>66957</v>
      </c>
      <c r="T201" s="5">
        <v>65631</v>
      </c>
      <c r="U201" s="2" t="s">
        <v>2</v>
      </c>
      <c r="V201" s="2">
        <v>4</v>
      </c>
      <c r="W201" s="2">
        <v>3</v>
      </c>
      <c r="X201" s="2">
        <v>1</v>
      </c>
      <c r="Y201" t="s">
        <v>242</v>
      </c>
      <c r="Z201" t="s">
        <v>324</v>
      </c>
      <c r="AA201" t="s">
        <v>245</v>
      </c>
    </row>
    <row r="202" spans="1:27" ht="18" x14ac:dyDescent="0.35">
      <c r="A202" s="6"/>
      <c r="C202" s="13" t="s">
        <v>504</v>
      </c>
      <c r="D202" s="13" t="str">
        <f t="shared" si="11"/>
        <v xml:space="preserve">/f]hg </v>
      </c>
      <c r="E202" s="13" t="str">
        <f t="shared" si="13"/>
        <v>dfb]g</v>
      </c>
      <c r="F202" s="21" t="s">
        <v>233</v>
      </c>
      <c r="G202" s="21" t="s">
        <v>757</v>
      </c>
      <c r="H202" s="21"/>
      <c r="I202" s="16"/>
      <c r="J202" s="16"/>
      <c r="K202" s="16"/>
      <c r="L202" s="16"/>
      <c r="M202" s="15">
        <f t="shared" si="12"/>
        <v>23.556164383561644</v>
      </c>
      <c r="N202" s="5">
        <v>58359</v>
      </c>
      <c r="O202" s="16"/>
      <c r="P202" s="16"/>
      <c r="Q202" s="16"/>
      <c r="R202" s="5">
        <v>66957</v>
      </c>
      <c r="T202" s="5"/>
    </row>
    <row r="203" spans="1:27" ht="18" x14ac:dyDescent="0.35">
      <c r="A203" s="6"/>
      <c r="C203" s="13" t="s">
        <v>505</v>
      </c>
      <c r="D203" s="13" t="str">
        <f t="shared" si="11"/>
        <v xml:space="preserve">/]xg </v>
      </c>
      <c r="E203" s="13" t="str">
        <f t="shared" si="13"/>
        <v>dfb]g</v>
      </c>
      <c r="F203" s="21" t="s">
        <v>233</v>
      </c>
      <c r="G203" s="21" t="s">
        <v>757</v>
      </c>
      <c r="H203" s="21"/>
      <c r="I203" s="16"/>
      <c r="J203" s="16"/>
      <c r="K203" s="16"/>
      <c r="L203" s="16"/>
      <c r="M203" s="15">
        <f t="shared" si="12"/>
        <v>18.597260273972601</v>
      </c>
      <c r="N203" s="5">
        <v>60169</v>
      </c>
      <c r="O203" s="16"/>
      <c r="P203" s="16"/>
      <c r="Q203" s="16"/>
      <c r="R203" s="5">
        <v>66957</v>
      </c>
      <c r="T203" s="5"/>
    </row>
    <row r="204" spans="1:27" ht="18" x14ac:dyDescent="0.35">
      <c r="A204" s="6"/>
      <c r="C204" s="13" t="s">
        <v>506</v>
      </c>
      <c r="D204" s="13" t="str">
        <f t="shared" si="11"/>
        <v xml:space="preserve">k'ikf </v>
      </c>
      <c r="E204" s="13" t="str">
        <f t="shared" si="13"/>
        <v>hj]u'</v>
      </c>
      <c r="F204" s="21" t="s">
        <v>234</v>
      </c>
      <c r="G204" s="21" t="s">
        <v>756</v>
      </c>
      <c r="H204" s="21"/>
      <c r="I204" s="16"/>
      <c r="J204" s="16"/>
      <c r="K204" s="16"/>
      <c r="L204" s="16"/>
      <c r="M204" s="15">
        <f t="shared" si="12"/>
        <v>45.701369863013696</v>
      </c>
      <c r="N204" s="5">
        <v>50276</v>
      </c>
      <c r="O204" s="16"/>
      <c r="P204" s="16"/>
      <c r="Q204" s="16"/>
      <c r="R204" s="5">
        <v>66957</v>
      </c>
      <c r="T204" s="5"/>
    </row>
    <row r="205" spans="1:27" ht="18" x14ac:dyDescent="0.35">
      <c r="A205" s="6">
        <v>55</v>
      </c>
      <c r="B205" t="s">
        <v>120</v>
      </c>
      <c r="C205" s="13" t="s">
        <v>507</v>
      </c>
      <c r="D205" s="13" t="str">
        <f t="shared" si="11"/>
        <v xml:space="preserve">;'bz{g </v>
      </c>
      <c r="E205" s="13" t="str">
        <f t="shared" si="13"/>
        <v>;fksf]6f</v>
      </c>
      <c r="F205" s="21" t="s">
        <v>233</v>
      </c>
      <c r="G205" s="21" t="s">
        <v>756</v>
      </c>
      <c r="H205" s="21"/>
      <c r="I205" s="16">
        <v>0</v>
      </c>
      <c r="J205" s="16">
        <v>3</v>
      </c>
      <c r="K205" s="16">
        <v>0</v>
      </c>
      <c r="L205" s="16">
        <v>0</v>
      </c>
      <c r="M205" s="15">
        <f t="shared" si="12"/>
        <v>51.778082191780825</v>
      </c>
      <c r="N205" s="5">
        <v>48058</v>
      </c>
      <c r="O205" s="16"/>
      <c r="P205" s="16"/>
      <c r="Q205" s="16"/>
      <c r="R205" s="5">
        <v>66957</v>
      </c>
      <c r="T205" s="5">
        <v>65631</v>
      </c>
      <c r="U205" s="2" t="s">
        <v>2</v>
      </c>
      <c r="V205" s="2">
        <v>7</v>
      </c>
      <c r="W205" s="2">
        <v>5</v>
      </c>
      <c r="X205" s="2">
        <v>2</v>
      </c>
      <c r="Y205" t="s">
        <v>242</v>
      </c>
      <c r="Z205" t="s">
        <v>326</v>
      </c>
      <c r="AA205" t="s">
        <v>245</v>
      </c>
    </row>
    <row r="206" spans="1:27" ht="18" x14ac:dyDescent="0.35">
      <c r="A206" s="6"/>
      <c r="C206" s="13" t="s">
        <v>508</v>
      </c>
      <c r="D206" s="13" t="str">
        <f t="shared" si="11"/>
        <v xml:space="preserve">;"o{axfb'/ </v>
      </c>
      <c r="E206" s="13" t="str">
        <f t="shared" si="13"/>
        <v>;fksf]6f</v>
      </c>
      <c r="F206" s="21" t="s">
        <v>233</v>
      </c>
      <c r="G206" s="21" t="s">
        <v>756</v>
      </c>
      <c r="H206" s="21"/>
      <c r="I206" s="16"/>
      <c r="J206" s="16"/>
      <c r="K206" s="16"/>
      <c r="L206" s="16"/>
      <c r="M206" s="15">
        <f t="shared" si="12"/>
        <v>76.271232876712332</v>
      </c>
      <c r="N206" s="5">
        <v>39118</v>
      </c>
      <c r="O206" s="16"/>
      <c r="P206" s="16"/>
      <c r="Q206" s="16"/>
      <c r="R206" s="5">
        <v>66957</v>
      </c>
      <c r="T206" s="5"/>
    </row>
    <row r="207" spans="1:27" ht="18" x14ac:dyDescent="0.35">
      <c r="A207" s="6"/>
      <c r="C207" s="13" t="s">
        <v>509</v>
      </c>
      <c r="D207" s="13" t="str">
        <f t="shared" si="11"/>
        <v xml:space="preserve">u+uf </v>
      </c>
      <c r="E207" s="13" t="str">
        <f t="shared" si="13"/>
        <v>;fksf]6f</v>
      </c>
      <c r="F207" s="21" t="s">
        <v>234</v>
      </c>
      <c r="G207" s="21" t="s">
        <v>756</v>
      </c>
      <c r="H207" s="21"/>
      <c r="I207" s="16"/>
      <c r="J207" s="16"/>
      <c r="K207" s="16"/>
      <c r="L207" s="16"/>
      <c r="M207" s="15">
        <f t="shared" si="12"/>
        <v>73.084931506849315</v>
      </c>
      <c r="N207" s="5">
        <v>40281</v>
      </c>
      <c r="O207" s="16"/>
      <c r="P207" s="16"/>
      <c r="Q207" s="16"/>
      <c r="R207" s="5">
        <v>66957</v>
      </c>
      <c r="T207" s="5"/>
    </row>
    <row r="208" spans="1:27" ht="18" x14ac:dyDescent="0.35">
      <c r="A208" s="6"/>
      <c r="C208" s="13" t="s">
        <v>510</v>
      </c>
      <c r="D208" s="13" t="str">
        <f t="shared" si="11"/>
        <v xml:space="preserve">v]ds'df/L </v>
      </c>
      <c r="E208" s="13" t="str">
        <f t="shared" si="13"/>
        <v>-aflgof_</v>
      </c>
      <c r="F208" s="21" t="s">
        <v>234</v>
      </c>
      <c r="G208" s="21" t="s">
        <v>756</v>
      </c>
      <c r="H208" s="21"/>
      <c r="I208" s="16"/>
      <c r="J208" s="16"/>
      <c r="K208" s="16"/>
      <c r="L208" s="16"/>
      <c r="M208" s="15">
        <f t="shared" si="12"/>
        <v>42.794520547945204</v>
      </c>
      <c r="N208" s="5">
        <v>51337</v>
      </c>
      <c r="O208" s="16"/>
      <c r="P208" s="16"/>
      <c r="Q208" s="16"/>
      <c r="R208" s="5">
        <v>66957</v>
      </c>
      <c r="T208" s="5"/>
    </row>
    <row r="209" spans="1:27" ht="18" x14ac:dyDescent="0.35">
      <c r="A209" s="6"/>
      <c r="C209" s="13" t="s">
        <v>511</v>
      </c>
      <c r="D209" s="13" t="str">
        <f t="shared" si="11"/>
        <v xml:space="preserve">;'lbk </v>
      </c>
      <c r="E209" s="13" t="str">
        <f t="shared" si="13"/>
        <v>;fksf]6f</v>
      </c>
      <c r="F209" s="21" t="s">
        <v>233</v>
      </c>
      <c r="G209" s="21" t="s">
        <v>756</v>
      </c>
      <c r="H209" s="21"/>
      <c r="I209" s="16"/>
      <c r="J209" s="16"/>
      <c r="K209" s="16"/>
      <c r="L209" s="16"/>
      <c r="M209" s="15">
        <f t="shared" si="12"/>
        <v>50.731506849315068</v>
      </c>
      <c r="N209" s="5">
        <v>48440</v>
      </c>
      <c r="O209" s="16"/>
      <c r="P209" s="16"/>
      <c r="Q209" s="16"/>
      <c r="R209" s="5">
        <v>66957</v>
      </c>
      <c r="T209" s="5"/>
    </row>
    <row r="210" spans="1:27" ht="18" x14ac:dyDescent="0.35">
      <c r="A210" s="6"/>
      <c r="C210" s="13" t="s">
        <v>512</v>
      </c>
      <c r="D210" s="13" t="str">
        <f t="shared" si="11"/>
        <v xml:space="preserve">cfo'if </v>
      </c>
      <c r="E210" s="13" t="str">
        <f t="shared" si="13"/>
        <v>;fksf]6f</v>
      </c>
      <c r="F210" s="21" t="s">
        <v>233</v>
      </c>
      <c r="G210" s="21" t="s">
        <v>757</v>
      </c>
      <c r="H210" s="21"/>
      <c r="I210" s="16"/>
      <c r="J210" s="16"/>
      <c r="K210" s="16"/>
      <c r="L210" s="16"/>
      <c r="M210" s="15">
        <f t="shared" si="12"/>
        <v>15.358904109589041</v>
      </c>
      <c r="N210" s="5">
        <v>61351</v>
      </c>
      <c r="O210" s="16"/>
      <c r="P210" s="16"/>
      <c r="Q210" s="16"/>
      <c r="R210" s="5">
        <v>66957</v>
      </c>
      <c r="T210" s="5"/>
    </row>
    <row r="211" spans="1:27" ht="18" x14ac:dyDescent="0.35">
      <c r="A211" s="6"/>
      <c r="C211" s="13" t="s">
        <v>513</v>
      </c>
      <c r="D211" s="13" t="str">
        <f t="shared" si="11"/>
        <v xml:space="preserve">cleif]s </v>
      </c>
      <c r="E211" s="13" t="str">
        <f t="shared" si="13"/>
        <v>;fksf]6f</v>
      </c>
      <c r="F211" s="21" t="s">
        <v>233</v>
      </c>
      <c r="G211" s="21" t="s">
        <v>757</v>
      </c>
      <c r="H211" s="21"/>
      <c r="I211" s="16"/>
      <c r="J211" s="16"/>
      <c r="K211" s="16"/>
      <c r="L211" s="16"/>
      <c r="M211" s="15">
        <f t="shared" si="12"/>
        <v>5.3452054794520549</v>
      </c>
      <c r="N211" s="5">
        <v>65006</v>
      </c>
      <c r="O211" s="16"/>
      <c r="P211" s="16"/>
      <c r="Q211" s="16"/>
      <c r="R211" s="5">
        <v>66957</v>
      </c>
      <c r="T211" s="5"/>
    </row>
    <row r="212" spans="1:27" ht="18" x14ac:dyDescent="0.35">
      <c r="A212" s="6">
        <v>56</v>
      </c>
      <c r="B212" t="s">
        <v>121</v>
      </c>
      <c r="C212" s="13" t="s">
        <v>514</v>
      </c>
      <c r="D212" s="13" t="str">
        <f t="shared" si="11"/>
        <v xml:space="preserve">d]g'sf </v>
      </c>
      <c r="E212" s="13" t="str">
        <f t="shared" si="13"/>
        <v>&gt;]i7</v>
      </c>
      <c r="F212" s="21" t="s">
        <v>234</v>
      </c>
      <c r="G212" s="21" t="s">
        <v>756</v>
      </c>
      <c r="H212" s="21"/>
      <c r="I212" s="16">
        <v>0</v>
      </c>
      <c r="J212" s="16">
        <v>3</v>
      </c>
      <c r="K212" s="16">
        <v>2</v>
      </c>
      <c r="L212" s="16">
        <v>0</v>
      </c>
      <c r="M212" s="15">
        <f t="shared" si="12"/>
        <v>41.136986301369866</v>
      </c>
      <c r="N212" s="5">
        <v>51942</v>
      </c>
      <c r="O212" s="16"/>
      <c r="P212" s="16"/>
      <c r="Q212" s="16"/>
      <c r="R212" s="5">
        <v>66957</v>
      </c>
      <c r="T212" s="5">
        <v>65582</v>
      </c>
      <c r="U212" s="2" t="s">
        <v>2</v>
      </c>
      <c r="V212" s="2">
        <v>3</v>
      </c>
      <c r="W212" s="2">
        <v>1</v>
      </c>
      <c r="X212" s="2">
        <v>2</v>
      </c>
      <c r="Y212" t="s">
        <v>242</v>
      </c>
      <c r="Z212" t="s">
        <v>293</v>
      </c>
      <c r="AA212" t="s">
        <v>245</v>
      </c>
    </row>
    <row r="213" spans="1:27" ht="18" x14ac:dyDescent="0.35">
      <c r="A213" s="6"/>
      <c r="C213" s="13" t="s">
        <v>515</v>
      </c>
      <c r="D213" s="13" t="str">
        <f t="shared" si="11"/>
        <v xml:space="preserve">hfd'g </v>
      </c>
      <c r="E213" s="13" t="str">
        <f t="shared" si="13"/>
        <v>&gt;]i7</v>
      </c>
      <c r="F213" s="21" t="s">
        <v>233</v>
      </c>
      <c r="G213" s="21" t="s">
        <v>757</v>
      </c>
      <c r="H213" s="21"/>
      <c r="I213" s="16"/>
      <c r="J213" s="16"/>
      <c r="K213" s="16"/>
      <c r="L213" s="16"/>
      <c r="M213" s="15">
        <f t="shared" si="12"/>
        <v>21.142465753424659</v>
      </c>
      <c r="N213" s="5">
        <v>59240</v>
      </c>
      <c r="O213" s="16"/>
      <c r="P213" s="16"/>
      <c r="Q213" s="16"/>
      <c r="R213" s="5">
        <v>66957</v>
      </c>
      <c r="T213" s="5"/>
    </row>
    <row r="214" spans="1:27" ht="18" x14ac:dyDescent="0.35">
      <c r="A214" s="6"/>
      <c r="C214" s="13" t="s">
        <v>516</v>
      </c>
      <c r="D214" s="13" t="str">
        <f t="shared" si="11"/>
        <v xml:space="preserve">h]l;sf </v>
      </c>
      <c r="E214" s="13" t="str">
        <f t="shared" si="13"/>
        <v>&gt;]i7</v>
      </c>
      <c r="F214" s="21" t="s">
        <v>234</v>
      </c>
      <c r="G214" s="21" t="s">
        <v>757</v>
      </c>
      <c r="H214" s="21"/>
      <c r="I214" s="16"/>
      <c r="J214" s="16"/>
      <c r="K214" s="16"/>
      <c r="L214" s="16"/>
      <c r="M214" s="15">
        <f t="shared" si="12"/>
        <v>16.435616438356163</v>
      </c>
      <c r="N214" s="5">
        <v>60958</v>
      </c>
      <c r="O214" s="16"/>
      <c r="P214" s="16"/>
      <c r="Q214" s="16"/>
      <c r="R214" s="5">
        <v>66957</v>
      </c>
      <c r="T214" s="5"/>
    </row>
    <row r="215" spans="1:27" ht="18" x14ac:dyDescent="0.35">
      <c r="A215" s="6">
        <v>57</v>
      </c>
      <c r="B215" t="s">
        <v>122</v>
      </c>
      <c r="C215" s="13" t="s">
        <v>517</v>
      </c>
      <c r="D215" s="13" t="str">
        <f t="shared" si="11"/>
        <v xml:space="preserve">a;Gt </v>
      </c>
      <c r="E215" s="13" t="str">
        <f t="shared" si="13"/>
        <v>s]=;L</v>
      </c>
      <c r="F215" s="21" t="s">
        <v>233</v>
      </c>
      <c r="G215" s="21" t="s">
        <v>756</v>
      </c>
      <c r="H215" s="21"/>
      <c r="I215" s="16">
        <v>0</v>
      </c>
      <c r="J215" s="16">
        <v>12</v>
      </c>
      <c r="K215" s="16">
        <v>2</v>
      </c>
      <c r="L215" s="16">
        <v>0</v>
      </c>
      <c r="M215" s="15">
        <f t="shared" si="12"/>
        <v>30.402739726027399</v>
      </c>
      <c r="N215" s="5">
        <v>55860</v>
      </c>
      <c r="O215" s="16"/>
      <c r="P215" s="16"/>
      <c r="Q215" s="16"/>
      <c r="R215" s="5">
        <v>66957</v>
      </c>
      <c r="T215" s="5">
        <v>65533</v>
      </c>
      <c r="U215" s="2" t="s">
        <v>2</v>
      </c>
      <c r="V215" s="2">
        <v>5</v>
      </c>
      <c r="W215" s="2">
        <v>2</v>
      </c>
      <c r="X215" s="2">
        <v>3</v>
      </c>
      <c r="Y215" t="s">
        <v>242</v>
      </c>
      <c r="Z215" t="s">
        <v>254</v>
      </c>
      <c r="AA215" t="s">
        <v>245</v>
      </c>
    </row>
    <row r="216" spans="1:27" ht="18" x14ac:dyDescent="0.35">
      <c r="A216" s="6"/>
      <c r="C216" s="13" t="s">
        <v>518</v>
      </c>
      <c r="D216" s="13" t="str">
        <f t="shared" si="11"/>
        <v xml:space="preserve">lzj </v>
      </c>
      <c r="E216" s="13" t="str">
        <f t="shared" si="13"/>
        <v>s]=;L</v>
      </c>
      <c r="F216" s="21" t="s">
        <v>233</v>
      </c>
      <c r="G216" s="21" t="s">
        <v>756</v>
      </c>
      <c r="H216" s="21"/>
      <c r="I216" s="16"/>
      <c r="J216" s="16"/>
      <c r="K216" s="16"/>
      <c r="L216" s="16"/>
      <c r="M216" s="15">
        <f t="shared" si="12"/>
        <v>53.024657534246572</v>
      </c>
      <c r="N216" s="5">
        <v>47603</v>
      </c>
      <c r="O216" s="16"/>
      <c r="P216" s="16"/>
      <c r="Q216" s="16"/>
      <c r="R216" s="5">
        <v>66957</v>
      </c>
      <c r="T216" s="5"/>
    </row>
    <row r="217" spans="1:27" ht="18" x14ac:dyDescent="0.35">
      <c r="A217" s="6"/>
      <c r="C217" s="13" t="s">
        <v>519</v>
      </c>
      <c r="D217" s="13" t="str">
        <f t="shared" si="11"/>
        <v xml:space="preserve">cK;/f </v>
      </c>
      <c r="E217" s="13" t="str">
        <f t="shared" si="13"/>
        <v>s]=;L</v>
      </c>
      <c r="F217" s="21" t="s">
        <v>234</v>
      </c>
      <c r="G217" s="21" t="s">
        <v>756</v>
      </c>
      <c r="H217" s="21"/>
      <c r="I217" s="16"/>
      <c r="J217" s="16"/>
      <c r="K217" s="16"/>
      <c r="L217" s="16"/>
      <c r="M217" s="15">
        <f t="shared" si="12"/>
        <v>53.30684931506849</v>
      </c>
      <c r="N217" s="5">
        <v>47500</v>
      </c>
      <c r="O217" s="16"/>
      <c r="P217" s="16"/>
      <c r="Q217" s="16"/>
      <c r="R217" s="5">
        <v>66957</v>
      </c>
      <c r="T217" s="5"/>
    </row>
    <row r="218" spans="1:27" ht="18" x14ac:dyDescent="0.35">
      <c r="A218" s="6"/>
      <c r="C218" s="13" t="s">
        <v>520</v>
      </c>
      <c r="D218" s="13" t="str">
        <f t="shared" si="11"/>
        <v xml:space="preserve">gljgf </v>
      </c>
      <c r="E218" s="13" t="str">
        <f t="shared" si="13"/>
        <v>kf08]</v>
      </c>
      <c r="F218" s="21" t="s">
        <v>234</v>
      </c>
      <c r="G218" s="21" t="s">
        <v>756</v>
      </c>
      <c r="H218" s="21"/>
      <c r="I218" s="16"/>
      <c r="J218" s="16"/>
      <c r="K218" s="16"/>
      <c r="L218" s="16"/>
      <c r="M218" s="15">
        <f t="shared" si="12"/>
        <v>31.4986301369863</v>
      </c>
      <c r="N218" s="5">
        <v>55460</v>
      </c>
      <c r="O218" s="16"/>
      <c r="P218" s="16"/>
      <c r="Q218" s="16"/>
      <c r="R218" s="5">
        <v>66957</v>
      </c>
      <c r="T218" s="5"/>
    </row>
    <row r="219" spans="1:27" ht="18" x14ac:dyDescent="0.35">
      <c r="A219" s="6"/>
      <c r="C219" s="13" t="s">
        <v>521</v>
      </c>
      <c r="D219" s="13" t="str">
        <f t="shared" si="11"/>
        <v xml:space="preserve">aiff{ </v>
      </c>
      <c r="E219" s="13" t="str">
        <f t="shared" si="13"/>
        <v>s]=;L</v>
      </c>
      <c r="F219" s="21" t="s">
        <v>234</v>
      </c>
      <c r="G219" s="21" t="s">
        <v>757</v>
      </c>
      <c r="H219" s="21"/>
      <c r="I219" s="16"/>
      <c r="J219" s="16"/>
      <c r="K219" s="16"/>
      <c r="L219" s="16"/>
      <c r="M219" s="15">
        <f t="shared" si="12"/>
        <v>29.197260273972603</v>
      </c>
      <c r="N219" s="5">
        <v>56300</v>
      </c>
      <c r="O219" s="16"/>
      <c r="P219" s="16"/>
      <c r="Q219" s="16"/>
      <c r="R219" s="5">
        <v>66957</v>
      </c>
      <c r="T219" s="5"/>
    </row>
    <row r="220" spans="1:27" ht="18" x14ac:dyDescent="0.35">
      <c r="A220" s="6">
        <v>58</v>
      </c>
      <c r="B220" t="s">
        <v>123</v>
      </c>
      <c r="C220" s="13" t="s">
        <v>522</v>
      </c>
      <c r="D220" s="13" t="str">
        <f t="shared" si="11"/>
        <v xml:space="preserve">gf/fo0f </v>
      </c>
      <c r="E220" s="13" t="str">
        <f t="shared" si="13"/>
        <v>s]=;L</v>
      </c>
      <c r="F220" s="21" t="s">
        <v>233</v>
      </c>
      <c r="G220" s="21" t="s">
        <v>756</v>
      </c>
      <c r="H220" s="21"/>
      <c r="I220" s="16">
        <v>0</v>
      </c>
      <c r="J220" s="16">
        <v>5</v>
      </c>
      <c r="K220" s="16">
        <v>1</v>
      </c>
      <c r="L220" s="16">
        <v>0</v>
      </c>
      <c r="M220" s="15">
        <f t="shared" si="12"/>
        <v>49.183561643835617</v>
      </c>
      <c r="N220" s="5">
        <v>49005</v>
      </c>
      <c r="O220" s="16"/>
      <c r="P220" s="16"/>
      <c r="Q220" s="16"/>
      <c r="R220" s="5">
        <v>66957</v>
      </c>
      <c r="T220" s="5">
        <v>65527</v>
      </c>
      <c r="U220" s="2" t="s">
        <v>2</v>
      </c>
      <c r="V220" s="2">
        <v>5</v>
      </c>
      <c r="W220" s="2">
        <v>3</v>
      </c>
      <c r="X220" s="2">
        <v>2</v>
      </c>
      <c r="Y220" t="s">
        <v>242</v>
      </c>
      <c r="Z220" t="s">
        <v>254</v>
      </c>
      <c r="AA220" t="s">
        <v>245</v>
      </c>
    </row>
    <row r="221" spans="1:27" ht="18" x14ac:dyDescent="0.35">
      <c r="A221" s="6"/>
      <c r="C221" s="13" t="s">
        <v>523</v>
      </c>
      <c r="D221" s="13" t="str">
        <f t="shared" si="11"/>
        <v xml:space="preserve">lalgtf </v>
      </c>
      <c r="E221" s="13" t="str">
        <f t="shared" si="13"/>
        <v>v8\sf</v>
      </c>
      <c r="F221" s="21" t="s">
        <v>234</v>
      </c>
      <c r="G221" s="21" t="s">
        <v>756</v>
      </c>
      <c r="H221" s="21"/>
      <c r="I221" s="16"/>
      <c r="J221" s="16"/>
      <c r="K221" s="16"/>
      <c r="L221" s="16"/>
      <c r="M221" s="15">
        <f t="shared" si="12"/>
        <v>35.868493150684934</v>
      </c>
      <c r="N221" s="5">
        <v>53865</v>
      </c>
      <c r="O221" s="16"/>
      <c r="P221" s="16"/>
      <c r="Q221" s="16"/>
      <c r="R221" s="5">
        <v>66957</v>
      </c>
      <c r="T221" s="5"/>
    </row>
    <row r="222" spans="1:27" ht="18" x14ac:dyDescent="0.35">
      <c r="A222" s="6"/>
      <c r="C222" s="13" t="s">
        <v>524</v>
      </c>
      <c r="D222" s="13" t="str">
        <f t="shared" si="11"/>
        <v xml:space="preserve">c?0f </v>
      </c>
      <c r="E222" s="13" t="str">
        <f t="shared" si="13"/>
        <v>s]=;L</v>
      </c>
      <c r="F222" s="21" t="s">
        <v>233</v>
      </c>
      <c r="G222" s="21" t="s">
        <v>757</v>
      </c>
      <c r="H222" s="21"/>
      <c r="I222" s="16"/>
      <c r="J222" s="16"/>
      <c r="K222" s="16"/>
      <c r="L222" s="16"/>
      <c r="M222" s="15">
        <f t="shared" si="12"/>
        <v>30.602739726027398</v>
      </c>
      <c r="N222" s="5">
        <v>55787</v>
      </c>
      <c r="O222" s="16"/>
      <c r="P222" s="16"/>
      <c r="Q222" s="16"/>
      <c r="R222" s="5">
        <v>66957</v>
      </c>
      <c r="T222" s="5"/>
    </row>
    <row r="223" spans="1:27" ht="18" x14ac:dyDescent="0.35">
      <c r="A223" s="6"/>
      <c r="C223" s="13" t="s">
        <v>525</v>
      </c>
      <c r="D223" s="13" t="str">
        <f t="shared" si="11"/>
        <v xml:space="preserve">c?0ff </v>
      </c>
      <c r="E223" s="13" t="str">
        <f t="shared" si="13"/>
        <v>s]=;L</v>
      </c>
      <c r="F223" s="21" t="s">
        <v>234</v>
      </c>
      <c r="G223" s="21" t="s">
        <v>757</v>
      </c>
      <c r="H223" s="21"/>
      <c r="I223" s="16"/>
      <c r="J223" s="16"/>
      <c r="K223" s="16"/>
      <c r="L223" s="16"/>
      <c r="M223" s="15">
        <f t="shared" si="12"/>
        <v>21.139726027397259</v>
      </c>
      <c r="N223" s="5">
        <v>59241</v>
      </c>
      <c r="O223" s="16"/>
      <c r="P223" s="16"/>
      <c r="Q223" s="16"/>
      <c r="R223" s="5">
        <v>66957</v>
      </c>
      <c r="T223" s="5"/>
    </row>
    <row r="224" spans="1:27" ht="18" x14ac:dyDescent="0.35">
      <c r="A224" s="6"/>
      <c r="C224" s="13" t="s">
        <v>526</v>
      </c>
      <c r="D224" s="13" t="str">
        <f t="shared" si="11"/>
        <v xml:space="preserve">ljefg </v>
      </c>
      <c r="E224" s="13" t="str">
        <f t="shared" si="13"/>
        <v>s]=;L</v>
      </c>
      <c r="F224" s="21" t="s">
        <v>233</v>
      </c>
      <c r="G224" s="21" t="s">
        <v>757</v>
      </c>
      <c r="H224" s="21"/>
      <c r="I224" s="16"/>
      <c r="J224" s="16"/>
      <c r="K224" s="16"/>
      <c r="L224" s="16"/>
      <c r="M224" s="15">
        <f t="shared" si="12"/>
        <v>6.7260273972602738</v>
      </c>
      <c r="N224" s="5">
        <v>64502</v>
      </c>
      <c r="O224" s="16"/>
      <c r="P224" s="16"/>
      <c r="Q224" s="16"/>
      <c r="R224" s="5">
        <v>66957</v>
      </c>
      <c r="T224" s="5"/>
    </row>
    <row r="225" spans="1:27" ht="18" x14ac:dyDescent="0.35">
      <c r="A225" s="6">
        <v>59</v>
      </c>
      <c r="B225" t="s">
        <v>124</v>
      </c>
      <c r="C225" s="13" t="s">
        <v>527</v>
      </c>
      <c r="D225" s="13" t="str">
        <f t="shared" si="11"/>
        <v xml:space="preserve">zfGt </v>
      </c>
      <c r="E225" s="13" t="str">
        <f t="shared" si="13"/>
        <v>yfkf</v>
      </c>
      <c r="F225" s="21" t="s">
        <v>233</v>
      </c>
      <c r="G225" s="21" t="s">
        <v>756</v>
      </c>
      <c r="H225" s="21"/>
      <c r="I225" s="16">
        <v>0</v>
      </c>
      <c r="J225" s="16">
        <v>3</v>
      </c>
      <c r="K225" s="16">
        <v>1</v>
      </c>
      <c r="L225" s="16">
        <v>2</v>
      </c>
      <c r="M225" s="15">
        <f t="shared" si="12"/>
        <v>69.665753424657538</v>
      </c>
      <c r="N225" s="5">
        <v>41529</v>
      </c>
      <c r="O225" s="16"/>
      <c r="P225" s="16"/>
      <c r="Q225" s="16"/>
      <c r="R225" s="5">
        <v>66957</v>
      </c>
      <c r="T225" s="5">
        <v>65512</v>
      </c>
      <c r="U225" s="2" t="s">
        <v>100</v>
      </c>
      <c r="V225" s="2">
        <v>2</v>
      </c>
      <c r="W225" s="2">
        <v>1</v>
      </c>
      <c r="X225" s="2">
        <v>1</v>
      </c>
      <c r="Y225" t="s">
        <v>242</v>
      </c>
      <c r="Z225" t="s">
        <v>245</v>
      </c>
      <c r="AA225" t="s">
        <v>271</v>
      </c>
    </row>
    <row r="226" spans="1:27" ht="18" x14ac:dyDescent="0.35">
      <c r="A226" s="6"/>
      <c r="C226" s="13" t="s">
        <v>528</v>
      </c>
      <c r="D226" s="13" t="str">
        <f t="shared" si="11"/>
        <v xml:space="preserve">ljgf </v>
      </c>
      <c r="E226" s="13" t="str">
        <f t="shared" si="13"/>
        <v>v8\sf</v>
      </c>
      <c r="F226" s="21" t="s">
        <v>234</v>
      </c>
      <c r="G226" s="21" t="s">
        <v>756</v>
      </c>
      <c r="H226" s="21"/>
      <c r="I226" s="16"/>
      <c r="J226" s="16"/>
      <c r="K226" s="16"/>
      <c r="L226" s="16"/>
      <c r="M226" s="15">
        <f t="shared" si="12"/>
        <v>62.005479452054793</v>
      </c>
      <c r="N226" s="5">
        <v>44325</v>
      </c>
      <c r="O226" s="16"/>
      <c r="P226" s="16"/>
      <c r="Q226" s="16"/>
      <c r="R226" s="5">
        <v>66957</v>
      </c>
      <c r="T226" s="5"/>
    </row>
    <row r="227" spans="1:27" ht="18" x14ac:dyDescent="0.35">
      <c r="A227" s="6">
        <v>60</v>
      </c>
      <c r="B227" t="s">
        <v>125</v>
      </c>
      <c r="C227" s="13" t="s">
        <v>529</v>
      </c>
      <c r="D227" s="13" t="str">
        <f t="shared" si="11"/>
        <v xml:space="preserve">gGb </v>
      </c>
      <c r="E227" s="13" t="str">
        <f t="shared" si="13"/>
        <v>k|;fb</v>
      </c>
      <c r="F227" s="21" t="s">
        <v>233</v>
      </c>
      <c r="G227" s="21" t="s">
        <v>756</v>
      </c>
      <c r="H227" s="21"/>
      <c r="I227" s="16">
        <v>0</v>
      </c>
      <c r="J227" s="16">
        <v>8</v>
      </c>
      <c r="K227" s="16">
        <v>0</v>
      </c>
      <c r="L227" s="16">
        <v>3</v>
      </c>
      <c r="M227" s="15">
        <f t="shared" si="12"/>
        <v>64.68767123287671</v>
      </c>
      <c r="N227" s="5">
        <v>43346</v>
      </c>
      <c r="O227" s="16"/>
      <c r="P227" s="16"/>
      <c r="Q227" s="16"/>
      <c r="R227" s="5">
        <v>66957</v>
      </c>
      <c r="T227" s="5">
        <v>65490</v>
      </c>
      <c r="U227" s="2" t="s">
        <v>2</v>
      </c>
      <c r="V227" s="2">
        <v>4</v>
      </c>
      <c r="W227" s="2">
        <v>3</v>
      </c>
      <c r="X227" s="2">
        <v>1</v>
      </c>
      <c r="Y227" t="s">
        <v>242</v>
      </c>
      <c r="Z227" t="s">
        <v>296</v>
      </c>
      <c r="AA227" t="s">
        <v>245</v>
      </c>
    </row>
    <row r="228" spans="1:27" ht="18" x14ac:dyDescent="0.35">
      <c r="A228" s="6"/>
      <c r="C228" s="13" t="s">
        <v>530</v>
      </c>
      <c r="D228" s="13" t="str">
        <f t="shared" si="11"/>
        <v xml:space="preserve">;ltif </v>
      </c>
      <c r="E228" s="13" t="str">
        <f t="shared" si="13"/>
        <v>k|;fb</v>
      </c>
      <c r="F228" s="21" t="s">
        <v>233</v>
      </c>
      <c r="G228" s="21" t="s">
        <v>756</v>
      </c>
      <c r="H228" s="21"/>
      <c r="I228" s="16"/>
      <c r="J228" s="16"/>
      <c r="K228" s="16"/>
      <c r="L228" s="16"/>
      <c r="M228" s="15">
        <f t="shared" si="12"/>
        <v>45.564383561643837</v>
      </c>
      <c r="N228" s="5">
        <v>50326</v>
      </c>
      <c r="O228" s="16"/>
      <c r="P228" s="16"/>
      <c r="Q228" s="16"/>
      <c r="R228" s="5">
        <v>66957</v>
      </c>
      <c r="T228" s="5"/>
    </row>
    <row r="229" spans="1:27" ht="18" x14ac:dyDescent="0.35">
      <c r="A229" s="6"/>
      <c r="C229" s="13" t="s">
        <v>531</v>
      </c>
      <c r="D229" s="13" t="str">
        <f t="shared" si="11"/>
        <v xml:space="preserve">cflzif </v>
      </c>
      <c r="E229" s="13" t="str">
        <f t="shared" si="13"/>
        <v>u'Ktf</v>
      </c>
      <c r="F229" s="21" t="s">
        <v>233</v>
      </c>
      <c r="G229" s="21" t="s">
        <v>757</v>
      </c>
      <c r="H229" s="21"/>
      <c r="I229" s="16"/>
      <c r="J229" s="16"/>
      <c r="K229" s="16"/>
      <c r="L229" s="16"/>
      <c r="M229" s="15">
        <f t="shared" si="12"/>
        <v>34.087671232876716</v>
      </c>
      <c r="N229" s="5">
        <v>54515</v>
      </c>
      <c r="O229" s="16"/>
      <c r="P229" s="16"/>
      <c r="Q229" s="16"/>
      <c r="R229" s="5">
        <v>66957</v>
      </c>
      <c r="T229" s="5"/>
    </row>
    <row r="230" spans="1:27" ht="18" x14ac:dyDescent="0.35">
      <c r="A230" s="6"/>
      <c r="C230" s="13" t="s">
        <v>532</v>
      </c>
      <c r="D230" s="13" t="str">
        <f t="shared" si="11"/>
        <v xml:space="preserve">k|ltdf </v>
      </c>
      <c r="E230" s="13" t="str">
        <f t="shared" si="13"/>
        <v>tfdf+u</v>
      </c>
      <c r="F230" s="21" t="s">
        <v>234</v>
      </c>
      <c r="G230" s="21" t="s">
        <v>756</v>
      </c>
      <c r="H230" s="21"/>
      <c r="I230" s="16"/>
      <c r="J230" s="16"/>
      <c r="K230" s="16"/>
      <c r="L230" s="16"/>
      <c r="M230" s="15">
        <f t="shared" si="12"/>
        <v>32.646575342465752</v>
      </c>
      <c r="N230" s="5">
        <v>55041</v>
      </c>
      <c r="O230" s="16"/>
      <c r="P230" s="16"/>
      <c r="Q230" s="16"/>
      <c r="R230" s="5">
        <v>66957</v>
      </c>
      <c r="T230" s="5"/>
    </row>
    <row r="231" spans="1:27" ht="18" x14ac:dyDescent="0.35">
      <c r="A231" s="6">
        <v>61</v>
      </c>
      <c r="B231" t="s">
        <v>126</v>
      </c>
      <c r="C231" s="13" t="s">
        <v>533</v>
      </c>
      <c r="D231" s="13" t="str">
        <f t="shared" si="11"/>
        <v xml:space="preserve">ld¶f/fd </v>
      </c>
      <c r="E231" s="13" t="str">
        <f t="shared" si="13"/>
        <v>v8\sf</v>
      </c>
      <c r="F231" s="21" t="s">
        <v>233</v>
      </c>
      <c r="G231" s="21" t="s">
        <v>756</v>
      </c>
      <c r="H231" s="21"/>
      <c r="I231" s="16">
        <v>1</v>
      </c>
      <c r="J231" s="16">
        <v>4</v>
      </c>
      <c r="K231" s="16">
        <v>0</v>
      </c>
      <c r="L231" s="16">
        <v>0</v>
      </c>
      <c r="M231" s="15">
        <f t="shared" si="12"/>
        <v>44.005479452054793</v>
      </c>
      <c r="N231" s="5">
        <v>50895</v>
      </c>
      <c r="O231" s="16"/>
      <c r="P231" s="16"/>
      <c r="Q231" s="16"/>
      <c r="R231" s="5">
        <v>66957</v>
      </c>
      <c r="T231" s="5">
        <v>65479</v>
      </c>
      <c r="U231" s="2" t="s">
        <v>2</v>
      </c>
      <c r="V231" s="2">
        <v>4</v>
      </c>
      <c r="W231" s="2">
        <v>3</v>
      </c>
      <c r="X231" s="2">
        <v>1</v>
      </c>
      <c r="Y231" t="s">
        <v>242</v>
      </c>
      <c r="Z231" t="s">
        <v>294</v>
      </c>
      <c r="AA231" t="s">
        <v>245</v>
      </c>
    </row>
    <row r="232" spans="1:27" ht="18" x14ac:dyDescent="0.35">
      <c r="A232" s="6"/>
      <c r="C232" s="13" t="s">
        <v>534</v>
      </c>
      <c r="D232" s="13" t="str">
        <f t="shared" si="11"/>
        <v xml:space="preserve">cg' </v>
      </c>
      <c r="E232" s="13" t="str">
        <f t="shared" si="13"/>
        <v>/f]Ssf</v>
      </c>
      <c r="F232" s="21" t="s">
        <v>234</v>
      </c>
      <c r="G232" s="21" t="s">
        <v>757</v>
      </c>
      <c r="H232" s="21"/>
      <c r="I232" s="16"/>
      <c r="J232" s="16"/>
      <c r="K232" s="16"/>
      <c r="L232" s="16"/>
      <c r="M232" s="15">
        <f t="shared" si="12"/>
        <v>22.80821917808219</v>
      </c>
      <c r="N232" s="5">
        <v>58632</v>
      </c>
      <c r="O232" s="16"/>
      <c r="P232" s="16"/>
      <c r="Q232" s="16"/>
      <c r="R232" s="5">
        <v>66957</v>
      </c>
      <c r="T232" s="5"/>
    </row>
    <row r="233" spans="1:27" ht="18" x14ac:dyDescent="0.35">
      <c r="A233" s="6"/>
      <c r="C233" s="13" t="s">
        <v>535</v>
      </c>
      <c r="D233" s="13" t="str">
        <f t="shared" si="11"/>
        <v xml:space="preserve">slkn </v>
      </c>
      <c r="E233" s="13" t="str">
        <f t="shared" si="13"/>
        <v>v8\sf</v>
      </c>
      <c r="F233" s="21" t="s">
        <v>233</v>
      </c>
      <c r="G233" s="21" t="s">
        <v>757</v>
      </c>
      <c r="H233" s="21"/>
      <c r="I233" s="16"/>
      <c r="J233" s="16"/>
      <c r="K233" s="16"/>
      <c r="L233" s="16"/>
      <c r="M233" s="15">
        <f t="shared" si="12"/>
        <v>20.6</v>
      </c>
      <c r="N233" s="5">
        <v>59438</v>
      </c>
      <c r="O233" s="16"/>
      <c r="P233" s="16"/>
      <c r="Q233" s="16"/>
      <c r="R233" s="5">
        <v>66957</v>
      </c>
      <c r="T233" s="5"/>
    </row>
    <row r="234" spans="1:27" ht="18" x14ac:dyDescent="0.35">
      <c r="A234" s="6"/>
      <c r="C234" s="13" t="s">
        <v>536</v>
      </c>
      <c r="D234" s="13" t="str">
        <f t="shared" si="11"/>
        <v xml:space="preserve">;'hn </v>
      </c>
      <c r="E234" s="13" t="str">
        <f t="shared" si="13"/>
        <v>v8\sf</v>
      </c>
      <c r="F234" s="21" t="s">
        <v>233</v>
      </c>
      <c r="G234" s="21" t="s">
        <v>756</v>
      </c>
      <c r="H234" s="21"/>
      <c r="I234" s="16"/>
      <c r="J234" s="16"/>
      <c r="K234" s="16"/>
      <c r="L234" s="16"/>
      <c r="M234" s="15">
        <f t="shared" si="12"/>
        <v>46.893150684931506</v>
      </c>
      <c r="N234" s="5">
        <v>49841</v>
      </c>
      <c r="O234" s="16"/>
      <c r="P234" s="16"/>
      <c r="Q234" s="16"/>
      <c r="R234" s="5">
        <v>66957</v>
      </c>
      <c r="T234" s="5"/>
    </row>
    <row r="235" spans="1:27" ht="18" x14ac:dyDescent="0.35">
      <c r="A235" s="6">
        <v>62</v>
      </c>
      <c r="B235" t="s">
        <v>127</v>
      </c>
      <c r="C235" s="13" t="s">
        <v>537</v>
      </c>
      <c r="D235" s="13" t="str">
        <f t="shared" si="11"/>
        <v xml:space="preserve">gf/fo0f </v>
      </c>
      <c r="E235" s="13" t="str">
        <f t="shared" si="13"/>
        <v>v8\sf</v>
      </c>
      <c r="F235" s="21" t="s">
        <v>233</v>
      </c>
      <c r="G235" s="21" t="s">
        <v>756</v>
      </c>
      <c r="H235" s="21"/>
      <c r="I235" s="16">
        <v>1</v>
      </c>
      <c r="J235" s="16">
        <v>13</v>
      </c>
      <c r="K235" s="16">
        <v>0</v>
      </c>
      <c r="L235" s="16">
        <v>0</v>
      </c>
      <c r="M235" s="15">
        <f t="shared" si="12"/>
        <v>44.205479452054796</v>
      </c>
      <c r="N235" s="5">
        <v>50822</v>
      </c>
      <c r="O235" s="16"/>
      <c r="P235" s="16"/>
      <c r="Q235" s="16"/>
      <c r="R235" s="5">
        <v>66957</v>
      </c>
      <c r="T235" s="5">
        <v>65478</v>
      </c>
      <c r="U235" s="2" t="s">
        <v>2</v>
      </c>
      <c r="V235" s="2">
        <v>4</v>
      </c>
      <c r="W235" s="2">
        <v>3</v>
      </c>
      <c r="X235" s="2">
        <v>1</v>
      </c>
      <c r="Y235" t="s">
        <v>242</v>
      </c>
      <c r="Z235" t="s">
        <v>294</v>
      </c>
      <c r="AA235" t="s">
        <v>245</v>
      </c>
    </row>
    <row r="236" spans="1:27" ht="18" x14ac:dyDescent="0.35">
      <c r="A236" s="6"/>
      <c r="C236" s="13" t="s">
        <v>538</v>
      </c>
      <c r="D236" s="13" t="str">
        <f t="shared" si="11"/>
        <v xml:space="preserve">;fg' </v>
      </c>
      <c r="E236" s="13" t="str">
        <f t="shared" si="13"/>
        <v>v8\sf</v>
      </c>
      <c r="F236" s="21" t="s">
        <v>234</v>
      </c>
      <c r="G236" s="21" t="s">
        <v>756</v>
      </c>
      <c r="H236" s="21"/>
      <c r="I236" s="16"/>
      <c r="J236" s="16"/>
      <c r="K236" s="16"/>
      <c r="L236" s="16"/>
      <c r="M236" s="15">
        <f t="shared" si="12"/>
        <v>48.18904109589041</v>
      </c>
      <c r="N236" s="5">
        <v>49368</v>
      </c>
      <c r="O236" s="16"/>
      <c r="P236" s="16"/>
      <c r="Q236" s="16"/>
      <c r="R236" s="5">
        <v>66957</v>
      </c>
      <c r="T236" s="5"/>
    </row>
    <row r="237" spans="1:27" ht="18" x14ac:dyDescent="0.35">
      <c r="A237" s="6"/>
      <c r="C237" s="13" t="s">
        <v>539</v>
      </c>
      <c r="D237" s="13" t="str">
        <f t="shared" si="11"/>
        <v xml:space="preserve">;fu/ </v>
      </c>
      <c r="E237" s="13" t="str">
        <f t="shared" si="13"/>
        <v>v8\sf</v>
      </c>
      <c r="F237" s="21" t="s">
        <v>233</v>
      </c>
      <c r="G237" s="21" t="s">
        <v>757</v>
      </c>
      <c r="H237" s="21"/>
      <c r="I237" s="16"/>
      <c r="J237" s="16"/>
      <c r="K237" s="16"/>
      <c r="L237" s="16"/>
      <c r="M237" s="15">
        <f t="shared" si="12"/>
        <v>27.627397260273973</v>
      </c>
      <c r="N237" s="5">
        <v>56873</v>
      </c>
      <c r="O237" s="16"/>
      <c r="P237" s="16"/>
      <c r="Q237" s="16"/>
      <c r="R237" s="5">
        <v>66957</v>
      </c>
      <c r="T237" s="5"/>
    </row>
    <row r="238" spans="1:27" ht="18" x14ac:dyDescent="0.35">
      <c r="A238" s="6"/>
      <c r="C238" s="13" t="s">
        <v>540</v>
      </c>
      <c r="D238" s="13" t="str">
        <f t="shared" si="11"/>
        <v xml:space="preserve">;fhg </v>
      </c>
      <c r="E238" s="13" t="str">
        <f t="shared" si="13"/>
        <v>v8\sf</v>
      </c>
      <c r="F238" s="21" t="s">
        <v>233</v>
      </c>
      <c r="G238" s="21" t="s">
        <v>757</v>
      </c>
      <c r="H238" s="21"/>
      <c r="I238" s="16"/>
      <c r="J238" s="16"/>
      <c r="K238" s="16"/>
      <c r="L238" s="16"/>
      <c r="M238" s="15">
        <f t="shared" si="12"/>
        <v>21.238356164383561</v>
      </c>
      <c r="N238" s="5">
        <v>59205</v>
      </c>
      <c r="O238" s="16"/>
      <c r="P238" s="16"/>
      <c r="Q238" s="16"/>
      <c r="R238" s="5">
        <v>66957</v>
      </c>
      <c r="T238" s="5"/>
    </row>
    <row r="239" spans="1:27" ht="18" x14ac:dyDescent="0.35">
      <c r="A239" s="6">
        <v>63</v>
      </c>
      <c r="B239" t="s">
        <v>128</v>
      </c>
      <c r="C239" s="13" t="s">
        <v>541</v>
      </c>
      <c r="D239" s="13" t="str">
        <f t="shared" si="11"/>
        <v xml:space="preserve">?b| </v>
      </c>
      <c r="E239" s="13" t="str">
        <f t="shared" si="13"/>
        <v>sfsL{</v>
      </c>
      <c r="F239" s="21" t="s">
        <v>233</v>
      </c>
      <c r="G239" s="21" t="s">
        <v>756</v>
      </c>
      <c r="H239" s="21"/>
      <c r="I239" s="16">
        <v>6</v>
      </c>
      <c r="J239" s="16">
        <v>12</v>
      </c>
      <c r="K239" s="16">
        <v>3</v>
      </c>
      <c r="L239" s="16">
        <v>2</v>
      </c>
      <c r="M239" s="15">
        <f t="shared" si="12"/>
        <v>57.484931506849314</v>
      </c>
      <c r="N239" s="5">
        <v>45975</v>
      </c>
      <c r="O239" s="16"/>
      <c r="P239" s="16"/>
      <c r="Q239" s="16"/>
      <c r="R239" s="5">
        <v>66957</v>
      </c>
      <c r="T239" s="5">
        <v>65466</v>
      </c>
      <c r="U239" s="2" t="s">
        <v>2</v>
      </c>
      <c r="V239" s="2">
        <v>4</v>
      </c>
      <c r="W239" s="2">
        <v>1</v>
      </c>
      <c r="X239" s="2">
        <v>3</v>
      </c>
      <c r="Y239" t="s">
        <v>242</v>
      </c>
      <c r="Z239" t="s">
        <v>311</v>
      </c>
      <c r="AA239" t="s">
        <v>245</v>
      </c>
    </row>
    <row r="240" spans="1:27" ht="18" x14ac:dyDescent="0.35">
      <c r="A240" s="6"/>
      <c r="C240" s="13" t="s">
        <v>542</v>
      </c>
      <c r="D240" s="13" t="str">
        <f t="shared" si="11"/>
        <v xml:space="preserve">rGb| </v>
      </c>
      <c r="E240" s="13" t="str">
        <f t="shared" si="13"/>
        <v>sfsL{</v>
      </c>
      <c r="F240" s="21" t="s">
        <v>234</v>
      </c>
      <c r="G240" s="21" t="s">
        <v>756</v>
      </c>
      <c r="H240" s="21"/>
      <c r="I240" s="16"/>
      <c r="J240" s="16"/>
      <c r="K240" s="16"/>
      <c r="L240" s="16"/>
      <c r="M240" s="15">
        <f t="shared" si="12"/>
        <v>42.726027397260275</v>
      </c>
      <c r="N240" s="5">
        <v>51362</v>
      </c>
      <c r="O240" s="16"/>
      <c r="P240" s="16"/>
      <c r="Q240" s="16"/>
      <c r="R240" s="5">
        <v>66957</v>
      </c>
      <c r="T240" s="5"/>
    </row>
    <row r="241" spans="1:27" ht="18" x14ac:dyDescent="0.35">
      <c r="A241" s="6"/>
      <c r="C241" s="13" t="s">
        <v>543</v>
      </c>
      <c r="D241" s="13" t="str">
        <f t="shared" si="11"/>
        <v xml:space="preserve">d]; </v>
      </c>
      <c r="E241" s="13" t="str">
        <f t="shared" si="13"/>
        <v>sfsL{</v>
      </c>
      <c r="F241" s="21" t="s">
        <v>234</v>
      </c>
      <c r="G241" s="21" t="s">
        <v>757</v>
      </c>
      <c r="H241" s="21"/>
      <c r="I241" s="16"/>
      <c r="J241" s="16"/>
      <c r="K241" s="16"/>
      <c r="L241" s="16"/>
      <c r="M241" s="15">
        <f t="shared" si="12"/>
        <v>21.92876712328767</v>
      </c>
      <c r="N241" s="5">
        <v>58953</v>
      </c>
      <c r="O241" s="16"/>
      <c r="P241" s="16"/>
      <c r="Q241" s="16"/>
      <c r="R241" s="5">
        <v>66957</v>
      </c>
      <c r="T241" s="5"/>
    </row>
    <row r="242" spans="1:27" ht="18" x14ac:dyDescent="0.35">
      <c r="A242" s="6"/>
      <c r="C242" s="13" t="s">
        <v>544</v>
      </c>
      <c r="D242" s="13" t="str">
        <f t="shared" si="11"/>
        <v xml:space="preserve">l6sf </v>
      </c>
      <c r="E242" s="13" t="str">
        <f t="shared" si="13"/>
        <v>sfsL{</v>
      </c>
      <c r="F242" s="21" t="s">
        <v>234</v>
      </c>
      <c r="G242" s="21" t="s">
        <v>757</v>
      </c>
      <c r="H242" s="21"/>
      <c r="I242" s="16"/>
      <c r="J242" s="16"/>
      <c r="K242" s="16"/>
      <c r="L242" s="16"/>
      <c r="M242" s="15">
        <f t="shared" si="12"/>
        <v>19.073972602739726</v>
      </c>
      <c r="N242" s="5">
        <v>59995</v>
      </c>
      <c r="O242" s="16"/>
      <c r="P242" s="16"/>
      <c r="Q242" s="16"/>
      <c r="R242" s="5">
        <v>66957</v>
      </c>
      <c r="T242" s="5"/>
    </row>
    <row r="243" spans="1:27" ht="18" x14ac:dyDescent="0.35">
      <c r="A243" s="6">
        <v>64</v>
      </c>
      <c r="B243" t="s">
        <v>129</v>
      </c>
      <c r="C243" s="13" t="s">
        <v>545</v>
      </c>
      <c r="D243" s="13" t="str">
        <f t="shared" si="11"/>
        <v xml:space="preserve">cf]d </v>
      </c>
      <c r="E243" s="13" t="str">
        <f t="shared" si="13"/>
        <v>e08f/L</v>
      </c>
      <c r="F243" s="21" t="s">
        <v>233</v>
      </c>
      <c r="G243" s="21" t="s">
        <v>756</v>
      </c>
      <c r="H243" s="21"/>
      <c r="I243" s="16">
        <v>0</v>
      </c>
      <c r="J243" s="16">
        <v>4</v>
      </c>
      <c r="K243" s="16">
        <v>1</v>
      </c>
      <c r="L243" s="16">
        <v>0</v>
      </c>
      <c r="M243" s="15">
        <f t="shared" si="12"/>
        <v>62.42739726027397</v>
      </c>
      <c r="N243" s="5">
        <v>44171</v>
      </c>
      <c r="O243" s="16"/>
      <c r="P243" s="16"/>
      <c r="Q243" s="16"/>
      <c r="R243" s="5">
        <v>66957</v>
      </c>
      <c r="T243" s="5">
        <v>65447</v>
      </c>
      <c r="U243" s="2" t="s">
        <v>2</v>
      </c>
      <c r="V243" s="2">
        <v>5</v>
      </c>
      <c r="W243" s="2">
        <v>3</v>
      </c>
      <c r="X243" s="2">
        <v>2</v>
      </c>
      <c r="Y243" t="s">
        <v>239</v>
      </c>
      <c r="Z243" t="s">
        <v>300</v>
      </c>
      <c r="AA243" t="s">
        <v>245</v>
      </c>
    </row>
    <row r="244" spans="1:27" ht="18" x14ac:dyDescent="0.35">
      <c r="A244" s="6"/>
      <c r="C244" s="13" t="s">
        <v>546</v>
      </c>
      <c r="D244" s="13" t="str">
        <f t="shared" si="11"/>
        <v xml:space="preserve">nLnf </v>
      </c>
      <c r="E244" s="13" t="str">
        <f t="shared" si="13"/>
        <v>e08f/L</v>
      </c>
      <c r="F244" s="21" t="s">
        <v>234</v>
      </c>
      <c r="G244" s="21" t="s">
        <v>756</v>
      </c>
      <c r="H244" s="21"/>
      <c r="I244" s="16"/>
      <c r="J244" s="16"/>
      <c r="K244" s="16"/>
      <c r="L244" s="16"/>
      <c r="M244" s="15">
        <f t="shared" si="12"/>
        <v>53.361643835616441</v>
      </c>
      <c r="N244" s="5">
        <v>47480</v>
      </c>
      <c r="O244" s="16"/>
      <c r="P244" s="16"/>
      <c r="Q244" s="16"/>
      <c r="R244" s="5">
        <v>66957</v>
      </c>
      <c r="T244" s="5"/>
    </row>
    <row r="245" spans="1:27" ht="18" x14ac:dyDescent="0.35">
      <c r="A245" s="6"/>
      <c r="C245" s="13" t="s">
        <v>547</v>
      </c>
      <c r="D245" s="13" t="str">
        <f t="shared" si="11"/>
        <v xml:space="preserve">s]zj </v>
      </c>
      <c r="E245" s="13" t="str">
        <f t="shared" si="13"/>
        <v>e08f/L</v>
      </c>
      <c r="F245" s="21" t="s">
        <v>233</v>
      </c>
      <c r="G245" s="21" t="s">
        <v>756</v>
      </c>
      <c r="H245" s="21"/>
      <c r="I245" s="16"/>
      <c r="J245" s="16"/>
      <c r="K245" s="16"/>
      <c r="L245" s="16"/>
      <c r="M245" s="15">
        <f t="shared" si="12"/>
        <v>35.005479452054793</v>
      </c>
      <c r="N245" s="5">
        <v>54180</v>
      </c>
      <c r="O245" s="16"/>
      <c r="P245" s="16"/>
      <c r="Q245" s="16"/>
      <c r="R245" s="5">
        <v>66957</v>
      </c>
      <c r="T245" s="5"/>
    </row>
    <row r="246" spans="1:27" ht="18" x14ac:dyDescent="0.35">
      <c r="A246" s="6"/>
      <c r="C246" s="13" t="s">
        <v>548</v>
      </c>
      <c r="D246" s="13" t="str">
        <f t="shared" si="11"/>
        <v xml:space="preserve">cflzif </v>
      </c>
      <c r="E246" s="13" t="str">
        <f t="shared" si="13"/>
        <v>e08f/L</v>
      </c>
      <c r="F246" s="21" t="s">
        <v>233</v>
      </c>
      <c r="G246" s="21" t="s">
        <v>757</v>
      </c>
      <c r="H246" s="21"/>
      <c r="I246" s="16"/>
      <c r="J246" s="16"/>
      <c r="K246" s="16"/>
      <c r="L246" s="16"/>
      <c r="M246" s="15">
        <f t="shared" si="12"/>
        <v>28.906849315068492</v>
      </c>
      <c r="N246" s="5">
        <v>56406</v>
      </c>
      <c r="O246" s="16"/>
      <c r="P246" s="16"/>
      <c r="Q246" s="16"/>
      <c r="R246" s="5">
        <v>66957</v>
      </c>
      <c r="T246" s="5"/>
    </row>
    <row r="247" spans="1:27" ht="18" x14ac:dyDescent="0.35">
      <c r="A247" s="6"/>
      <c r="C247" s="13" t="s">
        <v>549</v>
      </c>
      <c r="D247" s="13" t="str">
        <f t="shared" si="11"/>
        <v xml:space="preserve">dlgiff </v>
      </c>
      <c r="E247" s="13" t="str">
        <f t="shared" si="13"/>
        <v>s]=;L</v>
      </c>
      <c r="F247" s="21" t="s">
        <v>234</v>
      </c>
      <c r="G247" s="21" t="s">
        <v>756</v>
      </c>
      <c r="H247" s="21"/>
      <c r="I247" s="16"/>
      <c r="J247" s="16"/>
      <c r="K247" s="16"/>
      <c r="L247" s="16"/>
      <c r="M247" s="15">
        <f t="shared" si="12"/>
        <v>34.463013698630135</v>
      </c>
      <c r="N247" s="5">
        <v>54378</v>
      </c>
      <c r="O247" s="16"/>
      <c r="P247" s="16"/>
      <c r="Q247" s="16"/>
      <c r="R247" s="5">
        <v>66957</v>
      </c>
      <c r="T247" s="5"/>
    </row>
    <row r="248" spans="1:27" ht="18" x14ac:dyDescent="0.35">
      <c r="A248" s="6">
        <v>65</v>
      </c>
      <c r="B248" t="s">
        <v>130</v>
      </c>
      <c r="C248" s="13" t="s">
        <v>550</v>
      </c>
      <c r="D248" s="13" t="str">
        <f t="shared" si="11"/>
        <v xml:space="preserve">Zofd </v>
      </c>
      <c r="E248" s="13" t="str">
        <f t="shared" si="13"/>
        <v>du/</v>
      </c>
      <c r="F248" s="21" t="s">
        <v>233</v>
      </c>
      <c r="G248" s="21" t="s">
        <v>756</v>
      </c>
      <c r="H248" s="21"/>
      <c r="I248" s="16">
        <v>0</v>
      </c>
      <c r="J248" s="16">
        <v>8</v>
      </c>
      <c r="K248" s="16">
        <v>0</v>
      </c>
      <c r="L248" s="16">
        <v>0</v>
      </c>
      <c r="M248" s="15">
        <f t="shared" si="12"/>
        <v>47.742465753424661</v>
      </c>
      <c r="N248" s="5">
        <v>49531</v>
      </c>
      <c r="O248" s="16"/>
      <c r="P248" s="16"/>
      <c r="Q248" s="16"/>
      <c r="R248" s="5">
        <v>66957</v>
      </c>
      <c r="T248" s="5">
        <v>65440</v>
      </c>
      <c r="U248" s="2" t="s">
        <v>2</v>
      </c>
      <c r="V248" s="2">
        <v>6</v>
      </c>
      <c r="W248" s="2">
        <v>2</v>
      </c>
      <c r="X248" s="2">
        <v>4</v>
      </c>
      <c r="Y248" t="s">
        <v>242</v>
      </c>
      <c r="Z248" t="s">
        <v>252</v>
      </c>
      <c r="AA248" t="s">
        <v>245</v>
      </c>
    </row>
    <row r="249" spans="1:27" ht="18" x14ac:dyDescent="0.35">
      <c r="A249" s="6"/>
      <c r="C249" s="13" t="s">
        <v>551</v>
      </c>
      <c r="D249" s="13" t="str">
        <f t="shared" si="11"/>
        <v xml:space="preserve">sNkgf </v>
      </c>
      <c r="E249" s="13" t="str">
        <f t="shared" si="13"/>
        <v>du/</v>
      </c>
      <c r="F249" s="21" t="s">
        <v>234</v>
      </c>
      <c r="G249" s="21" t="s">
        <v>756</v>
      </c>
      <c r="H249" s="21"/>
      <c r="I249" s="16"/>
      <c r="J249" s="16"/>
      <c r="K249" s="16"/>
      <c r="L249" s="16"/>
      <c r="M249" s="15">
        <f t="shared" si="12"/>
        <v>44.021917808219179</v>
      </c>
      <c r="N249" s="5">
        <v>50889</v>
      </c>
      <c r="O249" s="16"/>
      <c r="P249" s="16"/>
      <c r="Q249" s="16"/>
      <c r="R249" s="5">
        <v>66957</v>
      </c>
      <c r="T249" s="5"/>
    </row>
    <row r="250" spans="1:27" ht="18" x14ac:dyDescent="0.35">
      <c r="A250" s="6"/>
      <c r="C250" s="13" t="s">
        <v>552</v>
      </c>
      <c r="D250" s="13" t="str">
        <f t="shared" si="11"/>
        <v xml:space="preserve">;+ho </v>
      </c>
      <c r="E250" s="13" t="str">
        <f t="shared" si="13"/>
        <v>du/</v>
      </c>
      <c r="F250" s="21" t="s">
        <v>233</v>
      </c>
      <c r="G250" s="21" t="s">
        <v>756</v>
      </c>
      <c r="H250" s="21"/>
      <c r="I250" s="16"/>
      <c r="J250" s="16"/>
      <c r="K250" s="16"/>
      <c r="L250" s="16"/>
      <c r="M250" s="15">
        <f t="shared" si="12"/>
        <v>32.131506849315066</v>
      </c>
      <c r="N250" s="5">
        <v>55229</v>
      </c>
      <c r="O250" s="16"/>
      <c r="P250" s="16"/>
      <c r="Q250" s="16"/>
      <c r="R250" s="5">
        <v>66957</v>
      </c>
      <c r="T250" s="5"/>
    </row>
    <row r="251" spans="1:27" ht="18" x14ac:dyDescent="0.35">
      <c r="A251" s="6"/>
      <c r="C251" s="13" t="s">
        <v>553</v>
      </c>
      <c r="D251" s="13" t="str">
        <f t="shared" si="11"/>
        <v xml:space="preserve">k'ikf </v>
      </c>
      <c r="E251" s="13" t="str">
        <f t="shared" si="13"/>
        <v>kf7s</v>
      </c>
      <c r="F251" s="21" t="s">
        <v>234</v>
      </c>
      <c r="G251" s="21" t="s">
        <v>756</v>
      </c>
      <c r="H251" s="21"/>
      <c r="I251" s="16"/>
      <c r="J251" s="16"/>
      <c r="K251" s="16"/>
      <c r="L251" s="16"/>
      <c r="M251" s="15">
        <f t="shared" si="12"/>
        <v>33.635616438356166</v>
      </c>
      <c r="N251" s="5">
        <v>54680</v>
      </c>
      <c r="O251" s="16"/>
      <c r="P251" s="16"/>
      <c r="Q251" s="16"/>
      <c r="R251" s="5">
        <v>66957</v>
      </c>
      <c r="T251" s="5"/>
    </row>
    <row r="252" spans="1:27" ht="18" x14ac:dyDescent="0.35">
      <c r="A252" s="6"/>
      <c r="C252" s="13" t="s">
        <v>554</v>
      </c>
      <c r="D252" s="13" t="str">
        <f t="shared" si="11"/>
        <v xml:space="preserve">;ofg </v>
      </c>
      <c r="E252" s="13" t="str">
        <f t="shared" si="13"/>
        <v>du/</v>
      </c>
      <c r="F252" s="21" t="s">
        <v>234</v>
      </c>
      <c r="G252" s="21" t="s">
        <v>757</v>
      </c>
      <c r="H252" s="21"/>
      <c r="I252" s="16"/>
      <c r="J252" s="16"/>
      <c r="K252" s="16"/>
      <c r="L252" s="16"/>
      <c r="M252" s="15">
        <f t="shared" si="12"/>
        <v>11.112328767123287</v>
      </c>
      <c r="N252" s="5">
        <v>62901</v>
      </c>
      <c r="O252" s="16"/>
      <c r="P252" s="16"/>
      <c r="Q252" s="16"/>
      <c r="R252" s="5">
        <v>66957</v>
      </c>
      <c r="T252" s="5"/>
    </row>
    <row r="253" spans="1:27" ht="18" x14ac:dyDescent="0.35">
      <c r="A253" s="6"/>
      <c r="C253" s="13" t="s">
        <v>555</v>
      </c>
      <c r="D253" s="13" t="str">
        <f t="shared" si="11"/>
        <v xml:space="preserve">;fOdf]g </v>
      </c>
      <c r="E253" s="13" t="str">
        <f t="shared" si="13"/>
        <v>du/</v>
      </c>
      <c r="F253" s="21" t="s">
        <v>234</v>
      </c>
      <c r="G253" s="21" t="s">
        <v>757</v>
      </c>
      <c r="H253" s="21"/>
      <c r="I253" s="16"/>
      <c r="J253" s="16"/>
      <c r="K253" s="16"/>
      <c r="L253" s="16"/>
      <c r="M253" s="15">
        <f t="shared" si="12"/>
        <v>6.6986301369863011</v>
      </c>
      <c r="N253" s="5">
        <v>64512</v>
      </c>
      <c r="O253" s="16"/>
      <c r="P253" s="16"/>
      <c r="Q253" s="16"/>
      <c r="R253" s="5">
        <v>66957</v>
      </c>
      <c r="T253" s="5"/>
    </row>
    <row r="254" spans="1:27" ht="18" x14ac:dyDescent="0.35">
      <c r="A254" s="6">
        <v>66</v>
      </c>
      <c r="B254" t="s">
        <v>131</v>
      </c>
      <c r="C254" s="13" t="s">
        <v>556</v>
      </c>
      <c r="D254" s="13" t="str">
        <f t="shared" si="11"/>
        <v xml:space="preserve">nfn </v>
      </c>
      <c r="E254" s="13" t="str">
        <f t="shared" si="13"/>
        <v>s8]n</v>
      </c>
      <c r="F254" s="21" t="s">
        <v>233</v>
      </c>
      <c r="G254" s="21" t="s">
        <v>756</v>
      </c>
      <c r="H254" s="21"/>
      <c r="I254" s="16" t="s">
        <v>748</v>
      </c>
      <c r="J254" s="16" t="s">
        <v>748</v>
      </c>
      <c r="K254" s="16" t="s">
        <v>748</v>
      </c>
      <c r="L254" s="16" t="s">
        <v>748</v>
      </c>
      <c r="M254" s="15">
        <f t="shared" si="12"/>
        <v>61.276712328767125</v>
      </c>
      <c r="N254" s="5">
        <v>44591</v>
      </c>
      <c r="O254" s="16"/>
      <c r="P254" s="16"/>
      <c r="Q254" s="16"/>
      <c r="R254" s="5">
        <v>66957</v>
      </c>
      <c r="T254" s="5">
        <v>65369</v>
      </c>
      <c r="U254" s="2" t="s">
        <v>2</v>
      </c>
      <c r="V254" s="2">
        <v>3</v>
      </c>
      <c r="W254" s="2">
        <v>2</v>
      </c>
      <c r="X254" s="2">
        <v>1</v>
      </c>
      <c r="Y254" t="s">
        <v>242</v>
      </c>
      <c r="Z254" t="s">
        <v>292</v>
      </c>
      <c r="AA254" t="s">
        <v>245</v>
      </c>
    </row>
    <row r="255" spans="1:27" ht="18" x14ac:dyDescent="0.35">
      <c r="A255" s="6"/>
      <c r="C255" s="13" t="s">
        <v>557</v>
      </c>
      <c r="D255" s="13" t="str">
        <f t="shared" si="11"/>
        <v xml:space="preserve">1fgs'df/L </v>
      </c>
      <c r="E255" s="13" t="str">
        <f t="shared" si="13"/>
        <v>s8]n</v>
      </c>
      <c r="F255" s="21" t="s">
        <v>234</v>
      </c>
      <c r="G255" s="21" t="s">
        <v>756</v>
      </c>
      <c r="H255" s="21"/>
      <c r="I255" s="16"/>
      <c r="J255" s="16"/>
      <c r="K255" s="16"/>
      <c r="L255" s="16"/>
      <c r="M255" s="15">
        <f t="shared" si="12"/>
        <v>56.18904109589041</v>
      </c>
      <c r="N255" s="5">
        <v>46448</v>
      </c>
      <c r="O255" s="16"/>
      <c r="P255" s="16"/>
      <c r="Q255" s="16"/>
      <c r="R255" s="5">
        <v>66957</v>
      </c>
      <c r="T255" s="5"/>
    </row>
    <row r="256" spans="1:27" ht="18" x14ac:dyDescent="0.35">
      <c r="A256" s="6"/>
      <c r="C256" s="13" t="s">
        <v>558</v>
      </c>
      <c r="D256" s="13" t="str">
        <f t="shared" si="11"/>
        <v xml:space="preserve">?xg </v>
      </c>
      <c r="E256" s="13" t="str">
        <f t="shared" si="13"/>
        <v>s8]n</v>
      </c>
      <c r="F256" s="21" t="s">
        <v>233</v>
      </c>
      <c r="G256" s="21" t="s">
        <v>757</v>
      </c>
      <c r="H256" s="21"/>
      <c r="I256" s="16"/>
      <c r="J256" s="16"/>
      <c r="K256" s="16"/>
      <c r="L256" s="16"/>
      <c r="M256" s="15">
        <f t="shared" si="12"/>
        <v>35.832876712328769</v>
      </c>
      <c r="N256" s="5">
        <v>53878</v>
      </c>
      <c r="O256" s="16"/>
      <c r="P256" s="16"/>
      <c r="Q256" s="16"/>
      <c r="R256" s="5">
        <v>66957</v>
      </c>
      <c r="T256" s="5"/>
    </row>
    <row r="257" spans="1:27" ht="18" x14ac:dyDescent="0.35">
      <c r="A257" s="6">
        <v>67</v>
      </c>
      <c r="B257" t="s">
        <v>132</v>
      </c>
      <c r="C257" s="13" t="s">
        <v>559</v>
      </c>
      <c r="D257" s="13" t="str">
        <f t="shared" si="11"/>
        <v xml:space="preserve">clDasf </v>
      </c>
      <c r="E257" s="13" t="str">
        <f t="shared" si="13"/>
        <v>yfkf</v>
      </c>
      <c r="F257" s="21" t="s">
        <v>234</v>
      </c>
      <c r="G257" s="21" t="s">
        <v>756</v>
      </c>
      <c r="H257" s="21"/>
      <c r="I257" s="16">
        <v>0</v>
      </c>
      <c r="J257" s="16">
        <v>3</v>
      </c>
      <c r="K257" s="16">
        <v>0</v>
      </c>
      <c r="L257" s="16">
        <v>0</v>
      </c>
      <c r="M257" s="15">
        <f t="shared" si="12"/>
        <v>38.991780821917807</v>
      </c>
      <c r="N257" s="5">
        <v>52725</v>
      </c>
      <c r="O257" s="16"/>
      <c r="P257" s="16"/>
      <c r="Q257" s="16"/>
      <c r="R257" s="5">
        <v>66957</v>
      </c>
      <c r="T257" s="5">
        <v>65366</v>
      </c>
      <c r="U257" s="2" t="s">
        <v>2</v>
      </c>
      <c r="V257" s="2">
        <v>4</v>
      </c>
      <c r="W257" s="2">
        <f>V257-X257</f>
        <v>2</v>
      </c>
      <c r="X257" s="2">
        <v>2</v>
      </c>
      <c r="Y257" t="s">
        <v>242</v>
      </c>
      <c r="Z257" t="s">
        <v>235</v>
      </c>
      <c r="AA257" t="s">
        <v>245</v>
      </c>
    </row>
    <row r="258" spans="1:27" ht="18" x14ac:dyDescent="0.35">
      <c r="A258" s="6"/>
      <c r="C258" s="13" t="s">
        <v>560</v>
      </c>
      <c r="D258" s="13" t="str">
        <f t="shared" si="11"/>
        <v xml:space="preserve">lqk]Gb| </v>
      </c>
      <c r="E258" s="13" t="str">
        <f t="shared" si="13"/>
        <v>If]qL</v>
      </c>
      <c r="F258" s="21" t="s">
        <v>233</v>
      </c>
      <c r="G258" s="21" t="s">
        <v>756</v>
      </c>
      <c r="H258" s="21"/>
      <c r="I258" s="16"/>
      <c r="J258" s="16"/>
      <c r="K258" s="16"/>
      <c r="L258" s="16"/>
      <c r="M258" s="15">
        <f t="shared" si="12"/>
        <v>50.515068493150686</v>
      </c>
      <c r="N258" s="5">
        <v>48519</v>
      </c>
      <c r="O258" s="16"/>
      <c r="P258" s="16"/>
      <c r="Q258" s="16"/>
      <c r="R258" s="5">
        <v>66957</v>
      </c>
      <c r="T258" s="5"/>
    </row>
    <row r="259" spans="1:27" ht="18" x14ac:dyDescent="0.35">
      <c r="A259" s="6"/>
      <c r="C259" s="13" t="s">
        <v>561</v>
      </c>
      <c r="D259" s="13" t="str">
        <f t="shared" si="11"/>
        <v xml:space="preserve">lIflth </v>
      </c>
      <c r="E259" s="13" t="str">
        <f t="shared" si="13"/>
        <v>yfkf</v>
      </c>
      <c r="F259" s="21" t="s">
        <v>233</v>
      </c>
      <c r="G259" s="21" t="s">
        <v>757</v>
      </c>
      <c r="H259" s="21"/>
      <c r="I259" s="16"/>
      <c r="J259" s="16"/>
      <c r="K259" s="16"/>
      <c r="L259" s="16"/>
      <c r="M259" s="15">
        <f t="shared" si="12"/>
        <v>30.246575342465754</v>
      </c>
      <c r="N259" s="5">
        <v>55917</v>
      </c>
      <c r="O259" s="16"/>
      <c r="P259" s="16"/>
      <c r="Q259" s="16"/>
      <c r="R259" s="5">
        <v>66957</v>
      </c>
      <c r="T259" s="5"/>
    </row>
    <row r="260" spans="1:27" ht="18" x14ac:dyDescent="0.35">
      <c r="A260" s="6"/>
      <c r="C260" s="13" t="s">
        <v>562</v>
      </c>
      <c r="D260" s="13" t="str">
        <f t="shared" ref="D260:D323" si="14">LEFT(C260,(FIND(" ",C260)))</f>
        <v xml:space="preserve">ck]Iff </v>
      </c>
      <c r="E260" s="13" t="str">
        <f t="shared" si="13"/>
        <v>yfkf</v>
      </c>
      <c r="F260" s="21" t="s">
        <v>234</v>
      </c>
      <c r="G260" s="21" t="s">
        <v>757</v>
      </c>
      <c r="H260" s="21"/>
      <c r="I260" s="16"/>
      <c r="J260" s="16"/>
      <c r="K260" s="16"/>
      <c r="L260" s="16"/>
      <c r="M260" s="15">
        <f t="shared" ref="M260:M323" si="15">(R260-N260)/365</f>
        <v>16.287671232876711</v>
      </c>
      <c r="N260" s="5">
        <v>61012</v>
      </c>
      <c r="O260" s="16"/>
      <c r="P260" s="16"/>
      <c r="Q260" s="16"/>
      <c r="R260" s="5">
        <v>66957</v>
      </c>
      <c r="T260" s="5"/>
    </row>
    <row r="261" spans="1:27" ht="18" x14ac:dyDescent="0.35">
      <c r="A261" s="6">
        <v>68</v>
      </c>
      <c r="B261" t="s">
        <v>133</v>
      </c>
      <c r="C261" s="13" t="s">
        <v>563</v>
      </c>
      <c r="D261" s="13" t="str">
        <f t="shared" si="14"/>
        <v xml:space="preserve">led;]g </v>
      </c>
      <c r="E261" s="13" t="str">
        <f t="shared" ref="E261:E324" si="16">TRIM(RIGHT(SUBSTITUTE(C261," ",REPT(" ",255)),255))</f>
        <v>sfsL{</v>
      </c>
      <c r="F261" s="21" t="s">
        <v>233</v>
      </c>
      <c r="G261" s="21" t="s">
        <v>756</v>
      </c>
      <c r="H261" s="21"/>
      <c r="I261" s="16" t="s">
        <v>748</v>
      </c>
      <c r="J261" s="16" t="s">
        <v>748</v>
      </c>
      <c r="K261" s="16" t="s">
        <v>748</v>
      </c>
      <c r="L261" s="16" t="s">
        <v>748</v>
      </c>
      <c r="M261" s="15">
        <f t="shared" si="15"/>
        <v>74.37534246575342</v>
      </c>
      <c r="N261" s="5">
        <v>39810</v>
      </c>
      <c r="O261" s="16"/>
      <c r="P261" s="16"/>
      <c r="Q261" s="16"/>
      <c r="R261" s="5">
        <v>66957</v>
      </c>
      <c r="T261" s="5">
        <v>65365</v>
      </c>
      <c r="U261" s="2" t="s">
        <v>100</v>
      </c>
      <c r="V261" s="2">
        <v>1</v>
      </c>
      <c r="W261" s="2">
        <v>1</v>
      </c>
      <c r="Y261" t="s">
        <v>242</v>
      </c>
      <c r="Z261" t="s">
        <v>245</v>
      </c>
      <c r="AA261" t="s">
        <v>258</v>
      </c>
    </row>
    <row r="262" spans="1:27" ht="18" x14ac:dyDescent="0.35">
      <c r="A262" s="6">
        <v>69</v>
      </c>
      <c r="B262" t="s">
        <v>134</v>
      </c>
      <c r="C262" s="13" t="s">
        <v>564</v>
      </c>
      <c r="D262" s="13" t="str">
        <f t="shared" si="14"/>
        <v xml:space="preserve">s]z/ </v>
      </c>
      <c r="E262" s="13" t="str">
        <f t="shared" si="16"/>
        <v>&gt;]i7</v>
      </c>
      <c r="F262" s="21" t="s">
        <v>233</v>
      </c>
      <c r="G262" s="21" t="s">
        <v>756</v>
      </c>
      <c r="H262" s="21"/>
      <c r="I262" s="16">
        <v>0</v>
      </c>
      <c r="J262" s="16">
        <v>3</v>
      </c>
      <c r="K262" s="16">
        <v>1</v>
      </c>
      <c r="L262" s="16">
        <v>0</v>
      </c>
      <c r="M262" s="15">
        <f t="shared" si="15"/>
        <v>43.402739726027399</v>
      </c>
      <c r="N262" s="5">
        <v>51115</v>
      </c>
      <c r="O262" s="16"/>
      <c r="P262" s="16"/>
      <c r="Q262" s="16"/>
      <c r="R262" s="5">
        <v>66957</v>
      </c>
      <c r="T262" s="5">
        <v>65356</v>
      </c>
      <c r="U262" s="2" t="s">
        <v>2</v>
      </c>
      <c r="V262" s="2">
        <v>5</v>
      </c>
      <c r="W262" s="2">
        <v>2</v>
      </c>
      <c r="X262" s="2">
        <v>3</v>
      </c>
      <c r="Y262" t="s">
        <v>242</v>
      </c>
      <c r="Z262" t="s">
        <v>283</v>
      </c>
      <c r="AA262" t="s">
        <v>245</v>
      </c>
    </row>
    <row r="263" spans="1:27" ht="18" x14ac:dyDescent="0.35">
      <c r="A263" s="6"/>
      <c r="C263" s="13" t="s">
        <v>565</v>
      </c>
      <c r="D263" s="13" t="str">
        <f t="shared" si="14"/>
        <v xml:space="preserve">;+lutf </v>
      </c>
      <c r="E263" s="13" t="str">
        <f t="shared" si="16"/>
        <v>&gt;]i7</v>
      </c>
      <c r="F263" s="21" t="s">
        <v>234</v>
      </c>
      <c r="G263" s="21" t="s">
        <v>756</v>
      </c>
      <c r="H263" s="21"/>
      <c r="I263" s="16"/>
      <c r="J263" s="16"/>
      <c r="K263" s="16"/>
      <c r="L263" s="16"/>
      <c r="M263" s="15">
        <f t="shared" si="15"/>
        <v>41.479452054794521</v>
      </c>
      <c r="N263" s="5">
        <v>51817</v>
      </c>
      <c r="O263" s="16"/>
      <c r="P263" s="16"/>
      <c r="Q263" s="16"/>
      <c r="R263" s="5">
        <v>66957</v>
      </c>
      <c r="T263" s="5"/>
    </row>
    <row r="264" spans="1:27" ht="18" x14ac:dyDescent="0.35">
      <c r="A264" s="6"/>
      <c r="C264" s="13" t="s">
        <v>566</v>
      </c>
      <c r="D264" s="13" t="str">
        <f t="shared" si="14"/>
        <v xml:space="preserve">;ljgf </v>
      </c>
      <c r="E264" s="13" t="str">
        <f t="shared" si="16"/>
        <v>&gt;]i7</v>
      </c>
      <c r="F264" s="21" t="s">
        <v>234</v>
      </c>
      <c r="G264" s="21" t="s">
        <v>757</v>
      </c>
      <c r="H264" s="21"/>
      <c r="I264" s="16"/>
      <c r="J264" s="16"/>
      <c r="K264" s="16"/>
      <c r="L264" s="16"/>
      <c r="M264" s="15">
        <f t="shared" si="15"/>
        <v>21.104109589041094</v>
      </c>
      <c r="N264" s="5">
        <v>59254</v>
      </c>
      <c r="O264" s="16"/>
      <c r="P264" s="16"/>
      <c r="Q264" s="16"/>
      <c r="R264" s="5">
        <v>66957</v>
      </c>
      <c r="T264" s="5"/>
    </row>
    <row r="265" spans="1:27" ht="18" x14ac:dyDescent="0.35">
      <c r="A265" s="6"/>
      <c r="C265" s="13" t="s">
        <v>567</v>
      </c>
      <c r="D265" s="13" t="str">
        <f t="shared" si="14"/>
        <v xml:space="preserve">;lngf </v>
      </c>
      <c r="E265" s="13" t="str">
        <f t="shared" si="16"/>
        <v>&gt;]i7</v>
      </c>
      <c r="F265" s="21" t="s">
        <v>234</v>
      </c>
      <c r="G265" s="21" t="s">
        <v>757</v>
      </c>
      <c r="H265" s="21"/>
      <c r="I265" s="16"/>
      <c r="J265" s="16"/>
      <c r="K265" s="16"/>
      <c r="L265" s="16"/>
      <c r="M265" s="15">
        <f t="shared" si="15"/>
        <v>14.331506849315069</v>
      </c>
      <c r="N265" s="5">
        <v>61726</v>
      </c>
      <c r="O265" s="16"/>
      <c r="P265" s="16"/>
      <c r="Q265" s="16"/>
      <c r="R265" s="5">
        <v>66957</v>
      </c>
      <c r="T265" s="5"/>
    </row>
    <row r="266" spans="1:27" ht="18" x14ac:dyDescent="0.35">
      <c r="A266" s="6"/>
      <c r="C266" s="13" t="s">
        <v>568</v>
      </c>
      <c r="D266" s="13" t="str">
        <f t="shared" si="14"/>
        <v xml:space="preserve">/f]zg </v>
      </c>
      <c r="E266" s="13" t="str">
        <f t="shared" si="16"/>
        <v>&gt;]i7</v>
      </c>
      <c r="F266" s="21" t="s">
        <v>233</v>
      </c>
      <c r="G266" s="21" t="s">
        <v>757</v>
      </c>
      <c r="H266" s="21"/>
      <c r="I266" s="16"/>
      <c r="J266" s="16"/>
      <c r="K266" s="16"/>
      <c r="L266" s="16"/>
      <c r="M266" s="15">
        <f t="shared" si="15"/>
        <v>12.668493150684931</v>
      </c>
      <c r="N266" s="5">
        <v>62333</v>
      </c>
      <c r="O266" s="16"/>
      <c r="P266" s="16"/>
      <c r="Q266" s="16"/>
      <c r="R266" s="5">
        <v>66957</v>
      </c>
      <c r="T266" s="5"/>
    </row>
    <row r="267" spans="1:27" ht="18" x14ac:dyDescent="0.35">
      <c r="A267" s="6">
        <v>70</v>
      </c>
      <c r="B267" t="s">
        <v>135</v>
      </c>
      <c r="C267" s="13" t="s">
        <v>569</v>
      </c>
      <c r="D267" s="13" t="str">
        <f t="shared" si="14"/>
        <v xml:space="preserve">z'lznf </v>
      </c>
      <c r="E267" s="13" t="str">
        <f t="shared" si="16"/>
        <v>&gt;]i7</v>
      </c>
      <c r="F267" s="21" t="s">
        <v>234</v>
      </c>
      <c r="G267" s="21" t="s">
        <v>756</v>
      </c>
      <c r="H267" s="21"/>
      <c r="I267" s="16" t="s">
        <v>748</v>
      </c>
      <c r="J267" s="16" t="s">
        <v>748</v>
      </c>
      <c r="K267" s="16" t="s">
        <v>748</v>
      </c>
      <c r="L267" s="16" t="s">
        <v>748</v>
      </c>
      <c r="M267" s="15">
        <f t="shared" si="15"/>
        <v>41.975342465753428</v>
      </c>
      <c r="N267" s="5">
        <v>51636</v>
      </c>
      <c r="O267" s="16"/>
      <c r="P267" s="16"/>
      <c r="Q267" s="16"/>
      <c r="R267" s="5">
        <v>66957</v>
      </c>
      <c r="T267" s="5">
        <v>65356</v>
      </c>
      <c r="U267" s="2" t="s">
        <v>100</v>
      </c>
      <c r="V267" s="2">
        <v>4</v>
      </c>
      <c r="W267" s="2">
        <v>3</v>
      </c>
      <c r="X267" s="2">
        <v>1</v>
      </c>
      <c r="Y267" t="s">
        <v>242</v>
      </c>
      <c r="Z267" t="s">
        <v>245</v>
      </c>
      <c r="AA267" t="s">
        <v>318</v>
      </c>
    </row>
    <row r="268" spans="1:27" ht="18" x14ac:dyDescent="0.35">
      <c r="A268" s="6"/>
      <c r="C268" s="13" t="s">
        <v>570</v>
      </c>
      <c r="D268" s="13" t="str">
        <f t="shared" si="14"/>
        <v xml:space="preserve">xl/ </v>
      </c>
      <c r="E268" s="13" t="str">
        <f t="shared" si="16"/>
        <v>&gt;]i7</v>
      </c>
      <c r="F268" s="21" t="s">
        <v>233</v>
      </c>
      <c r="G268" s="21" t="s">
        <v>756</v>
      </c>
      <c r="H268" s="21"/>
      <c r="I268" s="16"/>
      <c r="J268" s="16"/>
      <c r="K268" s="16"/>
      <c r="L268" s="16"/>
      <c r="M268" s="15">
        <f t="shared" si="15"/>
        <v>49.42739726027397</v>
      </c>
      <c r="N268" s="5">
        <v>48916</v>
      </c>
      <c r="O268" s="16"/>
      <c r="P268" s="16"/>
      <c r="Q268" s="16"/>
      <c r="R268" s="5">
        <v>66957</v>
      </c>
      <c r="T268" s="5"/>
    </row>
    <row r="269" spans="1:27" ht="18" x14ac:dyDescent="0.35">
      <c r="A269" s="6"/>
      <c r="C269" s="13" t="s">
        <v>571</v>
      </c>
      <c r="D269" s="13" t="str">
        <f t="shared" si="14"/>
        <v xml:space="preserve">lgzfg </v>
      </c>
      <c r="E269" s="13" t="str">
        <f t="shared" si="16"/>
        <v>&gt;]i7</v>
      </c>
      <c r="F269" s="21" t="s">
        <v>233</v>
      </c>
      <c r="G269" s="21" t="s">
        <v>757</v>
      </c>
      <c r="H269" s="21"/>
      <c r="I269" s="16"/>
      <c r="J269" s="16"/>
      <c r="K269" s="16"/>
      <c r="L269" s="16"/>
      <c r="M269" s="15">
        <f t="shared" si="15"/>
        <v>21.852054794520548</v>
      </c>
      <c r="N269" s="5">
        <v>58981</v>
      </c>
      <c r="O269" s="16"/>
      <c r="P269" s="16"/>
      <c r="Q269" s="16"/>
      <c r="R269" s="5">
        <v>66957</v>
      </c>
      <c r="T269" s="5"/>
    </row>
    <row r="270" spans="1:27" ht="18" x14ac:dyDescent="0.35">
      <c r="A270" s="6"/>
      <c r="C270" s="13" t="s">
        <v>572</v>
      </c>
      <c r="D270" s="13" t="str">
        <f t="shared" si="14"/>
        <v xml:space="preserve">lg/h </v>
      </c>
      <c r="E270" s="13" t="str">
        <f t="shared" si="16"/>
        <v>&gt;]i7</v>
      </c>
      <c r="F270" s="21" t="s">
        <v>233</v>
      </c>
      <c r="G270" s="21" t="s">
        <v>757</v>
      </c>
      <c r="H270" s="21"/>
      <c r="I270" s="16"/>
      <c r="J270" s="16"/>
      <c r="K270" s="16"/>
      <c r="L270" s="16"/>
      <c r="M270" s="15">
        <f t="shared" si="15"/>
        <v>20.87123287671233</v>
      </c>
      <c r="N270" s="5">
        <v>59339</v>
      </c>
      <c r="O270" s="16"/>
      <c r="P270" s="16"/>
      <c r="Q270" s="16"/>
      <c r="R270" s="5">
        <v>66957</v>
      </c>
      <c r="T270" s="5"/>
    </row>
    <row r="271" spans="1:27" ht="18" x14ac:dyDescent="0.35">
      <c r="A271" s="6">
        <v>71</v>
      </c>
      <c r="B271" t="s">
        <v>136</v>
      </c>
      <c r="C271" s="13" t="s">
        <v>573</v>
      </c>
      <c r="D271" s="13" t="str">
        <f t="shared" si="14"/>
        <v xml:space="preserve">af;'b]a </v>
      </c>
      <c r="E271" s="13" t="str">
        <f t="shared" si="16"/>
        <v>dNn</v>
      </c>
      <c r="F271" s="21" t="s">
        <v>233</v>
      </c>
      <c r="G271" s="21" t="s">
        <v>756</v>
      </c>
      <c r="H271" s="21"/>
      <c r="I271" s="16">
        <v>0</v>
      </c>
      <c r="J271" s="16">
        <v>1</v>
      </c>
      <c r="K271" s="16">
        <v>0</v>
      </c>
      <c r="L271" s="16">
        <v>0</v>
      </c>
      <c r="M271" s="15">
        <f t="shared" si="15"/>
        <v>62.838356164383562</v>
      </c>
      <c r="N271" s="5">
        <v>44021</v>
      </c>
      <c r="O271" s="16"/>
      <c r="P271" s="16"/>
      <c r="Q271" s="16"/>
      <c r="R271" s="5">
        <v>66957</v>
      </c>
      <c r="T271" s="5">
        <v>65350</v>
      </c>
      <c r="U271" s="2" t="s">
        <v>2</v>
      </c>
      <c r="V271" s="2">
        <v>2</v>
      </c>
      <c r="W271" s="2">
        <v>1</v>
      </c>
      <c r="X271" s="2">
        <v>1</v>
      </c>
      <c r="Y271" t="s">
        <v>242</v>
      </c>
      <c r="Z271" t="s">
        <v>254</v>
      </c>
      <c r="AA271" t="s">
        <v>245</v>
      </c>
    </row>
    <row r="272" spans="1:27" ht="18" x14ac:dyDescent="0.35">
      <c r="A272" s="6"/>
      <c r="C272" s="13" t="s">
        <v>574</v>
      </c>
      <c r="D272" s="13" t="str">
        <f t="shared" si="14"/>
        <v xml:space="preserve">rËf </v>
      </c>
      <c r="E272" s="13" t="str">
        <f t="shared" si="16"/>
        <v>&gt;]i7</v>
      </c>
      <c r="F272" s="21" t="s">
        <v>234</v>
      </c>
      <c r="G272" s="21" t="s">
        <v>756</v>
      </c>
      <c r="H272" s="21"/>
      <c r="I272" s="16"/>
      <c r="J272" s="16"/>
      <c r="K272" s="16"/>
      <c r="L272" s="16"/>
      <c r="M272" s="15">
        <f t="shared" si="15"/>
        <v>56.238356164383561</v>
      </c>
      <c r="N272" s="5">
        <v>46430</v>
      </c>
      <c r="O272" s="16"/>
      <c r="P272" s="16"/>
      <c r="Q272" s="16"/>
      <c r="R272" s="5">
        <v>66957</v>
      </c>
      <c r="T272" s="5"/>
    </row>
    <row r="273" spans="1:27" ht="18" x14ac:dyDescent="0.35">
      <c r="A273" s="6">
        <v>72</v>
      </c>
      <c r="B273" t="s">
        <v>137</v>
      </c>
      <c r="C273" s="13" t="s">
        <v>575</v>
      </c>
      <c r="D273" s="13" t="str">
        <f t="shared" si="14"/>
        <v xml:space="preserve">lxt]]Gb| </v>
      </c>
      <c r="E273" s="13" t="str">
        <f t="shared" si="16"/>
        <v>If]qL</v>
      </c>
      <c r="F273" s="21" t="s">
        <v>233</v>
      </c>
      <c r="G273" s="21" t="s">
        <v>756</v>
      </c>
      <c r="H273" s="21"/>
      <c r="I273" s="16">
        <v>0</v>
      </c>
      <c r="J273" s="16">
        <v>3</v>
      </c>
      <c r="K273" s="16">
        <v>0</v>
      </c>
      <c r="L273" s="16">
        <v>0</v>
      </c>
      <c r="M273" s="15">
        <f t="shared" si="15"/>
        <v>46.775342465753425</v>
      </c>
      <c r="N273" s="5">
        <v>49884</v>
      </c>
      <c r="O273" s="16"/>
      <c r="P273" s="16"/>
      <c r="Q273" s="16"/>
      <c r="R273" s="5">
        <v>66957</v>
      </c>
      <c r="T273" s="5">
        <v>65328</v>
      </c>
      <c r="U273" s="2" t="s">
        <v>2</v>
      </c>
      <c r="V273" s="2">
        <v>4</v>
      </c>
      <c r="W273" s="2">
        <v>3</v>
      </c>
      <c r="X273" s="2">
        <v>1</v>
      </c>
      <c r="Y273" t="s">
        <v>242</v>
      </c>
      <c r="Z273" t="s">
        <v>270</v>
      </c>
      <c r="AA273" t="s">
        <v>245</v>
      </c>
    </row>
    <row r="274" spans="1:27" ht="18" x14ac:dyDescent="0.35">
      <c r="A274" s="6"/>
      <c r="C274" s="13" t="s">
        <v>576</v>
      </c>
      <c r="D274" s="13" t="str">
        <f t="shared" si="14"/>
        <v xml:space="preserve">cGh' </v>
      </c>
      <c r="E274" s="13" t="str">
        <f t="shared" si="16"/>
        <v>;'a]bL</v>
      </c>
      <c r="F274" s="21" t="s">
        <v>234</v>
      </c>
      <c r="G274" s="21" t="s">
        <v>756</v>
      </c>
      <c r="H274" s="21"/>
      <c r="I274" s="16"/>
      <c r="J274" s="16"/>
      <c r="K274" s="16"/>
      <c r="L274" s="16"/>
      <c r="M274" s="15">
        <f t="shared" si="15"/>
        <v>42.980821917808221</v>
      </c>
      <c r="N274" s="5">
        <v>51269</v>
      </c>
      <c r="O274" s="16"/>
      <c r="P274" s="16"/>
      <c r="Q274" s="16"/>
      <c r="R274" s="5">
        <v>66957</v>
      </c>
      <c r="T274" s="5"/>
    </row>
    <row r="275" spans="1:27" ht="18" x14ac:dyDescent="0.35">
      <c r="A275" s="6"/>
      <c r="C275" s="13" t="s">
        <v>577</v>
      </c>
      <c r="D275" s="13" t="str">
        <f t="shared" si="14"/>
        <v xml:space="preserve">xlif{t </v>
      </c>
      <c r="E275" s="13" t="str">
        <f t="shared" si="16"/>
        <v>If]qL</v>
      </c>
      <c r="F275" s="21" t="s">
        <v>233</v>
      </c>
      <c r="G275" s="21" t="s">
        <v>757</v>
      </c>
      <c r="H275" s="21"/>
      <c r="I275" s="16"/>
      <c r="J275" s="16"/>
      <c r="K275" s="16"/>
      <c r="L275" s="16"/>
      <c r="M275" s="15">
        <f t="shared" si="15"/>
        <v>14.263013698630138</v>
      </c>
      <c r="N275" s="5">
        <v>61751</v>
      </c>
      <c r="O275" s="16"/>
      <c r="P275" s="16"/>
      <c r="Q275" s="16"/>
      <c r="R275" s="5">
        <v>66957</v>
      </c>
      <c r="T275" s="5"/>
    </row>
    <row r="276" spans="1:27" ht="18" x14ac:dyDescent="0.35">
      <c r="A276" s="6"/>
      <c r="C276" s="13" t="s">
        <v>578</v>
      </c>
      <c r="D276" s="13" t="str">
        <f t="shared" si="14"/>
        <v xml:space="preserve">cfudg </v>
      </c>
      <c r="E276" s="13" t="str">
        <f t="shared" si="16"/>
        <v>If]qL</v>
      </c>
      <c r="F276" s="21" t="s">
        <v>233</v>
      </c>
      <c r="G276" s="21" t="s">
        <v>757</v>
      </c>
      <c r="H276" s="21"/>
      <c r="I276" s="16"/>
      <c r="J276" s="16"/>
      <c r="K276" s="16"/>
      <c r="L276" s="16"/>
      <c r="M276" s="15">
        <f t="shared" si="15"/>
        <v>8.3534246575342461</v>
      </c>
      <c r="N276" s="5">
        <v>63908</v>
      </c>
      <c r="O276" s="16"/>
      <c r="P276" s="16"/>
      <c r="Q276" s="16"/>
      <c r="R276" s="5">
        <v>66957</v>
      </c>
      <c r="T276" s="5"/>
    </row>
    <row r="277" spans="1:27" ht="18" x14ac:dyDescent="0.35">
      <c r="A277" s="6">
        <v>73</v>
      </c>
      <c r="B277" t="s">
        <v>138</v>
      </c>
      <c r="C277" s="13" t="s">
        <v>579</v>
      </c>
      <c r="D277" s="13" t="str">
        <f t="shared" si="14"/>
        <v xml:space="preserve">lbAof </v>
      </c>
      <c r="E277" s="13" t="str">
        <f t="shared" si="16"/>
        <v>uf}td</v>
      </c>
      <c r="F277" s="21" t="s">
        <v>234</v>
      </c>
      <c r="G277" s="21" t="s">
        <v>756</v>
      </c>
      <c r="H277" s="21"/>
      <c r="I277" s="16">
        <v>0</v>
      </c>
      <c r="J277" s="16">
        <v>5</v>
      </c>
      <c r="K277" s="16">
        <v>2</v>
      </c>
      <c r="L277" s="16">
        <v>0</v>
      </c>
      <c r="M277" s="15">
        <f t="shared" si="15"/>
        <v>34.452054794520549</v>
      </c>
      <c r="N277" s="5">
        <v>54382</v>
      </c>
      <c r="O277" s="16"/>
      <c r="P277" s="16"/>
      <c r="Q277" s="16"/>
      <c r="R277" s="5">
        <v>66957</v>
      </c>
      <c r="T277" s="5">
        <v>65306</v>
      </c>
      <c r="U277" s="2" t="s">
        <v>2</v>
      </c>
      <c r="V277" s="2">
        <v>4</v>
      </c>
      <c r="W277" s="2">
        <v>2</v>
      </c>
      <c r="X277" s="2">
        <v>2</v>
      </c>
      <c r="Y277" t="s">
        <v>242</v>
      </c>
      <c r="Z277" t="s">
        <v>263</v>
      </c>
      <c r="AA277" t="s">
        <v>245</v>
      </c>
    </row>
    <row r="278" spans="1:27" ht="18" x14ac:dyDescent="0.35">
      <c r="A278" s="6"/>
      <c r="C278" s="13" t="s">
        <v>580</v>
      </c>
      <c r="D278" s="13" t="str">
        <f t="shared" si="14"/>
        <v xml:space="preserve">k|sfz </v>
      </c>
      <c r="E278" s="13" t="str">
        <f t="shared" si="16"/>
        <v>uf}td</v>
      </c>
      <c r="F278" s="21" t="s">
        <v>233</v>
      </c>
      <c r="G278" s="21" t="s">
        <v>756</v>
      </c>
      <c r="H278" s="21"/>
      <c r="I278" s="16"/>
      <c r="J278" s="16"/>
      <c r="K278" s="16"/>
      <c r="L278" s="16"/>
      <c r="M278" s="15">
        <f t="shared" si="15"/>
        <v>43.413698630136984</v>
      </c>
      <c r="N278" s="5">
        <v>51111</v>
      </c>
      <c r="O278" s="16"/>
      <c r="P278" s="16"/>
      <c r="Q278" s="16"/>
      <c r="R278" s="5">
        <v>66957</v>
      </c>
      <c r="T278" s="5"/>
    </row>
    <row r="279" spans="1:27" ht="18" x14ac:dyDescent="0.35">
      <c r="A279" s="6"/>
      <c r="C279" s="13" t="s">
        <v>581</v>
      </c>
      <c r="D279" s="13" t="str">
        <f t="shared" si="14"/>
        <v xml:space="preserve">k|Ghn </v>
      </c>
      <c r="E279" s="13" t="str">
        <f t="shared" si="16"/>
        <v>uf}td</v>
      </c>
      <c r="F279" s="21" t="s">
        <v>233</v>
      </c>
      <c r="G279" s="21" t="s">
        <v>757</v>
      </c>
      <c r="H279" s="21"/>
      <c r="I279" s="16"/>
      <c r="J279" s="16"/>
      <c r="K279" s="16"/>
      <c r="L279" s="16"/>
      <c r="M279" s="15">
        <f t="shared" si="15"/>
        <v>16.846575342465755</v>
      </c>
      <c r="N279" s="5">
        <v>60808</v>
      </c>
      <c r="O279" s="16"/>
      <c r="P279" s="16"/>
      <c r="Q279" s="16"/>
      <c r="R279" s="5">
        <v>66957</v>
      </c>
      <c r="T279" s="5"/>
    </row>
    <row r="280" spans="1:27" ht="18" x14ac:dyDescent="0.35">
      <c r="A280" s="6"/>
      <c r="C280" s="13" t="s">
        <v>582</v>
      </c>
      <c r="D280" s="13" t="str">
        <f t="shared" si="14"/>
        <v xml:space="preserve">k|z+;f </v>
      </c>
      <c r="E280" s="13" t="str">
        <f t="shared" si="16"/>
        <v>uf}td</v>
      </c>
      <c r="F280" s="21" t="s">
        <v>234</v>
      </c>
      <c r="G280" s="21" t="s">
        <v>757</v>
      </c>
      <c r="H280" s="21"/>
      <c r="I280" s="16"/>
      <c r="J280" s="16"/>
      <c r="K280" s="16"/>
      <c r="L280" s="16"/>
      <c r="M280" s="15">
        <f t="shared" si="15"/>
        <v>12.191780821917808</v>
      </c>
      <c r="N280" s="5">
        <v>62507</v>
      </c>
      <c r="O280" s="16"/>
      <c r="P280" s="16"/>
      <c r="Q280" s="16"/>
      <c r="R280" s="5">
        <v>66957</v>
      </c>
      <c r="T280" s="5"/>
    </row>
    <row r="281" spans="1:27" ht="18" x14ac:dyDescent="0.35">
      <c r="A281" s="6">
        <v>74</v>
      </c>
      <c r="B281" t="s">
        <v>139</v>
      </c>
      <c r="C281" s="13" t="s">
        <v>583</v>
      </c>
      <c r="D281" s="13" t="str">
        <f t="shared" si="14"/>
        <v xml:space="preserve">ofbj </v>
      </c>
      <c r="E281" s="13" t="str">
        <f t="shared" si="16"/>
        <v>af;sf]6f</v>
      </c>
      <c r="F281" s="21" t="s">
        <v>233</v>
      </c>
      <c r="G281" s="21" t="s">
        <v>756</v>
      </c>
      <c r="H281" s="21"/>
      <c r="I281" s="16" t="s">
        <v>748</v>
      </c>
      <c r="J281" s="16" t="s">
        <v>748</v>
      </c>
      <c r="K281" s="16" t="s">
        <v>748</v>
      </c>
      <c r="L281" s="16" t="s">
        <v>748</v>
      </c>
      <c r="M281" s="15">
        <f t="shared" si="15"/>
        <v>63.441095890410956</v>
      </c>
      <c r="N281" s="5">
        <v>43801</v>
      </c>
      <c r="O281" s="16"/>
      <c r="P281" s="16"/>
      <c r="Q281" s="16"/>
      <c r="R281" s="5">
        <v>66957</v>
      </c>
      <c r="T281" s="5">
        <v>65304</v>
      </c>
      <c r="U281" s="2" t="s">
        <v>2</v>
      </c>
      <c r="V281" s="2">
        <v>1</v>
      </c>
      <c r="W281" s="2">
        <v>1</v>
      </c>
      <c r="Y281" t="s">
        <v>242</v>
      </c>
      <c r="Z281" t="s">
        <v>334</v>
      </c>
      <c r="AA281" t="s">
        <v>245</v>
      </c>
    </row>
    <row r="282" spans="1:27" ht="18" x14ac:dyDescent="0.35">
      <c r="A282" s="6">
        <v>75</v>
      </c>
      <c r="B282" t="s">
        <v>140</v>
      </c>
      <c r="C282" s="13" t="s">
        <v>584</v>
      </c>
      <c r="D282" s="13" t="str">
        <f t="shared" si="14"/>
        <v xml:space="preserve">hfgsL </v>
      </c>
      <c r="E282" s="13" t="str">
        <f t="shared" si="16"/>
        <v>v8\sf</v>
      </c>
      <c r="F282" s="21" t="s">
        <v>234</v>
      </c>
      <c r="G282" s="21" t="s">
        <v>757</v>
      </c>
      <c r="H282" s="21"/>
      <c r="I282" s="16">
        <v>0</v>
      </c>
      <c r="J282" s="16">
        <v>3</v>
      </c>
      <c r="K282" s="16">
        <v>2</v>
      </c>
      <c r="L282" s="16">
        <v>0</v>
      </c>
      <c r="M282" s="15">
        <f t="shared" si="15"/>
        <v>36.860273972602741</v>
      </c>
      <c r="N282" s="5">
        <v>53503</v>
      </c>
      <c r="O282" s="16"/>
      <c r="P282" s="16"/>
      <c r="Q282" s="16"/>
      <c r="R282" s="5">
        <v>66957</v>
      </c>
      <c r="T282" s="5">
        <v>65302</v>
      </c>
      <c r="U282" s="2" t="s">
        <v>2</v>
      </c>
      <c r="V282" s="2">
        <v>3</v>
      </c>
      <c r="W282" s="2">
        <v>2</v>
      </c>
      <c r="X282" s="2">
        <v>1</v>
      </c>
      <c r="Y282" t="s">
        <v>241</v>
      </c>
      <c r="Z282" t="s">
        <v>273</v>
      </c>
      <c r="AA282" t="s">
        <v>245</v>
      </c>
    </row>
    <row r="283" spans="1:27" ht="18" x14ac:dyDescent="0.35">
      <c r="A283" s="6"/>
      <c r="C283" s="13" t="s">
        <v>585</v>
      </c>
      <c r="D283" s="13" t="str">
        <f t="shared" si="14"/>
        <v xml:space="preserve">lr/fu </v>
      </c>
      <c r="E283" s="13" t="str">
        <f t="shared" si="16"/>
        <v>v8\sf</v>
      </c>
      <c r="F283" s="21" t="s">
        <v>233</v>
      </c>
      <c r="G283" s="21" t="s">
        <v>757</v>
      </c>
      <c r="H283" s="21"/>
      <c r="I283" s="16"/>
      <c r="J283" s="16"/>
      <c r="K283" s="16"/>
      <c r="L283" s="16"/>
      <c r="M283" s="15">
        <f t="shared" si="15"/>
        <v>27.12876712328767</v>
      </c>
      <c r="N283" s="5">
        <v>57055</v>
      </c>
      <c r="O283" s="16"/>
      <c r="P283" s="16"/>
      <c r="Q283" s="16"/>
      <c r="R283" s="5">
        <v>66957</v>
      </c>
      <c r="T283" s="5"/>
    </row>
    <row r="284" spans="1:27" ht="18" x14ac:dyDescent="0.35">
      <c r="A284" s="6"/>
      <c r="C284" s="13" t="s">
        <v>586</v>
      </c>
      <c r="D284" s="13" t="str">
        <f t="shared" si="14"/>
        <v xml:space="preserve">sljtf </v>
      </c>
      <c r="E284" s="13" t="str">
        <f t="shared" si="16"/>
        <v>v8\sf</v>
      </c>
      <c r="F284" s="21" t="s">
        <v>234</v>
      </c>
      <c r="G284" s="21" t="s">
        <v>757</v>
      </c>
      <c r="H284" s="21"/>
      <c r="I284" s="16"/>
      <c r="J284" s="16"/>
      <c r="K284" s="16"/>
      <c r="L284" s="16"/>
      <c r="M284" s="15">
        <f t="shared" si="15"/>
        <v>34.178082191780824</v>
      </c>
      <c r="N284" s="5">
        <v>54482</v>
      </c>
      <c r="O284" s="16"/>
      <c r="P284" s="16"/>
      <c r="Q284" s="16"/>
      <c r="R284" s="5">
        <v>66957</v>
      </c>
      <c r="T284" s="5"/>
    </row>
    <row r="285" spans="1:27" ht="18" x14ac:dyDescent="0.35">
      <c r="A285" s="6">
        <v>76</v>
      </c>
      <c r="B285" t="s">
        <v>141</v>
      </c>
      <c r="C285" s="13" t="s">
        <v>587</v>
      </c>
      <c r="D285" s="13" t="str">
        <f t="shared" si="14"/>
        <v xml:space="preserve">lzj </v>
      </c>
      <c r="E285" s="13" t="str">
        <f t="shared" si="16"/>
        <v>r'8fn</v>
      </c>
      <c r="F285" s="21" t="s">
        <v>233</v>
      </c>
      <c r="G285" s="21" t="s">
        <v>756</v>
      </c>
      <c r="H285" s="21"/>
      <c r="I285" s="16">
        <v>0</v>
      </c>
      <c r="J285" s="16">
        <v>4</v>
      </c>
      <c r="K285" s="16">
        <v>0</v>
      </c>
      <c r="L285" s="16">
        <v>0</v>
      </c>
      <c r="M285" s="15">
        <f t="shared" si="15"/>
        <v>54.484931506849314</v>
      </c>
      <c r="N285" s="5">
        <v>47070</v>
      </c>
      <c r="O285" s="16"/>
      <c r="P285" s="16"/>
      <c r="Q285" s="16"/>
      <c r="R285" s="5">
        <v>66957</v>
      </c>
      <c r="T285" s="5">
        <v>65291</v>
      </c>
      <c r="U285" s="2" t="s">
        <v>2</v>
      </c>
      <c r="V285" s="2">
        <v>4</v>
      </c>
      <c r="W285" s="2">
        <v>1</v>
      </c>
      <c r="X285" s="2">
        <v>3</v>
      </c>
      <c r="Y285" t="s">
        <v>242</v>
      </c>
      <c r="Z285" t="s">
        <v>316</v>
      </c>
      <c r="AA285" t="s">
        <v>245</v>
      </c>
    </row>
    <row r="286" spans="1:27" ht="18" x14ac:dyDescent="0.35">
      <c r="A286" s="6"/>
      <c r="C286" s="13" t="s">
        <v>588</v>
      </c>
      <c r="D286" s="13" t="str">
        <f t="shared" si="14"/>
        <v xml:space="preserve">;+uLtf </v>
      </c>
      <c r="E286" s="13" t="str">
        <f t="shared" si="16"/>
        <v>r'8fn</v>
      </c>
      <c r="F286" s="21" t="s">
        <v>234</v>
      </c>
      <c r="G286" s="21" t="s">
        <v>756</v>
      </c>
      <c r="H286" s="21"/>
      <c r="I286" s="16"/>
      <c r="J286" s="16"/>
      <c r="K286" s="16"/>
      <c r="L286" s="16"/>
      <c r="M286" s="15">
        <f t="shared" si="15"/>
        <v>42.339726027397262</v>
      </c>
      <c r="N286" s="5">
        <v>51503</v>
      </c>
      <c r="O286" s="16"/>
      <c r="P286" s="16"/>
      <c r="Q286" s="16"/>
      <c r="R286" s="5">
        <v>66957</v>
      </c>
      <c r="T286" s="5"/>
    </row>
    <row r="287" spans="1:27" ht="18" x14ac:dyDescent="0.35">
      <c r="A287" s="6"/>
      <c r="C287" s="13" t="s">
        <v>589</v>
      </c>
      <c r="D287" s="13" t="str">
        <f t="shared" si="14"/>
        <v xml:space="preserve">cl:dtf </v>
      </c>
      <c r="E287" s="13" t="str">
        <f t="shared" si="16"/>
        <v>r'8fn</v>
      </c>
      <c r="F287" s="21" t="s">
        <v>234</v>
      </c>
      <c r="G287" s="21" t="s">
        <v>757</v>
      </c>
      <c r="H287" s="21"/>
      <c r="I287" s="16"/>
      <c r="J287" s="16"/>
      <c r="K287" s="16"/>
      <c r="L287" s="16"/>
      <c r="M287" s="15">
        <f t="shared" si="15"/>
        <v>29.972602739726028</v>
      </c>
      <c r="N287" s="5">
        <v>56017</v>
      </c>
      <c r="O287" s="16"/>
      <c r="P287" s="16"/>
      <c r="Q287" s="16"/>
      <c r="R287" s="5">
        <v>66957</v>
      </c>
      <c r="T287" s="5"/>
    </row>
    <row r="288" spans="1:27" ht="18" x14ac:dyDescent="0.35">
      <c r="A288" s="6"/>
      <c r="C288" s="13" t="s">
        <v>590</v>
      </c>
      <c r="D288" s="13" t="str">
        <f t="shared" si="14"/>
        <v xml:space="preserve">k|]/0ff </v>
      </c>
      <c r="E288" s="13" t="str">
        <f t="shared" si="16"/>
        <v>r'8fn</v>
      </c>
      <c r="F288" s="21" t="s">
        <v>234</v>
      </c>
      <c r="G288" s="21" t="s">
        <v>757</v>
      </c>
      <c r="H288" s="21"/>
      <c r="I288" s="16"/>
      <c r="J288" s="16"/>
      <c r="K288" s="16"/>
      <c r="L288" s="16"/>
      <c r="M288" s="15">
        <f t="shared" si="15"/>
        <v>22.816438356164383</v>
      </c>
      <c r="N288" s="5">
        <v>58629</v>
      </c>
      <c r="O288" s="16"/>
      <c r="P288" s="16"/>
      <c r="Q288" s="16"/>
      <c r="R288" s="5">
        <v>66957</v>
      </c>
      <c r="T288" s="5"/>
    </row>
    <row r="289" spans="1:27" ht="18" x14ac:dyDescent="0.35">
      <c r="A289" s="6">
        <v>77</v>
      </c>
      <c r="B289" t="s">
        <v>142</v>
      </c>
      <c r="C289" s="13" t="s">
        <v>591</v>
      </c>
      <c r="D289" s="13" t="str">
        <f t="shared" si="14"/>
        <v xml:space="preserve">lg? </v>
      </c>
      <c r="E289" s="13" t="str">
        <f t="shared" si="16"/>
        <v>ljZjsdf{</v>
      </c>
      <c r="F289" s="21" t="s">
        <v>234</v>
      </c>
      <c r="G289" s="21" t="s">
        <v>756</v>
      </c>
      <c r="H289" s="21"/>
      <c r="I289" s="16" t="s">
        <v>748</v>
      </c>
      <c r="J289" s="16" t="s">
        <v>748</v>
      </c>
      <c r="K289" s="16" t="s">
        <v>748</v>
      </c>
      <c r="L289" s="16" t="s">
        <v>748</v>
      </c>
      <c r="M289" s="15">
        <f t="shared" si="15"/>
        <v>44.482191780821921</v>
      </c>
      <c r="N289" s="5">
        <v>50721</v>
      </c>
      <c r="O289" s="16"/>
      <c r="P289" s="16"/>
      <c r="Q289" s="16"/>
      <c r="R289" s="5">
        <v>66957</v>
      </c>
      <c r="T289" s="5">
        <v>65290</v>
      </c>
      <c r="U289" s="2" t="s">
        <v>2</v>
      </c>
      <c r="V289" s="2">
        <v>3</v>
      </c>
      <c r="W289" s="2">
        <v>2</v>
      </c>
      <c r="X289" s="2">
        <v>1</v>
      </c>
      <c r="Y289" t="s">
        <v>242</v>
      </c>
      <c r="Z289" t="s">
        <v>299</v>
      </c>
      <c r="AA289" t="s">
        <v>245</v>
      </c>
    </row>
    <row r="290" spans="1:27" ht="18" x14ac:dyDescent="0.35">
      <c r="A290" s="6"/>
      <c r="C290" s="13" t="s">
        <v>482</v>
      </c>
      <c r="D290" s="13" t="str">
        <f t="shared" si="14"/>
        <v xml:space="preserve">6]s </v>
      </c>
      <c r="E290" s="13" t="str">
        <f t="shared" si="16"/>
        <v>ljZjsdf{</v>
      </c>
      <c r="F290" s="21" t="s">
        <v>233</v>
      </c>
      <c r="G290" s="21" t="s">
        <v>756</v>
      </c>
      <c r="H290" s="21"/>
      <c r="I290" s="16"/>
      <c r="J290" s="16"/>
      <c r="K290" s="16"/>
      <c r="L290" s="16"/>
      <c r="M290" s="15">
        <f t="shared" si="15"/>
        <v>45.56712328767123</v>
      </c>
      <c r="N290" s="5">
        <v>50325</v>
      </c>
      <c r="O290" s="16"/>
      <c r="P290" s="16"/>
      <c r="Q290" s="16"/>
      <c r="R290" s="5">
        <v>66957</v>
      </c>
      <c r="T290" s="5"/>
    </row>
    <row r="291" spans="1:27" ht="18" x14ac:dyDescent="0.35">
      <c r="A291" s="6"/>
      <c r="C291" s="13" t="s">
        <v>592</v>
      </c>
      <c r="D291" s="13" t="str">
        <f t="shared" si="14"/>
        <v xml:space="preserve">lg;fg </v>
      </c>
      <c r="E291" s="13" t="str">
        <f t="shared" si="16"/>
        <v>uxt/fh</v>
      </c>
      <c r="F291" s="21" t="s">
        <v>233</v>
      </c>
      <c r="G291" s="21" t="s">
        <v>757</v>
      </c>
      <c r="H291" s="21"/>
      <c r="I291" s="16"/>
      <c r="J291" s="16"/>
      <c r="K291" s="16"/>
      <c r="L291" s="16"/>
      <c r="M291" s="15">
        <f t="shared" si="15"/>
        <v>21.717808219178082</v>
      </c>
      <c r="N291" s="5">
        <v>59030</v>
      </c>
      <c r="O291" s="16"/>
      <c r="P291" s="16"/>
      <c r="Q291" s="16"/>
      <c r="R291" s="5">
        <v>66957</v>
      </c>
      <c r="T291" s="5"/>
    </row>
    <row r="292" spans="1:27" ht="18" x14ac:dyDescent="0.35">
      <c r="A292" s="6">
        <v>78</v>
      </c>
      <c r="B292" t="s">
        <v>143</v>
      </c>
      <c r="C292" s="13" t="s">
        <v>593</v>
      </c>
      <c r="D292" s="13" t="str">
        <f t="shared" si="14"/>
        <v xml:space="preserve">s'zn </v>
      </c>
      <c r="E292" s="13" t="str">
        <f t="shared" si="16"/>
        <v>wfdL</v>
      </c>
      <c r="F292" s="21" t="s">
        <v>233</v>
      </c>
      <c r="G292" s="21" t="s">
        <v>756</v>
      </c>
      <c r="H292" s="21"/>
      <c r="I292" s="16">
        <v>0</v>
      </c>
      <c r="J292" s="16">
        <v>3</v>
      </c>
      <c r="K292" s="16">
        <v>0</v>
      </c>
      <c r="L292" s="16">
        <v>0</v>
      </c>
      <c r="M292" s="15">
        <f t="shared" si="15"/>
        <v>51.326027397260276</v>
      </c>
      <c r="N292" s="5">
        <v>48223</v>
      </c>
      <c r="O292" s="16"/>
      <c r="P292" s="16"/>
      <c r="Q292" s="16"/>
      <c r="R292" s="5">
        <v>66957</v>
      </c>
      <c r="T292" s="5">
        <v>65287</v>
      </c>
      <c r="U292" s="2" t="s">
        <v>2</v>
      </c>
      <c r="V292" s="2">
        <v>3</v>
      </c>
      <c r="W292" s="2">
        <v>2</v>
      </c>
      <c r="X292" s="2">
        <v>1</v>
      </c>
      <c r="Y292" t="s">
        <v>242</v>
      </c>
      <c r="Z292" t="s">
        <v>291</v>
      </c>
      <c r="AA292" t="s">
        <v>245</v>
      </c>
    </row>
    <row r="293" spans="1:27" ht="18" x14ac:dyDescent="0.35">
      <c r="A293" s="6"/>
      <c r="C293" s="13" t="s">
        <v>594</v>
      </c>
      <c r="D293" s="13" t="str">
        <f t="shared" si="14"/>
        <v xml:space="preserve">&gt;LdtL </v>
      </c>
      <c r="E293" s="13" t="str">
        <f t="shared" si="16"/>
        <v>wfdL</v>
      </c>
      <c r="F293" s="21" t="s">
        <v>234</v>
      </c>
      <c r="G293" s="21" t="s">
        <v>756</v>
      </c>
      <c r="H293" s="21"/>
      <c r="I293" s="16"/>
      <c r="J293" s="16"/>
      <c r="K293" s="16"/>
      <c r="L293" s="16"/>
      <c r="M293" s="15">
        <f t="shared" si="15"/>
        <v>45.073972602739723</v>
      </c>
      <c r="N293" s="5">
        <v>50505</v>
      </c>
      <c r="O293" s="16"/>
      <c r="P293" s="16"/>
      <c r="Q293" s="16"/>
      <c r="R293" s="5">
        <v>66957</v>
      </c>
      <c r="T293" s="5"/>
    </row>
    <row r="294" spans="1:27" ht="18" x14ac:dyDescent="0.35">
      <c r="A294" s="6"/>
      <c r="C294" s="13" t="s">
        <v>595</v>
      </c>
      <c r="D294" s="13" t="str">
        <f t="shared" si="14"/>
        <v xml:space="preserve">gljg </v>
      </c>
      <c r="E294" s="13" t="str">
        <f t="shared" si="16"/>
        <v>wfdL</v>
      </c>
      <c r="F294" s="21" t="s">
        <v>233</v>
      </c>
      <c r="G294" s="21" t="s">
        <v>757</v>
      </c>
      <c r="H294" s="21"/>
      <c r="I294" s="16"/>
      <c r="J294" s="16"/>
      <c r="K294" s="16"/>
      <c r="L294" s="16"/>
      <c r="M294" s="15">
        <f t="shared" si="15"/>
        <v>24.076712328767123</v>
      </c>
      <c r="N294" s="5">
        <v>58169</v>
      </c>
      <c r="O294" s="16"/>
      <c r="P294" s="16"/>
      <c r="Q294" s="16"/>
      <c r="R294" s="5">
        <v>66957</v>
      </c>
      <c r="T294" s="5"/>
    </row>
    <row r="295" spans="1:27" ht="18" x14ac:dyDescent="0.35">
      <c r="A295" s="6">
        <v>79</v>
      </c>
      <c r="B295" t="s">
        <v>145</v>
      </c>
      <c r="C295" s="13" t="s">
        <v>596</v>
      </c>
      <c r="D295" s="13" t="str">
        <f t="shared" si="14"/>
        <v xml:space="preserve">s[i0f </v>
      </c>
      <c r="E295" s="13" t="str">
        <f t="shared" si="16"/>
        <v>rDnfufO{</v>
      </c>
      <c r="F295" s="21" t="s">
        <v>233</v>
      </c>
      <c r="G295" s="21" t="s">
        <v>756</v>
      </c>
      <c r="H295" s="21"/>
      <c r="I295" s="16" t="s">
        <v>748</v>
      </c>
      <c r="J295" s="16" t="s">
        <v>748</v>
      </c>
      <c r="K295" s="16" t="s">
        <v>748</v>
      </c>
      <c r="L295" s="16" t="s">
        <v>748</v>
      </c>
      <c r="M295" s="15">
        <f t="shared" si="15"/>
        <v>40.5013698630137</v>
      </c>
      <c r="N295" s="5">
        <v>52174</v>
      </c>
      <c r="O295" s="16"/>
      <c r="P295" s="16"/>
      <c r="Q295" s="16"/>
      <c r="R295" s="5">
        <v>66957</v>
      </c>
      <c r="T295" s="5">
        <v>65265</v>
      </c>
      <c r="U295" s="2" t="s">
        <v>100</v>
      </c>
      <c r="V295" s="2">
        <v>4</v>
      </c>
      <c r="W295" s="2">
        <v>2</v>
      </c>
      <c r="X295" s="2">
        <v>2</v>
      </c>
      <c r="Y295" t="s">
        <v>242</v>
      </c>
      <c r="Z295" t="s">
        <v>245</v>
      </c>
      <c r="AA295" t="s">
        <v>289</v>
      </c>
    </row>
    <row r="296" spans="1:27" ht="18" x14ac:dyDescent="0.35">
      <c r="A296" s="6"/>
      <c r="C296" s="13" t="s">
        <v>597</v>
      </c>
      <c r="D296" s="13" t="str">
        <f t="shared" si="14"/>
        <v xml:space="preserve">cl:dtf </v>
      </c>
      <c r="E296" s="13" t="str">
        <f t="shared" si="16"/>
        <v>rDnfufO{</v>
      </c>
      <c r="F296" s="21" t="s">
        <v>234</v>
      </c>
      <c r="G296" s="21" t="s">
        <v>756</v>
      </c>
      <c r="H296" s="21"/>
      <c r="I296" s="16"/>
      <c r="J296" s="16"/>
      <c r="K296" s="16"/>
      <c r="L296" s="16"/>
      <c r="M296" s="15">
        <f t="shared" si="15"/>
        <v>39.082191780821915</v>
      </c>
      <c r="N296" s="5">
        <v>52692</v>
      </c>
      <c r="O296" s="16"/>
      <c r="P296" s="16"/>
      <c r="Q296" s="16"/>
      <c r="R296" s="5">
        <v>66957</v>
      </c>
      <c r="T296" s="5"/>
    </row>
    <row r="297" spans="1:27" ht="18" x14ac:dyDescent="0.35">
      <c r="A297" s="6"/>
      <c r="C297" s="13" t="s">
        <v>598</v>
      </c>
      <c r="D297" s="13" t="str">
        <f t="shared" si="14"/>
        <v xml:space="preserve">cfo'if </v>
      </c>
      <c r="E297" s="13" t="str">
        <f t="shared" si="16"/>
        <v>rDnfufO{</v>
      </c>
      <c r="F297" s="21" t="s">
        <v>233</v>
      </c>
      <c r="G297" s="21" t="s">
        <v>757</v>
      </c>
      <c r="H297" s="21"/>
      <c r="I297" s="16"/>
      <c r="J297" s="16"/>
      <c r="K297" s="16"/>
      <c r="L297" s="16"/>
      <c r="M297" s="15">
        <f t="shared" si="15"/>
        <v>14.96986301369863</v>
      </c>
      <c r="N297" s="5">
        <v>61493</v>
      </c>
      <c r="O297" s="16"/>
      <c r="P297" s="16"/>
      <c r="Q297" s="16"/>
      <c r="R297" s="5">
        <v>66957</v>
      </c>
      <c r="T297" s="5"/>
    </row>
    <row r="298" spans="1:27" ht="18" x14ac:dyDescent="0.35">
      <c r="A298" s="6"/>
      <c r="C298" s="13" t="s">
        <v>599</v>
      </c>
      <c r="D298" s="13" t="str">
        <f t="shared" si="14"/>
        <v xml:space="preserve">cfo'idf </v>
      </c>
      <c r="E298" s="13" t="str">
        <f t="shared" si="16"/>
        <v>rDnfufO{</v>
      </c>
      <c r="F298" s="21" t="s">
        <v>234</v>
      </c>
      <c r="G298" s="21" t="s">
        <v>757</v>
      </c>
      <c r="H298" s="21"/>
      <c r="I298" s="16"/>
      <c r="J298" s="16"/>
      <c r="K298" s="16"/>
      <c r="L298" s="16"/>
      <c r="M298" s="15">
        <f t="shared" si="15"/>
        <v>10.268493150684931</v>
      </c>
      <c r="N298" s="5">
        <v>63209</v>
      </c>
      <c r="O298" s="16"/>
      <c r="P298" s="16"/>
      <c r="Q298" s="16"/>
      <c r="R298" s="5">
        <v>66957</v>
      </c>
      <c r="T298" s="5"/>
    </row>
    <row r="299" spans="1:27" ht="18" x14ac:dyDescent="0.35">
      <c r="A299" s="6">
        <v>80</v>
      </c>
      <c r="B299" t="s">
        <v>144</v>
      </c>
      <c r="C299" s="13" t="s">
        <v>600</v>
      </c>
      <c r="D299" s="13" t="str">
        <f t="shared" si="14"/>
        <v xml:space="preserve">cGh' </v>
      </c>
      <c r="E299" s="13" t="str">
        <f t="shared" si="16"/>
        <v>&gt;]i7</v>
      </c>
      <c r="F299" s="21" t="s">
        <v>234</v>
      </c>
      <c r="G299" s="21" t="s">
        <v>756</v>
      </c>
      <c r="H299" s="21"/>
      <c r="I299" s="16">
        <v>2</v>
      </c>
      <c r="J299" s="16">
        <v>5</v>
      </c>
      <c r="K299" s="16">
        <v>0</v>
      </c>
      <c r="L299" s="16">
        <f>0</f>
        <v>0</v>
      </c>
      <c r="M299" s="15">
        <f t="shared" si="15"/>
        <v>53.405479452054792</v>
      </c>
      <c r="N299" s="5">
        <v>47464</v>
      </c>
      <c r="O299" s="16"/>
      <c r="P299" s="16"/>
      <c r="Q299" s="16"/>
      <c r="R299" s="5">
        <v>66957</v>
      </c>
      <c r="T299" s="5">
        <v>65173</v>
      </c>
      <c r="U299" s="2" t="s">
        <v>100</v>
      </c>
      <c r="V299" s="2">
        <v>4</v>
      </c>
      <c r="W299" s="2">
        <v>2</v>
      </c>
      <c r="X299" s="2">
        <v>2</v>
      </c>
      <c r="Y299" t="s">
        <v>241</v>
      </c>
      <c r="Z299" t="s">
        <v>245</v>
      </c>
      <c r="AA299" t="s">
        <v>252</v>
      </c>
    </row>
    <row r="300" spans="1:27" ht="18" x14ac:dyDescent="0.35">
      <c r="A300" s="6"/>
      <c r="C300" s="13" t="s">
        <v>601</v>
      </c>
      <c r="D300" s="13" t="str">
        <f t="shared" si="14"/>
        <v xml:space="preserve">cfs[t </v>
      </c>
      <c r="E300" s="13" t="str">
        <f t="shared" si="16"/>
        <v>&gt;]i7</v>
      </c>
      <c r="F300" s="21" t="s">
        <v>233</v>
      </c>
      <c r="G300" s="21" t="s">
        <v>757</v>
      </c>
      <c r="H300" s="21"/>
      <c r="I300" s="16"/>
      <c r="J300" s="16"/>
      <c r="K300" s="16"/>
      <c r="L300" s="16"/>
      <c r="M300" s="15">
        <f t="shared" si="15"/>
        <v>32.402739726027399</v>
      </c>
      <c r="N300" s="5">
        <v>55130</v>
      </c>
      <c r="O300" s="16"/>
      <c r="P300" s="16"/>
      <c r="Q300" s="16"/>
      <c r="R300" s="5">
        <v>66957</v>
      </c>
      <c r="T300" s="5"/>
    </row>
    <row r="301" spans="1:27" ht="18" x14ac:dyDescent="0.35">
      <c r="A301" s="6"/>
      <c r="C301" s="13" t="s">
        <v>602</v>
      </c>
      <c r="D301" s="13" t="str">
        <f t="shared" si="14"/>
        <v xml:space="preserve">k|s[t </v>
      </c>
      <c r="E301" s="13" t="str">
        <f t="shared" si="16"/>
        <v>&gt;]i7</v>
      </c>
      <c r="F301" s="21" t="s">
        <v>233</v>
      </c>
      <c r="G301" s="21" t="s">
        <v>757</v>
      </c>
      <c r="H301" s="21"/>
      <c r="I301" s="16"/>
      <c r="J301" s="16"/>
      <c r="K301" s="16"/>
      <c r="L301" s="16"/>
      <c r="M301" s="15">
        <f t="shared" si="15"/>
        <v>30.353424657534248</v>
      </c>
      <c r="N301" s="5">
        <v>55878</v>
      </c>
      <c r="O301" s="16"/>
      <c r="P301" s="16"/>
      <c r="Q301" s="16"/>
      <c r="R301" s="5">
        <v>66957</v>
      </c>
      <c r="T301" s="5"/>
    </row>
    <row r="302" spans="1:27" ht="18" x14ac:dyDescent="0.35">
      <c r="A302" s="6"/>
      <c r="C302" s="13" t="s">
        <v>603</v>
      </c>
      <c r="D302" s="13" t="str">
        <f t="shared" si="14"/>
        <v xml:space="preserve">cf:yf </v>
      </c>
      <c r="E302" s="13" t="str">
        <f t="shared" si="16"/>
        <v>&gt;]i7</v>
      </c>
      <c r="F302" s="21" t="s">
        <v>234</v>
      </c>
      <c r="G302" s="21" t="s">
        <v>757</v>
      </c>
      <c r="H302" s="21"/>
      <c r="I302" s="16"/>
      <c r="J302" s="16"/>
      <c r="K302" s="16"/>
      <c r="L302" s="16"/>
      <c r="M302" s="15">
        <f t="shared" si="15"/>
        <v>18.654794520547945</v>
      </c>
      <c r="N302" s="5">
        <v>60148</v>
      </c>
      <c r="O302" s="16"/>
      <c r="P302" s="16"/>
      <c r="Q302" s="16"/>
      <c r="R302" s="5">
        <v>66957</v>
      </c>
      <c r="T302" s="5"/>
    </row>
    <row r="303" spans="1:27" ht="18" x14ac:dyDescent="0.35">
      <c r="A303" s="6">
        <v>81</v>
      </c>
      <c r="B303" t="s">
        <v>146</v>
      </c>
      <c r="C303" s="13" t="s">
        <v>604</v>
      </c>
      <c r="D303" s="13" t="str">
        <f t="shared" si="14"/>
        <v xml:space="preserve">hLt </v>
      </c>
      <c r="E303" s="13" t="str">
        <f t="shared" si="16"/>
        <v>a'9fyf]sL</v>
      </c>
      <c r="F303" s="21" t="s">
        <v>233</v>
      </c>
      <c r="G303" s="21" t="s">
        <v>756</v>
      </c>
      <c r="H303" s="21"/>
      <c r="I303" s="16" t="s">
        <v>748</v>
      </c>
      <c r="J303" s="16" t="s">
        <v>748</v>
      </c>
      <c r="K303" s="16" t="s">
        <v>748</v>
      </c>
      <c r="L303" s="16" t="s">
        <v>748</v>
      </c>
      <c r="M303" s="15">
        <f t="shared" si="15"/>
        <v>37.452054794520549</v>
      </c>
      <c r="N303" s="5">
        <v>53287</v>
      </c>
      <c r="O303" s="16"/>
      <c r="P303" s="16"/>
      <c r="Q303" s="16"/>
      <c r="R303" s="5">
        <v>66957</v>
      </c>
      <c r="T303" s="5">
        <v>65146</v>
      </c>
      <c r="U303" s="2" t="s">
        <v>2</v>
      </c>
      <c r="V303" s="2">
        <v>4</v>
      </c>
      <c r="W303" s="2">
        <v>2</v>
      </c>
      <c r="X303" s="2">
        <v>2</v>
      </c>
      <c r="Y303" t="s">
        <v>242</v>
      </c>
      <c r="Z303" t="s">
        <v>277</v>
      </c>
      <c r="AA303" t="s">
        <v>245</v>
      </c>
    </row>
    <row r="304" spans="1:27" ht="18" x14ac:dyDescent="0.35">
      <c r="A304" s="6"/>
      <c r="C304" s="13" t="s">
        <v>605</v>
      </c>
      <c r="D304" s="13" t="str">
        <f t="shared" si="14"/>
        <v xml:space="preserve">l/tf </v>
      </c>
      <c r="E304" s="13" t="str">
        <f t="shared" si="16"/>
        <v>s]=;L</v>
      </c>
      <c r="F304" s="21" t="s">
        <v>234</v>
      </c>
      <c r="G304" s="21" t="s">
        <v>756</v>
      </c>
      <c r="H304" s="21"/>
      <c r="I304" s="16"/>
      <c r="J304" s="16"/>
      <c r="K304" s="16"/>
      <c r="L304" s="16"/>
      <c r="M304" s="15">
        <f t="shared" si="15"/>
        <v>35.504109589041093</v>
      </c>
      <c r="N304" s="5">
        <v>53998</v>
      </c>
      <c r="O304" s="16"/>
      <c r="P304" s="16"/>
      <c r="Q304" s="16"/>
      <c r="R304" s="5">
        <v>66957</v>
      </c>
      <c r="T304" s="5"/>
    </row>
    <row r="305" spans="1:27" ht="18" x14ac:dyDescent="0.35">
      <c r="A305" s="6"/>
      <c r="C305" s="13" t="s">
        <v>606</v>
      </c>
      <c r="D305" s="13" t="str">
        <f t="shared" si="14"/>
        <v xml:space="preserve">s[idf </v>
      </c>
      <c r="E305" s="13" t="str">
        <f t="shared" si="16"/>
        <v>a'9fyf]sL</v>
      </c>
      <c r="F305" s="21" t="s">
        <v>234</v>
      </c>
      <c r="G305" s="21" t="s">
        <v>757</v>
      </c>
      <c r="H305" s="21"/>
      <c r="I305" s="16"/>
      <c r="J305" s="16"/>
      <c r="K305" s="16"/>
      <c r="L305" s="16"/>
      <c r="M305" s="15">
        <f t="shared" si="15"/>
        <v>11.764383561643836</v>
      </c>
      <c r="N305" s="5">
        <v>62663</v>
      </c>
      <c r="O305" s="16"/>
      <c r="P305" s="16"/>
      <c r="Q305" s="16"/>
      <c r="R305" s="5">
        <v>66957</v>
      </c>
      <c r="T305" s="5"/>
    </row>
    <row r="306" spans="1:27" ht="18" x14ac:dyDescent="0.35">
      <c r="A306" s="6"/>
      <c r="C306" s="13" t="s">
        <v>607</v>
      </c>
      <c r="D306" s="13" t="str">
        <f t="shared" si="14"/>
        <v xml:space="preserve">k|lht </v>
      </c>
      <c r="E306" s="13" t="str">
        <f t="shared" si="16"/>
        <v>a'9fyf]sL</v>
      </c>
      <c r="F306" s="21" t="s">
        <v>233</v>
      </c>
      <c r="G306" s="21" t="s">
        <v>757</v>
      </c>
      <c r="H306" s="21"/>
      <c r="I306" s="16"/>
      <c r="J306" s="16"/>
      <c r="K306" s="16"/>
      <c r="L306" s="16"/>
      <c r="M306" s="15">
        <f t="shared" si="15"/>
        <v>6.8739726027397259</v>
      </c>
      <c r="N306" s="5">
        <v>64448</v>
      </c>
      <c r="O306" s="16"/>
      <c r="P306" s="16"/>
      <c r="Q306" s="16"/>
      <c r="R306" s="5">
        <v>66957</v>
      </c>
      <c r="T306" s="5"/>
    </row>
    <row r="307" spans="1:27" ht="18" x14ac:dyDescent="0.35">
      <c r="A307" s="6">
        <v>82</v>
      </c>
      <c r="B307" t="s">
        <v>147</v>
      </c>
      <c r="C307" s="13" t="s">
        <v>608</v>
      </c>
      <c r="D307" s="13" t="str">
        <f t="shared" si="14"/>
        <v xml:space="preserve">zld{nf </v>
      </c>
      <c r="E307" s="13" t="str">
        <f t="shared" si="16"/>
        <v>uf}td</v>
      </c>
      <c r="F307" s="21" t="s">
        <v>234</v>
      </c>
      <c r="G307" s="21" t="s">
        <v>756</v>
      </c>
      <c r="H307" s="21"/>
      <c r="I307" s="16" t="s">
        <v>748</v>
      </c>
      <c r="J307" s="16" t="s">
        <v>748</v>
      </c>
      <c r="K307" s="16" t="s">
        <v>748</v>
      </c>
      <c r="L307" s="16" t="s">
        <v>748</v>
      </c>
      <c r="M307" s="15">
        <f t="shared" si="15"/>
        <v>37.791780821917811</v>
      </c>
      <c r="N307" s="5">
        <v>53163</v>
      </c>
      <c r="O307" s="16"/>
      <c r="P307" s="16"/>
      <c r="Q307" s="16"/>
      <c r="R307" s="5">
        <v>66957</v>
      </c>
      <c r="T307" s="5">
        <v>64977</v>
      </c>
      <c r="U307" s="2" t="s">
        <v>2</v>
      </c>
      <c r="V307" s="2">
        <v>2</v>
      </c>
      <c r="W307" s="2">
        <v>1</v>
      </c>
      <c r="X307" s="2">
        <v>1</v>
      </c>
      <c r="Y307" t="s">
        <v>240</v>
      </c>
      <c r="Z307" t="s">
        <v>315</v>
      </c>
      <c r="AA307" t="s">
        <v>245</v>
      </c>
    </row>
    <row r="308" spans="1:27" ht="18" x14ac:dyDescent="0.35">
      <c r="A308" s="6"/>
      <c r="C308" s="13" t="s">
        <v>609</v>
      </c>
      <c r="D308" s="13" t="str">
        <f t="shared" si="14"/>
        <v xml:space="preserve">ljsf;s </v>
      </c>
      <c r="E308" s="13" t="str">
        <f t="shared" si="16"/>
        <v>lu/L</v>
      </c>
      <c r="F308" s="21" t="s">
        <v>233</v>
      </c>
      <c r="G308" s="21" t="s">
        <v>757</v>
      </c>
      <c r="H308" s="21"/>
      <c r="I308" s="16"/>
      <c r="J308" s="16"/>
      <c r="K308" s="16"/>
      <c r="L308" s="16"/>
      <c r="M308" s="15">
        <f t="shared" si="15"/>
        <v>11.602739726027398</v>
      </c>
      <c r="N308" s="5">
        <v>62722</v>
      </c>
      <c r="O308" s="16"/>
      <c r="P308" s="16"/>
      <c r="Q308" s="16"/>
      <c r="R308" s="5">
        <v>66957</v>
      </c>
      <c r="T308" s="5"/>
    </row>
    <row r="309" spans="1:27" ht="18" x14ac:dyDescent="0.35">
      <c r="A309" s="6">
        <v>83</v>
      </c>
      <c r="B309" t="s">
        <v>148</v>
      </c>
      <c r="C309" s="13" t="s">
        <v>610</v>
      </c>
      <c r="D309" s="13" t="str">
        <f t="shared" si="14"/>
        <v xml:space="preserve">rGb| </v>
      </c>
      <c r="E309" s="13" t="str">
        <f t="shared" si="16"/>
        <v>a:g]t</v>
      </c>
      <c r="F309" s="21" t="s">
        <v>233</v>
      </c>
      <c r="G309" s="21" t="s">
        <v>756</v>
      </c>
      <c r="H309" s="21"/>
      <c r="I309" s="16" t="s">
        <v>748</v>
      </c>
      <c r="J309" s="16" t="s">
        <v>748</v>
      </c>
      <c r="K309" s="16" t="s">
        <v>748</v>
      </c>
      <c r="L309" s="16" t="s">
        <v>748</v>
      </c>
      <c r="M309" s="15">
        <f t="shared" si="15"/>
        <v>55.589041095890408</v>
      </c>
      <c r="N309" s="5">
        <v>46667</v>
      </c>
      <c r="O309" s="16"/>
      <c r="P309" s="16"/>
      <c r="Q309" s="16"/>
      <c r="R309" s="5">
        <v>66957</v>
      </c>
      <c r="T309" s="5">
        <v>64935</v>
      </c>
      <c r="U309" s="2" t="s">
        <v>100</v>
      </c>
      <c r="V309" s="2">
        <v>4</v>
      </c>
      <c r="W309" s="2">
        <v>2</v>
      </c>
      <c r="X309" s="2">
        <v>2</v>
      </c>
      <c r="Y309" t="s">
        <v>242</v>
      </c>
      <c r="Z309" t="s">
        <v>245</v>
      </c>
      <c r="AA309" t="s">
        <v>260</v>
      </c>
    </row>
    <row r="310" spans="1:27" ht="18" x14ac:dyDescent="0.35">
      <c r="A310" s="6"/>
      <c r="C310" s="13" t="s">
        <v>611</v>
      </c>
      <c r="D310" s="13" t="str">
        <f t="shared" si="14"/>
        <v xml:space="preserve">kz'klt </v>
      </c>
      <c r="E310" s="13" t="str">
        <f t="shared" si="16"/>
        <v>a:g]t</v>
      </c>
      <c r="F310" s="21" t="s">
        <v>233</v>
      </c>
      <c r="G310" s="21" t="s">
        <v>756</v>
      </c>
      <c r="H310" s="21"/>
      <c r="I310" s="16"/>
      <c r="J310" s="16"/>
      <c r="K310" s="16"/>
      <c r="L310" s="16"/>
      <c r="M310" s="15">
        <f t="shared" si="15"/>
        <v>42.750684931506846</v>
      </c>
      <c r="N310" s="5">
        <v>51353</v>
      </c>
      <c r="O310" s="16"/>
      <c r="P310" s="16"/>
      <c r="Q310" s="16"/>
      <c r="R310" s="5">
        <v>66957</v>
      </c>
      <c r="T310" s="5"/>
    </row>
    <row r="311" spans="1:27" ht="18" x14ac:dyDescent="0.35">
      <c r="A311" s="6"/>
      <c r="C311" s="13" t="s">
        <v>612</v>
      </c>
      <c r="D311" s="13" t="str">
        <f t="shared" si="14"/>
        <v xml:space="preserve">ljzfn </v>
      </c>
      <c r="E311" s="13" t="str">
        <f t="shared" si="16"/>
        <v>a:g]t</v>
      </c>
      <c r="F311" s="21" t="s">
        <v>233</v>
      </c>
      <c r="G311" s="21" t="s">
        <v>757</v>
      </c>
      <c r="H311" s="21"/>
      <c r="I311" s="16"/>
      <c r="J311" s="16"/>
      <c r="K311" s="16"/>
      <c r="L311" s="16"/>
      <c r="M311" s="15">
        <f t="shared" si="15"/>
        <v>20.235616438356164</v>
      </c>
      <c r="N311" s="5">
        <v>59571</v>
      </c>
      <c r="O311" s="16"/>
      <c r="P311" s="16"/>
      <c r="Q311" s="16"/>
      <c r="R311" s="5">
        <v>66957</v>
      </c>
      <c r="T311" s="5"/>
    </row>
    <row r="312" spans="1:27" ht="18" x14ac:dyDescent="0.35">
      <c r="A312" s="6"/>
      <c r="C312" s="13" t="s">
        <v>613</v>
      </c>
      <c r="D312" s="13" t="str">
        <f t="shared" si="14"/>
        <v xml:space="preserve">ljj]s </v>
      </c>
      <c r="E312" s="13" t="str">
        <f t="shared" si="16"/>
        <v>a:g]t</v>
      </c>
      <c r="F312" s="21" t="s">
        <v>233</v>
      </c>
      <c r="G312" s="21" t="s">
        <v>757</v>
      </c>
      <c r="H312" s="21"/>
      <c r="I312" s="16"/>
      <c r="J312" s="16"/>
      <c r="K312" s="16"/>
      <c r="L312" s="16"/>
      <c r="M312" s="15">
        <f t="shared" si="15"/>
        <v>19.013698630136986</v>
      </c>
      <c r="N312" s="5">
        <v>60017</v>
      </c>
      <c r="O312" s="16"/>
      <c r="P312" s="16"/>
      <c r="Q312" s="16"/>
      <c r="R312" s="5">
        <v>66957</v>
      </c>
      <c r="T312" s="5"/>
    </row>
    <row r="313" spans="1:27" ht="18" x14ac:dyDescent="0.35">
      <c r="A313" s="6">
        <v>84</v>
      </c>
      <c r="B313" t="s">
        <v>149</v>
      </c>
      <c r="C313" s="13" t="s">
        <v>614</v>
      </c>
      <c r="D313" s="13" t="str">
        <f t="shared" si="14"/>
        <v xml:space="preserve">v8\u </v>
      </c>
      <c r="E313" s="13" t="str">
        <f t="shared" si="16"/>
        <v>&gt;]i7</v>
      </c>
      <c r="F313" s="21" t="s">
        <v>233</v>
      </c>
      <c r="G313" s="21" t="s">
        <v>756</v>
      </c>
      <c r="H313" s="21"/>
      <c r="I313" s="16">
        <v>2</v>
      </c>
      <c r="J313" s="16">
        <v>6</v>
      </c>
      <c r="K313" s="16">
        <v>1</v>
      </c>
      <c r="L313" s="16">
        <v>1</v>
      </c>
      <c r="M313" s="15">
        <f t="shared" si="15"/>
        <v>46.334246575342469</v>
      </c>
      <c r="N313" s="5">
        <v>50045</v>
      </c>
      <c r="O313" s="16"/>
      <c r="P313" s="16"/>
      <c r="Q313" s="16"/>
      <c r="R313" s="5">
        <v>66957</v>
      </c>
      <c r="T313" s="5">
        <v>64887</v>
      </c>
      <c r="U313" s="2" t="s">
        <v>2</v>
      </c>
      <c r="V313" s="2">
        <v>4</v>
      </c>
      <c r="W313" s="2">
        <v>2</v>
      </c>
      <c r="X313" s="2">
        <v>2</v>
      </c>
      <c r="Y313" t="s">
        <v>242</v>
      </c>
      <c r="Z313" t="s">
        <v>286</v>
      </c>
      <c r="AA313" t="s">
        <v>245</v>
      </c>
    </row>
    <row r="314" spans="1:27" ht="18" x14ac:dyDescent="0.35">
      <c r="A314" s="6"/>
      <c r="C314" s="13" t="s">
        <v>615</v>
      </c>
      <c r="D314" s="13" t="str">
        <f t="shared" si="14"/>
        <v xml:space="preserve">cl:dtf </v>
      </c>
      <c r="E314" s="13" t="str">
        <f t="shared" si="16"/>
        <v>&gt;]i7</v>
      </c>
      <c r="F314" s="21" t="s">
        <v>234</v>
      </c>
      <c r="G314" s="21" t="s">
        <v>756</v>
      </c>
      <c r="H314" s="21"/>
      <c r="I314" s="16"/>
      <c r="J314" s="16"/>
      <c r="K314" s="16"/>
      <c r="L314" s="16"/>
      <c r="M314" s="15">
        <f t="shared" si="15"/>
        <v>43.893150684931506</v>
      </c>
      <c r="N314" s="5">
        <v>50936</v>
      </c>
      <c r="O314" s="16"/>
      <c r="P314" s="16"/>
      <c r="Q314" s="16"/>
      <c r="R314" s="5">
        <v>66957</v>
      </c>
      <c r="T314" s="5"/>
    </row>
    <row r="315" spans="1:27" ht="18" x14ac:dyDescent="0.35">
      <c r="A315" s="6"/>
      <c r="C315" s="13" t="s">
        <v>616</v>
      </c>
      <c r="D315" s="13" t="str">
        <f t="shared" si="14"/>
        <v xml:space="preserve">cldt </v>
      </c>
      <c r="E315" s="13" t="str">
        <f t="shared" si="16"/>
        <v>&gt;]i7</v>
      </c>
      <c r="F315" s="21" t="s">
        <v>233</v>
      </c>
      <c r="G315" s="21" t="s">
        <v>757</v>
      </c>
      <c r="H315" s="21"/>
      <c r="I315" s="16"/>
      <c r="J315" s="16"/>
      <c r="K315" s="16"/>
      <c r="L315" s="16"/>
      <c r="M315" s="15">
        <f t="shared" si="15"/>
        <v>22.761643835616439</v>
      </c>
      <c r="N315" s="5">
        <v>58649</v>
      </c>
      <c r="O315" s="16"/>
      <c r="P315" s="16"/>
      <c r="Q315" s="16"/>
      <c r="R315" s="5">
        <v>66957</v>
      </c>
      <c r="T315" s="5"/>
    </row>
    <row r="316" spans="1:27" ht="18" x14ac:dyDescent="0.35">
      <c r="A316" s="6"/>
      <c r="C316" s="13" t="s">
        <v>617</v>
      </c>
      <c r="D316" s="13" t="str">
        <f t="shared" si="14"/>
        <v xml:space="preserve">;'l:dtf </v>
      </c>
      <c r="E316" s="13" t="str">
        <f t="shared" si="16"/>
        <v>&gt;]i7</v>
      </c>
      <c r="F316" s="21" t="s">
        <v>234</v>
      </c>
      <c r="G316" s="21" t="s">
        <v>757</v>
      </c>
      <c r="H316" s="21"/>
      <c r="I316" s="16"/>
      <c r="J316" s="16"/>
      <c r="K316" s="16"/>
      <c r="L316" s="16"/>
      <c r="M316" s="15">
        <f t="shared" si="15"/>
        <v>20.339726027397262</v>
      </c>
      <c r="N316" s="5">
        <v>59533</v>
      </c>
      <c r="O316" s="16"/>
      <c r="P316" s="16"/>
      <c r="Q316" s="16"/>
      <c r="R316" s="5">
        <v>66957</v>
      </c>
      <c r="T316" s="5"/>
    </row>
    <row r="317" spans="1:27" ht="18" x14ac:dyDescent="0.35">
      <c r="A317" s="6">
        <v>85</v>
      </c>
      <c r="B317" t="s">
        <v>150</v>
      </c>
      <c r="C317" s="13" t="s">
        <v>618</v>
      </c>
      <c r="D317" s="13" t="str">
        <f t="shared" si="14"/>
        <v xml:space="preserve">;'jf]n </v>
      </c>
      <c r="E317" s="13" t="str">
        <f t="shared" si="16"/>
        <v>v8\sf</v>
      </c>
      <c r="F317" s="21" t="s">
        <v>233</v>
      </c>
      <c r="G317" s="21" t="s">
        <v>756</v>
      </c>
      <c r="H317" s="21"/>
      <c r="I317" s="16" t="s">
        <v>748</v>
      </c>
      <c r="J317" s="16" t="s">
        <v>748</v>
      </c>
      <c r="K317" s="16" t="s">
        <v>748</v>
      </c>
      <c r="L317" s="16" t="s">
        <v>748</v>
      </c>
      <c r="M317" s="15">
        <f t="shared" si="15"/>
        <v>41.128767123287673</v>
      </c>
      <c r="N317" s="5">
        <v>51945</v>
      </c>
      <c r="O317" s="16"/>
      <c r="P317" s="16"/>
      <c r="Q317" s="16"/>
      <c r="R317" s="5">
        <v>66957</v>
      </c>
      <c r="T317" s="5">
        <v>64813</v>
      </c>
      <c r="U317" s="2" t="s">
        <v>100</v>
      </c>
      <c r="V317" s="2">
        <v>4</v>
      </c>
      <c r="W317" s="2">
        <v>2</v>
      </c>
      <c r="X317" s="2">
        <v>2</v>
      </c>
      <c r="Y317" t="s">
        <v>242</v>
      </c>
      <c r="Z317" t="s">
        <v>245</v>
      </c>
      <c r="AA317" t="s">
        <v>294</v>
      </c>
    </row>
    <row r="318" spans="1:27" ht="18" x14ac:dyDescent="0.35">
      <c r="A318" s="6"/>
      <c r="C318" s="13" t="s">
        <v>619</v>
      </c>
      <c r="D318" s="13" t="str">
        <f t="shared" si="14"/>
        <v xml:space="preserve">uf]df </v>
      </c>
      <c r="E318" s="13" t="str">
        <f t="shared" si="16"/>
        <v>v8\sf</v>
      </c>
      <c r="F318" s="21" t="s">
        <v>234</v>
      </c>
      <c r="G318" s="21" t="s">
        <v>756</v>
      </c>
      <c r="H318" s="21"/>
      <c r="I318" s="16"/>
      <c r="J318" s="16"/>
      <c r="K318" s="16"/>
      <c r="L318" s="16"/>
      <c r="M318" s="15">
        <f t="shared" si="15"/>
        <v>37.284931506849318</v>
      </c>
      <c r="N318" s="5">
        <v>53348</v>
      </c>
      <c r="O318" s="16"/>
      <c r="P318" s="16"/>
      <c r="Q318" s="16"/>
      <c r="R318" s="5">
        <v>66957</v>
      </c>
      <c r="T318" s="5"/>
    </row>
    <row r="319" spans="1:27" ht="18" x14ac:dyDescent="0.35">
      <c r="A319" s="6"/>
      <c r="C319" s="13" t="s">
        <v>620</v>
      </c>
      <c r="D319" s="13" t="str">
        <f t="shared" si="14"/>
        <v xml:space="preserve">;+lugf </v>
      </c>
      <c r="E319" s="13" t="str">
        <f t="shared" si="16"/>
        <v>v8\sf</v>
      </c>
      <c r="F319" s="21" t="s">
        <v>234</v>
      </c>
      <c r="G319" s="21" t="s">
        <v>757</v>
      </c>
      <c r="H319" s="21"/>
      <c r="I319" s="16"/>
      <c r="J319" s="16"/>
      <c r="K319" s="16"/>
      <c r="L319" s="16"/>
      <c r="M319" s="15">
        <f t="shared" si="15"/>
        <v>17.095890410958905</v>
      </c>
      <c r="N319" s="5">
        <v>60717</v>
      </c>
      <c r="O319" s="16"/>
      <c r="P319" s="16"/>
      <c r="Q319" s="16"/>
      <c r="R319" s="5">
        <v>66957</v>
      </c>
      <c r="T319" s="5"/>
    </row>
    <row r="320" spans="1:27" ht="18" x14ac:dyDescent="0.35">
      <c r="A320" s="6"/>
      <c r="C320" s="13" t="s">
        <v>621</v>
      </c>
      <c r="D320" s="13" t="str">
        <f t="shared" si="14"/>
        <v xml:space="preserve">;+ud </v>
      </c>
      <c r="E320" s="13" t="str">
        <f t="shared" si="16"/>
        <v>v8\sf</v>
      </c>
      <c r="F320" s="21" t="s">
        <v>233</v>
      </c>
      <c r="G320" s="21" t="s">
        <v>757</v>
      </c>
      <c r="H320" s="21"/>
      <c r="I320" s="16"/>
      <c r="J320" s="16"/>
      <c r="K320" s="16"/>
      <c r="L320" s="16"/>
      <c r="M320" s="15">
        <f t="shared" si="15"/>
        <v>14.597260273972603</v>
      </c>
      <c r="N320" s="5">
        <v>61629</v>
      </c>
      <c r="O320" s="16"/>
      <c r="P320" s="16"/>
      <c r="Q320" s="16"/>
      <c r="R320" s="5">
        <v>66957</v>
      </c>
      <c r="T320" s="5"/>
    </row>
    <row r="321" spans="1:27" ht="18" x14ac:dyDescent="0.35">
      <c r="A321" s="6">
        <v>86</v>
      </c>
      <c r="B321" t="s">
        <v>45</v>
      </c>
      <c r="C321" s="13" t="s">
        <v>622</v>
      </c>
      <c r="D321" s="13" t="str">
        <f t="shared" si="14"/>
        <v xml:space="preserve">clgtf </v>
      </c>
      <c r="E321" s="13" t="str">
        <f t="shared" si="16"/>
        <v>tfdfª</v>
      </c>
      <c r="F321" s="21" t="s">
        <v>234</v>
      </c>
      <c r="G321" s="21" t="s">
        <v>756</v>
      </c>
      <c r="H321" s="21"/>
      <c r="I321" s="16">
        <v>0</v>
      </c>
      <c r="J321" s="16">
        <v>5</v>
      </c>
      <c r="K321" s="16">
        <v>1</v>
      </c>
      <c r="L321" s="16">
        <v>2</v>
      </c>
      <c r="M321" s="15">
        <f t="shared" si="15"/>
        <v>52.339726027397262</v>
      </c>
      <c r="N321" s="5">
        <v>47853</v>
      </c>
      <c r="O321" s="16"/>
      <c r="P321" s="16"/>
      <c r="Q321" s="16"/>
      <c r="R321" s="5">
        <v>66957</v>
      </c>
      <c r="T321" s="5">
        <v>64618</v>
      </c>
      <c r="U321" s="2" t="s">
        <v>2</v>
      </c>
      <c r="V321" s="2">
        <v>4</v>
      </c>
      <c r="W321" s="2">
        <v>3</v>
      </c>
      <c r="X321" s="2">
        <v>1</v>
      </c>
      <c r="Y321" t="s">
        <v>241</v>
      </c>
      <c r="Z321" t="s">
        <v>250</v>
      </c>
      <c r="AA321" t="s">
        <v>245</v>
      </c>
    </row>
    <row r="322" spans="1:27" ht="18" x14ac:dyDescent="0.35">
      <c r="A322" s="6"/>
      <c r="C322" s="13" t="s">
        <v>623</v>
      </c>
      <c r="D322" s="13" t="str">
        <f t="shared" si="14"/>
        <v xml:space="preserve">k]Daf </v>
      </c>
      <c r="E322" s="13" t="str">
        <f t="shared" si="16"/>
        <v>tfdfª</v>
      </c>
      <c r="F322" s="21" t="s">
        <v>233</v>
      </c>
      <c r="G322" s="21" t="s">
        <v>756</v>
      </c>
      <c r="H322" s="21"/>
      <c r="I322" s="16"/>
      <c r="J322" s="16"/>
      <c r="K322" s="16"/>
      <c r="L322" s="16"/>
      <c r="M322" s="15">
        <f t="shared" si="15"/>
        <v>59.197260273972603</v>
      </c>
      <c r="N322" s="5">
        <v>45350</v>
      </c>
      <c r="O322" s="16"/>
      <c r="P322" s="16"/>
      <c r="Q322" s="16"/>
      <c r="R322" s="5">
        <v>66957</v>
      </c>
      <c r="T322" s="5"/>
    </row>
    <row r="323" spans="1:27" ht="18" x14ac:dyDescent="0.35">
      <c r="A323" s="6"/>
      <c r="C323" s="13" t="s">
        <v>624</v>
      </c>
      <c r="D323" s="13" t="str">
        <f t="shared" si="14"/>
        <v xml:space="preserve">las|d </v>
      </c>
      <c r="E323" s="13" t="str">
        <f t="shared" si="16"/>
        <v>tfdfª</v>
      </c>
      <c r="F323" s="21" t="s">
        <v>233</v>
      </c>
      <c r="G323" s="21" t="s">
        <v>757</v>
      </c>
      <c r="H323" s="21"/>
      <c r="I323" s="16"/>
      <c r="J323" s="16"/>
      <c r="K323" s="16"/>
      <c r="L323" s="16"/>
      <c r="M323" s="15">
        <f t="shared" si="15"/>
        <v>33.172602739726024</v>
      </c>
      <c r="N323" s="5">
        <v>54849</v>
      </c>
      <c r="O323" s="16"/>
      <c r="P323" s="16"/>
      <c r="Q323" s="16"/>
      <c r="R323" s="5">
        <v>66957</v>
      </c>
      <c r="T323" s="5"/>
    </row>
    <row r="324" spans="1:27" ht="18" x14ac:dyDescent="0.35">
      <c r="A324" s="6"/>
      <c r="C324" s="13" t="s">
        <v>625</v>
      </c>
      <c r="D324" s="13" t="str">
        <f t="shared" ref="D324:D387" si="17">LEFT(C324,(FIND(" ",C324)))</f>
        <v xml:space="preserve">;+lha </v>
      </c>
      <c r="E324" s="13" t="str">
        <f t="shared" si="16"/>
        <v>tfdfª</v>
      </c>
      <c r="F324" s="21" t="s">
        <v>233</v>
      </c>
      <c r="G324" s="21" t="s">
        <v>757</v>
      </c>
      <c r="H324" s="21"/>
      <c r="I324" s="16"/>
      <c r="J324" s="16"/>
      <c r="K324" s="16"/>
      <c r="L324" s="16"/>
      <c r="M324" s="15">
        <f t="shared" ref="M324:M387" si="18">(R324-N324)/365</f>
        <v>30.980821917808218</v>
      </c>
      <c r="N324" s="5">
        <v>55649</v>
      </c>
      <c r="O324" s="16"/>
      <c r="P324" s="16"/>
      <c r="Q324" s="16"/>
      <c r="R324" s="5">
        <v>66957</v>
      </c>
      <c r="T324" s="5"/>
    </row>
    <row r="325" spans="1:27" ht="18" x14ac:dyDescent="0.35">
      <c r="A325" s="6">
        <v>87</v>
      </c>
      <c r="B325" t="s">
        <v>151</v>
      </c>
      <c r="C325" s="13" t="s">
        <v>626</v>
      </c>
      <c r="D325" s="13" t="str">
        <f t="shared" si="17"/>
        <v xml:space="preserve">k'gd </v>
      </c>
      <c r="E325" s="13" t="str">
        <f t="shared" ref="E325:E388" si="19">TRIM(RIGHT(SUBSTITUTE(C325," ",REPT(" ",255)),255))</f>
        <v>ld&gt;</v>
      </c>
      <c r="F325" s="21" t="s">
        <v>234</v>
      </c>
      <c r="G325" s="21" t="s">
        <v>756</v>
      </c>
      <c r="H325" s="21"/>
      <c r="I325" s="16" t="s">
        <v>748</v>
      </c>
      <c r="J325" s="16" t="s">
        <v>748</v>
      </c>
      <c r="K325" s="16" t="s">
        <v>748</v>
      </c>
      <c r="L325" s="16" t="s">
        <v>748</v>
      </c>
      <c r="M325" s="15">
        <f t="shared" si="18"/>
        <v>44.709589041095889</v>
      </c>
      <c r="N325" s="5">
        <v>50638</v>
      </c>
      <c r="O325" s="16"/>
      <c r="P325" s="16"/>
      <c r="Q325" s="16"/>
      <c r="R325" s="5">
        <v>66957</v>
      </c>
      <c r="T325" s="5">
        <v>64618</v>
      </c>
      <c r="U325" s="2" t="s">
        <v>2</v>
      </c>
      <c r="V325" s="2">
        <v>1</v>
      </c>
      <c r="X325" s="2">
        <v>1</v>
      </c>
      <c r="Y325" t="s">
        <v>242</v>
      </c>
      <c r="Z325" t="s">
        <v>301</v>
      </c>
      <c r="AA325" t="s">
        <v>245</v>
      </c>
    </row>
    <row r="326" spans="1:27" ht="18" x14ac:dyDescent="0.35">
      <c r="A326" s="6">
        <v>88</v>
      </c>
      <c r="B326" t="s">
        <v>152</v>
      </c>
      <c r="C326" s="13" t="s">
        <v>627</v>
      </c>
      <c r="D326" s="13" t="str">
        <f t="shared" si="17"/>
        <v xml:space="preserve">s]bf/ </v>
      </c>
      <c r="E326" s="13" t="str">
        <f t="shared" si="19"/>
        <v>yfkf</v>
      </c>
      <c r="F326" s="21" t="s">
        <v>233</v>
      </c>
      <c r="G326" s="21" t="s">
        <v>756</v>
      </c>
      <c r="H326" s="21"/>
      <c r="I326" s="16">
        <v>0</v>
      </c>
      <c r="J326" s="16">
        <v>4</v>
      </c>
      <c r="K326" s="16">
        <v>0</v>
      </c>
      <c r="L326" s="20">
        <v>2</v>
      </c>
      <c r="M326" s="15">
        <f t="shared" si="18"/>
        <v>58.126027397260273</v>
      </c>
      <c r="N326" s="5">
        <v>45741</v>
      </c>
      <c r="O326" s="16"/>
      <c r="P326" s="16"/>
      <c r="Q326" s="16"/>
      <c r="R326" s="5">
        <v>66957</v>
      </c>
      <c r="T326" s="5">
        <v>64571</v>
      </c>
      <c r="U326" s="2" t="s">
        <v>2</v>
      </c>
      <c r="V326" s="2">
        <v>5</v>
      </c>
      <c r="W326" s="2">
        <v>3</v>
      </c>
      <c r="X326" s="2">
        <v>2</v>
      </c>
      <c r="Y326" t="s">
        <v>242</v>
      </c>
      <c r="Z326" t="s">
        <v>281</v>
      </c>
      <c r="AA326" t="s">
        <v>245</v>
      </c>
    </row>
    <row r="327" spans="1:27" ht="18" x14ac:dyDescent="0.35">
      <c r="A327" s="6"/>
      <c r="C327" s="13" t="s">
        <v>628</v>
      </c>
      <c r="D327" s="13" t="str">
        <f t="shared" si="17"/>
        <v xml:space="preserve">ljzfn </v>
      </c>
      <c r="E327" s="13" t="str">
        <f t="shared" si="19"/>
        <v>yfkf</v>
      </c>
      <c r="F327" s="21" t="s">
        <v>233</v>
      </c>
      <c r="G327" s="21" t="s">
        <v>757</v>
      </c>
      <c r="H327" s="21"/>
      <c r="I327" s="16"/>
      <c r="J327" s="16"/>
      <c r="K327" s="16"/>
      <c r="L327" s="16"/>
      <c r="M327" s="15">
        <f t="shared" si="18"/>
        <v>31.054794520547944</v>
      </c>
      <c r="N327" s="5">
        <v>55622</v>
      </c>
      <c r="O327" s="16"/>
      <c r="P327" s="16"/>
      <c r="Q327" s="16"/>
      <c r="R327" s="5">
        <v>66957</v>
      </c>
      <c r="T327" s="5"/>
    </row>
    <row r="328" spans="1:27" ht="18" x14ac:dyDescent="0.35">
      <c r="A328" s="6"/>
      <c r="C328" s="13" t="s">
        <v>629</v>
      </c>
      <c r="D328" s="13" t="str">
        <f t="shared" si="17"/>
        <v xml:space="preserve">jiff{ </v>
      </c>
      <c r="E328" s="13" t="str">
        <f t="shared" si="19"/>
        <v>yfkf</v>
      </c>
      <c r="F328" s="21" t="s">
        <v>234</v>
      </c>
      <c r="G328" s="21" t="s">
        <v>757</v>
      </c>
      <c r="H328" s="21"/>
      <c r="I328" s="16"/>
      <c r="J328" s="16"/>
      <c r="K328" s="16"/>
      <c r="L328" s="16"/>
      <c r="M328" s="15">
        <f t="shared" si="18"/>
        <v>28.641095890410959</v>
      </c>
      <c r="N328" s="5">
        <v>56503</v>
      </c>
      <c r="O328" s="16"/>
      <c r="P328" s="16"/>
      <c r="Q328" s="16"/>
      <c r="R328" s="5">
        <v>66957</v>
      </c>
      <c r="T328" s="5"/>
    </row>
    <row r="329" spans="1:27" ht="18" x14ac:dyDescent="0.35">
      <c r="A329" s="6"/>
      <c r="C329" s="13" t="s">
        <v>630</v>
      </c>
      <c r="D329" s="13" t="str">
        <f t="shared" si="17"/>
        <v xml:space="preserve">/f]lhgf </v>
      </c>
      <c r="E329" s="13" t="str">
        <f t="shared" si="19"/>
        <v>yfkf</v>
      </c>
      <c r="F329" s="21" t="s">
        <v>234</v>
      </c>
      <c r="G329" s="21" t="s">
        <v>756</v>
      </c>
      <c r="H329" s="21"/>
      <c r="I329" s="16"/>
      <c r="J329" s="16"/>
      <c r="K329" s="16"/>
      <c r="L329" s="16"/>
      <c r="M329" s="15">
        <f t="shared" si="18"/>
        <v>52.9972602739726</v>
      </c>
      <c r="N329" s="5">
        <v>47613</v>
      </c>
      <c r="O329" s="16"/>
      <c r="P329" s="16"/>
      <c r="Q329" s="16"/>
      <c r="R329" s="5">
        <v>66957</v>
      </c>
      <c r="T329" s="5"/>
    </row>
    <row r="330" spans="1:27" ht="18" x14ac:dyDescent="0.35">
      <c r="A330" s="6"/>
      <c r="C330" s="13" t="s">
        <v>631</v>
      </c>
      <c r="D330" s="13" t="str">
        <f t="shared" si="17"/>
        <v xml:space="preserve">ljjz </v>
      </c>
      <c r="E330" s="13" t="str">
        <f t="shared" si="19"/>
        <v>yfkf</v>
      </c>
      <c r="F330" s="21" t="s">
        <v>233</v>
      </c>
      <c r="G330" s="21" t="s">
        <v>757</v>
      </c>
      <c r="H330" s="21"/>
      <c r="I330" s="16"/>
      <c r="J330" s="16"/>
      <c r="K330" s="16"/>
      <c r="L330" s="16"/>
      <c r="M330" s="15">
        <f t="shared" si="18"/>
        <v>23.641095890410959</v>
      </c>
      <c r="N330" s="5">
        <v>58328</v>
      </c>
      <c r="O330" s="16"/>
      <c r="P330" s="16"/>
      <c r="Q330" s="16"/>
      <c r="R330" s="5">
        <v>66957</v>
      </c>
      <c r="T330" s="5"/>
    </row>
    <row r="331" spans="1:27" ht="18" x14ac:dyDescent="0.35">
      <c r="A331" s="6">
        <v>89</v>
      </c>
      <c r="B331" t="s">
        <v>153</v>
      </c>
      <c r="C331" s="13" t="s">
        <v>632</v>
      </c>
      <c r="D331" s="13" t="str">
        <f t="shared" si="17"/>
        <v xml:space="preserve">ljZjf; </v>
      </c>
      <c r="E331" s="13" t="str">
        <f t="shared" si="19"/>
        <v>yfkf</v>
      </c>
      <c r="F331" s="21" t="s">
        <v>233</v>
      </c>
      <c r="G331" s="21" t="s">
        <v>756</v>
      </c>
      <c r="H331" s="21"/>
      <c r="I331" s="16">
        <v>0</v>
      </c>
      <c r="J331" s="16">
        <v>13</v>
      </c>
      <c r="K331" s="16">
        <v>3</v>
      </c>
      <c r="L331" s="16">
        <v>0</v>
      </c>
      <c r="M331" s="15">
        <f t="shared" si="18"/>
        <v>56.019178082191779</v>
      </c>
      <c r="N331" s="5">
        <v>46510</v>
      </c>
      <c r="O331" s="16"/>
      <c r="P331" s="16"/>
      <c r="Q331" s="16"/>
      <c r="R331" s="5">
        <v>66957</v>
      </c>
      <c r="T331" s="5">
        <v>64532</v>
      </c>
      <c r="U331" s="2" t="s">
        <v>100</v>
      </c>
      <c r="V331" s="2">
        <v>4</v>
      </c>
      <c r="W331" s="2">
        <v>2</v>
      </c>
      <c r="X331" s="2">
        <v>2</v>
      </c>
      <c r="Y331" t="s">
        <v>242</v>
      </c>
      <c r="Z331" t="s">
        <v>245</v>
      </c>
      <c r="AA331" t="s">
        <v>259</v>
      </c>
    </row>
    <row r="332" spans="1:27" ht="18" x14ac:dyDescent="0.35">
      <c r="A332" s="6"/>
      <c r="C332" s="13" t="s">
        <v>633</v>
      </c>
      <c r="D332" s="13" t="str">
        <f t="shared" si="17"/>
        <v xml:space="preserve">;'lgtf </v>
      </c>
      <c r="E332" s="13" t="str">
        <f t="shared" si="19"/>
        <v>/}nf</v>
      </c>
      <c r="F332" s="21" t="s">
        <v>234</v>
      </c>
      <c r="G332" s="21" t="s">
        <v>756</v>
      </c>
      <c r="H332" s="21"/>
      <c r="I332" s="16"/>
      <c r="J332" s="16"/>
      <c r="K332" s="16"/>
      <c r="L332" s="16"/>
      <c r="M332" s="15">
        <f t="shared" si="18"/>
        <v>38.706849315068496</v>
      </c>
      <c r="N332" s="5">
        <v>52829</v>
      </c>
      <c r="O332" s="16"/>
      <c r="P332" s="16"/>
      <c r="Q332" s="16"/>
      <c r="R332" s="5">
        <v>66957</v>
      </c>
      <c r="T332" s="5"/>
    </row>
    <row r="333" spans="1:27" ht="18" x14ac:dyDescent="0.35">
      <c r="A333" s="6"/>
      <c r="C333" s="13" t="s">
        <v>634</v>
      </c>
      <c r="D333" s="13" t="str">
        <f t="shared" si="17"/>
        <v xml:space="preserve">;Dj[lb </v>
      </c>
      <c r="E333" s="13" t="str">
        <f t="shared" si="19"/>
        <v>yfkf</v>
      </c>
      <c r="F333" s="21" t="s">
        <v>234</v>
      </c>
      <c r="G333" s="21" t="s">
        <v>757</v>
      </c>
      <c r="H333" s="21"/>
      <c r="I333" s="16"/>
      <c r="J333" s="16"/>
      <c r="K333" s="16"/>
      <c r="L333" s="16"/>
      <c r="M333" s="15">
        <f t="shared" si="18"/>
        <v>14.169863013698631</v>
      </c>
      <c r="N333" s="5">
        <v>61785</v>
      </c>
      <c r="O333" s="16"/>
      <c r="P333" s="16"/>
      <c r="Q333" s="16"/>
      <c r="R333" s="5">
        <v>66957</v>
      </c>
      <c r="T333" s="5"/>
    </row>
    <row r="334" spans="1:27" ht="18" x14ac:dyDescent="0.35">
      <c r="A334" s="6"/>
      <c r="C334" s="13" t="s">
        <v>635</v>
      </c>
      <c r="D334" s="13" t="str">
        <f t="shared" si="17"/>
        <v xml:space="preserve">a]|G8]g </v>
      </c>
      <c r="E334" s="13" t="str">
        <f t="shared" si="19"/>
        <v>yfkf</v>
      </c>
      <c r="F334" s="21" t="s">
        <v>233</v>
      </c>
      <c r="G334" s="21" t="s">
        <v>757</v>
      </c>
      <c r="H334" s="21"/>
      <c r="I334" s="16"/>
      <c r="J334" s="16"/>
      <c r="K334" s="16"/>
      <c r="L334" s="16"/>
      <c r="M334" s="15">
        <f t="shared" si="18"/>
        <v>7.3917808219178083</v>
      </c>
      <c r="N334" s="5">
        <v>64259</v>
      </c>
      <c r="O334" s="16"/>
      <c r="P334" s="16"/>
      <c r="Q334" s="16"/>
      <c r="R334" s="5">
        <v>66957</v>
      </c>
      <c r="T334" s="5"/>
    </row>
    <row r="335" spans="1:27" ht="18" x14ac:dyDescent="0.35">
      <c r="A335" s="6">
        <v>90</v>
      </c>
      <c r="B335" t="s">
        <v>154</v>
      </c>
      <c r="C335" s="13" t="s">
        <v>636</v>
      </c>
      <c r="D335" s="13" t="str">
        <f t="shared" si="17"/>
        <v xml:space="preserve">k'?iff]Qd </v>
      </c>
      <c r="E335" s="13" t="str">
        <f t="shared" si="19"/>
        <v>v8\sf</v>
      </c>
      <c r="F335" s="21" t="s">
        <v>233</v>
      </c>
      <c r="G335" s="21" t="s">
        <v>756</v>
      </c>
      <c r="H335" s="21"/>
      <c r="I335" s="16">
        <v>1</v>
      </c>
      <c r="J335" s="16">
        <v>5</v>
      </c>
      <c r="K335" s="16">
        <v>0</v>
      </c>
      <c r="L335" s="16">
        <v>0</v>
      </c>
      <c r="M335" s="15">
        <f t="shared" si="18"/>
        <v>55.610958904109587</v>
      </c>
      <c r="N335" s="5">
        <v>46659</v>
      </c>
      <c r="O335" s="16"/>
      <c r="P335" s="16"/>
      <c r="Q335" s="16"/>
      <c r="R335" s="5">
        <v>66957</v>
      </c>
      <c r="T335" s="5">
        <v>64446</v>
      </c>
      <c r="U335" s="2" t="s">
        <v>2</v>
      </c>
      <c r="V335" s="2">
        <v>4</v>
      </c>
      <c r="W335" s="2">
        <v>1</v>
      </c>
      <c r="X335" s="2">
        <v>3</v>
      </c>
      <c r="Y335" t="s">
        <v>242</v>
      </c>
      <c r="Z335" t="s">
        <v>294</v>
      </c>
      <c r="AA335" t="s">
        <v>245</v>
      </c>
    </row>
    <row r="336" spans="1:27" ht="18" x14ac:dyDescent="0.35">
      <c r="A336" s="6"/>
      <c r="C336" s="13" t="s">
        <v>637</v>
      </c>
      <c r="D336" s="13" t="str">
        <f t="shared" si="17"/>
        <v xml:space="preserve">;'lznf </v>
      </c>
      <c r="E336" s="13" t="str">
        <f t="shared" si="19"/>
        <v>v8\sf</v>
      </c>
      <c r="F336" s="21" t="s">
        <v>234</v>
      </c>
      <c r="G336" s="21" t="s">
        <v>756</v>
      </c>
      <c r="H336" s="21"/>
      <c r="I336" s="16"/>
      <c r="J336" s="16"/>
      <c r="K336" s="16"/>
      <c r="L336" s="16"/>
      <c r="M336" s="15">
        <f t="shared" si="18"/>
        <v>51.843835616438355</v>
      </c>
      <c r="N336" s="5">
        <v>48034</v>
      </c>
      <c r="O336" s="16"/>
      <c r="P336" s="16"/>
      <c r="Q336" s="16"/>
      <c r="R336" s="5">
        <v>66957</v>
      </c>
      <c r="T336" s="5"/>
    </row>
    <row r="337" spans="1:27" ht="18" x14ac:dyDescent="0.35">
      <c r="A337" s="6"/>
      <c r="C337" s="13" t="s">
        <v>638</v>
      </c>
      <c r="D337" s="13" t="str">
        <f t="shared" si="17"/>
        <v xml:space="preserve">k'ikf </v>
      </c>
      <c r="E337" s="13" t="str">
        <f t="shared" si="19"/>
        <v>v8\sf</v>
      </c>
      <c r="F337" s="21" t="s">
        <v>234</v>
      </c>
      <c r="G337" s="21" t="s">
        <v>757</v>
      </c>
      <c r="H337" s="21"/>
      <c r="I337" s="16"/>
      <c r="J337" s="16"/>
      <c r="K337" s="16"/>
      <c r="L337" s="16"/>
      <c r="M337" s="15">
        <f t="shared" si="18"/>
        <v>29.605479452054794</v>
      </c>
      <c r="N337" s="5">
        <v>56151</v>
      </c>
      <c r="O337" s="16"/>
      <c r="P337" s="16"/>
      <c r="Q337" s="16"/>
      <c r="R337" s="5">
        <v>66957</v>
      </c>
      <c r="T337" s="5"/>
    </row>
    <row r="338" spans="1:27" ht="18" x14ac:dyDescent="0.35">
      <c r="A338" s="6"/>
      <c r="C338" s="13" t="s">
        <v>639</v>
      </c>
      <c r="D338" s="13" t="str">
        <f t="shared" si="17"/>
        <v xml:space="preserve">k'is/ </v>
      </c>
      <c r="E338" s="13" t="str">
        <f t="shared" si="19"/>
        <v>v8\sf</v>
      </c>
      <c r="F338" s="21" t="s">
        <v>233</v>
      </c>
      <c r="G338" s="21" t="s">
        <v>757</v>
      </c>
      <c r="H338" s="21"/>
      <c r="I338" s="16"/>
      <c r="J338" s="16"/>
      <c r="K338" s="16"/>
      <c r="L338" s="16"/>
      <c r="M338" s="15">
        <f t="shared" si="18"/>
        <v>26.709589041095889</v>
      </c>
      <c r="N338" s="5">
        <v>57208</v>
      </c>
      <c r="O338" s="16"/>
      <c r="P338" s="16"/>
      <c r="Q338" s="16"/>
      <c r="R338" s="5">
        <v>66957</v>
      </c>
      <c r="T338" s="5"/>
    </row>
    <row r="339" spans="1:27" ht="18" x14ac:dyDescent="0.35">
      <c r="A339" s="6">
        <v>91</v>
      </c>
      <c r="B339" t="s">
        <v>155</v>
      </c>
      <c r="C339" s="13" t="s">
        <v>640</v>
      </c>
      <c r="D339" s="13" t="str">
        <f t="shared" si="17"/>
        <v xml:space="preserve">Rofd' </v>
      </c>
      <c r="E339" s="13" t="str">
        <f t="shared" si="19"/>
        <v>rf}w/L</v>
      </c>
      <c r="F339" s="21" t="s">
        <v>233</v>
      </c>
      <c r="G339" s="21" t="s">
        <v>756</v>
      </c>
      <c r="H339" s="21"/>
      <c r="I339" s="16">
        <v>1</v>
      </c>
      <c r="J339" s="16">
        <v>6</v>
      </c>
      <c r="K339" s="16">
        <f>2</f>
        <v>2</v>
      </c>
      <c r="L339" s="16">
        <f>2</f>
        <v>2</v>
      </c>
      <c r="M339" s="15">
        <f t="shared" si="18"/>
        <v>59.750684931506846</v>
      </c>
      <c r="N339" s="5">
        <v>45148</v>
      </c>
      <c r="O339" s="16"/>
      <c r="P339" s="16"/>
      <c r="Q339" s="16"/>
      <c r="R339" s="5">
        <v>66957</v>
      </c>
      <c r="T339" s="5">
        <v>64444</v>
      </c>
      <c r="U339" s="2" t="s">
        <v>2</v>
      </c>
      <c r="V339" s="2">
        <v>4</v>
      </c>
      <c r="W339" s="2">
        <v>3</v>
      </c>
      <c r="X339" s="2">
        <v>1</v>
      </c>
      <c r="Y339" t="s">
        <v>242</v>
      </c>
      <c r="Z339" t="s">
        <v>262</v>
      </c>
      <c r="AA339" t="s">
        <v>245</v>
      </c>
    </row>
    <row r="340" spans="1:27" ht="18" x14ac:dyDescent="0.35">
      <c r="A340" s="6"/>
      <c r="C340" s="13" t="s">
        <v>641</v>
      </c>
      <c r="D340" s="13" t="str">
        <f t="shared" si="17"/>
        <v xml:space="preserve">lg/h </v>
      </c>
      <c r="E340" s="13" t="str">
        <f t="shared" si="19"/>
        <v>rf}w/L</v>
      </c>
      <c r="F340" s="21" t="s">
        <v>233</v>
      </c>
      <c r="G340" s="21" t="s">
        <v>757</v>
      </c>
      <c r="H340" s="21"/>
      <c r="I340" s="16"/>
      <c r="J340" s="16"/>
      <c r="K340" s="16"/>
      <c r="L340" s="16"/>
      <c r="M340" s="15">
        <f t="shared" si="18"/>
        <v>30.416438356164385</v>
      </c>
      <c r="N340" s="5">
        <v>55855</v>
      </c>
      <c r="O340" s="16"/>
      <c r="P340" s="16"/>
      <c r="Q340" s="16"/>
      <c r="R340" s="5">
        <v>66957</v>
      </c>
      <c r="T340" s="5"/>
    </row>
    <row r="341" spans="1:27" ht="18" x14ac:dyDescent="0.35">
      <c r="A341" s="6"/>
      <c r="C341" s="13" t="s">
        <v>642</v>
      </c>
      <c r="D341" s="13" t="str">
        <f t="shared" si="17"/>
        <v xml:space="preserve">lgzfGt </v>
      </c>
      <c r="E341" s="13" t="str">
        <f t="shared" si="19"/>
        <v>rf}w/L</v>
      </c>
      <c r="F341" s="21" t="s">
        <v>233</v>
      </c>
      <c r="G341" s="21" t="s">
        <v>757</v>
      </c>
      <c r="H341" s="21"/>
      <c r="I341" s="16"/>
      <c r="J341" s="16"/>
      <c r="K341" s="16"/>
      <c r="L341" s="16"/>
      <c r="M341" s="15">
        <f t="shared" si="18"/>
        <v>22.758904109589039</v>
      </c>
      <c r="N341" s="5">
        <v>58650</v>
      </c>
      <c r="O341" s="16"/>
      <c r="P341" s="16"/>
      <c r="Q341" s="16"/>
      <c r="R341" s="5">
        <v>66957</v>
      </c>
      <c r="T341" s="5"/>
    </row>
    <row r="342" spans="1:27" ht="18" x14ac:dyDescent="0.35">
      <c r="A342" s="6"/>
      <c r="C342" s="13" t="s">
        <v>643</v>
      </c>
      <c r="D342" s="13" t="str">
        <f t="shared" si="17"/>
        <v xml:space="preserve">e'jg </v>
      </c>
      <c r="E342" s="13" t="str">
        <f t="shared" si="19"/>
        <v>rf}w/L</v>
      </c>
      <c r="F342" s="21" t="s">
        <v>234</v>
      </c>
      <c r="G342" s="21" t="s">
        <v>756</v>
      </c>
      <c r="H342" s="21"/>
      <c r="I342" s="16"/>
      <c r="J342" s="16"/>
      <c r="K342" s="16"/>
      <c r="L342" s="16"/>
      <c r="M342" s="15">
        <f t="shared" si="18"/>
        <v>51.063013698630137</v>
      </c>
      <c r="N342" s="5">
        <v>48319</v>
      </c>
      <c r="O342" s="16"/>
      <c r="P342" s="16"/>
      <c r="Q342" s="16"/>
      <c r="R342" s="5">
        <v>66957</v>
      </c>
      <c r="T342" s="5"/>
    </row>
    <row r="343" spans="1:27" ht="18" x14ac:dyDescent="0.35">
      <c r="A343" s="6">
        <v>92</v>
      </c>
      <c r="B343" t="s">
        <v>156</v>
      </c>
      <c r="C343" s="13" t="s">
        <v>644</v>
      </c>
      <c r="D343" s="13" t="str">
        <f t="shared" si="17"/>
        <v xml:space="preserve">l8NnL </v>
      </c>
      <c r="E343" s="13" t="str">
        <f t="shared" si="19"/>
        <v>&gt;]i7</v>
      </c>
      <c r="F343" s="21" t="s">
        <v>234</v>
      </c>
      <c r="G343" s="21" t="s">
        <v>756</v>
      </c>
      <c r="H343" s="21"/>
      <c r="I343" s="16">
        <v>0</v>
      </c>
      <c r="J343" s="16">
        <v>8</v>
      </c>
      <c r="K343" s="16">
        <v>0</v>
      </c>
      <c r="L343" s="16">
        <v>0</v>
      </c>
      <c r="M343" s="15">
        <f t="shared" si="18"/>
        <v>47.073972602739723</v>
      </c>
      <c r="N343" s="5">
        <v>49775</v>
      </c>
      <c r="O343" s="16"/>
      <c r="P343" s="16"/>
      <c r="Q343" s="16"/>
      <c r="R343" s="5">
        <v>66957</v>
      </c>
      <c r="T343" s="5">
        <v>64424</v>
      </c>
      <c r="U343" s="2" t="s">
        <v>2</v>
      </c>
      <c r="V343" s="2">
        <v>4</v>
      </c>
      <c r="W343" s="2">
        <v>2</v>
      </c>
      <c r="X343" s="2">
        <v>2</v>
      </c>
      <c r="Y343" t="s">
        <v>242</v>
      </c>
      <c r="Z343" t="s">
        <v>265</v>
      </c>
      <c r="AA343" t="s">
        <v>245</v>
      </c>
    </row>
    <row r="344" spans="1:27" ht="18" x14ac:dyDescent="0.35">
      <c r="A344" s="6"/>
      <c r="C344" s="13" t="s">
        <v>645</v>
      </c>
      <c r="D344" s="13" t="str">
        <f t="shared" si="17"/>
        <v xml:space="preserve">k|]d </v>
      </c>
      <c r="E344" s="13" t="str">
        <f t="shared" si="19"/>
        <v>&gt;]i7</v>
      </c>
      <c r="F344" s="21" t="s">
        <v>233</v>
      </c>
      <c r="G344" s="21" t="s">
        <v>756</v>
      </c>
      <c r="H344" s="21"/>
      <c r="I344" s="16"/>
      <c r="J344" s="16"/>
      <c r="K344" s="16"/>
      <c r="L344" s="16"/>
      <c r="M344" s="15">
        <f t="shared" si="18"/>
        <v>62.156164383561645</v>
      </c>
      <c r="N344" s="5">
        <v>44270</v>
      </c>
      <c r="O344" s="16"/>
      <c r="P344" s="16"/>
      <c r="Q344" s="16"/>
      <c r="R344" s="5">
        <v>66957</v>
      </c>
      <c r="T344" s="5"/>
    </row>
    <row r="345" spans="1:27" ht="18" x14ac:dyDescent="0.35">
      <c r="A345" s="6"/>
      <c r="C345" s="13" t="s">
        <v>646</v>
      </c>
      <c r="D345" s="13" t="str">
        <f t="shared" si="17"/>
        <v xml:space="preserve">k'gd </v>
      </c>
      <c r="E345" s="13" t="str">
        <f t="shared" si="19"/>
        <v>&gt;]i7</v>
      </c>
      <c r="F345" s="21" t="s">
        <v>234</v>
      </c>
      <c r="G345" s="21" t="s">
        <v>757</v>
      </c>
      <c r="H345" s="21"/>
      <c r="I345" s="16"/>
      <c r="J345" s="16"/>
      <c r="K345" s="16"/>
      <c r="L345" s="16"/>
      <c r="M345" s="15">
        <f t="shared" si="18"/>
        <v>25.246575342465754</v>
      </c>
      <c r="N345" s="5">
        <v>57742</v>
      </c>
      <c r="O345" s="16"/>
      <c r="P345" s="16"/>
      <c r="Q345" s="16"/>
      <c r="R345" s="5">
        <v>66957</v>
      </c>
      <c r="T345" s="5"/>
    </row>
    <row r="346" spans="1:27" ht="18" x14ac:dyDescent="0.35">
      <c r="A346" s="6"/>
      <c r="C346" s="13" t="s">
        <v>647</v>
      </c>
      <c r="D346" s="13" t="str">
        <f t="shared" si="17"/>
        <v xml:space="preserve">k|lbk </v>
      </c>
      <c r="E346" s="13" t="str">
        <f t="shared" si="19"/>
        <v>&gt;]i7</v>
      </c>
      <c r="F346" s="21" t="s">
        <v>233</v>
      </c>
      <c r="G346" s="21" t="s">
        <v>757</v>
      </c>
      <c r="H346" s="21"/>
      <c r="I346" s="16"/>
      <c r="J346" s="16"/>
      <c r="K346" s="16"/>
      <c r="L346" s="16"/>
      <c r="M346" s="15">
        <f t="shared" si="18"/>
        <v>20.646575342465752</v>
      </c>
      <c r="N346" s="5">
        <v>59421</v>
      </c>
      <c r="O346" s="16"/>
      <c r="P346" s="16"/>
      <c r="Q346" s="16"/>
      <c r="R346" s="5">
        <v>66957</v>
      </c>
      <c r="T346" s="5"/>
    </row>
    <row r="347" spans="1:27" ht="18" x14ac:dyDescent="0.35">
      <c r="A347" s="6">
        <v>93</v>
      </c>
      <c r="B347" t="s">
        <v>157</v>
      </c>
      <c r="C347" s="13" t="s">
        <v>648</v>
      </c>
      <c r="D347" s="13" t="str">
        <f t="shared" si="17"/>
        <v xml:space="preserve">o1 </v>
      </c>
      <c r="E347" s="13" t="str">
        <f t="shared" si="19"/>
        <v>j/fn</v>
      </c>
      <c r="F347" s="21" t="s">
        <v>233</v>
      </c>
      <c r="G347" s="21" t="s">
        <v>756</v>
      </c>
      <c r="H347" s="21"/>
      <c r="I347" s="16">
        <v>1</v>
      </c>
      <c r="J347" s="16">
        <v>0</v>
      </c>
      <c r="K347" s="16">
        <v>3</v>
      </c>
      <c r="L347" s="16">
        <v>0</v>
      </c>
      <c r="M347" s="15">
        <f t="shared" si="18"/>
        <v>39.731506849315068</v>
      </c>
      <c r="N347" s="5">
        <v>52455</v>
      </c>
      <c r="O347" s="16"/>
      <c r="P347" s="16"/>
      <c r="Q347" s="16"/>
      <c r="R347" s="5">
        <v>66957</v>
      </c>
      <c r="T347" s="5">
        <v>64395</v>
      </c>
      <c r="U347" s="2" t="s">
        <v>2</v>
      </c>
      <c r="V347" s="2">
        <v>2</v>
      </c>
      <c r="W347" s="2">
        <v>1</v>
      </c>
      <c r="X347" s="2">
        <v>1</v>
      </c>
      <c r="Y347" t="s">
        <v>242</v>
      </c>
      <c r="Z347" t="s">
        <v>335</v>
      </c>
      <c r="AA347" t="s">
        <v>245</v>
      </c>
    </row>
    <row r="348" spans="1:27" ht="18" x14ac:dyDescent="0.35">
      <c r="A348" s="6"/>
      <c r="C348" s="13" t="s">
        <v>649</v>
      </c>
      <c r="D348" s="13" t="str">
        <f t="shared" si="17"/>
        <v xml:space="preserve">/df </v>
      </c>
      <c r="E348" s="13" t="str">
        <f t="shared" si="19"/>
        <v>&gt;]i7</v>
      </c>
      <c r="F348" s="21" t="s">
        <v>234</v>
      </c>
      <c r="G348" s="21" t="s">
        <v>756</v>
      </c>
      <c r="H348" s="21"/>
      <c r="I348" s="16"/>
      <c r="J348" s="16"/>
      <c r="K348" s="16"/>
      <c r="L348" s="16"/>
      <c r="M348" s="15">
        <f t="shared" si="18"/>
        <v>35.895890410958906</v>
      </c>
      <c r="N348" s="5">
        <v>53855</v>
      </c>
      <c r="O348" s="16"/>
      <c r="P348" s="16"/>
      <c r="Q348" s="16"/>
      <c r="R348" s="5">
        <v>66957</v>
      </c>
      <c r="T348" s="5"/>
    </row>
    <row r="349" spans="1:27" ht="18" x14ac:dyDescent="0.35">
      <c r="A349" s="6">
        <v>94</v>
      </c>
      <c r="B349" t="s">
        <v>158</v>
      </c>
      <c r="C349" s="13" t="s">
        <v>650</v>
      </c>
      <c r="D349" s="13" t="str">
        <f t="shared" si="17"/>
        <v xml:space="preserve">;f]d </v>
      </c>
      <c r="E349" s="13" t="str">
        <f t="shared" si="19"/>
        <v>/fO{</v>
      </c>
      <c r="F349" s="21" t="s">
        <v>233</v>
      </c>
      <c r="G349" s="21" t="s">
        <v>756</v>
      </c>
      <c r="H349" s="21"/>
      <c r="I349" s="16" t="s">
        <v>748</v>
      </c>
      <c r="J349" s="16" t="s">
        <v>748</v>
      </c>
      <c r="K349" s="16" t="s">
        <v>748</v>
      </c>
      <c r="L349" s="16" t="s">
        <v>748</v>
      </c>
      <c r="M349" s="15">
        <f t="shared" si="18"/>
        <v>56.457534246575342</v>
      </c>
      <c r="N349" s="5">
        <v>46350</v>
      </c>
      <c r="O349" s="16"/>
      <c r="P349" s="16"/>
      <c r="Q349" s="16"/>
      <c r="R349" s="5">
        <v>66957</v>
      </c>
      <c r="T349" s="5">
        <v>64320</v>
      </c>
      <c r="U349" s="2" t="s">
        <v>2</v>
      </c>
      <c r="V349" s="2">
        <v>4</v>
      </c>
      <c r="W349" s="2">
        <v>1</v>
      </c>
      <c r="X349" s="2">
        <v>3</v>
      </c>
      <c r="Y349" t="s">
        <v>241</v>
      </c>
      <c r="Z349" t="s">
        <v>323</v>
      </c>
      <c r="AA349" t="s">
        <v>245</v>
      </c>
    </row>
    <row r="350" spans="1:27" ht="18" x14ac:dyDescent="0.35">
      <c r="A350" s="6"/>
      <c r="C350" s="13" t="s">
        <v>651</v>
      </c>
      <c r="D350" s="13" t="str">
        <f t="shared" si="17"/>
        <v xml:space="preserve">vf]l/gf </v>
      </c>
      <c r="E350" s="13" t="str">
        <f t="shared" si="19"/>
        <v>/fO{</v>
      </c>
      <c r="F350" s="21" t="s">
        <v>234</v>
      </c>
      <c r="G350" s="21" t="s">
        <v>757</v>
      </c>
      <c r="H350" s="21"/>
      <c r="I350" s="16"/>
      <c r="J350" s="16"/>
      <c r="K350" s="16"/>
      <c r="L350" s="16"/>
      <c r="M350" s="15">
        <f t="shared" si="18"/>
        <v>29.830136986301369</v>
      </c>
      <c r="N350" s="5">
        <v>56069</v>
      </c>
      <c r="O350" s="16"/>
      <c r="P350" s="16"/>
      <c r="Q350" s="16"/>
      <c r="R350" s="5">
        <v>66957</v>
      </c>
      <c r="T350" s="5"/>
    </row>
    <row r="351" spans="1:27" ht="18" x14ac:dyDescent="0.35">
      <c r="A351" s="6"/>
      <c r="C351" s="13" t="s">
        <v>652</v>
      </c>
      <c r="D351" s="13" t="str">
        <f t="shared" si="17"/>
        <v xml:space="preserve">s?0ff </v>
      </c>
      <c r="E351" s="13" t="str">
        <f t="shared" si="19"/>
        <v>/fO{</v>
      </c>
      <c r="F351" s="21" t="s">
        <v>234</v>
      </c>
      <c r="G351" s="21" t="s">
        <v>757</v>
      </c>
      <c r="H351" s="21"/>
      <c r="I351" s="16"/>
      <c r="J351" s="16"/>
      <c r="K351" s="16"/>
      <c r="L351" s="16"/>
      <c r="M351" s="15">
        <f t="shared" si="18"/>
        <v>25.095890410958905</v>
      </c>
      <c r="N351" s="5">
        <v>57797</v>
      </c>
      <c r="O351" s="16"/>
      <c r="P351" s="16"/>
      <c r="Q351" s="16"/>
      <c r="R351" s="5">
        <v>66957</v>
      </c>
      <c r="T351" s="5"/>
    </row>
    <row r="352" spans="1:27" ht="18" x14ac:dyDescent="0.35">
      <c r="A352" s="6"/>
      <c r="C352" s="13" t="s">
        <v>653</v>
      </c>
      <c r="D352" s="13" t="str">
        <f t="shared" si="17"/>
        <v xml:space="preserve">hf]/dtL </v>
      </c>
      <c r="E352" s="13" t="str">
        <f t="shared" si="19"/>
        <v>/fO{</v>
      </c>
      <c r="F352" s="21" t="s">
        <v>234</v>
      </c>
      <c r="G352" s="21" t="s">
        <v>756</v>
      </c>
      <c r="H352" s="21"/>
      <c r="I352" s="16"/>
      <c r="J352" s="16"/>
      <c r="K352" s="16"/>
      <c r="L352" s="16"/>
      <c r="M352" s="15">
        <f t="shared" si="18"/>
        <v>59.5013698630137</v>
      </c>
      <c r="N352" s="5">
        <v>45239</v>
      </c>
      <c r="O352" s="16"/>
      <c r="P352" s="16"/>
      <c r="Q352" s="16"/>
      <c r="R352" s="5">
        <v>66957</v>
      </c>
      <c r="T352" s="5"/>
    </row>
    <row r="353" spans="1:27" ht="18" x14ac:dyDescent="0.35">
      <c r="A353" s="6">
        <v>95</v>
      </c>
      <c r="B353" t="s">
        <v>159</v>
      </c>
      <c r="C353" s="13" t="s">
        <v>654</v>
      </c>
      <c r="D353" s="13" t="str">
        <f t="shared" si="17"/>
        <v xml:space="preserve">/fdnfn </v>
      </c>
      <c r="E353" s="13" t="str">
        <f t="shared" si="19"/>
        <v>l3ld/]</v>
      </c>
      <c r="F353" s="21" t="s">
        <v>233</v>
      </c>
      <c r="G353" s="21" t="s">
        <v>756</v>
      </c>
      <c r="H353" s="21"/>
      <c r="I353" s="16">
        <v>0</v>
      </c>
      <c r="J353" s="16">
        <v>3</v>
      </c>
      <c r="K353" s="16">
        <v>3</v>
      </c>
      <c r="L353" s="16">
        <v>0</v>
      </c>
      <c r="M353" s="15">
        <f t="shared" si="18"/>
        <v>81.454794520547949</v>
      </c>
      <c r="N353" s="5">
        <v>37226</v>
      </c>
      <c r="O353" s="16"/>
      <c r="P353" s="16"/>
      <c r="Q353" s="16"/>
      <c r="R353" s="5">
        <v>66957</v>
      </c>
      <c r="T353" s="5">
        <v>64167</v>
      </c>
      <c r="U353" s="2" t="s">
        <v>2</v>
      </c>
      <c r="V353" s="2">
        <v>2</v>
      </c>
      <c r="W353" s="2">
        <v>1</v>
      </c>
      <c r="X353" s="2">
        <v>1</v>
      </c>
      <c r="Y353" t="s">
        <v>242</v>
      </c>
      <c r="Z353" t="s">
        <v>306</v>
      </c>
      <c r="AA353" t="s">
        <v>245</v>
      </c>
    </row>
    <row r="354" spans="1:27" ht="18" x14ac:dyDescent="0.35">
      <c r="A354" s="6"/>
      <c r="C354" s="13" t="s">
        <v>409</v>
      </c>
      <c r="D354" s="13" t="str">
        <f t="shared" si="17"/>
        <v xml:space="preserve">ltndfof </v>
      </c>
      <c r="E354" s="13" t="str">
        <f t="shared" si="19"/>
        <v>l3ld/]</v>
      </c>
      <c r="F354" s="21" t="s">
        <v>234</v>
      </c>
      <c r="G354" s="21" t="s">
        <v>756</v>
      </c>
      <c r="H354" s="21"/>
      <c r="I354" s="16"/>
      <c r="J354" s="16"/>
      <c r="K354" s="16"/>
      <c r="L354" s="16"/>
      <c r="M354" s="15">
        <f t="shared" si="18"/>
        <v>76.452054794520549</v>
      </c>
      <c r="N354" s="5">
        <v>39052</v>
      </c>
      <c r="O354" s="16"/>
      <c r="P354" s="16"/>
      <c r="Q354" s="16"/>
      <c r="R354" s="5">
        <v>66957</v>
      </c>
      <c r="T354" s="5"/>
    </row>
    <row r="355" spans="1:27" ht="18" x14ac:dyDescent="0.35">
      <c r="A355" s="6">
        <v>96</v>
      </c>
      <c r="B355" t="s">
        <v>160</v>
      </c>
      <c r="C355" s="13" t="s">
        <v>655</v>
      </c>
      <c r="D355" s="13" t="str">
        <f t="shared" si="17"/>
        <v xml:space="preserve">led </v>
      </c>
      <c r="E355" s="13" t="str">
        <f t="shared" si="19"/>
        <v>b'nfn</v>
      </c>
      <c r="F355" s="21" t="s">
        <v>234</v>
      </c>
      <c r="G355" s="21" t="s">
        <v>756</v>
      </c>
      <c r="H355" s="21"/>
      <c r="I355" s="16">
        <v>0</v>
      </c>
      <c r="J355" s="16">
        <v>3</v>
      </c>
      <c r="K355" s="16">
        <v>0</v>
      </c>
      <c r="L355" s="16">
        <v>0</v>
      </c>
      <c r="M355" s="15">
        <f t="shared" si="18"/>
        <v>50.564383561643837</v>
      </c>
      <c r="N355" s="5">
        <v>48501</v>
      </c>
      <c r="O355" s="16"/>
      <c r="P355" s="16"/>
      <c r="Q355" s="16"/>
      <c r="R355" s="5">
        <v>66957</v>
      </c>
      <c r="T355" s="5">
        <v>64166</v>
      </c>
      <c r="U355" s="2" t="s">
        <v>100</v>
      </c>
      <c r="V355" s="2">
        <v>5</v>
      </c>
      <c r="W355" s="2">
        <v>2</v>
      </c>
      <c r="X355" s="2">
        <v>3</v>
      </c>
      <c r="Y355" t="s">
        <v>242</v>
      </c>
      <c r="Z355" t="s">
        <v>245</v>
      </c>
      <c r="AA355" t="s">
        <v>257</v>
      </c>
    </row>
    <row r="356" spans="1:27" ht="18" x14ac:dyDescent="0.35">
      <c r="A356" s="6"/>
      <c r="C356" s="13" t="s">
        <v>656</v>
      </c>
      <c r="D356" s="13" t="str">
        <f t="shared" si="17"/>
        <v xml:space="preserve">tf/fgfy </v>
      </c>
      <c r="E356" s="13" t="str">
        <f t="shared" si="19"/>
        <v>b'nfn</v>
      </c>
      <c r="F356" s="21" t="s">
        <v>233</v>
      </c>
      <c r="G356" s="21" t="s">
        <v>756</v>
      </c>
      <c r="H356" s="21"/>
      <c r="I356" s="16"/>
      <c r="J356" s="16"/>
      <c r="K356" s="16"/>
      <c r="L356" s="16"/>
      <c r="M356" s="15">
        <f t="shared" si="18"/>
        <v>56.643835616438359</v>
      </c>
      <c r="N356" s="5">
        <v>46282</v>
      </c>
      <c r="O356" s="16"/>
      <c r="P356" s="16"/>
      <c r="Q356" s="16"/>
      <c r="R356" s="5">
        <v>66957</v>
      </c>
      <c r="T356" s="5"/>
    </row>
    <row r="357" spans="1:27" ht="18" x14ac:dyDescent="0.35">
      <c r="A357" s="6"/>
      <c r="C357" s="13" t="s">
        <v>657</v>
      </c>
      <c r="D357" s="13" t="str">
        <f t="shared" si="17"/>
        <v xml:space="preserve">dLgfb]jL </v>
      </c>
      <c r="E357" s="13" t="str">
        <f t="shared" si="19"/>
        <v>;'j]bL</v>
      </c>
      <c r="F357" s="21" t="s">
        <v>234</v>
      </c>
      <c r="G357" s="21" t="s">
        <v>756</v>
      </c>
      <c r="H357" s="21"/>
      <c r="I357" s="16"/>
      <c r="J357" s="16"/>
      <c r="K357" s="16"/>
      <c r="L357" s="16"/>
      <c r="M357" s="15">
        <f t="shared" si="18"/>
        <v>82.320547945205476</v>
      </c>
      <c r="N357" s="5">
        <v>36910</v>
      </c>
      <c r="O357" s="16"/>
      <c r="P357" s="16"/>
      <c r="Q357" s="16"/>
      <c r="R357" s="5">
        <v>66957</v>
      </c>
      <c r="T357" s="5"/>
    </row>
    <row r="358" spans="1:27" ht="18" x14ac:dyDescent="0.35">
      <c r="A358" s="6"/>
      <c r="C358" s="13" t="s">
        <v>658</v>
      </c>
      <c r="D358" s="13" t="str">
        <f t="shared" si="17"/>
        <v xml:space="preserve">;'/h </v>
      </c>
      <c r="E358" s="13" t="str">
        <f t="shared" si="19"/>
        <v>b'nfn</v>
      </c>
      <c r="F358" s="21" t="s">
        <v>233</v>
      </c>
      <c r="G358" s="21" t="s">
        <v>757</v>
      </c>
      <c r="H358" s="21"/>
      <c r="I358" s="16"/>
      <c r="J358" s="16"/>
      <c r="K358" s="16"/>
      <c r="L358" s="16"/>
      <c r="M358" s="15">
        <f t="shared" si="18"/>
        <v>28.797260273972604</v>
      </c>
      <c r="N358" s="5">
        <v>56446</v>
      </c>
      <c r="O358" s="16"/>
      <c r="P358" s="16"/>
      <c r="Q358" s="16"/>
      <c r="R358" s="5">
        <v>66957</v>
      </c>
      <c r="T358" s="5"/>
    </row>
    <row r="359" spans="1:27" ht="18" x14ac:dyDescent="0.35">
      <c r="A359" s="6"/>
      <c r="C359" s="13" t="s">
        <v>659</v>
      </c>
      <c r="D359" s="13" t="str">
        <f t="shared" si="17"/>
        <v xml:space="preserve">;'htf </v>
      </c>
      <c r="E359" s="13" t="str">
        <f t="shared" si="19"/>
        <v>b'nfn</v>
      </c>
      <c r="F359" s="21" t="s">
        <v>234</v>
      </c>
      <c r="G359" s="21" t="s">
        <v>757</v>
      </c>
      <c r="H359" s="21"/>
      <c r="I359" s="16"/>
      <c r="J359" s="16"/>
      <c r="K359" s="16"/>
      <c r="L359" s="16"/>
      <c r="M359" s="15">
        <f t="shared" si="18"/>
        <v>23.347945205479451</v>
      </c>
      <c r="N359" s="5">
        <v>58435</v>
      </c>
      <c r="O359" s="16"/>
      <c r="P359" s="16"/>
      <c r="Q359" s="16"/>
      <c r="R359" s="5">
        <v>66957</v>
      </c>
      <c r="T359" s="5"/>
    </row>
    <row r="360" spans="1:27" ht="18" x14ac:dyDescent="0.35">
      <c r="A360" s="6">
        <v>97</v>
      </c>
      <c r="B360" t="s">
        <v>161</v>
      </c>
      <c r="C360" s="13" t="s">
        <v>660</v>
      </c>
      <c r="D360" s="13" t="str">
        <f t="shared" si="17"/>
        <v xml:space="preserve">5]q </v>
      </c>
      <c r="E360" s="13" t="str">
        <f t="shared" si="19"/>
        <v>&gt;]i7</v>
      </c>
      <c r="F360" s="21" t="s">
        <v>233</v>
      </c>
      <c r="G360" s="21" t="s">
        <v>756</v>
      </c>
      <c r="H360" s="21"/>
      <c r="I360" s="16" t="s">
        <v>748</v>
      </c>
      <c r="J360" s="16" t="s">
        <v>748</v>
      </c>
      <c r="K360" s="16" t="s">
        <v>748</v>
      </c>
      <c r="L360" s="16" t="s">
        <v>748</v>
      </c>
      <c r="M360" s="15">
        <f t="shared" si="18"/>
        <v>59.457534246575342</v>
      </c>
      <c r="N360" s="5">
        <v>45255</v>
      </c>
      <c r="O360" s="16"/>
      <c r="P360" s="16"/>
      <c r="Q360" s="16"/>
      <c r="R360" s="5">
        <v>66957</v>
      </c>
      <c r="T360" s="5">
        <v>64099</v>
      </c>
      <c r="U360" s="2" t="s">
        <v>2</v>
      </c>
      <c r="V360" s="2">
        <v>5</v>
      </c>
      <c r="W360" s="2">
        <v>3</v>
      </c>
      <c r="X360" s="2">
        <v>2</v>
      </c>
      <c r="Y360" t="s">
        <v>242</v>
      </c>
      <c r="Z360" t="s">
        <v>284</v>
      </c>
      <c r="AA360" t="s">
        <v>245</v>
      </c>
    </row>
    <row r="361" spans="1:27" ht="18" x14ac:dyDescent="0.35">
      <c r="A361" s="6"/>
      <c r="C361" s="13" t="s">
        <v>661</v>
      </c>
      <c r="D361" s="13" t="str">
        <f t="shared" si="17"/>
        <v xml:space="preserve">;]tL </v>
      </c>
      <c r="E361" s="13" t="str">
        <f t="shared" si="19"/>
        <v>&gt;]i7</v>
      </c>
      <c r="F361" s="21" t="s">
        <v>234</v>
      </c>
      <c r="G361" s="21" t="s">
        <v>756</v>
      </c>
      <c r="H361" s="21"/>
      <c r="I361" s="16"/>
      <c r="J361" s="16"/>
      <c r="K361" s="16"/>
      <c r="L361" s="16"/>
      <c r="M361" s="15">
        <f t="shared" si="18"/>
        <v>54.821917808219176</v>
      </c>
      <c r="N361" s="5">
        <v>46947</v>
      </c>
      <c r="O361" s="16"/>
      <c r="P361" s="16"/>
      <c r="Q361" s="16"/>
      <c r="R361" s="5">
        <v>66957</v>
      </c>
      <c r="T361" s="5"/>
    </row>
    <row r="362" spans="1:27" ht="18" x14ac:dyDescent="0.35">
      <c r="A362" s="6"/>
      <c r="C362" s="13" t="s">
        <v>662</v>
      </c>
      <c r="D362" s="13" t="str">
        <f t="shared" si="17"/>
        <v xml:space="preserve">Vofg </v>
      </c>
      <c r="E362" s="13" t="str">
        <f t="shared" si="19"/>
        <v>&gt;]i7</v>
      </c>
      <c r="F362" s="21" t="s">
        <v>233</v>
      </c>
      <c r="G362" s="21" t="s">
        <v>757</v>
      </c>
      <c r="H362" s="21"/>
      <c r="I362" s="16"/>
      <c r="J362" s="16"/>
      <c r="K362" s="16"/>
      <c r="L362" s="16"/>
      <c r="M362" s="15">
        <f t="shared" si="18"/>
        <v>32.438356164383563</v>
      </c>
      <c r="N362" s="5">
        <v>55117</v>
      </c>
      <c r="O362" s="16"/>
      <c r="P362" s="16"/>
      <c r="Q362" s="16"/>
      <c r="R362" s="5">
        <v>66957</v>
      </c>
      <c r="T362" s="5"/>
    </row>
    <row r="363" spans="1:27" ht="18" x14ac:dyDescent="0.35">
      <c r="A363" s="6"/>
      <c r="C363" s="13" t="s">
        <v>663</v>
      </c>
      <c r="D363" s="13" t="str">
        <f t="shared" si="17"/>
        <v xml:space="preserve">clgz </v>
      </c>
      <c r="E363" s="13" t="str">
        <f t="shared" si="19"/>
        <v>&gt;]i7</v>
      </c>
      <c r="F363" s="21" t="s">
        <v>233</v>
      </c>
      <c r="G363" s="21" t="s">
        <v>757</v>
      </c>
      <c r="H363" s="21"/>
      <c r="I363" s="16"/>
      <c r="J363" s="16"/>
      <c r="K363" s="16"/>
      <c r="L363" s="16"/>
      <c r="M363" s="15">
        <f t="shared" si="18"/>
        <v>28.715068493150685</v>
      </c>
      <c r="N363" s="5">
        <v>56476</v>
      </c>
      <c r="O363" s="16"/>
      <c r="P363" s="16"/>
      <c r="Q363" s="16"/>
      <c r="R363" s="5">
        <v>66957</v>
      </c>
      <c r="T363" s="5"/>
    </row>
    <row r="364" spans="1:27" ht="18" x14ac:dyDescent="0.35">
      <c r="A364" s="6"/>
      <c r="C364" s="13" t="s">
        <v>664</v>
      </c>
      <c r="D364" s="13" t="str">
        <f t="shared" si="17"/>
        <v xml:space="preserve">clgzf </v>
      </c>
      <c r="E364" s="13" t="str">
        <f t="shared" si="19"/>
        <v>&gt;]i7</v>
      </c>
      <c r="F364" s="21" t="s">
        <v>234</v>
      </c>
      <c r="G364" s="21" t="s">
        <v>757</v>
      </c>
      <c r="H364" s="21"/>
      <c r="I364" s="16"/>
      <c r="J364" s="16"/>
      <c r="K364" s="16"/>
      <c r="L364" s="16"/>
      <c r="M364" s="15">
        <f t="shared" si="18"/>
        <v>23.339726027397262</v>
      </c>
      <c r="N364" s="5">
        <v>58438</v>
      </c>
      <c r="O364" s="16"/>
      <c r="P364" s="16"/>
      <c r="Q364" s="16"/>
      <c r="R364" s="5">
        <v>66957</v>
      </c>
      <c r="T364" s="5"/>
    </row>
    <row r="365" spans="1:27" ht="18" x14ac:dyDescent="0.35">
      <c r="A365" s="6">
        <v>98</v>
      </c>
      <c r="B365" t="s">
        <v>162</v>
      </c>
      <c r="C365" s="13" t="s">
        <v>440</v>
      </c>
      <c r="D365" s="13" t="str">
        <f t="shared" si="17"/>
        <v xml:space="preserve">sfn'dfg </v>
      </c>
      <c r="E365" s="13" t="str">
        <f t="shared" si="19"/>
        <v>&gt;]i7</v>
      </c>
      <c r="F365" s="21" t="s">
        <v>233</v>
      </c>
      <c r="G365" s="21" t="s">
        <v>756</v>
      </c>
      <c r="H365" s="21"/>
      <c r="I365" s="16">
        <v>0</v>
      </c>
      <c r="J365" s="16">
        <v>8</v>
      </c>
      <c r="K365" s="16">
        <v>0</v>
      </c>
      <c r="L365" s="16">
        <v>0</v>
      </c>
      <c r="M365" s="15">
        <f t="shared" si="18"/>
        <v>59.750684931506846</v>
      </c>
      <c r="N365" s="5">
        <v>45148</v>
      </c>
      <c r="O365" s="16"/>
      <c r="P365" s="16"/>
      <c r="Q365" s="16"/>
      <c r="R365" s="5">
        <v>66957</v>
      </c>
      <c r="T365" s="5">
        <v>64032</v>
      </c>
      <c r="U365" s="2" t="s">
        <v>100</v>
      </c>
      <c r="V365" s="2">
        <v>5</v>
      </c>
      <c r="W365" s="2">
        <v>3</v>
      </c>
      <c r="X365" s="2">
        <v>2</v>
      </c>
      <c r="Y365" t="s">
        <v>242</v>
      </c>
      <c r="Z365" t="s">
        <v>245</v>
      </c>
      <c r="AA365" t="s">
        <v>278</v>
      </c>
    </row>
    <row r="366" spans="1:27" ht="18" x14ac:dyDescent="0.35">
      <c r="A366" s="6"/>
      <c r="C366" s="13" t="s">
        <v>441</v>
      </c>
      <c r="D366" s="13" t="str">
        <f t="shared" si="17"/>
        <v xml:space="preserve">/fdb]jL </v>
      </c>
      <c r="E366" s="13" t="str">
        <f t="shared" si="19"/>
        <v>&gt;]i7</v>
      </c>
      <c r="F366" s="21" t="s">
        <v>234</v>
      </c>
      <c r="G366" s="21" t="s">
        <v>756</v>
      </c>
      <c r="H366" s="21"/>
      <c r="I366" s="16"/>
      <c r="J366" s="16"/>
      <c r="K366" s="16"/>
      <c r="L366" s="16"/>
      <c r="M366" s="15">
        <f t="shared" si="18"/>
        <v>56.021917808219179</v>
      </c>
      <c r="N366" s="5">
        <v>46509</v>
      </c>
      <c r="O366" s="16"/>
      <c r="P366" s="16"/>
      <c r="Q366" s="16"/>
      <c r="R366" s="5">
        <v>66957</v>
      </c>
      <c r="T366" s="5"/>
    </row>
    <row r="367" spans="1:27" ht="18" x14ac:dyDescent="0.35">
      <c r="A367" s="6"/>
      <c r="C367" s="13" t="s">
        <v>439</v>
      </c>
      <c r="D367" s="13" t="str">
        <f t="shared" si="17"/>
        <v xml:space="preserve">;'dg </v>
      </c>
      <c r="E367" s="13" t="str">
        <f t="shared" si="19"/>
        <v>&gt;]i7</v>
      </c>
      <c r="F367" s="21" t="s">
        <v>233</v>
      </c>
      <c r="G367" s="21" t="s">
        <v>756</v>
      </c>
      <c r="H367" s="21"/>
      <c r="I367" s="16"/>
      <c r="J367" s="16"/>
      <c r="K367" s="16"/>
      <c r="L367" s="16"/>
      <c r="M367" s="15">
        <f t="shared" si="18"/>
        <v>35.783561643835618</v>
      </c>
      <c r="N367" s="5">
        <v>53896</v>
      </c>
      <c r="O367" s="16"/>
      <c r="P367" s="16"/>
      <c r="Q367" s="16"/>
      <c r="R367" s="5">
        <v>66957</v>
      </c>
      <c r="T367" s="5"/>
    </row>
    <row r="368" spans="1:27" ht="18" x14ac:dyDescent="0.35">
      <c r="A368" s="6"/>
      <c r="C368" s="13" t="s">
        <v>442</v>
      </c>
      <c r="D368" s="13" t="str">
        <f t="shared" si="17"/>
        <v xml:space="preserve">/lagf </v>
      </c>
      <c r="E368" s="13" t="str">
        <f t="shared" si="19"/>
        <v>&gt;]i7</v>
      </c>
      <c r="F368" s="21" t="s">
        <v>234</v>
      </c>
      <c r="G368" s="21" t="s">
        <v>756</v>
      </c>
      <c r="H368" s="21"/>
      <c r="I368" s="16"/>
      <c r="J368" s="16"/>
      <c r="K368" s="16"/>
      <c r="L368" s="16"/>
      <c r="M368" s="15">
        <f t="shared" si="18"/>
        <v>32.728767123287675</v>
      </c>
      <c r="N368" s="5">
        <v>55011</v>
      </c>
      <c r="O368" s="16"/>
      <c r="P368" s="16"/>
      <c r="Q368" s="16"/>
      <c r="R368" s="5">
        <v>66957</v>
      </c>
      <c r="T368" s="5"/>
    </row>
    <row r="369" spans="1:27" ht="18" x14ac:dyDescent="0.35">
      <c r="A369" s="6"/>
      <c r="C369" s="13" t="s">
        <v>443</v>
      </c>
      <c r="D369" s="13" t="str">
        <f t="shared" si="17"/>
        <v xml:space="preserve">l;h{g </v>
      </c>
      <c r="E369" s="13" t="str">
        <f t="shared" si="19"/>
        <v>&gt;]i7</v>
      </c>
      <c r="F369" s="21" t="s">
        <v>233</v>
      </c>
      <c r="G369" s="21" t="s">
        <v>757</v>
      </c>
      <c r="H369" s="21"/>
      <c r="I369" s="16"/>
      <c r="J369" s="16"/>
      <c r="K369" s="16"/>
      <c r="L369" s="16"/>
      <c r="M369" s="15">
        <f t="shared" si="18"/>
        <v>10.265753424657534</v>
      </c>
      <c r="N369" s="5">
        <v>63210</v>
      </c>
      <c r="O369" s="16"/>
      <c r="P369" s="16"/>
      <c r="Q369" s="16"/>
      <c r="R369" s="5">
        <v>66957</v>
      </c>
      <c r="T369" s="5"/>
    </row>
    <row r="370" spans="1:27" ht="18" x14ac:dyDescent="0.35">
      <c r="A370" s="6">
        <v>99</v>
      </c>
      <c r="B370" t="s">
        <v>163</v>
      </c>
      <c r="C370" s="13" t="s">
        <v>665</v>
      </c>
      <c r="D370" s="13" t="str">
        <f t="shared" si="17"/>
        <v xml:space="preserve">s]zj </v>
      </c>
      <c r="E370" s="13" t="str">
        <f t="shared" si="19"/>
        <v>&gt;]i7</v>
      </c>
      <c r="F370" s="21" t="s">
        <v>233</v>
      </c>
      <c r="G370" s="21" t="s">
        <v>756</v>
      </c>
      <c r="H370" s="21"/>
      <c r="I370" s="16">
        <v>0</v>
      </c>
      <c r="J370" s="16">
        <v>5</v>
      </c>
      <c r="K370" s="16">
        <v>3</v>
      </c>
      <c r="L370" s="16">
        <v>0</v>
      </c>
      <c r="M370" s="15">
        <f t="shared" si="18"/>
        <v>67.523287671232879</v>
      </c>
      <c r="N370" s="5">
        <v>42311</v>
      </c>
      <c r="O370" s="16"/>
      <c r="P370" s="16"/>
      <c r="Q370" s="16"/>
      <c r="R370" s="5">
        <v>66957</v>
      </c>
      <c r="T370" s="5">
        <v>63997</v>
      </c>
      <c r="U370" s="2" t="s">
        <v>2</v>
      </c>
      <c r="V370" s="2">
        <v>4</v>
      </c>
      <c r="W370" s="2">
        <v>2</v>
      </c>
      <c r="X370" s="2">
        <v>2</v>
      </c>
      <c r="Y370" t="s">
        <v>242</v>
      </c>
      <c r="Z370" t="s">
        <v>282</v>
      </c>
      <c r="AA370" t="s">
        <v>245</v>
      </c>
    </row>
    <row r="371" spans="1:27" ht="18" x14ac:dyDescent="0.35">
      <c r="A371" s="6"/>
      <c r="C371" s="13" t="s">
        <v>666</v>
      </c>
      <c r="D371" s="13" t="str">
        <f t="shared" si="17"/>
        <v xml:space="preserve">lutf </v>
      </c>
      <c r="E371" s="13" t="str">
        <f t="shared" si="19"/>
        <v>&gt;]i7</v>
      </c>
      <c r="F371" s="21" t="s">
        <v>234</v>
      </c>
      <c r="G371" s="21" t="s">
        <v>756</v>
      </c>
      <c r="H371" s="21"/>
      <c r="I371" s="16"/>
      <c r="J371" s="16"/>
      <c r="K371" s="16"/>
      <c r="L371" s="16"/>
      <c r="M371" s="15">
        <f t="shared" si="18"/>
        <v>55.509589041095893</v>
      </c>
      <c r="N371" s="5">
        <v>46696</v>
      </c>
      <c r="O371" s="16"/>
      <c r="P371" s="16"/>
      <c r="Q371" s="16"/>
      <c r="R371" s="5">
        <v>66957</v>
      </c>
      <c r="T371" s="5"/>
    </row>
    <row r="372" spans="1:27" ht="18" x14ac:dyDescent="0.35">
      <c r="A372" s="6"/>
      <c r="C372" s="13" t="s">
        <v>667</v>
      </c>
      <c r="D372" s="13" t="str">
        <f t="shared" si="17"/>
        <v xml:space="preserve">;l/g </v>
      </c>
      <c r="E372" s="13" t="str">
        <f t="shared" si="19"/>
        <v>&gt;]i7</v>
      </c>
      <c r="F372" s="21" t="s">
        <v>234</v>
      </c>
      <c r="G372" s="21" t="s">
        <v>757</v>
      </c>
      <c r="H372" s="21"/>
      <c r="I372" s="16"/>
      <c r="J372" s="16"/>
      <c r="K372" s="16"/>
      <c r="L372" s="16"/>
      <c r="M372" s="15">
        <f t="shared" si="18"/>
        <v>33.704109589041096</v>
      </c>
      <c r="N372" s="5">
        <v>54655</v>
      </c>
      <c r="O372" s="16"/>
      <c r="P372" s="16"/>
      <c r="Q372" s="16"/>
      <c r="R372" s="5">
        <v>66957</v>
      </c>
      <c r="T372" s="5"/>
    </row>
    <row r="373" spans="1:27" ht="18" x14ac:dyDescent="0.35">
      <c r="A373" s="6"/>
      <c r="C373" s="13" t="s">
        <v>668</v>
      </c>
      <c r="D373" s="13" t="str">
        <f t="shared" si="17"/>
        <v xml:space="preserve">;lng </v>
      </c>
      <c r="E373" s="13" t="str">
        <f t="shared" si="19"/>
        <v>&gt;]i7</v>
      </c>
      <c r="F373" s="21" t="s">
        <v>233</v>
      </c>
      <c r="G373" s="21" t="s">
        <v>757</v>
      </c>
      <c r="H373" s="21"/>
      <c r="I373" s="16"/>
      <c r="J373" s="16"/>
      <c r="K373" s="16"/>
      <c r="L373" s="16"/>
      <c r="M373" s="15">
        <f t="shared" si="18"/>
        <v>36.046575342465751</v>
      </c>
      <c r="N373" s="5">
        <v>53800</v>
      </c>
      <c r="O373" s="16"/>
      <c r="P373" s="16"/>
      <c r="Q373" s="16"/>
      <c r="R373" s="5">
        <v>66957</v>
      </c>
      <c r="T373" s="5"/>
    </row>
    <row r="374" spans="1:27" ht="18" x14ac:dyDescent="0.35">
      <c r="A374" s="6">
        <v>100</v>
      </c>
      <c r="B374" t="s">
        <v>164</v>
      </c>
      <c r="C374" s="13" t="s">
        <v>669</v>
      </c>
      <c r="D374" s="13" t="str">
        <f t="shared" si="17"/>
        <v xml:space="preserve">u+uf/fd </v>
      </c>
      <c r="E374" s="13" t="str">
        <f t="shared" si="19"/>
        <v>8+uf]n</v>
      </c>
      <c r="F374" s="21" t="s">
        <v>233</v>
      </c>
      <c r="G374" s="21" t="s">
        <v>756</v>
      </c>
      <c r="H374" s="21"/>
      <c r="I374" s="16" t="s">
        <v>748</v>
      </c>
      <c r="J374" s="16" t="s">
        <v>748</v>
      </c>
      <c r="K374" s="16" t="s">
        <v>748</v>
      </c>
      <c r="L374" s="16" t="s">
        <v>748</v>
      </c>
      <c r="M374" s="15">
        <f t="shared" si="18"/>
        <v>84.205479452054789</v>
      </c>
      <c r="N374" s="5">
        <v>36222</v>
      </c>
      <c r="O374" s="16"/>
      <c r="P374" s="16"/>
      <c r="Q374" s="16"/>
      <c r="R374" s="5">
        <v>66957</v>
      </c>
      <c r="S374" t="s">
        <v>214</v>
      </c>
      <c r="T374" s="5">
        <v>63944</v>
      </c>
      <c r="U374" s="2" t="s">
        <v>2</v>
      </c>
      <c r="V374" s="2">
        <v>2</v>
      </c>
      <c r="W374" s="2">
        <v>1</v>
      </c>
      <c r="X374" s="2">
        <v>1</v>
      </c>
      <c r="Y374" t="s">
        <v>242</v>
      </c>
      <c r="Z374" t="s">
        <v>269</v>
      </c>
      <c r="AA374" t="s">
        <v>245</v>
      </c>
    </row>
    <row r="375" spans="1:27" ht="18" x14ac:dyDescent="0.35">
      <c r="A375" s="6"/>
      <c r="C375" s="13" t="s">
        <v>670</v>
      </c>
      <c r="D375" s="13" t="str">
        <f t="shared" si="17"/>
        <v xml:space="preserve">sfnLdfof </v>
      </c>
      <c r="E375" s="13" t="str">
        <f t="shared" si="19"/>
        <v>8+uf]n</v>
      </c>
      <c r="F375" s="21" t="s">
        <v>234</v>
      </c>
      <c r="G375" s="21" t="s">
        <v>756</v>
      </c>
      <c r="H375" s="21"/>
      <c r="I375" s="16"/>
      <c r="J375" s="16"/>
      <c r="K375" s="16"/>
      <c r="L375" s="16"/>
      <c r="M375" s="15">
        <f t="shared" si="18"/>
        <v>149.04931506849314</v>
      </c>
      <c r="N375" s="5">
        <v>12554</v>
      </c>
      <c r="O375" s="16"/>
      <c r="P375" s="16"/>
      <c r="Q375" s="16"/>
      <c r="R375" s="5">
        <v>66957</v>
      </c>
      <c r="T375" s="5"/>
    </row>
    <row r="376" spans="1:27" ht="18" x14ac:dyDescent="0.35">
      <c r="A376" s="6">
        <v>101</v>
      </c>
      <c r="B376" t="s">
        <v>216</v>
      </c>
      <c r="C376" s="13" t="s">
        <v>671</v>
      </c>
      <c r="D376" s="13" t="str">
        <f t="shared" si="17"/>
        <v xml:space="preserve">g/Wjh </v>
      </c>
      <c r="E376" s="13" t="str">
        <f t="shared" si="19"/>
        <v>yfkf</v>
      </c>
      <c r="F376" s="21" t="s">
        <v>233</v>
      </c>
      <c r="G376" s="21" t="s">
        <v>756</v>
      </c>
      <c r="H376" s="21"/>
      <c r="I376" s="16">
        <v>0</v>
      </c>
      <c r="J376" s="16">
        <v>5</v>
      </c>
      <c r="K376" s="16">
        <v>1</v>
      </c>
      <c r="L376" s="16">
        <v>0</v>
      </c>
      <c r="M376" s="15">
        <f t="shared" si="18"/>
        <v>47.323287671232876</v>
      </c>
      <c r="N376" s="5">
        <v>49684</v>
      </c>
      <c r="O376" s="16"/>
      <c r="P376" s="16"/>
      <c r="Q376" s="16"/>
      <c r="R376" s="5">
        <v>66957</v>
      </c>
      <c r="S376" t="s">
        <v>230</v>
      </c>
      <c r="T376" s="5">
        <v>63928</v>
      </c>
      <c r="U376" s="2" t="s">
        <v>2</v>
      </c>
      <c r="V376" s="2">
        <v>4</v>
      </c>
      <c r="W376" s="2">
        <v>2</v>
      </c>
      <c r="X376" s="2">
        <v>2</v>
      </c>
      <c r="Y376" t="s">
        <v>237</v>
      </c>
      <c r="Z376" t="s">
        <v>297</v>
      </c>
      <c r="AA376" t="s">
        <v>245</v>
      </c>
    </row>
    <row r="377" spans="1:27" ht="18" x14ac:dyDescent="0.35">
      <c r="A377" s="6"/>
      <c r="C377" s="13" t="s">
        <v>672</v>
      </c>
      <c r="D377" s="13" t="str">
        <f t="shared" si="17"/>
        <v xml:space="preserve">;+lutf </v>
      </c>
      <c r="E377" s="13" t="str">
        <f t="shared" si="19"/>
        <v>yfkf</v>
      </c>
      <c r="F377" s="21" t="s">
        <v>234</v>
      </c>
      <c r="G377" s="21" t="s">
        <v>756</v>
      </c>
      <c r="H377" s="21"/>
      <c r="I377" s="16"/>
      <c r="J377" s="16"/>
      <c r="K377" s="16"/>
      <c r="L377" s="16"/>
      <c r="M377" s="15">
        <f t="shared" si="18"/>
        <v>44.098630136986301</v>
      </c>
      <c r="N377" s="5">
        <v>50861</v>
      </c>
      <c r="O377" s="16"/>
      <c r="P377" s="16"/>
      <c r="Q377" s="16"/>
      <c r="R377" s="5">
        <v>66957</v>
      </c>
      <c r="T377" s="5"/>
    </row>
    <row r="378" spans="1:27" ht="18" x14ac:dyDescent="0.35">
      <c r="A378" s="6"/>
      <c r="C378" s="13" t="s">
        <v>673</v>
      </c>
      <c r="D378" s="13" t="str">
        <f t="shared" si="17"/>
        <v xml:space="preserve">g/dfof </v>
      </c>
      <c r="E378" s="13" t="str">
        <f t="shared" si="19"/>
        <v>yfkf</v>
      </c>
      <c r="F378" s="21" t="s">
        <v>234</v>
      </c>
      <c r="G378" s="21" t="s">
        <v>756</v>
      </c>
      <c r="H378" s="21"/>
      <c r="I378" s="16"/>
      <c r="J378" s="16"/>
      <c r="K378" s="16"/>
      <c r="L378" s="16"/>
      <c r="M378" s="15">
        <f t="shared" si="18"/>
        <v>75.331506849315062</v>
      </c>
      <c r="N378" s="5">
        <v>39461</v>
      </c>
      <c r="O378" s="16"/>
      <c r="P378" s="16"/>
      <c r="Q378" s="16"/>
      <c r="R378" s="5">
        <v>66957</v>
      </c>
      <c r="T378" s="5"/>
    </row>
    <row r="379" spans="1:27" ht="18" x14ac:dyDescent="0.35">
      <c r="A379" s="6"/>
      <c r="C379" s="13" t="s">
        <v>674</v>
      </c>
      <c r="D379" s="13" t="str">
        <f t="shared" si="17"/>
        <v xml:space="preserve">;ld/ </v>
      </c>
      <c r="E379" s="13" t="str">
        <f t="shared" si="19"/>
        <v>yfkf</v>
      </c>
      <c r="F379" s="21" t="s">
        <v>233</v>
      </c>
      <c r="G379" s="21" t="s">
        <v>757</v>
      </c>
      <c r="H379" s="21"/>
      <c r="I379" s="16"/>
      <c r="J379" s="16"/>
      <c r="K379" s="16"/>
      <c r="L379" s="16"/>
      <c r="M379" s="15">
        <f t="shared" si="18"/>
        <v>23.945205479452056</v>
      </c>
      <c r="N379" s="5">
        <v>58217</v>
      </c>
      <c r="O379" s="16"/>
      <c r="P379" s="16"/>
      <c r="Q379" s="16"/>
      <c r="R379" s="5">
        <v>66957</v>
      </c>
      <c r="T379" s="5"/>
    </row>
    <row r="380" spans="1:27" ht="18" x14ac:dyDescent="0.35">
      <c r="A380" s="6">
        <v>102</v>
      </c>
      <c r="B380" t="s">
        <v>145</v>
      </c>
      <c r="C380" s="13" t="s">
        <v>675</v>
      </c>
      <c r="D380" s="13" t="str">
        <f t="shared" si="17"/>
        <v xml:space="preserve">s[i0f </v>
      </c>
      <c r="E380" s="13" t="str">
        <f t="shared" si="19"/>
        <v>rf}nfufO{</v>
      </c>
      <c r="F380" s="21" t="s">
        <v>233</v>
      </c>
      <c r="G380" s="21" t="s">
        <v>756</v>
      </c>
      <c r="H380" s="21"/>
      <c r="I380" s="16" t="s">
        <v>748</v>
      </c>
      <c r="J380" s="16" t="s">
        <v>748</v>
      </c>
      <c r="K380" s="16" t="s">
        <v>748</v>
      </c>
      <c r="L380" s="16" t="s">
        <v>748</v>
      </c>
      <c r="M380" s="15">
        <f t="shared" si="18"/>
        <v>40.5013698630137</v>
      </c>
      <c r="N380" s="5">
        <v>52174</v>
      </c>
      <c r="O380" s="16"/>
      <c r="P380" s="16"/>
      <c r="Q380" s="16"/>
      <c r="R380" s="5">
        <v>66957</v>
      </c>
      <c r="T380" s="5">
        <v>63834</v>
      </c>
      <c r="U380" s="2" t="s">
        <v>2</v>
      </c>
      <c r="V380" s="2">
        <v>4</v>
      </c>
      <c r="W380" s="2">
        <v>2</v>
      </c>
      <c r="X380" s="2">
        <v>2</v>
      </c>
      <c r="Y380" t="s">
        <v>241</v>
      </c>
      <c r="Z380" t="s">
        <v>288</v>
      </c>
      <c r="AA380" t="s">
        <v>245</v>
      </c>
    </row>
    <row r="381" spans="1:27" ht="18" x14ac:dyDescent="0.35">
      <c r="A381" s="6"/>
      <c r="C381" s="13" t="s">
        <v>676</v>
      </c>
      <c r="D381" s="13" t="str">
        <f t="shared" si="17"/>
        <v xml:space="preserve">cl:dtf </v>
      </c>
      <c r="E381" s="13" t="str">
        <f t="shared" si="19"/>
        <v>rf}nfufO{</v>
      </c>
      <c r="F381" s="21" t="s">
        <v>234</v>
      </c>
      <c r="G381" s="21" t="s">
        <v>756</v>
      </c>
      <c r="H381" s="21"/>
      <c r="I381" s="16"/>
      <c r="J381" s="16"/>
      <c r="K381" s="16"/>
      <c r="L381" s="16"/>
      <c r="M381" s="15">
        <f t="shared" si="18"/>
        <v>39.082191780821915</v>
      </c>
      <c r="N381" s="5">
        <v>52692</v>
      </c>
      <c r="O381" s="16"/>
      <c r="P381" s="16"/>
      <c r="Q381" s="16"/>
      <c r="R381" s="5">
        <v>66957</v>
      </c>
      <c r="T381" s="5"/>
    </row>
    <row r="382" spans="1:27" ht="18" x14ac:dyDescent="0.35">
      <c r="A382" s="6"/>
      <c r="C382" s="13" t="s">
        <v>677</v>
      </c>
      <c r="D382" s="13" t="str">
        <f t="shared" si="17"/>
        <v xml:space="preserve">cfo'if </v>
      </c>
      <c r="E382" s="13" t="str">
        <f t="shared" si="19"/>
        <v>rf}nfufO{</v>
      </c>
      <c r="F382" s="21" t="s">
        <v>233</v>
      </c>
      <c r="G382" s="21" t="s">
        <v>757</v>
      </c>
      <c r="H382" s="21"/>
      <c r="I382" s="16"/>
      <c r="J382" s="16"/>
      <c r="K382" s="16"/>
      <c r="L382" s="16"/>
      <c r="M382" s="15">
        <f t="shared" si="18"/>
        <v>14.96986301369863</v>
      </c>
      <c r="N382" s="5">
        <v>61493</v>
      </c>
      <c r="O382" s="16"/>
      <c r="P382" s="16"/>
      <c r="Q382" s="16"/>
      <c r="R382" s="5">
        <v>66957</v>
      </c>
      <c r="T382" s="5"/>
    </row>
    <row r="383" spans="1:27" ht="18" x14ac:dyDescent="0.35">
      <c r="A383" s="6"/>
      <c r="C383" s="13" t="s">
        <v>678</v>
      </c>
      <c r="D383" s="13" t="str">
        <f t="shared" si="17"/>
        <v xml:space="preserve">cfo'idf </v>
      </c>
      <c r="E383" s="13" t="str">
        <f t="shared" si="19"/>
        <v>rf}nfufO{</v>
      </c>
      <c r="F383" s="21" t="s">
        <v>234</v>
      </c>
      <c r="G383" s="21" t="s">
        <v>757</v>
      </c>
      <c r="H383" s="21"/>
      <c r="I383" s="16"/>
      <c r="J383" s="16"/>
      <c r="K383" s="16"/>
      <c r="L383" s="16"/>
      <c r="M383" s="15">
        <f t="shared" si="18"/>
        <v>10.268493150684931</v>
      </c>
      <c r="N383" s="5">
        <v>63209</v>
      </c>
      <c r="O383" s="16"/>
      <c r="P383" s="16"/>
      <c r="Q383" s="16"/>
      <c r="R383" s="5">
        <v>66957</v>
      </c>
      <c r="T383" s="5"/>
    </row>
    <row r="384" spans="1:27" ht="18" x14ac:dyDescent="0.35">
      <c r="A384" s="6">
        <v>103</v>
      </c>
      <c r="B384" t="s">
        <v>217</v>
      </c>
      <c r="C384" s="13" t="s">
        <v>679</v>
      </c>
      <c r="D384" s="13" t="str">
        <f t="shared" si="17"/>
        <v xml:space="preserve">/fh]Gb| </v>
      </c>
      <c r="E384" s="13" t="str">
        <f t="shared" si="19"/>
        <v>kf]v|]n</v>
      </c>
      <c r="F384" s="21" t="s">
        <v>233</v>
      </c>
      <c r="G384" s="21" t="s">
        <v>756</v>
      </c>
      <c r="H384" s="21"/>
      <c r="I384" s="16" t="s">
        <v>748</v>
      </c>
      <c r="J384" s="16" t="s">
        <v>748</v>
      </c>
      <c r="K384" s="16" t="s">
        <v>748</v>
      </c>
      <c r="L384" s="16" t="s">
        <v>748</v>
      </c>
      <c r="M384" s="15">
        <f t="shared" si="18"/>
        <v>48.4986301369863</v>
      </c>
      <c r="N384" s="5">
        <v>49255</v>
      </c>
      <c r="O384" s="16"/>
      <c r="P384" s="16"/>
      <c r="Q384" s="16"/>
      <c r="R384" s="5">
        <v>66957</v>
      </c>
      <c r="T384" s="5">
        <v>63817</v>
      </c>
      <c r="U384" s="2" t="s">
        <v>2</v>
      </c>
      <c r="V384" s="2">
        <v>3</v>
      </c>
      <c r="W384" s="2">
        <v>1</v>
      </c>
      <c r="X384" s="2">
        <v>2</v>
      </c>
      <c r="Y384" t="s">
        <v>242</v>
      </c>
      <c r="Z384" t="s">
        <v>295</v>
      </c>
      <c r="AA384" t="s">
        <v>245</v>
      </c>
    </row>
    <row r="385" spans="1:27" ht="18" x14ac:dyDescent="0.35">
      <c r="A385" s="6"/>
      <c r="C385" s="13" t="s">
        <v>680</v>
      </c>
      <c r="D385" s="13" t="str">
        <f t="shared" si="17"/>
        <v xml:space="preserve">d08Lsf </v>
      </c>
      <c r="E385" s="13" t="str">
        <f t="shared" si="19"/>
        <v>yfdL</v>
      </c>
      <c r="F385" s="21" t="s">
        <v>234</v>
      </c>
      <c r="G385" s="21" t="s">
        <v>756</v>
      </c>
      <c r="H385" s="21"/>
      <c r="I385" s="16"/>
      <c r="J385" s="16"/>
      <c r="K385" s="16"/>
      <c r="L385" s="16"/>
      <c r="M385" s="15">
        <f t="shared" si="18"/>
        <v>39.490410958904107</v>
      </c>
      <c r="N385" s="5">
        <v>52543</v>
      </c>
      <c r="O385" s="16"/>
      <c r="P385" s="16"/>
      <c r="Q385" s="16"/>
      <c r="R385" s="5">
        <v>66957</v>
      </c>
      <c r="T385" s="5"/>
    </row>
    <row r="386" spans="1:27" ht="18" x14ac:dyDescent="0.35">
      <c r="A386" s="6"/>
      <c r="C386" s="13" t="s">
        <v>681</v>
      </c>
      <c r="D386" s="13" t="str">
        <f t="shared" si="17"/>
        <v xml:space="preserve">/:dL </v>
      </c>
      <c r="E386" s="13" t="str">
        <f t="shared" si="19"/>
        <v>kf]v|]n</v>
      </c>
      <c r="F386" s="21" t="s">
        <v>234</v>
      </c>
      <c r="G386" s="21" t="s">
        <v>757</v>
      </c>
      <c r="H386" s="21"/>
      <c r="I386" s="16"/>
      <c r="J386" s="16"/>
      <c r="K386" s="16"/>
      <c r="L386" s="16"/>
      <c r="M386" s="15">
        <f t="shared" si="18"/>
        <v>9.8547945205479444</v>
      </c>
      <c r="N386" s="5">
        <v>63360</v>
      </c>
      <c r="O386" s="16"/>
      <c r="P386" s="16"/>
      <c r="Q386" s="16"/>
      <c r="R386" s="5">
        <v>66957</v>
      </c>
      <c r="T386" s="5"/>
    </row>
    <row r="387" spans="1:27" ht="18" x14ac:dyDescent="0.35">
      <c r="A387" s="6">
        <v>104</v>
      </c>
      <c r="B387" t="s">
        <v>38</v>
      </c>
      <c r="C387" s="13" t="s">
        <v>457</v>
      </c>
      <c r="D387" s="13" t="str">
        <f t="shared" si="17"/>
        <v xml:space="preserve">slkn </v>
      </c>
      <c r="E387" s="13" t="str">
        <f t="shared" si="19"/>
        <v>kf}8]n</v>
      </c>
      <c r="F387" s="21" t="s">
        <v>233</v>
      </c>
      <c r="G387" s="21" t="s">
        <v>756</v>
      </c>
      <c r="H387" s="21"/>
      <c r="I387" s="16">
        <v>0</v>
      </c>
      <c r="J387" s="16">
        <v>4</v>
      </c>
      <c r="K387" s="16">
        <v>0</v>
      </c>
      <c r="L387" s="16">
        <v>1</v>
      </c>
      <c r="M387" s="15">
        <f t="shared" si="18"/>
        <v>63.073972602739723</v>
      </c>
      <c r="N387" s="5">
        <v>43935</v>
      </c>
      <c r="O387" s="16"/>
      <c r="P387" s="16"/>
      <c r="Q387" s="16"/>
      <c r="R387" s="5">
        <v>66957</v>
      </c>
      <c r="T387" s="5">
        <v>63725</v>
      </c>
      <c r="U387" s="2" t="s">
        <v>2</v>
      </c>
      <c r="V387" s="2">
        <v>5</v>
      </c>
      <c r="W387" s="2">
        <v>3</v>
      </c>
      <c r="X387" s="2">
        <v>2</v>
      </c>
      <c r="Y387" t="s">
        <v>239</v>
      </c>
      <c r="Z387" t="s">
        <v>279</v>
      </c>
      <c r="AA387" t="s">
        <v>245</v>
      </c>
    </row>
    <row r="388" spans="1:27" ht="18" x14ac:dyDescent="0.35">
      <c r="A388" s="6"/>
      <c r="C388" s="13" t="s">
        <v>458</v>
      </c>
      <c r="D388" s="13" t="str">
        <f t="shared" ref="D388:D416" si="20">LEFT(C388,(FIND(" ",C388)))</f>
        <v xml:space="preserve">Clif/fd </v>
      </c>
      <c r="E388" s="13" t="str">
        <f t="shared" si="19"/>
        <v>pkfWofo</v>
      </c>
      <c r="F388" s="21" t="s">
        <v>233</v>
      </c>
      <c r="G388" s="21" t="s">
        <v>756</v>
      </c>
      <c r="H388" s="21"/>
      <c r="I388" s="16"/>
      <c r="J388" s="16"/>
      <c r="K388" s="16"/>
      <c r="L388" s="16"/>
      <c r="M388" s="15">
        <f t="shared" ref="M388:M416" si="21">(R388-N388)/365</f>
        <v>94.589041095890408</v>
      </c>
      <c r="N388" s="5">
        <v>32432</v>
      </c>
      <c r="O388" s="16"/>
      <c r="P388" s="16"/>
      <c r="Q388" s="16"/>
      <c r="R388" s="5">
        <v>66957</v>
      </c>
      <c r="T388" s="5"/>
    </row>
    <row r="389" spans="1:27" ht="18" x14ac:dyDescent="0.35">
      <c r="A389" s="6"/>
      <c r="C389" s="13" t="s">
        <v>682</v>
      </c>
      <c r="D389" s="13" t="str">
        <f t="shared" si="20"/>
        <v xml:space="preserve">ef]h </v>
      </c>
      <c r="E389" s="13" t="str">
        <f t="shared" ref="E389:E416" si="22">TRIM(RIGHT(SUBSTITUTE(C389," ",REPT(" ",255)),255))</f>
        <v>kf}8]n</v>
      </c>
      <c r="F389" s="21" t="s">
        <v>234</v>
      </c>
      <c r="G389" s="21" t="s">
        <v>756</v>
      </c>
      <c r="H389" s="21"/>
      <c r="I389" s="16"/>
      <c r="J389" s="16"/>
      <c r="K389" s="16"/>
      <c r="L389" s="16"/>
      <c r="M389" s="15">
        <f t="shared" si="21"/>
        <v>92.964383561643842</v>
      </c>
      <c r="N389" s="5">
        <v>33025</v>
      </c>
      <c r="O389" s="16"/>
      <c r="P389" s="16"/>
      <c r="Q389" s="16"/>
      <c r="R389" s="5">
        <v>66957</v>
      </c>
      <c r="T389" s="5"/>
    </row>
    <row r="390" spans="1:27" ht="18" x14ac:dyDescent="0.35">
      <c r="A390" s="6"/>
      <c r="C390" s="13" t="s">
        <v>459</v>
      </c>
      <c r="D390" s="13" t="str">
        <f t="shared" si="20"/>
        <v xml:space="preserve">;Ltf </v>
      </c>
      <c r="E390" s="13" t="str">
        <f t="shared" si="22"/>
        <v>kf}8]n</v>
      </c>
      <c r="F390" s="21" t="s">
        <v>234</v>
      </c>
      <c r="G390" s="21" t="s">
        <v>756</v>
      </c>
      <c r="H390" s="21"/>
      <c r="I390" s="16"/>
      <c r="J390" s="16"/>
      <c r="K390" s="16"/>
      <c r="L390" s="16"/>
      <c r="M390" s="15">
        <f t="shared" si="21"/>
        <v>60.843835616438355</v>
      </c>
      <c r="N390" s="5">
        <v>44749</v>
      </c>
      <c r="O390" s="16"/>
      <c r="P390" s="16"/>
      <c r="Q390" s="16"/>
      <c r="R390" s="5">
        <v>66957</v>
      </c>
      <c r="T390" s="5"/>
    </row>
    <row r="391" spans="1:27" ht="18" x14ac:dyDescent="0.35">
      <c r="A391" s="6"/>
      <c r="C391" s="13" t="s">
        <v>683</v>
      </c>
      <c r="D391" s="13" t="str">
        <f t="shared" si="20"/>
        <v xml:space="preserve">;GbLk </v>
      </c>
      <c r="E391" s="13" t="str">
        <f t="shared" si="22"/>
        <v>kf}8]n</v>
      </c>
      <c r="F391" s="21" t="s">
        <v>233</v>
      </c>
      <c r="G391" s="21" t="s">
        <v>757</v>
      </c>
      <c r="H391" s="21"/>
      <c r="I391" s="16"/>
      <c r="J391" s="16"/>
      <c r="K391" s="16"/>
      <c r="L391" s="16"/>
      <c r="M391" s="15">
        <f t="shared" si="21"/>
        <v>33.421917808219177</v>
      </c>
      <c r="N391" s="5">
        <v>54758</v>
      </c>
      <c r="O391" s="16"/>
      <c r="P391" s="16"/>
      <c r="Q391" s="16"/>
      <c r="R391" s="5">
        <v>66957</v>
      </c>
      <c r="T391" s="5"/>
    </row>
    <row r="392" spans="1:27" ht="18" x14ac:dyDescent="0.35">
      <c r="A392" s="6">
        <v>105</v>
      </c>
      <c r="B392" t="s">
        <v>218</v>
      </c>
      <c r="C392" s="13" t="s">
        <v>684</v>
      </c>
      <c r="D392" s="13" t="str">
        <f t="shared" si="20"/>
        <v xml:space="preserve">nIdL </v>
      </c>
      <c r="E392" s="13" t="str">
        <f t="shared" si="22"/>
        <v>ltjf/L</v>
      </c>
      <c r="F392" s="21" t="s">
        <v>233</v>
      </c>
      <c r="G392" s="21" t="s">
        <v>756</v>
      </c>
      <c r="H392" s="21"/>
      <c r="I392" s="16">
        <v>0</v>
      </c>
      <c r="J392" s="16">
        <v>8</v>
      </c>
      <c r="K392" s="16">
        <v>3</v>
      </c>
      <c r="L392" s="16">
        <v>2</v>
      </c>
      <c r="M392" s="15">
        <f t="shared" si="21"/>
        <v>68.575342465753423</v>
      </c>
      <c r="N392" s="5">
        <v>41927</v>
      </c>
      <c r="O392" s="16"/>
      <c r="P392" s="16"/>
      <c r="Q392" s="16"/>
      <c r="R392" s="5">
        <v>66957</v>
      </c>
      <c r="T392" s="5">
        <v>63683</v>
      </c>
      <c r="U392" s="2" t="s">
        <v>2</v>
      </c>
      <c r="V392" s="2">
        <v>3</v>
      </c>
      <c r="W392" s="2">
        <v>2</v>
      </c>
      <c r="X392" s="2">
        <v>1</v>
      </c>
      <c r="Y392" t="s">
        <v>242</v>
      </c>
      <c r="Z392" t="s">
        <v>269</v>
      </c>
      <c r="AA392" t="s">
        <v>245</v>
      </c>
    </row>
    <row r="393" spans="1:27" ht="18" x14ac:dyDescent="0.35">
      <c r="A393" s="6"/>
      <c r="C393" s="13" t="s">
        <v>685</v>
      </c>
      <c r="D393" s="13" t="str">
        <f t="shared" si="20"/>
        <v xml:space="preserve">k"0f{ </v>
      </c>
      <c r="E393" s="13" t="str">
        <f t="shared" si="22"/>
        <v>clwsf/L</v>
      </c>
      <c r="F393" s="21" t="s">
        <v>234</v>
      </c>
      <c r="G393" s="21" t="s">
        <v>756</v>
      </c>
      <c r="H393" s="21"/>
      <c r="I393" s="16"/>
      <c r="J393" s="16"/>
      <c r="K393" s="16"/>
      <c r="L393" s="16"/>
      <c r="M393" s="15">
        <f t="shared" si="21"/>
        <v>63.936986301369863</v>
      </c>
      <c r="N393" s="5">
        <v>43620</v>
      </c>
      <c r="O393" s="16"/>
      <c r="P393" s="16"/>
      <c r="Q393" s="16"/>
      <c r="R393" s="5">
        <v>66957</v>
      </c>
      <c r="T393" s="5"/>
    </row>
    <row r="394" spans="1:27" ht="18" x14ac:dyDescent="0.35">
      <c r="A394" s="6"/>
      <c r="C394" s="13" t="s">
        <v>686</v>
      </c>
      <c r="D394" s="13" t="str">
        <f t="shared" si="20"/>
        <v xml:space="preserve">s[i0f </v>
      </c>
      <c r="E394" s="13" t="str">
        <f t="shared" si="22"/>
        <v>ltjf/L</v>
      </c>
      <c r="F394" s="21" t="s">
        <v>233</v>
      </c>
      <c r="G394" s="21" t="s">
        <v>757</v>
      </c>
      <c r="H394" s="21"/>
      <c r="I394" s="16"/>
      <c r="J394" s="16"/>
      <c r="K394" s="16"/>
      <c r="L394" s="16"/>
      <c r="M394" s="15">
        <f t="shared" si="21"/>
        <v>26.073972602739726</v>
      </c>
      <c r="N394" s="5">
        <v>57440</v>
      </c>
      <c r="O394" s="16"/>
      <c r="P394" s="16"/>
      <c r="Q394" s="16"/>
      <c r="R394" s="5">
        <v>66957</v>
      </c>
      <c r="T394" s="5"/>
    </row>
    <row r="395" spans="1:27" ht="18" x14ac:dyDescent="0.35">
      <c r="A395" s="6">
        <v>106</v>
      </c>
      <c r="B395" t="s">
        <v>46</v>
      </c>
      <c r="C395" s="13" t="s">
        <v>687</v>
      </c>
      <c r="D395" s="13" t="str">
        <f t="shared" si="20"/>
        <v xml:space="preserve">/Tg </v>
      </c>
      <c r="E395" s="13" t="str">
        <f t="shared" si="22"/>
        <v>&gt;]i7</v>
      </c>
      <c r="F395" s="21" t="s">
        <v>234</v>
      </c>
      <c r="G395" s="21" t="s">
        <v>756</v>
      </c>
      <c r="H395" s="21"/>
      <c r="I395" s="16">
        <v>0</v>
      </c>
      <c r="J395" s="16">
        <v>4</v>
      </c>
      <c r="K395" s="16">
        <v>0</v>
      </c>
      <c r="L395" s="16">
        <v>0</v>
      </c>
      <c r="M395" s="15">
        <f t="shared" si="21"/>
        <v>83.295890410958904</v>
      </c>
      <c r="N395" s="5">
        <v>36554</v>
      </c>
      <c r="O395" s="16"/>
      <c r="P395" s="16"/>
      <c r="Q395" s="16"/>
      <c r="R395" s="5">
        <v>66957</v>
      </c>
      <c r="T395" s="5">
        <v>63673</v>
      </c>
      <c r="U395" s="2" t="s">
        <v>2</v>
      </c>
      <c r="V395" s="2">
        <v>5</v>
      </c>
      <c r="W395" s="2">
        <v>2</v>
      </c>
      <c r="X395" s="2">
        <v>3</v>
      </c>
      <c r="Y395" t="s">
        <v>242</v>
      </c>
      <c r="Z395" t="s">
        <v>307</v>
      </c>
      <c r="AA395" t="s">
        <v>245</v>
      </c>
    </row>
    <row r="396" spans="1:27" ht="18" x14ac:dyDescent="0.35">
      <c r="A396" s="6"/>
      <c r="C396" s="13" t="s">
        <v>688</v>
      </c>
      <c r="D396" s="13" t="str">
        <f t="shared" si="20"/>
        <v xml:space="preserve">/fd </v>
      </c>
      <c r="E396" s="13" t="str">
        <f t="shared" si="22"/>
        <v>&gt;]i7</v>
      </c>
      <c r="F396" s="21" t="s">
        <v>233</v>
      </c>
      <c r="G396" s="21" t="s">
        <v>756</v>
      </c>
      <c r="H396" s="21"/>
      <c r="I396" s="16"/>
      <c r="J396" s="16"/>
      <c r="K396" s="16"/>
      <c r="L396" s="16"/>
      <c r="M396" s="15">
        <f t="shared" si="21"/>
        <v>44.778082191780825</v>
      </c>
      <c r="N396" s="5">
        <v>50613</v>
      </c>
      <c r="O396" s="16"/>
      <c r="P396" s="16"/>
      <c r="Q396" s="16"/>
      <c r="R396" s="5">
        <v>66957</v>
      </c>
      <c r="T396" s="5"/>
    </row>
    <row r="397" spans="1:27" ht="18" x14ac:dyDescent="0.35">
      <c r="A397" s="6"/>
      <c r="C397" s="13" t="s">
        <v>689</v>
      </c>
      <c r="D397" s="13" t="str">
        <f t="shared" si="20"/>
        <v xml:space="preserve">;/:jtL </v>
      </c>
      <c r="E397" s="13" t="str">
        <f t="shared" si="22"/>
        <v>&gt;]i7</v>
      </c>
      <c r="F397" s="21" t="s">
        <v>234</v>
      </c>
      <c r="G397" s="21" t="s">
        <v>756</v>
      </c>
      <c r="H397" s="21"/>
      <c r="I397" s="16"/>
      <c r="J397" s="16"/>
      <c r="K397" s="16"/>
      <c r="L397" s="16"/>
      <c r="M397" s="15">
        <f t="shared" si="21"/>
        <v>37.671232876712331</v>
      </c>
      <c r="N397" s="5">
        <v>53207</v>
      </c>
      <c r="O397" s="16"/>
      <c r="P397" s="16"/>
      <c r="Q397" s="16"/>
      <c r="R397" s="5">
        <v>66957</v>
      </c>
      <c r="T397" s="5"/>
    </row>
    <row r="398" spans="1:27" ht="18" x14ac:dyDescent="0.35">
      <c r="A398" s="6"/>
      <c r="C398" s="13" t="s">
        <v>690</v>
      </c>
      <c r="D398" s="13" t="str">
        <f t="shared" si="20"/>
        <v xml:space="preserve">l/ltdf </v>
      </c>
      <c r="E398" s="13" t="str">
        <f t="shared" si="22"/>
        <v>&gt;]i7</v>
      </c>
      <c r="F398" s="21" t="s">
        <v>234</v>
      </c>
      <c r="G398" s="21" t="s">
        <v>757</v>
      </c>
      <c r="H398" s="21"/>
      <c r="I398" s="16"/>
      <c r="J398" s="16"/>
      <c r="K398" s="16"/>
      <c r="L398" s="16"/>
      <c r="M398" s="15">
        <f t="shared" si="21"/>
        <v>19.671232876712327</v>
      </c>
      <c r="N398" s="5">
        <v>59777</v>
      </c>
      <c r="O398" s="16"/>
      <c r="P398" s="16"/>
      <c r="Q398" s="16"/>
      <c r="R398" s="5">
        <v>66957</v>
      </c>
      <c r="T398" s="5"/>
    </row>
    <row r="399" spans="1:27" ht="18" x14ac:dyDescent="0.35">
      <c r="A399" s="6"/>
      <c r="C399" s="13" t="s">
        <v>691</v>
      </c>
      <c r="D399" s="13" t="str">
        <f t="shared" si="20"/>
        <v xml:space="preserve">cflbTo </v>
      </c>
      <c r="E399" s="13" t="str">
        <f t="shared" si="22"/>
        <v>&gt;]i7</v>
      </c>
      <c r="F399" s="21" t="s">
        <v>233</v>
      </c>
      <c r="G399" s="21" t="s">
        <v>757</v>
      </c>
      <c r="H399" s="21"/>
      <c r="I399" s="16"/>
      <c r="J399" s="16"/>
      <c r="K399" s="16"/>
      <c r="L399" s="16"/>
      <c r="M399" s="15">
        <f t="shared" si="21"/>
        <v>15.917808219178083</v>
      </c>
      <c r="N399" s="5">
        <v>61147</v>
      </c>
      <c r="O399" s="16"/>
      <c r="P399" s="16"/>
      <c r="Q399" s="16"/>
      <c r="R399" s="5">
        <v>66957</v>
      </c>
      <c r="T399" s="5"/>
    </row>
    <row r="400" spans="1:27" ht="18" x14ac:dyDescent="0.35">
      <c r="A400" s="6">
        <v>107</v>
      </c>
      <c r="B400" t="s">
        <v>219</v>
      </c>
      <c r="C400" s="13" t="s">
        <v>692</v>
      </c>
      <c r="D400" s="13" t="str">
        <f t="shared" si="20"/>
        <v xml:space="preserve">hLa </v>
      </c>
      <c r="E400" s="13" t="str">
        <f t="shared" si="22"/>
        <v>bfxfn</v>
      </c>
      <c r="F400" s="21" t="s">
        <v>233</v>
      </c>
      <c r="G400" s="21" t="s">
        <v>756</v>
      </c>
      <c r="H400" s="21"/>
      <c r="I400" s="16">
        <v>0</v>
      </c>
      <c r="J400" s="16">
        <v>11</v>
      </c>
      <c r="K400" s="16">
        <v>1</v>
      </c>
      <c r="L400" s="16">
        <v>0</v>
      </c>
      <c r="M400" s="15">
        <f t="shared" si="21"/>
        <v>77</v>
      </c>
      <c r="N400" s="5">
        <v>38852</v>
      </c>
      <c r="O400" s="16"/>
      <c r="P400" s="16"/>
      <c r="Q400" s="16"/>
      <c r="R400" s="5">
        <v>66957</v>
      </c>
      <c r="T400" s="5">
        <v>63649</v>
      </c>
      <c r="U400" s="2" t="s">
        <v>2</v>
      </c>
      <c r="V400" s="2">
        <v>6</v>
      </c>
      <c r="W400" s="2">
        <v>1</v>
      </c>
      <c r="X400" s="2">
        <v>5</v>
      </c>
      <c r="Y400" t="s">
        <v>239</v>
      </c>
      <c r="Z400" t="s">
        <v>274</v>
      </c>
      <c r="AA400" t="s">
        <v>245</v>
      </c>
    </row>
    <row r="401" spans="1:27" ht="18" x14ac:dyDescent="0.35">
      <c r="A401" s="6"/>
      <c r="C401" s="13" t="s">
        <v>693</v>
      </c>
      <c r="D401" s="13" t="str">
        <f t="shared" si="20"/>
        <v xml:space="preserve">s]z/ </v>
      </c>
      <c r="E401" s="13" t="str">
        <f t="shared" si="22"/>
        <v>bfxfn</v>
      </c>
      <c r="F401" s="21" t="s">
        <v>234</v>
      </c>
      <c r="G401" s="21" t="s">
        <v>756</v>
      </c>
      <c r="H401" s="21"/>
      <c r="I401" s="16"/>
      <c r="J401" s="16"/>
      <c r="K401" s="16"/>
      <c r="L401" s="16"/>
      <c r="M401" s="15">
        <f t="shared" si="21"/>
        <v>73.205479452054789</v>
      </c>
      <c r="N401" s="5">
        <v>40237</v>
      </c>
      <c r="O401" s="16"/>
      <c r="P401" s="16"/>
      <c r="Q401" s="16"/>
      <c r="R401" s="5">
        <v>66957</v>
      </c>
      <c r="T401" s="5"/>
    </row>
    <row r="402" spans="1:27" ht="18" x14ac:dyDescent="0.35">
      <c r="A402" s="6"/>
      <c r="C402" s="13" t="s">
        <v>694</v>
      </c>
      <c r="D402" s="13" t="str">
        <f t="shared" si="20"/>
        <v xml:space="preserve">lgzf </v>
      </c>
      <c r="E402" s="13" t="str">
        <f t="shared" si="22"/>
        <v>zdf{</v>
      </c>
      <c r="F402" s="21" t="s">
        <v>234</v>
      </c>
      <c r="G402" s="21" t="s">
        <v>757</v>
      </c>
      <c r="H402" s="21"/>
      <c r="I402" s="16"/>
      <c r="J402" s="16"/>
      <c r="K402" s="16"/>
      <c r="L402" s="16"/>
      <c r="M402" s="15">
        <f t="shared" si="21"/>
        <v>40.06849315068493</v>
      </c>
      <c r="N402" s="5">
        <v>52332</v>
      </c>
      <c r="O402" s="16"/>
      <c r="P402" s="16"/>
      <c r="Q402" s="16"/>
      <c r="R402" s="5">
        <v>66957</v>
      </c>
      <c r="T402" s="5"/>
    </row>
    <row r="403" spans="1:27" ht="18" x14ac:dyDescent="0.35">
      <c r="A403" s="6"/>
      <c r="C403" s="13" t="s">
        <v>695</v>
      </c>
      <c r="D403" s="13" t="str">
        <f t="shared" si="20"/>
        <v xml:space="preserve">kf]if0f </v>
      </c>
      <c r="E403" s="13" t="str">
        <f t="shared" si="22"/>
        <v>zdf{</v>
      </c>
      <c r="F403" s="21" t="s">
        <v>234</v>
      </c>
      <c r="G403" s="21" t="s">
        <v>757</v>
      </c>
      <c r="H403" s="21"/>
      <c r="I403" s="16"/>
      <c r="J403" s="16"/>
      <c r="K403" s="16"/>
      <c r="L403" s="16"/>
      <c r="M403" s="15">
        <f t="shared" si="21"/>
        <v>33.090410958904108</v>
      </c>
      <c r="N403" s="5">
        <v>54879</v>
      </c>
      <c r="O403" s="16"/>
      <c r="P403" s="16"/>
      <c r="Q403" s="16"/>
      <c r="R403" s="5">
        <v>66957</v>
      </c>
      <c r="T403" s="5"/>
    </row>
    <row r="404" spans="1:27" ht="18" x14ac:dyDescent="0.35">
      <c r="A404" s="6"/>
      <c r="C404" s="13" t="s">
        <v>696</v>
      </c>
      <c r="D404" s="13" t="str">
        <f t="shared" si="20"/>
        <v xml:space="preserve">g]z' </v>
      </c>
      <c r="E404" s="13" t="str">
        <f t="shared" si="22"/>
        <v>zdf{</v>
      </c>
      <c r="F404" s="21" t="s">
        <v>234</v>
      </c>
      <c r="G404" s="21" t="s">
        <v>757</v>
      </c>
      <c r="H404" s="21"/>
      <c r="I404" s="16"/>
      <c r="J404" s="16"/>
      <c r="K404" s="16"/>
      <c r="L404" s="16"/>
      <c r="M404" s="15">
        <f t="shared" si="21"/>
        <v>31.791780821917808</v>
      </c>
      <c r="N404" s="5">
        <v>55353</v>
      </c>
      <c r="O404" s="16"/>
      <c r="P404" s="16"/>
      <c r="Q404" s="16"/>
      <c r="R404" s="5">
        <v>66957</v>
      </c>
      <c r="T404" s="5"/>
    </row>
    <row r="405" spans="1:27" ht="18" x14ac:dyDescent="0.35">
      <c r="A405" s="6"/>
      <c r="C405" s="13" t="s">
        <v>697</v>
      </c>
      <c r="D405" s="13" t="str">
        <f t="shared" si="20"/>
        <v xml:space="preserve">piff </v>
      </c>
      <c r="E405" s="13" t="str">
        <f t="shared" si="22"/>
        <v>zdf{</v>
      </c>
      <c r="F405" s="21" t="s">
        <v>234</v>
      </c>
      <c r="G405" s="21" t="s">
        <v>757</v>
      </c>
      <c r="H405" s="21"/>
      <c r="I405" s="16"/>
      <c r="J405" s="16"/>
      <c r="K405" s="16"/>
      <c r="L405" s="16"/>
      <c r="M405" s="15">
        <f t="shared" si="21"/>
        <v>50.441095890410956</v>
      </c>
      <c r="N405" s="5">
        <v>48546</v>
      </c>
      <c r="O405" s="16"/>
      <c r="P405" s="16"/>
      <c r="Q405" s="16"/>
      <c r="R405" s="5">
        <v>66957</v>
      </c>
      <c r="T405" s="5"/>
    </row>
    <row r="406" spans="1:27" ht="18" x14ac:dyDescent="0.35">
      <c r="A406" s="6">
        <v>108</v>
      </c>
      <c r="B406" t="s">
        <v>148</v>
      </c>
      <c r="C406" s="13" t="s">
        <v>698</v>
      </c>
      <c r="D406" s="13" t="str">
        <f t="shared" si="20"/>
        <v xml:space="preserve">rGb| </v>
      </c>
      <c r="E406" s="13" t="str">
        <f t="shared" si="22"/>
        <v>a:g]t</v>
      </c>
      <c r="F406" s="21" t="s">
        <v>233</v>
      </c>
      <c r="G406" s="21" t="s">
        <v>756</v>
      </c>
      <c r="H406" s="21"/>
      <c r="I406" s="16" t="s">
        <v>748</v>
      </c>
      <c r="J406" s="16" t="s">
        <v>748</v>
      </c>
      <c r="K406" s="16" t="s">
        <v>748</v>
      </c>
      <c r="L406" s="16" t="s">
        <v>748</v>
      </c>
      <c r="M406" s="15">
        <f t="shared" si="21"/>
        <v>55.589041095890408</v>
      </c>
      <c r="N406" s="5">
        <v>46667</v>
      </c>
      <c r="O406" s="16"/>
      <c r="P406" s="16"/>
      <c r="Q406" s="16"/>
      <c r="R406" s="5">
        <v>66957</v>
      </c>
      <c r="T406" s="5">
        <v>63601</v>
      </c>
      <c r="U406" s="2" t="s">
        <v>2</v>
      </c>
      <c r="V406" s="2">
        <v>4</v>
      </c>
      <c r="W406" s="2">
        <v>2</v>
      </c>
      <c r="X406" s="2">
        <v>2</v>
      </c>
      <c r="Y406" t="s">
        <v>242</v>
      </c>
      <c r="Z406" t="s">
        <v>260</v>
      </c>
      <c r="AA406" t="s">
        <v>245</v>
      </c>
    </row>
    <row r="407" spans="1:27" ht="18" x14ac:dyDescent="0.35">
      <c r="A407" s="6"/>
      <c r="C407" s="13" t="s">
        <v>699</v>
      </c>
      <c r="D407" s="13" t="str">
        <f t="shared" si="20"/>
        <v xml:space="preserve">kz'klt </v>
      </c>
      <c r="E407" s="13" t="str">
        <f t="shared" si="22"/>
        <v>sfsL{</v>
      </c>
      <c r="F407" s="21" t="s">
        <v>234</v>
      </c>
      <c r="G407" s="21" t="s">
        <v>756</v>
      </c>
      <c r="H407" s="21"/>
      <c r="I407" s="16"/>
      <c r="J407" s="16"/>
      <c r="K407" s="16"/>
      <c r="L407" s="16"/>
      <c r="M407" s="15">
        <f t="shared" si="21"/>
        <v>42.750684931506846</v>
      </c>
      <c r="N407" s="5">
        <v>51353</v>
      </c>
      <c r="O407" s="16"/>
      <c r="P407" s="16"/>
      <c r="Q407" s="16"/>
      <c r="R407" s="5">
        <v>66957</v>
      </c>
      <c r="T407" s="5"/>
    </row>
    <row r="408" spans="1:27" ht="18" x14ac:dyDescent="0.35">
      <c r="A408" s="6"/>
      <c r="C408" s="13" t="s">
        <v>612</v>
      </c>
      <c r="D408" s="13" t="str">
        <f t="shared" si="20"/>
        <v xml:space="preserve">ljzfn </v>
      </c>
      <c r="E408" s="13" t="str">
        <f t="shared" si="22"/>
        <v>a:g]t</v>
      </c>
      <c r="F408" s="21" t="s">
        <v>233</v>
      </c>
      <c r="G408" s="21" t="s">
        <v>757</v>
      </c>
      <c r="H408" s="21"/>
      <c r="I408" s="16"/>
      <c r="J408" s="16"/>
      <c r="K408" s="16"/>
      <c r="L408" s="16"/>
      <c r="M408" s="15">
        <f t="shared" si="21"/>
        <v>20.235616438356164</v>
      </c>
      <c r="N408" s="5">
        <v>59571</v>
      </c>
      <c r="O408" s="16"/>
      <c r="P408" s="16"/>
      <c r="Q408" s="16"/>
      <c r="R408" s="5">
        <v>66957</v>
      </c>
      <c r="T408" s="5"/>
    </row>
    <row r="409" spans="1:27" ht="18" x14ac:dyDescent="0.35">
      <c r="A409" s="6"/>
      <c r="C409" s="13" t="s">
        <v>613</v>
      </c>
      <c r="D409" s="13" t="str">
        <f t="shared" si="20"/>
        <v xml:space="preserve">ljj]s </v>
      </c>
      <c r="E409" s="13" t="str">
        <f t="shared" si="22"/>
        <v>a:g]t</v>
      </c>
      <c r="F409" s="21" t="s">
        <v>233</v>
      </c>
      <c r="G409" s="21" t="s">
        <v>757</v>
      </c>
      <c r="H409" s="21"/>
      <c r="I409" s="16"/>
      <c r="J409" s="16"/>
      <c r="K409" s="16"/>
      <c r="L409" s="16"/>
      <c r="M409" s="15">
        <f t="shared" si="21"/>
        <v>19.013698630136986</v>
      </c>
      <c r="N409" s="5">
        <v>60017</v>
      </c>
      <c r="O409" s="16"/>
      <c r="P409" s="16"/>
      <c r="Q409" s="16"/>
      <c r="R409" s="5">
        <v>66957</v>
      </c>
      <c r="T409" s="5"/>
    </row>
    <row r="410" spans="1:27" ht="18" x14ac:dyDescent="0.35">
      <c r="A410" s="6">
        <v>109</v>
      </c>
      <c r="B410" t="s">
        <v>220</v>
      </c>
      <c r="C410" s="13" t="s">
        <v>700</v>
      </c>
      <c r="D410" s="13" t="str">
        <f t="shared" si="20"/>
        <v xml:space="preserve">r'8fd0fL </v>
      </c>
      <c r="E410" s="13" t="str">
        <f t="shared" si="22"/>
        <v>vgfn</v>
      </c>
      <c r="F410" s="21" t="s">
        <v>233</v>
      </c>
      <c r="G410" s="21" t="s">
        <v>756</v>
      </c>
      <c r="H410" s="21"/>
      <c r="I410" s="16" t="s">
        <v>748</v>
      </c>
      <c r="J410" s="16" t="s">
        <v>748</v>
      </c>
      <c r="K410" s="16" t="s">
        <v>748</v>
      </c>
      <c r="L410" s="16" t="s">
        <v>748</v>
      </c>
      <c r="M410" s="15">
        <f t="shared" si="21"/>
        <v>51.819178082191783</v>
      </c>
      <c r="N410" s="5">
        <v>48043</v>
      </c>
      <c r="O410" s="16"/>
      <c r="P410" s="16"/>
      <c r="Q410" s="16"/>
      <c r="R410" s="5">
        <v>66957</v>
      </c>
      <c r="T410" s="5">
        <v>63569</v>
      </c>
      <c r="U410" s="2" t="s">
        <v>2</v>
      </c>
      <c r="V410" s="2">
        <v>3</v>
      </c>
      <c r="W410" s="2">
        <v>2</v>
      </c>
      <c r="X410" s="2">
        <v>1</v>
      </c>
      <c r="Y410" t="s">
        <v>242</v>
      </c>
      <c r="Z410" t="s">
        <v>261</v>
      </c>
      <c r="AA410" t="s">
        <v>245</v>
      </c>
    </row>
    <row r="411" spans="1:27" ht="18" x14ac:dyDescent="0.35">
      <c r="A411" s="6"/>
      <c r="C411" s="13" t="s">
        <v>701</v>
      </c>
      <c r="D411" s="13" t="str">
        <f t="shared" si="20"/>
        <v xml:space="preserve">;'gfb]jL </v>
      </c>
      <c r="E411" s="13" t="str">
        <f t="shared" si="22"/>
        <v>clwsf/L</v>
      </c>
      <c r="F411" s="21" t="s">
        <v>234</v>
      </c>
      <c r="G411" s="21" t="s">
        <v>756</v>
      </c>
      <c r="H411" s="21"/>
      <c r="I411" s="16"/>
      <c r="J411" s="16"/>
      <c r="K411" s="16"/>
      <c r="L411" s="16"/>
      <c r="M411" s="15">
        <f t="shared" si="21"/>
        <v>50.320547945205476</v>
      </c>
      <c r="N411" s="5">
        <v>48590</v>
      </c>
      <c r="O411" s="16"/>
      <c r="P411" s="16"/>
      <c r="Q411" s="16"/>
      <c r="R411" s="5">
        <v>66957</v>
      </c>
      <c r="T411" s="5"/>
    </row>
    <row r="412" spans="1:27" ht="18" x14ac:dyDescent="0.35">
      <c r="A412" s="6"/>
      <c r="C412" s="13" t="s">
        <v>702</v>
      </c>
      <c r="D412" s="13" t="str">
        <f t="shared" si="20"/>
        <v xml:space="preserve">;'j0f{ </v>
      </c>
      <c r="E412" s="13" t="str">
        <f t="shared" si="22"/>
        <v>vgfn</v>
      </c>
      <c r="F412" s="21" t="s">
        <v>233</v>
      </c>
      <c r="G412" s="21" t="s">
        <v>757</v>
      </c>
      <c r="H412" s="21"/>
      <c r="I412" s="16"/>
      <c r="J412" s="16"/>
      <c r="K412" s="16"/>
      <c r="L412" s="16"/>
      <c r="M412" s="15">
        <f t="shared" si="21"/>
        <v>22.07123287671233</v>
      </c>
      <c r="N412" s="5">
        <v>58901</v>
      </c>
      <c r="O412" s="16"/>
      <c r="P412" s="16"/>
      <c r="Q412" s="16"/>
      <c r="R412" s="5">
        <v>66957</v>
      </c>
      <c r="T412" s="5"/>
    </row>
    <row r="413" spans="1:27" ht="18" x14ac:dyDescent="0.35">
      <c r="A413" s="6">
        <v>110</v>
      </c>
      <c r="B413" t="s">
        <v>221</v>
      </c>
      <c r="C413" s="13" t="s">
        <v>703</v>
      </c>
      <c r="D413" s="13" t="str">
        <f t="shared" si="20"/>
        <v xml:space="preserve">d'/f/L </v>
      </c>
      <c r="E413" s="13" t="str">
        <f t="shared" si="22"/>
        <v>;'j]bL</v>
      </c>
      <c r="F413" s="21" t="s">
        <v>233</v>
      </c>
      <c r="G413" s="21" t="s">
        <v>756</v>
      </c>
      <c r="H413" s="21"/>
      <c r="I413" s="16">
        <v>1</v>
      </c>
      <c r="J413" s="16">
        <v>10</v>
      </c>
      <c r="K413" s="16">
        <v>0</v>
      </c>
      <c r="L413" s="16">
        <v>0</v>
      </c>
      <c r="M413" s="15">
        <f t="shared" si="21"/>
        <v>54.293150684931504</v>
      </c>
      <c r="N413" s="5">
        <v>47140</v>
      </c>
      <c r="O413" s="16"/>
      <c r="P413" s="16"/>
      <c r="Q413" s="16"/>
      <c r="R413" s="5">
        <v>66957</v>
      </c>
      <c r="S413" t="s">
        <v>229</v>
      </c>
      <c r="T413" s="5">
        <v>63566</v>
      </c>
      <c r="U413" s="2" t="s">
        <v>2</v>
      </c>
      <c r="V413" s="2">
        <v>4</v>
      </c>
      <c r="W413" s="2">
        <v>2</v>
      </c>
      <c r="X413" s="2">
        <v>2</v>
      </c>
      <c r="Y413" t="s">
        <v>242</v>
      </c>
      <c r="Z413" t="s">
        <v>295</v>
      </c>
      <c r="AA413" t="s">
        <v>245</v>
      </c>
    </row>
    <row r="414" spans="1:27" ht="18" x14ac:dyDescent="0.35">
      <c r="A414" s="6"/>
      <c r="C414" s="13" t="s">
        <v>704</v>
      </c>
      <c r="D414" s="13" t="str">
        <f t="shared" si="20"/>
        <v xml:space="preserve">;'ldqf </v>
      </c>
      <c r="E414" s="13" t="str">
        <f t="shared" si="22"/>
        <v>;'j]bL</v>
      </c>
      <c r="F414" s="21" t="s">
        <v>234</v>
      </c>
      <c r="G414" s="21" t="s">
        <v>756</v>
      </c>
      <c r="H414" s="21"/>
      <c r="I414" s="16"/>
      <c r="J414" s="16"/>
      <c r="K414" s="16"/>
      <c r="L414" s="16"/>
      <c r="M414" s="15">
        <f t="shared" si="21"/>
        <v>49.035616438356165</v>
      </c>
      <c r="N414" s="5">
        <v>49059</v>
      </c>
      <c r="O414" s="16"/>
      <c r="P414" s="16"/>
      <c r="Q414" s="16"/>
      <c r="R414" s="5">
        <v>66957</v>
      </c>
      <c r="T414" s="5"/>
    </row>
    <row r="415" spans="1:27" ht="18" x14ac:dyDescent="0.35">
      <c r="A415" s="6"/>
      <c r="C415" s="13" t="s">
        <v>705</v>
      </c>
      <c r="D415" s="13" t="str">
        <f t="shared" si="20"/>
        <v xml:space="preserve">laa]s </v>
      </c>
      <c r="E415" s="13" t="str">
        <f t="shared" si="22"/>
        <v>;'j]bL</v>
      </c>
      <c r="F415" s="21" t="s">
        <v>233</v>
      </c>
      <c r="G415" s="21" t="s">
        <v>757</v>
      </c>
      <c r="H415" s="21"/>
      <c r="I415" s="16"/>
      <c r="J415" s="16"/>
      <c r="K415" s="16"/>
      <c r="L415" s="16"/>
      <c r="M415" s="15">
        <f t="shared" si="21"/>
        <v>21.641095890410959</v>
      </c>
      <c r="N415" s="5">
        <v>59058</v>
      </c>
      <c r="O415" s="16"/>
      <c r="P415" s="16"/>
      <c r="Q415" s="16"/>
      <c r="R415" s="5">
        <v>66957</v>
      </c>
      <c r="T415" s="5"/>
    </row>
    <row r="416" spans="1:27" ht="18" x14ac:dyDescent="0.35">
      <c r="A416" s="6"/>
      <c r="C416" s="13" t="s">
        <v>706</v>
      </c>
      <c r="D416" s="13" t="str">
        <f t="shared" si="20"/>
        <v xml:space="preserve">;[li6 </v>
      </c>
      <c r="E416" s="13" t="str">
        <f t="shared" si="22"/>
        <v>;'j]bL</v>
      </c>
      <c r="F416" s="21" t="s">
        <v>234</v>
      </c>
      <c r="G416" s="21" t="s">
        <v>757</v>
      </c>
      <c r="H416" s="21"/>
      <c r="I416" s="16"/>
      <c r="J416" s="16"/>
      <c r="K416" s="16"/>
      <c r="L416" s="16"/>
      <c r="M416" s="15">
        <f t="shared" si="21"/>
        <v>13.282191780821918</v>
      </c>
      <c r="N416" s="5">
        <v>62109</v>
      </c>
      <c r="O416" s="16"/>
      <c r="P416" s="16"/>
      <c r="Q416" s="16"/>
      <c r="R416" s="5">
        <v>66957</v>
      </c>
      <c r="T416" s="5"/>
    </row>
    <row r="417" spans="22:24" x14ac:dyDescent="0.3">
      <c r="V417" s="3">
        <f>SUM(V4:V416)</f>
        <v>416</v>
      </c>
      <c r="W417" s="3">
        <f t="shared" ref="W417:X417" si="23">SUM(W4:W416)</f>
        <v>219</v>
      </c>
      <c r="X417" s="3">
        <f t="shared" si="23"/>
        <v>193</v>
      </c>
    </row>
  </sheetData>
  <sortState xmlns:xlrd2="http://schemas.microsoft.com/office/spreadsheetml/2017/richdata2" ref="A3:Z410">
    <sortCondition ref="A3"/>
  </sortState>
  <mergeCells count="22">
    <mergeCell ref="U1:U2"/>
    <mergeCell ref="I1:L1"/>
    <mergeCell ref="Q1:Q2"/>
    <mergeCell ref="N1:N2"/>
    <mergeCell ref="R1:R2"/>
    <mergeCell ref="M1:M2"/>
    <mergeCell ref="S1:S2"/>
    <mergeCell ref="T1:T2"/>
    <mergeCell ref="P1:P2"/>
    <mergeCell ref="A1:A2"/>
    <mergeCell ref="C1:C2"/>
    <mergeCell ref="D1:D2"/>
    <mergeCell ref="E1:E2"/>
    <mergeCell ref="O1:O2"/>
    <mergeCell ref="G1:G2"/>
    <mergeCell ref="H1:H2"/>
    <mergeCell ref="F1:F2"/>
    <mergeCell ref="V1:X1"/>
    <mergeCell ref="Z1:Z2"/>
    <mergeCell ref="Y1:Y2"/>
    <mergeCell ref="AA1:AA2"/>
    <mergeCell ref="AB1:AB2"/>
  </mergeCells>
  <phoneticPr fontId="4" type="noConversion"/>
  <dataValidations disablePrompts="1" count="1">
    <dataValidation type="list" allowBlank="1" showInputMessage="1" showErrorMessage="1" sqref="U4:U416" xr:uid="{00000000-0002-0000-0000-000000000000}">
      <formula1>$U$4:$U$71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Reasons!$A$2:$A$8</xm:f>
          </x14:formula1>
          <xm:sqref>Y4:Y416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94"/>
  <sheetViews>
    <sheetView tabSelected="1" topLeftCell="AC1" zoomScaleNormal="100" workbookViewId="0">
      <pane ySplit="1" topLeftCell="A2" activePane="bottomLeft" state="frozen"/>
      <selection activeCell="B1" sqref="B1"/>
      <selection pane="bottomLeft" activeCell="AJ11" sqref="AJ11"/>
    </sheetView>
  </sheetViews>
  <sheetFormatPr defaultRowHeight="14.4" x14ac:dyDescent="0.3"/>
  <cols>
    <col min="1" max="1" width="4.33203125" bestFit="1" customWidth="1"/>
    <col min="2" max="2" width="27.44140625" customWidth="1"/>
    <col min="3" max="3" width="23.6640625" hidden="1" customWidth="1"/>
    <col min="4" max="4" width="10.5546875" hidden="1" customWidth="1"/>
    <col min="5" max="5" width="8.88671875" hidden="1" customWidth="1"/>
    <col min="6" max="6" width="8.109375" hidden="1" customWidth="1"/>
    <col min="7" max="7" width="6.33203125" hidden="1" customWidth="1"/>
    <col min="8" max="8" width="8.6640625" hidden="1" customWidth="1"/>
    <col min="9" max="9" width="6.33203125" hidden="1" customWidth="1"/>
    <col min="10" max="10" width="8.5546875" hidden="1" customWidth="1"/>
    <col min="11" max="11" width="6.33203125" hidden="1" customWidth="1"/>
    <col min="12" max="12" width="12.88671875" hidden="1" customWidth="1"/>
    <col min="13" max="13" width="6.33203125" hidden="1" customWidth="1"/>
    <col min="14" max="14" width="14.109375" customWidth="1"/>
    <col min="15" max="15" width="10.109375" bestFit="1" customWidth="1"/>
    <col min="16" max="16" width="15.109375" bestFit="1" customWidth="1"/>
    <col min="17" max="17" width="15.109375" customWidth="1"/>
    <col min="18" max="18" width="14.5546875" bestFit="1" customWidth="1"/>
    <col min="19" max="19" width="35.33203125" bestFit="1" customWidth="1"/>
    <col min="20" max="21" width="18.6640625" hidden="1" customWidth="1"/>
    <col min="22" max="22" width="6.109375" hidden="1" customWidth="1"/>
    <col min="23" max="27" width="19.44140625" customWidth="1"/>
    <col min="28" max="28" width="16.77734375" bestFit="1" customWidth="1"/>
    <col min="29" max="29" width="12.77734375" bestFit="1" customWidth="1"/>
    <col min="30" max="30" width="17.5546875" bestFit="1" customWidth="1"/>
    <col min="31" max="32" width="19.44140625" bestFit="1" customWidth="1"/>
    <col min="33" max="33" width="10.6640625" bestFit="1" customWidth="1"/>
    <col min="34" max="34" width="16.21875" bestFit="1" customWidth="1"/>
    <col min="35" max="35" width="29.21875" bestFit="1" customWidth="1"/>
    <col min="36" max="36" width="21.5546875" bestFit="1" customWidth="1"/>
    <col min="37" max="37" width="9" customWidth="1"/>
    <col min="38" max="38" width="14.5546875" customWidth="1"/>
    <col min="39" max="39" width="6.109375" customWidth="1"/>
    <col min="40" max="40" width="31.109375" bestFit="1" customWidth="1"/>
    <col min="41" max="41" width="30.21875" customWidth="1"/>
    <col min="42" max="42" width="5.109375" customWidth="1"/>
    <col min="43" max="43" width="18" customWidth="1"/>
    <col min="44" max="44" width="11.5546875" customWidth="1"/>
    <col min="45" max="45" width="10.5546875" customWidth="1"/>
    <col min="46" max="46" width="5.44140625" customWidth="1"/>
    <col min="47" max="47" width="5.5546875" customWidth="1"/>
    <col min="48" max="48" width="7.5546875" customWidth="1"/>
    <col min="49" max="49" width="7.6640625" customWidth="1"/>
    <col min="50" max="51" width="14.44140625" customWidth="1"/>
    <col min="52" max="52" width="23" customWidth="1"/>
    <col min="53" max="53" width="26.5546875" bestFit="1" customWidth="1"/>
  </cols>
  <sheetData>
    <row r="1" spans="1:53" ht="28.8" x14ac:dyDescent="0.3">
      <c r="C1" s="4" t="s">
        <v>902</v>
      </c>
      <c r="D1" s="4" t="s">
        <v>903</v>
      </c>
      <c r="E1" s="4" t="s">
        <v>736</v>
      </c>
      <c r="F1" s="4" t="s">
        <v>901</v>
      </c>
      <c r="G1" s="4" t="s">
        <v>759</v>
      </c>
      <c r="H1" s="4" t="s">
        <v>912</v>
      </c>
      <c r="I1" s="4" t="s">
        <v>759</v>
      </c>
      <c r="J1" s="4" t="s">
        <v>737</v>
      </c>
      <c r="K1" s="4" t="s">
        <v>759</v>
      </c>
      <c r="L1" s="4" t="s">
        <v>916</v>
      </c>
      <c r="M1" s="4" t="s">
        <v>759</v>
      </c>
      <c r="N1" s="4" t="s">
        <v>978</v>
      </c>
      <c r="O1" s="4" t="s">
        <v>980</v>
      </c>
      <c r="P1" s="4" t="s">
        <v>981</v>
      </c>
      <c r="Q1" s="4" t="s">
        <v>1002</v>
      </c>
      <c r="R1" s="4" t="s">
        <v>952</v>
      </c>
      <c r="S1" s="52" t="s">
        <v>246</v>
      </c>
      <c r="T1" s="40" t="s">
        <v>966</v>
      </c>
      <c r="U1" s="42" t="s">
        <v>901</v>
      </c>
      <c r="V1" s="4" t="s">
        <v>759</v>
      </c>
      <c r="W1" s="4" t="s">
        <v>993</v>
      </c>
      <c r="X1" s="4" t="s">
        <v>997</v>
      </c>
      <c r="Y1" s="4" t="s">
        <v>994</v>
      </c>
      <c r="Z1" s="4" t="s">
        <v>995</v>
      </c>
      <c r="AA1" s="4" t="s">
        <v>996</v>
      </c>
      <c r="AB1" s="4" t="s">
        <v>982</v>
      </c>
      <c r="AC1" s="4" t="s">
        <v>983</v>
      </c>
      <c r="AD1" s="4" t="s">
        <v>984</v>
      </c>
      <c r="AE1" s="4" t="s">
        <v>992</v>
      </c>
      <c r="AF1" s="4" t="s">
        <v>909</v>
      </c>
      <c r="AG1" s="4" t="s">
        <v>979</v>
      </c>
      <c r="AH1" s="4" t="s">
        <v>991</v>
      </c>
      <c r="AI1" s="4" t="s">
        <v>955</v>
      </c>
      <c r="AJ1" s="4" t="s">
        <v>909</v>
      </c>
      <c r="AK1" s="4" t="s">
        <v>738</v>
      </c>
      <c r="AL1" s="42" t="s">
        <v>901</v>
      </c>
      <c r="AM1" s="4" t="s">
        <v>759</v>
      </c>
      <c r="AN1" s="44" t="s">
        <v>974</v>
      </c>
      <c r="AO1" s="44" t="s">
        <v>901</v>
      </c>
      <c r="AP1" s="44" t="s">
        <v>759</v>
      </c>
      <c r="AT1" s="48" t="s">
        <v>105</v>
      </c>
      <c r="AU1" s="49"/>
      <c r="AV1" s="50"/>
      <c r="AW1" s="54"/>
      <c r="AX1" s="51" t="s">
        <v>236</v>
      </c>
      <c r="AY1" s="37" t="s">
        <v>976</v>
      </c>
      <c r="AZ1" s="37"/>
      <c r="BA1" s="53" t="s">
        <v>243</v>
      </c>
    </row>
    <row r="2" spans="1:53" x14ac:dyDescent="0.3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S2" s="52"/>
      <c r="T2" s="41"/>
      <c r="U2" s="42"/>
      <c r="V2" s="42"/>
      <c r="W2" s="42"/>
      <c r="X2" s="42"/>
      <c r="Y2" s="42"/>
      <c r="Z2" s="42"/>
      <c r="AA2" s="42"/>
      <c r="AB2" s="4"/>
      <c r="AC2" s="42"/>
      <c r="AD2" s="42"/>
      <c r="AE2" s="4"/>
      <c r="AF2" s="42"/>
      <c r="AG2" s="4"/>
      <c r="AH2" s="42"/>
      <c r="AN2" s="44"/>
      <c r="AO2" s="44"/>
      <c r="AP2" s="44"/>
      <c r="AT2" s="7" t="s">
        <v>232</v>
      </c>
      <c r="AU2" s="7" t="s">
        <v>233</v>
      </c>
      <c r="AV2" s="7" t="s">
        <v>234</v>
      </c>
      <c r="AW2" s="54"/>
      <c r="AX2" s="51"/>
      <c r="AY2" s="37"/>
      <c r="AZ2" s="37"/>
      <c r="BA2" s="53"/>
    </row>
    <row r="3" spans="1:53" ht="17.399999999999999" x14ac:dyDescent="0.3">
      <c r="A3" s="6">
        <v>1</v>
      </c>
      <c r="B3" t="s">
        <v>0</v>
      </c>
      <c r="C3" t="s">
        <v>231</v>
      </c>
      <c r="D3" s="13" t="s">
        <v>763</v>
      </c>
      <c r="E3" s="13" t="s">
        <v>764</v>
      </c>
      <c r="F3" s="13" t="str" cm="1">
        <f t="array" ref="F3:F57">_xlfn.UNIQUE(E3:E91)</f>
        <v>कार्की</v>
      </c>
      <c r="G3" s="22">
        <f>COUNTIF($E$3:$E$91,F3)</f>
        <v>5</v>
      </c>
      <c r="H3" s="22" t="s">
        <v>750</v>
      </c>
      <c r="I3" s="22">
        <f ca="1">SUMIF(H3:H57,H3,G3)</f>
        <v>32</v>
      </c>
      <c r="J3" s="22" t="s">
        <v>913</v>
      </c>
      <c r="K3" s="22">
        <f ca="1">SUMIF(J3:J57,J3,I3)</f>
        <v>60</v>
      </c>
      <c r="L3" s="22" t="s">
        <v>918</v>
      </c>
      <c r="M3" s="22">
        <f>COUNTIF(L3:L91,L3)</f>
        <v>6</v>
      </c>
      <c r="N3" s="22" t="s">
        <v>953</v>
      </c>
      <c r="O3" s="22" t="s">
        <v>953</v>
      </c>
      <c r="P3" s="22" t="s">
        <v>953</v>
      </c>
      <c r="Q3" s="4" t="s">
        <v>1000</v>
      </c>
      <c r="R3" s="22" t="s">
        <v>953</v>
      </c>
      <c r="S3" t="s">
        <v>339</v>
      </c>
      <c r="T3" s="15" t="s">
        <v>962</v>
      </c>
      <c r="U3" s="15" t="str" cm="1">
        <f t="array" ref="U3:U7">_xlfn.UNIQUE(T3:T91)</f>
        <v>Spouse/children</v>
      </c>
      <c r="V3" s="22">
        <f>COUNTIF($T$3:$T$91,U3)</f>
        <v>21</v>
      </c>
      <c r="W3" s="46" t="s">
        <v>953</v>
      </c>
      <c r="X3" s="46" t="s">
        <v>953</v>
      </c>
      <c r="Y3" s="46" t="s">
        <v>953</v>
      </c>
      <c r="Z3" s="46" t="s">
        <v>953</v>
      </c>
      <c r="AA3" s="46" t="s">
        <v>953</v>
      </c>
      <c r="AB3" s="22" t="s">
        <v>953</v>
      </c>
      <c r="AC3" s="42" t="s">
        <v>986</v>
      </c>
      <c r="AD3" s="45" t="s">
        <v>988</v>
      </c>
      <c r="AE3" s="22" t="s">
        <v>944</v>
      </c>
      <c r="AF3" s="22" t="str" cm="1">
        <f t="array" ref="AF3:AF10">_xlfn.UNIQUE(AE3:AE91)</f>
        <v>Agriculture</v>
      </c>
      <c r="AG3" s="22" t="s">
        <v>953</v>
      </c>
      <c r="AH3" s="45" t="s">
        <v>949</v>
      </c>
      <c r="AI3" s="22" t="s">
        <v>956</v>
      </c>
      <c r="AJ3" s="22" t="str" cm="1">
        <f t="array" ref="AJ3:AJ8">_xlfn.UNIQUE(AI3:AI91)</f>
        <v>limited market</v>
      </c>
      <c r="AK3" s="22">
        <f>COUNTIF($AI$3:$AI$91,AJ3)</f>
        <v>18</v>
      </c>
      <c r="AL3" s="15" t="str" cm="1">
        <f t="array" ref="AL3:AL5">_xlfn.UNIQUE(R3:R91)</f>
        <v>Yes</v>
      </c>
      <c r="AM3" s="22">
        <f>COUNTIF($R$3:$R$91,AL3)</f>
        <v>79</v>
      </c>
      <c r="AN3" s="22" t="s">
        <v>970</v>
      </c>
      <c r="AO3" s="44" t="str" cm="1">
        <f t="array" ref="AO3:AO7">_xlfn.UNIQUE(AN3:AN91)</f>
        <v>Inadequate Development Funding</v>
      </c>
      <c r="AP3" s="44">
        <f>COUNTIF($AN$3:$AN$91,AO3)</f>
        <v>35</v>
      </c>
      <c r="AQ3" t="s">
        <v>1</v>
      </c>
      <c r="AR3" s="5">
        <v>66897</v>
      </c>
      <c r="AS3" s="2" t="s">
        <v>2</v>
      </c>
      <c r="AT3" s="3">
        <v>4</v>
      </c>
      <c r="AU3" s="3">
        <v>3</v>
      </c>
      <c r="AV3" s="3">
        <v>1</v>
      </c>
      <c r="AX3" t="s">
        <v>242</v>
      </c>
      <c r="AY3" s="37" t="s">
        <v>953</v>
      </c>
      <c r="AZ3" s="10"/>
      <c r="BA3" t="s">
        <v>245</v>
      </c>
    </row>
    <row r="4" spans="1:53" ht="17.399999999999999" x14ac:dyDescent="0.3">
      <c r="A4" s="6">
        <v>2</v>
      </c>
      <c r="B4" t="s">
        <v>3</v>
      </c>
      <c r="C4" t="s">
        <v>52</v>
      </c>
      <c r="D4" s="13" t="s">
        <v>782</v>
      </c>
      <c r="E4" s="13" t="s">
        <v>765</v>
      </c>
      <c r="F4" s="13" t="str">
        <v>भट्टराई</v>
      </c>
      <c r="G4" s="22">
        <f t="shared" ref="G4:G57" si="0">COUNTIF($E$3:$E$91,F4)</f>
        <v>1</v>
      </c>
      <c r="H4" s="22" t="s">
        <v>760</v>
      </c>
      <c r="I4" s="22">
        <f t="shared" ref="I4:I6" ca="1" si="1">SUMIF(H4:H58,H4,G4)</f>
        <v>28</v>
      </c>
      <c r="J4" s="22" t="s">
        <v>913</v>
      </c>
      <c r="K4" s="22"/>
      <c r="L4" s="22" t="s">
        <v>919</v>
      </c>
      <c r="M4" s="22">
        <f>COUNTIF(L4:L92,L4)</f>
        <v>35</v>
      </c>
      <c r="N4" s="22" t="s">
        <v>954</v>
      </c>
      <c r="O4" s="22" t="s">
        <v>953</v>
      </c>
      <c r="P4" s="22" t="s">
        <v>954</v>
      </c>
      <c r="Q4" s="4" t="s">
        <v>1000</v>
      </c>
      <c r="R4" s="22" t="s">
        <v>953</v>
      </c>
      <c r="S4" t="s">
        <v>332</v>
      </c>
      <c r="T4" s="15" t="s">
        <v>962</v>
      </c>
      <c r="U4" s="15" t="str">
        <v>Friends</v>
      </c>
      <c r="V4" s="22">
        <f t="shared" ref="V4:V7" si="2">COUNTIF($T$3:$T$91,U4)</f>
        <v>14</v>
      </c>
      <c r="W4" s="46" t="s">
        <v>953</v>
      </c>
      <c r="X4" s="46" t="s">
        <v>953</v>
      </c>
      <c r="Y4" s="46" t="s">
        <v>953</v>
      </c>
      <c r="Z4" s="46" t="s">
        <v>953</v>
      </c>
      <c r="AA4" s="46" t="s">
        <v>953</v>
      </c>
      <c r="AB4" s="22" t="s">
        <v>953</v>
      </c>
      <c r="AC4" s="42" t="s">
        <v>987</v>
      </c>
      <c r="AD4" s="45" t="s">
        <v>989</v>
      </c>
      <c r="AE4" s="22" t="s">
        <v>945</v>
      </c>
      <c r="AF4" s="22" t="str">
        <v>Business</v>
      </c>
      <c r="AG4" s="22" t="s">
        <v>954</v>
      </c>
      <c r="AH4" s="45" t="s">
        <v>945</v>
      </c>
      <c r="AI4" s="22" t="s">
        <v>956</v>
      </c>
      <c r="AJ4" s="22" t="str">
        <v>limited arable land</v>
      </c>
      <c r="AK4" s="22">
        <f t="shared" ref="AK4:AK8" si="3">COUNTIF($AI$3:$AI$91,AJ4)</f>
        <v>7</v>
      </c>
      <c r="AL4" s="22" t="str">
        <v>No</v>
      </c>
      <c r="AM4" s="22">
        <f>COUNTIF($R$3:$R$91,AL4)</f>
        <v>8</v>
      </c>
      <c r="AN4" s="22" t="s">
        <v>972</v>
      </c>
      <c r="AO4" s="44" t="str">
        <v>Inadequate Drinking water supply</v>
      </c>
      <c r="AP4" s="44">
        <f t="shared" ref="AP4:AP7" si="4">COUNTIF($AN$3:$AN$91,AO4)</f>
        <v>7</v>
      </c>
      <c r="AQ4" t="s">
        <v>4</v>
      </c>
      <c r="AR4" s="5">
        <v>66890</v>
      </c>
      <c r="AS4" s="2" t="s">
        <v>2</v>
      </c>
      <c r="AT4" s="2">
        <v>4</v>
      </c>
      <c r="AU4" s="2">
        <v>2</v>
      </c>
      <c r="AV4" s="2">
        <v>2</v>
      </c>
      <c r="AX4" t="s">
        <v>242</v>
      </c>
      <c r="AY4" s="37" t="s">
        <v>953</v>
      </c>
      <c r="AZ4" s="10"/>
    </row>
    <row r="5" spans="1:53" ht="17.399999999999999" x14ac:dyDescent="0.3">
      <c r="A5" s="6">
        <v>3</v>
      </c>
      <c r="B5" t="s">
        <v>5</v>
      </c>
      <c r="C5" t="s">
        <v>53</v>
      </c>
      <c r="D5" s="13" t="s">
        <v>783</v>
      </c>
      <c r="E5" s="13" t="s">
        <v>766</v>
      </c>
      <c r="F5" s="13" t="str">
        <v>प्याकुरेल</v>
      </c>
      <c r="G5" s="22">
        <f t="shared" si="0"/>
        <v>1</v>
      </c>
      <c r="H5" s="22" t="s">
        <v>760</v>
      </c>
      <c r="I5" s="22"/>
      <c r="J5" s="22" t="s">
        <v>913</v>
      </c>
      <c r="K5" s="22"/>
      <c r="L5" s="22" t="s">
        <v>918</v>
      </c>
      <c r="M5" s="22"/>
      <c r="N5" s="22" t="s">
        <v>954</v>
      </c>
      <c r="O5" s="22" t="s">
        <v>954</v>
      </c>
      <c r="P5" s="22" t="s">
        <v>953</v>
      </c>
      <c r="Q5" s="4" t="s">
        <v>1000</v>
      </c>
      <c r="R5" s="22" t="s">
        <v>953</v>
      </c>
      <c r="S5" t="s">
        <v>338</v>
      </c>
      <c r="T5" s="15" t="s">
        <v>964</v>
      </c>
      <c r="U5" s="15" t="str">
        <v>Employers/Neighbors</v>
      </c>
      <c r="V5" s="22">
        <f t="shared" si="2"/>
        <v>13</v>
      </c>
      <c r="W5" s="46" t="s">
        <v>953</v>
      </c>
      <c r="X5" s="46" t="s">
        <v>953</v>
      </c>
      <c r="Y5" s="46" t="s">
        <v>953</v>
      </c>
      <c r="Z5" s="46" t="s">
        <v>953</v>
      </c>
      <c r="AA5" s="46" t="s">
        <v>953</v>
      </c>
      <c r="AB5" s="22" t="s">
        <v>953</v>
      </c>
      <c r="AC5" s="42" t="s">
        <v>986</v>
      </c>
      <c r="AD5" s="42" t="s">
        <v>986</v>
      </c>
      <c r="AE5" s="22" t="s">
        <v>944</v>
      </c>
      <c r="AF5" s="22" t="str">
        <v>Other</v>
      </c>
      <c r="AG5" s="22" t="s">
        <v>954</v>
      </c>
      <c r="AH5" s="42" t="s">
        <v>944</v>
      </c>
      <c r="AI5" s="22" t="s">
        <v>957</v>
      </c>
      <c r="AJ5" s="22" t="str">
        <v>limited job opportunity</v>
      </c>
      <c r="AK5" s="22">
        <f t="shared" si="3"/>
        <v>24</v>
      </c>
      <c r="AL5" s="22" t="str">
        <v>Same as before</v>
      </c>
      <c r="AM5" s="22">
        <f>COUNTIF($R$3:$R$91,AL5)</f>
        <v>2</v>
      </c>
      <c r="AN5" s="22" t="s">
        <v>970</v>
      </c>
      <c r="AO5" s="44" t="str">
        <v>Lack of employment opportunity</v>
      </c>
      <c r="AP5" s="44">
        <f t="shared" si="4"/>
        <v>14</v>
      </c>
      <c r="AR5" s="5">
        <v>66876</v>
      </c>
      <c r="AS5" s="2" t="s">
        <v>2</v>
      </c>
      <c r="AT5" s="2">
        <v>5</v>
      </c>
      <c r="AU5" s="2">
        <v>3</v>
      </c>
      <c r="AV5" s="2">
        <v>2</v>
      </c>
      <c r="AX5" t="s">
        <v>242</v>
      </c>
      <c r="AY5" s="37" t="s">
        <v>953</v>
      </c>
      <c r="AZ5" s="10"/>
    </row>
    <row r="6" spans="1:53" ht="17.399999999999999" x14ac:dyDescent="0.3">
      <c r="A6" s="6">
        <v>4</v>
      </c>
      <c r="B6" t="s">
        <v>6</v>
      </c>
      <c r="C6" t="s">
        <v>54</v>
      </c>
      <c r="D6" s="13" t="s">
        <v>784</v>
      </c>
      <c r="E6" s="13" t="s">
        <v>767</v>
      </c>
      <c r="F6" s="13" t="str">
        <v>कामी</v>
      </c>
      <c r="G6" s="22">
        <f t="shared" si="0"/>
        <v>1</v>
      </c>
      <c r="H6" s="22" t="s">
        <v>761</v>
      </c>
      <c r="I6" s="22">
        <f t="shared" ca="1" si="1"/>
        <v>6</v>
      </c>
      <c r="J6" s="22" t="s">
        <v>915</v>
      </c>
      <c r="K6" s="22">
        <f ca="1">SUMIF(J6:J60,J6,I6)</f>
        <v>6</v>
      </c>
      <c r="L6" s="22" t="s">
        <v>920</v>
      </c>
      <c r="M6" s="22">
        <f>COUNTIF(L6:L94,L6)</f>
        <v>48</v>
      </c>
      <c r="N6" s="22" t="s">
        <v>954</v>
      </c>
      <c r="O6" s="22" t="s">
        <v>954</v>
      </c>
      <c r="P6" s="22" t="s">
        <v>953</v>
      </c>
      <c r="Q6" s="4" t="s">
        <v>1003</v>
      </c>
      <c r="R6" s="22" t="s">
        <v>953</v>
      </c>
      <c r="S6" t="s">
        <v>337</v>
      </c>
      <c r="T6" s="15" t="s">
        <v>962</v>
      </c>
      <c r="U6" s="15" t="str">
        <v>Himself/Herself</v>
      </c>
      <c r="V6" s="22">
        <f t="shared" si="2"/>
        <v>16</v>
      </c>
      <c r="W6" s="46" t="s">
        <v>953</v>
      </c>
      <c r="X6" s="46" t="s">
        <v>953</v>
      </c>
      <c r="Y6" s="46" t="s">
        <v>953</v>
      </c>
      <c r="Z6" s="46" t="s">
        <v>953</v>
      </c>
      <c r="AA6" s="46" t="s">
        <v>999</v>
      </c>
      <c r="AB6" s="22" t="s">
        <v>954</v>
      </c>
      <c r="AC6" s="42" t="s">
        <v>987</v>
      </c>
      <c r="AD6" s="42" t="s">
        <v>987</v>
      </c>
      <c r="AE6" s="22" t="s">
        <v>943</v>
      </c>
      <c r="AF6" s="22" t="str">
        <v>Foreign Employment</v>
      </c>
      <c r="AG6" s="22" t="s">
        <v>954</v>
      </c>
      <c r="AH6" s="42" t="s">
        <v>943</v>
      </c>
      <c r="AI6" s="22" t="s">
        <v>958</v>
      </c>
      <c r="AJ6" s="22" t="str">
        <v>limited infrastructure</v>
      </c>
      <c r="AK6" s="22">
        <f t="shared" si="3"/>
        <v>31</v>
      </c>
      <c r="AL6" s="22"/>
      <c r="AM6" s="22"/>
      <c r="AN6" s="22" t="s">
        <v>973</v>
      </c>
      <c r="AO6" s="44" t="str">
        <v>Insufficient health facilities</v>
      </c>
      <c r="AP6" s="44">
        <f t="shared" si="4"/>
        <v>17</v>
      </c>
      <c r="AR6" s="5">
        <v>66828</v>
      </c>
      <c r="AS6" s="2" t="s">
        <v>2</v>
      </c>
      <c r="AT6" s="2">
        <v>2</v>
      </c>
      <c r="AU6" s="2">
        <v>1</v>
      </c>
      <c r="AV6" s="2">
        <v>1</v>
      </c>
      <c r="AX6" t="s">
        <v>242</v>
      </c>
      <c r="AY6" s="37" t="s">
        <v>953</v>
      </c>
      <c r="AZ6" s="10"/>
    </row>
    <row r="7" spans="1:53" ht="17.399999999999999" x14ac:dyDescent="0.3">
      <c r="A7" s="6">
        <v>5</v>
      </c>
      <c r="B7" t="s">
        <v>7</v>
      </c>
      <c r="C7" t="s">
        <v>55</v>
      </c>
      <c r="D7" s="13" t="s">
        <v>785</v>
      </c>
      <c r="E7" s="13" t="s">
        <v>768</v>
      </c>
      <c r="F7" s="13" t="str">
        <v>रिसाल</v>
      </c>
      <c r="G7" s="22">
        <f t="shared" si="0"/>
        <v>1</v>
      </c>
      <c r="H7" s="22" t="s">
        <v>760</v>
      </c>
      <c r="I7" s="22"/>
      <c r="J7" s="22" t="s">
        <v>913</v>
      </c>
      <c r="K7" s="22"/>
      <c r="L7" s="22" t="s">
        <v>920</v>
      </c>
      <c r="M7" s="22"/>
      <c r="N7" s="22" t="s">
        <v>954</v>
      </c>
      <c r="O7" s="22" t="s">
        <v>954</v>
      </c>
      <c r="P7" s="22" t="s">
        <v>953</v>
      </c>
      <c r="Q7" s="4" t="s">
        <v>1000</v>
      </c>
      <c r="R7" s="22" t="s">
        <v>953</v>
      </c>
      <c r="S7" t="s">
        <v>336</v>
      </c>
      <c r="T7" s="15" t="s">
        <v>965</v>
      </c>
      <c r="U7" s="15" t="str">
        <v>Near Relatives</v>
      </c>
      <c r="V7" s="22">
        <f t="shared" si="2"/>
        <v>25</v>
      </c>
      <c r="W7" s="46" t="s">
        <v>999</v>
      </c>
      <c r="X7" s="46" t="s">
        <v>953</v>
      </c>
      <c r="Y7" s="46" t="s">
        <v>953</v>
      </c>
      <c r="Z7" s="46" t="s">
        <v>953</v>
      </c>
      <c r="AA7" s="46" t="s">
        <v>999</v>
      </c>
      <c r="AB7" s="22" t="s">
        <v>953</v>
      </c>
      <c r="AC7" s="42" t="s">
        <v>986</v>
      </c>
      <c r="AD7" s="45" t="s">
        <v>988</v>
      </c>
      <c r="AE7" s="22" t="s">
        <v>945</v>
      </c>
      <c r="AF7" s="22" t="str">
        <v>Private job</v>
      </c>
      <c r="AG7" s="22" t="s">
        <v>954</v>
      </c>
      <c r="AH7" s="45" t="s">
        <v>945</v>
      </c>
      <c r="AI7" s="22" t="s">
        <v>956</v>
      </c>
      <c r="AJ7" s="22" t="str">
        <v>Government job</v>
      </c>
      <c r="AK7" s="22">
        <f t="shared" si="3"/>
        <v>5</v>
      </c>
      <c r="AL7" s="22"/>
      <c r="AM7" s="22"/>
      <c r="AN7" s="22" t="s">
        <v>969</v>
      </c>
      <c r="AO7" s="44" t="str">
        <v xml:space="preserve"> Bad social environment</v>
      </c>
      <c r="AP7" s="44">
        <f t="shared" si="4"/>
        <v>16</v>
      </c>
      <c r="AR7" s="5">
        <v>66809</v>
      </c>
      <c r="AS7" s="2" t="s">
        <v>2</v>
      </c>
      <c r="AT7" s="2">
        <v>4</v>
      </c>
      <c r="AU7" s="2">
        <v>3</v>
      </c>
      <c r="AV7" s="2">
        <v>1</v>
      </c>
      <c r="AX7" t="s">
        <v>238</v>
      </c>
      <c r="AY7" s="37" t="s">
        <v>954</v>
      </c>
      <c r="AZ7" s="10" t="s">
        <v>977</v>
      </c>
      <c r="BA7" t="s">
        <v>245</v>
      </c>
    </row>
    <row r="8" spans="1:53" ht="17.399999999999999" x14ac:dyDescent="0.3">
      <c r="A8" s="6">
        <v>6</v>
      </c>
      <c r="B8" t="s">
        <v>8</v>
      </c>
      <c r="C8" s="1" t="s">
        <v>56</v>
      </c>
      <c r="D8" s="13" t="s">
        <v>786</v>
      </c>
      <c r="E8" s="13" t="s">
        <v>769</v>
      </c>
      <c r="F8" s="13" t="str">
        <v>दाहाल</v>
      </c>
      <c r="G8" s="22">
        <f t="shared" si="0"/>
        <v>2</v>
      </c>
      <c r="H8" s="22" t="s">
        <v>760</v>
      </c>
      <c r="I8" s="22"/>
      <c r="J8" s="22" t="s">
        <v>913</v>
      </c>
      <c r="K8" s="22"/>
      <c r="L8" s="22" t="s">
        <v>920</v>
      </c>
      <c r="M8" s="22"/>
      <c r="N8" s="22" t="s">
        <v>953</v>
      </c>
      <c r="O8" s="22" t="s">
        <v>953</v>
      </c>
      <c r="P8" s="22" t="s">
        <v>953</v>
      </c>
      <c r="Q8" s="4" t="s">
        <v>1003</v>
      </c>
      <c r="R8" s="22" t="s">
        <v>954</v>
      </c>
      <c r="S8" t="s">
        <v>341</v>
      </c>
      <c r="T8" s="15" t="s">
        <v>961</v>
      </c>
      <c r="U8" s="15"/>
      <c r="V8" s="42"/>
      <c r="W8" s="46" t="s">
        <v>953</v>
      </c>
      <c r="X8" s="46" t="s">
        <v>953</v>
      </c>
      <c r="Y8" s="46" t="s">
        <v>953</v>
      </c>
      <c r="Z8" s="46" t="s">
        <v>953</v>
      </c>
      <c r="AA8" s="46" t="s">
        <v>999</v>
      </c>
      <c r="AB8" s="22" t="s">
        <v>953</v>
      </c>
      <c r="AC8" s="42" t="s">
        <v>987</v>
      </c>
      <c r="AD8" s="42" t="s">
        <v>987</v>
      </c>
      <c r="AE8" s="22" t="s">
        <v>944</v>
      </c>
      <c r="AF8" s="42" t="str">
        <v>Government job</v>
      </c>
      <c r="AG8" s="22" t="s">
        <v>953</v>
      </c>
      <c r="AH8" s="42" t="s">
        <v>949</v>
      </c>
      <c r="AI8" s="22" t="s">
        <v>956</v>
      </c>
      <c r="AJ8" s="22" t="str">
        <v>victim of conflict</v>
      </c>
      <c r="AK8" s="22">
        <f t="shared" si="3"/>
        <v>4</v>
      </c>
      <c r="AL8" s="22"/>
      <c r="AM8" s="22"/>
      <c r="AN8" s="22" t="s">
        <v>970</v>
      </c>
      <c r="AO8" s="44"/>
      <c r="AP8" s="44"/>
      <c r="AR8" s="5">
        <v>66762</v>
      </c>
      <c r="AS8" s="2" t="s">
        <v>2</v>
      </c>
      <c r="AT8" s="2">
        <v>1</v>
      </c>
      <c r="AU8" s="2">
        <v>1</v>
      </c>
      <c r="AV8" s="2"/>
      <c r="AX8" t="s">
        <v>242</v>
      </c>
      <c r="AY8" s="37" t="s">
        <v>953</v>
      </c>
      <c r="AZ8" s="10"/>
    </row>
    <row r="9" spans="1:53" ht="17.399999999999999" x14ac:dyDescent="0.3">
      <c r="A9" s="6">
        <v>7</v>
      </c>
      <c r="B9" t="s">
        <v>9</v>
      </c>
      <c r="C9" t="s">
        <v>57</v>
      </c>
      <c r="D9" s="13" t="s">
        <v>787</v>
      </c>
      <c r="E9" s="13" t="s">
        <v>770</v>
      </c>
      <c r="F9" s="13" t="str">
        <v>परियार</v>
      </c>
      <c r="G9" s="22">
        <f t="shared" si="0"/>
        <v>2</v>
      </c>
      <c r="H9" s="22" t="s">
        <v>761</v>
      </c>
      <c r="I9" s="22"/>
      <c r="J9" s="22" t="s">
        <v>913</v>
      </c>
      <c r="K9" s="22"/>
      <c r="L9" s="22" t="s">
        <v>919</v>
      </c>
      <c r="M9" s="22"/>
      <c r="N9" s="22" t="s">
        <v>954</v>
      </c>
      <c r="O9" s="22" t="s">
        <v>953</v>
      </c>
      <c r="P9" s="22" t="s">
        <v>953</v>
      </c>
      <c r="Q9" s="4" t="s">
        <v>1001</v>
      </c>
      <c r="R9" s="22" t="s">
        <v>954</v>
      </c>
      <c r="S9" t="s">
        <v>340</v>
      </c>
      <c r="T9" s="15" t="s">
        <v>961</v>
      </c>
      <c r="U9" s="15"/>
      <c r="V9" s="42"/>
      <c r="W9" s="46" t="s">
        <v>999</v>
      </c>
      <c r="X9" s="46" t="s">
        <v>953</v>
      </c>
      <c r="Y9" s="46" t="s">
        <v>953</v>
      </c>
      <c r="Z9" s="46" t="s">
        <v>953</v>
      </c>
      <c r="AA9" s="46" t="s">
        <v>999</v>
      </c>
      <c r="AB9" s="22" t="s">
        <v>953</v>
      </c>
      <c r="AC9" s="42" t="s">
        <v>987</v>
      </c>
      <c r="AD9" s="42" t="s">
        <v>988</v>
      </c>
      <c r="AE9" s="22" t="s">
        <v>944</v>
      </c>
      <c r="AF9" s="42" t="str">
        <v>Study/Training</v>
      </c>
      <c r="AG9" s="22" t="s">
        <v>954</v>
      </c>
      <c r="AH9" s="42" t="s">
        <v>944</v>
      </c>
      <c r="AI9" s="22" t="s">
        <v>960</v>
      </c>
      <c r="AJ9" s="22"/>
      <c r="AK9" s="22"/>
      <c r="AL9" s="22"/>
      <c r="AM9" s="22"/>
      <c r="AN9" s="22" t="s">
        <v>970</v>
      </c>
      <c r="AO9" s="44"/>
      <c r="AP9" s="44"/>
      <c r="AR9" s="5">
        <v>66760</v>
      </c>
      <c r="AS9" s="2" t="s">
        <v>2</v>
      </c>
      <c r="AT9" s="2">
        <v>1</v>
      </c>
      <c r="AU9" s="2">
        <v>1</v>
      </c>
      <c r="AV9" s="2"/>
      <c r="AX9" t="s">
        <v>242</v>
      </c>
      <c r="AY9" s="37" t="s">
        <v>953</v>
      </c>
      <c r="AZ9" s="10"/>
    </row>
    <row r="10" spans="1:53" ht="17.399999999999999" x14ac:dyDescent="0.3">
      <c r="A10" s="6">
        <v>8</v>
      </c>
      <c r="B10" t="s">
        <v>10</v>
      </c>
      <c r="C10" t="s">
        <v>58</v>
      </c>
      <c r="D10" s="13" t="s">
        <v>788</v>
      </c>
      <c r="E10" s="13" t="s">
        <v>771</v>
      </c>
      <c r="F10" s="13" t="str">
        <v>अधिकारी</v>
      </c>
      <c r="G10" s="22">
        <f t="shared" si="0"/>
        <v>2</v>
      </c>
      <c r="H10" s="22" t="s">
        <v>760</v>
      </c>
      <c r="I10" s="22"/>
      <c r="J10" s="22" t="s">
        <v>913</v>
      </c>
      <c r="K10" s="22"/>
      <c r="L10" s="22" t="s">
        <v>919</v>
      </c>
      <c r="M10" s="22"/>
      <c r="N10" s="22" t="s">
        <v>954</v>
      </c>
      <c r="O10" s="22" t="s">
        <v>954</v>
      </c>
      <c r="P10" s="22" t="s">
        <v>953</v>
      </c>
      <c r="Q10" s="4" t="s">
        <v>1000</v>
      </c>
      <c r="R10" s="22" t="s">
        <v>953</v>
      </c>
      <c r="S10" t="s">
        <v>320</v>
      </c>
      <c r="T10" s="15" t="s">
        <v>962</v>
      </c>
      <c r="U10" s="15"/>
      <c r="V10" s="42"/>
      <c r="W10" s="46" t="s">
        <v>999</v>
      </c>
      <c r="X10" s="46" t="s">
        <v>953</v>
      </c>
      <c r="Y10" s="46" t="s">
        <v>953</v>
      </c>
      <c r="Z10" s="46" t="s">
        <v>953</v>
      </c>
      <c r="AA10" s="46" t="s">
        <v>999</v>
      </c>
      <c r="AB10" s="22" t="s">
        <v>953</v>
      </c>
      <c r="AC10" s="42" t="s">
        <v>987</v>
      </c>
      <c r="AD10" s="42" t="s">
        <v>989</v>
      </c>
      <c r="AE10" s="22" t="s">
        <v>945</v>
      </c>
      <c r="AF10" s="42" t="str">
        <v>Not stated</v>
      </c>
      <c r="AG10" s="22" t="s">
        <v>954</v>
      </c>
      <c r="AH10" s="42" t="s">
        <v>945</v>
      </c>
      <c r="AI10" s="22" t="s">
        <v>960</v>
      </c>
      <c r="AJ10" s="22"/>
      <c r="AK10" s="22"/>
      <c r="AL10" s="22"/>
      <c r="AM10" s="22"/>
      <c r="AN10" s="22" t="s">
        <v>970</v>
      </c>
      <c r="AO10" s="44"/>
      <c r="AP10" s="44"/>
      <c r="AR10" s="5">
        <v>66711</v>
      </c>
      <c r="AS10" s="2" t="s">
        <v>2</v>
      </c>
      <c r="AT10" s="2">
        <v>4</v>
      </c>
      <c r="AU10" s="2">
        <v>2</v>
      </c>
      <c r="AV10" s="2">
        <v>2</v>
      </c>
      <c r="AX10" t="s">
        <v>238</v>
      </c>
      <c r="AY10" s="37" t="s">
        <v>954</v>
      </c>
      <c r="AZ10" s="10" t="s">
        <v>977</v>
      </c>
    </row>
    <row r="11" spans="1:53" ht="17.399999999999999" x14ac:dyDescent="0.3">
      <c r="A11" s="6">
        <v>9</v>
      </c>
      <c r="B11" t="s">
        <v>11</v>
      </c>
      <c r="C11" t="s">
        <v>59</v>
      </c>
      <c r="D11" s="13" t="s">
        <v>789</v>
      </c>
      <c r="E11" s="13" t="s">
        <v>772</v>
      </c>
      <c r="F11" s="13" t="str">
        <v>घिमिरे</v>
      </c>
      <c r="G11" s="22">
        <f t="shared" si="0"/>
        <v>2</v>
      </c>
      <c r="H11" s="22" t="s">
        <v>760</v>
      </c>
      <c r="I11" s="22"/>
      <c r="J11" s="22" t="s">
        <v>913</v>
      </c>
      <c r="K11" s="22"/>
      <c r="L11" s="22" t="s">
        <v>920</v>
      </c>
      <c r="M11" s="22"/>
      <c r="N11" s="22" t="s">
        <v>954</v>
      </c>
      <c r="O11" s="22" t="s">
        <v>954</v>
      </c>
      <c r="P11" s="22" t="s">
        <v>953</v>
      </c>
      <c r="Q11" s="4" t="s">
        <v>1000</v>
      </c>
      <c r="R11" s="22" t="s">
        <v>953</v>
      </c>
      <c r="S11" t="s">
        <v>303</v>
      </c>
      <c r="T11" s="15" t="s">
        <v>962</v>
      </c>
      <c r="U11" s="15"/>
      <c r="V11" s="42"/>
      <c r="W11" s="46" t="s">
        <v>953</v>
      </c>
      <c r="X11" s="46" t="s">
        <v>953</v>
      </c>
      <c r="Y11" s="46" t="s">
        <v>953</v>
      </c>
      <c r="Z11" s="46" t="s">
        <v>953</v>
      </c>
      <c r="AA11" s="46" t="s">
        <v>953</v>
      </c>
      <c r="AB11" s="22" t="s">
        <v>953</v>
      </c>
      <c r="AC11" s="42" t="s">
        <v>987</v>
      </c>
      <c r="AD11" s="42" t="s">
        <v>988</v>
      </c>
      <c r="AE11" s="22" t="s">
        <v>944</v>
      </c>
      <c r="AF11" s="42"/>
      <c r="AG11" s="22" t="s">
        <v>953</v>
      </c>
      <c r="AH11" s="42" t="s">
        <v>945</v>
      </c>
      <c r="AI11" s="22" t="s">
        <v>960</v>
      </c>
      <c r="AJ11" s="22"/>
      <c r="AK11" s="22"/>
      <c r="AL11" s="22"/>
      <c r="AM11" s="22"/>
      <c r="AN11" s="22" t="s">
        <v>969</v>
      </c>
      <c r="AO11" s="44"/>
      <c r="AP11" s="44"/>
      <c r="AR11" s="5">
        <v>66689</v>
      </c>
      <c r="AS11" s="2" t="s">
        <v>2</v>
      </c>
      <c r="AT11" s="2">
        <v>4</v>
      </c>
      <c r="AU11" s="2">
        <v>2</v>
      </c>
      <c r="AV11" s="2">
        <v>2</v>
      </c>
      <c r="AX11" t="s">
        <v>242</v>
      </c>
      <c r="AY11" s="37" t="s">
        <v>953</v>
      </c>
      <c r="AZ11" s="10"/>
      <c r="BA11" t="s">
        <v>245</v>
      </c>
    </row>
    <row r="12" spans="1:53" ht="17.399999999999999" x14ac:dyDescent="0.3">
      <c r="A12" s="6">
        <v>10</v>
      </c>
      <c r="B12" t="s">
        <v>12</v>
      </c>
      <c r="C12" t="s">
        <v>60</v>
      </c>
      <c r="D12" s="13" t="s">
        <v>790</v>
      </c>
      <c r="E12" s="13" t="s">
        <v>773</v>
      </c>
      <c r="F12" s="13" t="str">
        <v>विष्ट</v>
      </c>
      <c r="G12" s="22">
        <f t="shared" si="0"/>
        <v>1</v>
      </c>
      <c r="H12" s="22" t="s">
        <v>750</v>
      </c>
      <c r="I12" s="22"/>
      <c r="J12" s="22" t="s">
        <v>915</v>
      </c>
      <c r="K12" s="22"/>
      <c r="L12" s="22" t="s">
        <v>920</v>
      </c>
      <c r="M12" s="22"/>
      <c r="N12" s="22" t="s">
        <v>953</v>
      </c>
      <c r="O12" s="22" t="s">
        <v>954</v>
      </c>
      <c r="P12" s="22" t="s">
        <v>953</v>
      </c>
      <c r="Q12" s="4" t="s">
        <v>1000</v>
      </c>
      <c r="R12" s="22" t="s">
        <v>953</v>
      </c>
      <c r="S12" t="s">
        <v>287</v>
      </c>
      <c r="T12" s="15" t="s">
        <v>961</v>
      </c>
      <c r="U12" s="15"/>
      <c r="V12" s="42"/>
      <c r="W12" s="46" t="s">
        <v>999</v>
      </c>
      <c r="X12" s="46" t="s">
        <v>953</v>
      </c>
      <c r="Y12" s="46" t="s">
        <v>999</v>
      </c>
      <c r="Z12" s="46" t="s">
        <v>953</v>
      </c>
      <c r="AA12" s="46" t="s">
        <v>999</v>
      </c>
      <c r="AB12" s="22" t="s">
        <v>954</v>
      </c>
      <c r="AC12" s="42" t="s">
        <v>989</v>
      </c>
      <c r="AD12" s="42" t="s">
        <v>989</v>
      </c>
      <c r="AE12" s="22" t="s">
        <v>951</v>
      </c>
      <c r="AF12" s="42"/>
      <c r="AG12" s="22" t="s">
        <v>954</v>
      </c>
      <c r="AH12" s="42" t="s">
        <v>951</v>
      </c>
      <c r="AI12" s="22" t="s">
        <v>960</v>
      </c>
      <c r="AJ12" s="22"/>
      <c r="AK12" s="22"/>
      <c r="AL12" s="22"/>
      <c r="AM12" s="22"/>
      <c r="AN12" s="22" t="s">
        <v>970</v>
      </c>
      <c r="AO12" s="44"/>
      <c r="AP12" s="44"/>
      <c r="AR12" s="5">
        <v>66687</v>
      </c>
      <c r="AS12" s="2" t="s">
        <v>2</v>
      </c>
      <c r="AT12" s="2">
        <v>4</v>
      </c>
      <c r="AU12" s="24">
        <v>2</v>
      </c>
      <c r="AV12" s="24">
        <v>2</v>
      </c>
      <c r="AX12" t="s">
        <v>242</v>
      </c>
      <c r="AY12" s="37" t="s">
        <v>953</v>
      </c>
      <c r="AZ12" s="10"/>
    </row>
    <row r="13" spans="1:53" ht="17.399999999999999" x14ac:dyDescent="0.3">
      <c r="A13" s="6">
        <v>11</v>
      </c>
      <c r="B13" t="s">
        <v>13</v>
      </c>
      <c r="C13" t="s">
        <v>61</v>
      </c>
      <c r="D13" s="13" t="s">
        <v>791</v>
      </c>
      <c r="E13" s="13" t="s">
        <v>770</v>
      </c>
      <c r="F13" s="13" t="str">
        <v>खत्री</v>
      </c>
      <c r="G13" s="22">
        <f t="shared" si="0"/>
        <v>4</v>
      </c>
      <c r="H13" s="22" t="s">
        <v>750</v>
      </c>
      <c r="I13" s="22"/>
      <c r="J13" s="22" t="s">
        <v>913</v>
      </c>
      <c r="K13" s="22"/>
      <c r="L13" s="22" t="s">
        <v>919</v>
      </c>
      <c r="M13" s="22"/>
      <c r="N13" s="22" t="s">
        <v>954</v>
      </c>
      <c r="O13" s="22" t="s">
        <v>953</v>
      </c>
      <c r="P13" s="22" t="s">
        <v>954</v>
      </c>
      <c r="Q13" s="4" t="s">
        <v>1000</v>
      </c>
      <c r="R13" s="22" t="s">
        <v>953</v>
      </c>
      <c r="S13" t="s">
        <v>272</v>
      </c>
      <c r="T13" s="15" t="s">
        <v>963</v>
      </c>
      <c r="U13" s="15"/>
      <c r="V13" s="42"/>
      <c r="W13" s="46" t="s">
        <v>953</v>
      </c>
      <c r="X13" s="46" t="s">
        <v>953</v>
      </c>
      <c r="Y13" s="46" t="s">
        <v>953</v>
      </c>
      <c r="Z13" s="46" t="s">
        <v>953</v>
      </c>
      <c r="AA13" s="46" t="s">
        <v>999</v>
      </c>
      <c r="AB13" s="22" t="s">
        <v>954</v>
      </c>
      <c r="AC13" s="42" t="s">
        <v>988</v>
      </c>
      <c r="AD13" s="42" t="s">
        <v>988</v>
      </c>
      <c r="AE13" s="22" t="s">
        <v>943</v>
      </c>
      <c r="AF13" s="42"/>
      <c r="AG13" s="22" t="s">
        <v>954</v>
      </c>
      <c r="AH13" s="42" t="s">
        <v>943</v>
      </c>
      <c r="AI13" s="22" t="s">
        <v>958</v>
      </c>
      <c r="AJ13" s="22"/>
      <c r="AK13" s="22"/>
      <c r="AL13" s="22"/>
      <c r="AM13" s="22"/>
      <c r="AN13" s="22" t="s">
        <v>969</v>
      </c>
      <c r="AO13" s="44"/>
      <c r="AP13" s="44"/>
      <c r="AR13" s="5">
        <v>66674</v>
      </c>
      <c r="AS13" s="2" t="s">
        <v>2</v>
      </c>
      <c r="AT13" s="2">
        <v>8</v>
      </c>
      <c r="AU13" s="2">
        <v>4</v>
      </c>
      <c r="AV13" s="2">
        <v>4</v>
      </c>
      <c r="AX13" t="s">
        <v>242</v>
      </c>
      <c r="AY13" s="37" t="s">
        <v>953</v>
      </c>
      <c r="AZ13" s="10"/>
    </row>
    <row r="14" spans="1:53" ht="17.399999999999999" x14ac:dyDescent="0.3">
      <c r="A14" s="6">
        <v>12</v>
      </c>
      <c r="B14" t="s">
        <v>14</v>
      </c>
      <c r="C14" t="s">
        <v>62</v>
      </c>
      <c r="D14" s="13" t="s">
        <v>792</v>
      </c>
      <c r="E14" s="13" t="s">
        <v>774</v>
      </c>
      <c r="F14" s="13" t="str">
        <v>लामा</v>
      </c>
      <c r="G14" s="22">
        <f t="shared" si="0"/>
        <v>2</v>
      </c>
      <c r="H14" s="22" t="s">
        <v>762</v>
      </c>
      <c r="I14" s="22">
        <f t="shared" ref="I14" ca="1" si="5">SUMIF(H14:H68,H14,G14)</f>
        <v>23</v>
      </c>
      <c r="J14" s="22" t="s">
        <v>914</v>
      </c>
      <c r="K14" s="22">
        <f ca="1">SUMIF(J14:J68,J14,I14)</f>
        <v>23</v>
      </c>
      <c r="L14" s="22" t="s">
        <v>920</v>
      </c>
      <c r="M14" s="22"/>
      <c r="N14" s="22" t="s">
        <v>954</v>
      </c>
      <c r="O14" s="22" t="s">
        <v>953</v>
      </c>
      <c r="P14" s="22" t="s">
        <v>954</v>
      </c>
      <c r="Q14" s="4" t="s">
        <v>1000</v>
      </c>
      <c r="R14" s="22" t="s">
        <v>953</v>
      </c>
      <c r="S14" t="s">
        <v>319</v>
      </c>
      <c r="T14" s="15" t="s">
        <v>961</v>
      </c>
      <c r="U14" s="15"/>
      <c r="V14" s="42"/>
      <c r="W14" s="46" t="s">
        <v>953</v>
      </c>
      <c r="X14" s="46" t="s">
        <v>953</v>
      </c>
      <c r="Y14" s="46" t="s">
        <v>953</v>
      </c>
      <c r="Z14" s="46" t="s">
        <v>953</v>
      </c>
      <c r="AA14" s="46" t="s">
        <v>953</v>
      </c>
      <c r="AB14" s="22" t="s">
        <v>953</v>
      </c>
      <c r="AC14" s="45" t="s">
        <v>988</v>
      </c>
      <c r="AD14" s="42" t="s">
        <v>989</v>
      </c>
      <c r="AE14" s="22" t="s">
        <v>945</v>
      </c>
      <c r="AF14" s="42"/>
      <c r="AG14" s="22" t="s">
        <v>954</v>
      </c>
      <c r="AH14" s="42" t="s">
        <v>945</v>
      </c>
      <c r="AI14" s="22" t="s">
        <v>956</v>
      </c>
      <c r="AJ14" s="22"/>
      <c r="AK14" s="22"/>
      <c r="AL14" s="22"/>
      <c r="AM14" s="22"/>
      <c r="AN14" s="22" t="s">
        <v>970</v>
      </c>
      <c r="AO14" s="44"/>
      <c r="AP14" s="44"/>
      <c r="AR14" s="5">
        <v>66668</v>
      </c>
      <c r="AS14" s="2" t="s">
        <v>2</v>
      </c>
      <c r="AT14" s="2">
        <v>1</v>
      </c>
      <c r="AU14" s="2">
        <v>1</v>
      </c>
      <c r="AV14" s="2"/>
      <c r="AX14" t="s">
        <v>242</v>
      </c>
      <c r="AY14" s="37" t="s">
        <v>953</v>
      </c>
      <c r="AZ14" s="10"/>
    </row>
    <row r="15" spans="1:53" ht="17.399999999999999" x14ac:dyDescent="0.3">
      <c r="A15" s="6">
        <v>13</v>
      </c>
      <c r="B15" t="s">
        <v>15</v>
      </c>
      <c r="C15" t="s">
        <v>63</v>
      </c>
      <c r="D15" s="13" t="s">
        <v>793</v>
      </c>
      <c r="E15" s="13" t="s">
        <v>775</v>
      </c>
      <c r="F15" s="13" t="str">
        <v>महत</v>
      </c>
      <c r="G15" s="22">
        <f t="shared" si="0"/>
        <v>1</v>
      </c>
      <c r="H15" s="22" t="s">
        <v>750</v>
      </c>
      <c r="I15" s="22"/>
      <c r="J15" s="22" t="s">
        <v>913</v>
      </c>
      <c r="K15" s="22"/>
      <c r="L15" s="22" t="s">
        <v>920</v>
      </c>
      <c r="M15" s="22"/>
      <c r="N15" s="22" t="s">
        <v>954</v>
      </c>
      <c r="O15" s="22" t="s">
        <v>954</v>
      </c>
      <c r="P15" s="22" t="s">
        <v>954</v>
      </c>
      <c r="Q15" s="4" t="s">
        <v>1001</v>
      </c>
      <c r="R15" s="22" t="s">
        <v>954</v>
      </c>
      <c r="S15" t="s">
        <v>327</v>
      </c>
      <c r="T15" s="15" t="s">
        <v>965</v>
      </c>
      <c r="U15" s="15"/>
      <c r="V15" s="42"/>
      <c r="W15" s="46" t="s">
        <v>953</v>
      </c>
      <c r="X15" s="46" t="s">
        <v>953</v>
      </c>
      <c r="Y15" s="46" t="s">
        <v>953</v>
      </c>
      <c r="Z15" s="46" t="s">
        <v>953</v>
      </c>
      <c r="AA15" s="46" t="s">
        <v>999</v>
      </c>
      <c r="AB15" s="22" t="s">
        <v>953</v>
      </c>
      <c r="AC15" s="42" t="s">
        <v>986</v>
      </c>
      <c r="AD15" s="42" t="s">
        <v>986</v>
      </c>
      <c r="AE15" s="22" t="s">
        <v>943</v>
      </c>
      <c r="AF15" s="42"/>
      <c r="AG15" s="22" t="s">
        <v>954</v>
      </c>
      <c r="AH15" s="42" t="s">
        <v>943</v>
      </c>
      <c r="AI15" s="22" t="s">
        <v>958</v>
      </c>
      <c r="AJ15" s="22"/>
      <c r="AK15" s="22"/>
      <c r="AL15" s="22"/>
      <c r="AM15" s="22"/>
      <c r="AN15" s="22" t="s">
        <v>973</v>
      </c>
      <c r="AO15" s="44"/>
      <c r="AP15" s="44"/>
      <c r="AR15" s="5">
        <v>66618</v>
      </c>
      <c r="AS15" s="2" t="s">
        <v>2</v>
      </c>
      <c r="AT15" s="2">
        <v>4</v>
      </c>
      <c r="AU15" s="2">
        <v>3</v>
      </c>
      <c r="AV15" s="2">
        <v>1</v>
      </c>
      <c r="AX15" t="s">
        <v>242</v>
      </c>
      <c r="AY15" s="37" t="s">
        <v>953</v>
      </c>
      <c r="AZ15" s="10"/>
    </row>
    <row r="16" spans="1:53" ht="17.399999999999999" x14ac:dyDescent="0.3">
      <c r="A16" s="6">
        <v>14</v>
      </c>
      <c r="B16" t="s">
        <v>16</v>
      </c>
      <c r="C16" t="s">
        <v>64</v>
      </c>
      <c r="D16" s="13" t="s">
        <v>794</v>
      </c>
      <c r="E16" s="13" t="s">
        <v>764</v>
      </c>
      <c r="F16" s="13" t="str">
        <v>बस्नेत</v>
      </c>
      <c r="G16" s="22">
        <f t="shared" si="0"/>
        <v>2</v>
      </c>
      <c r="H16" s="22" t="s">
        <v>750</v>
      </c>
      <c r="I16" s="22"/>
      <c r="J16" s="22" t="s">
        <v>913</v>
      </c>
      <c r="K16" s="22"/>
      <c r="L16" s="22" t="s">
        <v>919</v>
      </c>
      <c r="M16" s="22"/>
      <c r="N16" s="22" t="s">
        <v>954</v>
      </c>
      <c r="O16" s="22" t="s">
        <v>954</v>
      </c>
      <c r="P16" s="22" t="s">
        <v>953</v>
      </c>
      <c r="Q16" s="4" t="s">
        <v>1000</v>
      </c>
      <c r="R16" s="22" t="s">
        <v>953</v>
      </c>
      <c r="S16" t="s">
        <v>312</v>
      </c>
      <c r="T16" s="15" t="s">
        <v>962</v>
      </c>
      <c r="U16" s="15"/>
      <c r="V16" s="42"/>
      <c r="W16" s="46" t="s">
        <v>999</v>
      </c>
      <c r="X16" s="46" t="s">
        <v>953</v>
      </c>
      <c r="Y16" s="46" t="s">
        <v>953</v>
      </c>
      <c r="Z16" s="46" t="s">
        <v>953</v>
      </c>
      <c r="AA16" s="46" t="s">
        <v>999</v>
      </c>
      <c r="AB16" s="22" t="s">
        <v>953</v>
      </c>
      <c r="AC16" s="42" t="s">
        <v>987</v>
      </c>
      <c r="AD16" s="42" t="s">
        <v>987</v>
      </c>
      <c r="AE16" s="22" t="s">
        <v>944</v>
      </c>
      <c r="AF16" s="42"/>
      <c r="AG16" s="22" t="s">
        <v>954</v>
      </c>
      <c r="AH16" s="42" t="s">
        <v>944</v>
      </c>
      <c r="AI16" s="22" t="s">
        <v>958</v>
      </c>
      <c r="AJ16" s="22"/>
      <c r="AK16" s="22"/>
      <c r="AL16" s="22"/>
      <c r="AM16" s="22"/>
      <c r="AN16" s="22" t="s">
        <v>970</v>
      </c>
      <c r="AO16" s="44"/>
      <c r="AP16" s="44"/>
      <c r="AR16" s="5">
        <v>66605</v>
      </c>
      <c r="AS16" s="2" t="s">
        <v>2</v>
      </c>
      <c r="AT16" s="2">
        <v>3</v>
      </c>
      <c r="AU16" s="2">
        <v>2</v>
      </c>
      <c r="AV16" s="2">
        <v>1</v>
      </c>
      <c r="AX16" t="s">
        <v>242</v>
      </c>
      <c r="AY16" s="37" t="s">
        <v>953</v>
      </c>
      <c r="AZ16" s="10"/>
      <c r="BA16" t="s">
        <v>245</v>
      </c>
    </row>
    <row r="17" spans="1:53" ht="17.399999999999999" x14ac:dyDescent="0.3">
      <c r="A17" s="6">
        <v>15</v>
      </c>
      <c r="B17" t="s">
        <v>17</v>
      </c>
      <c r="C17" t="s">
        <v>65</v>
      </c>
      <c r="D17" s="13" t="s">
        <v>795</v>
      </c>
      <c r="E17" s="13" t="s">
        <v>776</v>
      </c>
      <c r="F17" s="13" t="str">
        <v>ढकाल</v>
      </c>
      <c r="G17" s="22">
        <f t="shared" si="0"/>
        <v>1</v>
      </c>
      <c r="H17" s="22" t="s">
        <v>760</v>
      </c>
      <c r="I17" s="22"/>
      <c r="J17" s="22" t="s">
        <v>913</v>
      </c>
      <c r="K17" s="22"/>
      <c r="L17" s="22" t="s">
        <v>919</v>
      </c>
      <c r="M17" s="22"/>
      <c r="N17" s="22" t="s">
        <v>954</v>
      </c>
      <c r="O17" s="22" t="s">
        <v>954</v>
      </c>
      <c r="P17" s="22" t="s">
        <v>953</v>
      </c>
      <c r="Q17" s="4" t="s">
        <v>1000</v>
      </c>
      <c r="R17" s="22" t="s">
        <v>953</v>
      </c>
      <c r="S17" t="s">
        <v>285</v>
      </c>
      <c r="T17" s="15" t="s">
        <v>962</v>
      </c>
      <c r="U17" s="15"/>
      <c r="V17" s="42"/>
      <c r="W17" s="46" t="s">
        <v>953</v>
      </c>
      <c r="X17" s="46" t="s">
        <v>953</v>
      </c>
      <c r="Y17" s="46" t="s">
        <v>953</v>
      </c>
      <c r="Z17" s="46" t="s">
        <v>953</v>
      </c>
      <c r="AA17" s="46" t="s">
        <v>999</v>
      </c>
      <c r="AB17" s="22" t="s">
        <v>953</v>
      </c>
      <c r="AC17" s="42" t="s">
        <v>987</v>
      </c>
      <c r="AD17" s="42" t="s">
        <v>987</v>
      </c>
      <c r="AE17" s="22" t="s">
        <v>949</v>
      </c>
      <c r="AF17" s="42"/>
      <c r="AG17" s="22" t="s">
        <v>953</v>
      </c>
      <c r="AH17" s="42" t="s">
        <v>944</v>
      </c>
      <c r="AI17" s="22" t="s">
        <v>960</v>
      </c>
      <c r="AJ17" s="22"/>
      <c r="AK17" s="22"/>
      <c r="AL17" s="22"/>
      <c r="AM17" s="22"/>
      <c r="AN17" s="22" t="s">
        <v>975</v>
      </c>
      <c r="AO17" s="44"/>
      <c r="AP17" s="44"/>
      <c r="AR17" s="5">
        <v>66605</v>
      </c>
      <c r="AS17" s="2" t="s">
        <v>2</v>
      </c>
      <c r="AT17" s="2">
        <v>4</v>
      </c>
      <c r="AU17" s="2">
        <v>2</v>
      </c>
      <c r="AV17" s="2">
        <v>2</v>
      </c>
      <c r="AX17" t="s">
        <v>242</v>
      </c>
      <c r="AY17" s="37" t="s">
        <v>953</v>
      </c>
      <c r="AZ17" s="10"/>
    </row>
    <row r="18" spans="1:53" ht="17.399999999999999" x14ac:dyDescent="0.3">
      <c r="A18" s="6">
        <v>16</v>
      </c>
      <c r="B18" t="s">
        <v>19</v>
      </c>
      <c r="C18" t="s">
        <v>66</v>
      </c>
      <c r="D18" s="13" t="s">
        <v>796</v>
      </c>
      <c r="E18" s="13" t="s">
        <v>777</v>
      </c>
      <c r="F18" s="13" t="str">
        <v>खतिवडा</v>
      </c>
      <c r="G18" s="22">
        <f t="shared" si="0"/>
        <v>2</v>
      </c>
      <c r="H18" s="22" t="s">
        <v>760</v>
      </c>
      <c r="I18" s="22"/>
      <c r="J18" s="22" t="s">
        <v>913</v>
      </c>
      <c r="K18" s="22"/>
      <c r="L18" s="22" t="s">
        <v>919</v>
      </c>
      <c r="M18" s="22"/>
      <c r="N18" s="22" t="s">
        <v>954</v>
      </c>
      <c r="O18" s="22" t="s">
        <v>954</v>
      </c>
      <c r="P18" s="22" t="s">
        <v>953</v>
      </c>
      <c r="Q18" s="4" t="s">
        <v>1000</v>
      </c>
      <c r="R18" s="22" t="s">
        <v>953</v>
      </c>
      <c r="S18" t="s">
        <v>275</v>
      </c>
      <c r="T18" s="15" t="s">
        <v>963</v>
      </c>
      <c r="U18" s="15"/>
      <c r="V18" s="42"/>
      <c r="W18" s="46" t="s">
        <v>999</v>
      </c>
      <c r="X18" s="46" t="s">
        <v>953</v>
      </c>
      <c r="Y18" s="46" t="s">
        <v>953</v>
      </c>
      <c r="Z18" s="46" t="s">
        <v>953</v>
      </c>
      <c r="AA18" s="46" t="s">
        <v>999</v>
      </c>
      <c r="AB18" s="22" t="s">
        <v>953</v>
      </c>
      <c r="AC18" s="42" t="s">
        <v>986</v>
      </c>
      <c r="AD18" s="42" t="s">
        <v>986</v>
      </c>
      <c r="AE18" s="22" t="s">
        <v>944</v>
      </c>
      <c r="AF18" s="42"/>
      <c r="AG18" s="22" t="s">
        <v>954</v>
      </c>
      <c r="AH18" s="42" t="s">
        <v>944</v>
      </c>
      <c r="AI18" s="22" t="s">
        <v>960</v>
      </c>
      <c r="AJ18" s="22"/>
      <c r="AK18" s="22"/>
      <c r="AL18" s="22"/>
      <c r="AM18" s="22"/>
      <c r="AN18" s="22" t="s">
        <v>975</v>
      </c>
      <c r="AO18" s="44"/>
      <c r="AP18" s="44"/>
      <c r="AR18" s="5">
        <v>66594</v>
      </c>
      <c r="AS18" s="2" t="s">
        <v>2</v>
      </c>
      <c r="AT18" s="2">
        <v>3</v>
      </c>
      <c r="AU18" s="2">
        <v>1</v>
      </c>
      <c r="AV18" s="2">
        <v>2</v>
      </c>
      <c r="AX18" t="s">
        <v>242</v>
      </c>
      <c r="AY18" s="37" t="s">
        <v>953</v>
      </c>
      <c r="AZ18" s="10"/>
      <c r="BA18" t="s">
        <v>245</v>
      </c>
    </row>
    <row r="19" spans="1:53" ht="17.399999999999999" x14ac:dyDescent="0.3">
      <c r="A19" s="6">
        <v>17</v>
      </c>
      <c r="B19" t="s">
        <v>18</v>
      </c>
      <c r="C19" t="s">
        <v>67</v>
      </c>
      <c r="D19" s="13" t="s">
        <v>797</v>
      </c>
      <c r="E19" s="13" t="s">
        <v>778</v>
      </c>
      <c r="F19" s="13" t="str">
        <v>बास्कोटा</v>
      </c>
      <c r="G19" s="22">
        <f t="shared" si="0"/>
        <v>1</v>
      </c>
      <c r="H19" s="22" t="s">
        <v>760</v>
      </c>
      <c r="I19" s="22"/>
      <c r="J19" s="22" t="s">
        <v>913</v>
      </c>
      <c r="K19" s="22"/>
      <c r="L19" s="22" t="s">
        <v>920</v>
      </c>
      <c r="M19" s="22"/>
      <c r="N19" s="22" t="s">
        <v>954</v>
      </c>
      <c r="O19" s="22" t="s">
        <v>954</v>
      </c>
      <c r="P19" s="22" t="s">
        <v>953</v>
      </c>
      <c r="Q19" s="4" t="s">
        <v>1000</v>
      </c>
      <c r="R19" s="22" t="s">
        <v>953</v>
      </c>
      <c r="S19" t="s">
        <v>333</v>
      </c>
      <c r="T19" s="15" t="s">
        <v>961</v>
      </c>
      <c r="U19" s="15"/>
      <c r="V19" s="42"/>
      <c r="W19" s="46" t="s">
        <v>953</v>
      </c>
      <c r="X19" s="46" t="s">
        <v>953</v>
      </c>
      <c r="Y19" s="46" t="s">
        <v>953</v>
      </c>
      <c r="Z19" s="46" t="s">
        <v>953</v>
      </c>
      <c r="AA19" s="46" t="s">
        <v>953</v>
      </c>
      <c r="AB19" s="22" t="s">
        <v>953</v>
      </c>
      <c r="AC19" s="42" t="s">
        <v>987</v>
      </c>
      <c r="AD19" s="42" t="s">
        <v>987</v>
      </c>
      <c r="AE19" s="22" t="s">
        <v>944</v>
      </c>
      <c r="AF19" s="42"/>
      <c r="AG19" s="22" t="s">
        <v>954</v>
      </c>
      <c r="AH19" s="42" t="s">
        <v>944</v>
      </c>
      <c r="AI19" s="22" t="s">
        <v>957</v>
      </c>
      <c r="AJ19" s="22"/>
      <c r="AK19" s="22"/>
      <c r="AL19" s="22"/>
      <c r="AM19" s="22"/>
      <c r="AN19" s="22" t="s">
        <v>970</v>
      </c>
      <c r="AO19" s="44"/>
      <c r="AP19" s="44"/>
      <c r="AR19" s="5">
        <v>66589</v>
      </c>
      <c r="AS19" s="2" t="s">
        <v>2</v>
      </c>
      <c r="AT19" s="2">
        <v>6</v>
      </c>
      <c r="AU19" s="2">
        <v>2</v>
      </c>
      <c r="AV19" s="2">
        <v>4</v>
      </c>
      <c r="AX19" t="s">
        <v>242</v>
      </c>
      <c r="AY19" s="37" t="s">
        <v>953</v>
      </c>
      <c r="AZ19" s="10"/>
    </row>
    <row r="20" spans="1:53" ht="17.399999999999999" x14ac:dyDescent="0.3">
      <c r="A20" s="6">
        <v>18</v>
      </c>
      <c r="B20" t="s">
        <v>20</v>
      </c>
      <c r="C20" t="s">
        <v>68</v>
      </c>
      <c r="D20" s="13" t="s">
        <v>798</v>
      </c>
      <c r="E20" s="13" t="s">
        <v>779</v>
      </c>
      <c r="F20" s="13" t="str">
        <v>वलम्पाकी</v>
      </c>
      <c r="G20" s="22">
        <f t="shared" si="0"/>
        <v>1</v>
      </c>
      <c r="H20" s="22" t="s">
        <v>762</v>
      </c>
      <c r="I20" s="22"/>
      <c r="J20" s="22" t="s">
        <v>913</v>
      </c>
      <c r="K20" s="22"/>
      <c r="L20" s="22" t="s">
        <v>919</v>
      </c>
      <c r="M20" s="22"/>
      <c r="N20" s="22" t="s">
        <v>954</v>
      </c>
      <c r="O20" s="22" t="s">
        <v>954</v>
      </c>
      <c r="P20" s="22" t="s">
        <v>954</v>
      </c>
      <c r="Q20" s="4" t="s">
        <v>1003</v>
      </c>
      <c r="R20" s="22" t="s">
        <v>953</v>
      </c>
      <c r="S20" t="s">
        <v>252</v>
      </c>
      <c r="T20" s="15" t="s">
        <v>965</v>
      </c>
      <c r="U20" s="15"/>
      <c r="V20" s="42"/>
      <c r="W20" s="46" t="s">
        <v>953</v>
      </c>
      <c r="X20" s="46" t="s">
        <v>953</v>
      </c>
      <c r="Y20" s="46" t="s">
        <v>953</v>
      </c>
      <c r="Z20" s="46" t="s">
        <v>953</v>
      </c>
      <c r="AA20" s="46" t="s">
        <v>953</v>
      </c>
      <c r="AB20" s="22" t="s">
        <v>953</v>
      </c>
      <c r="AC20" s="42" t="s">
        <v>986</v>
      </c>
      <c r="AD20" s="42" t="s">
        <v>987</v>
      </c>
      <c r="AE20" s="22" t="s">
        <v>944</v>
      </c>
      <c r="AF20" s="42"/>
      <c r="AG20" s="22" t="s">
        <v>954</v>
      </c>
      <c r="AH20" s="42" t="s">
        <v>944</v>
      </c>
      <c r="AI20" s="22" t="s">
        <v>960</v>
      </c>
      <c r="AJ20" s="22"/>
      <c r="AK20" s="22"/>
      <c r="AL20" s="22"/>
      <c r="AM20" s="22"/>
      <c r="AN20" s="22" t="s">
        <v>969</v>
      </c>
      <c r="AO20" s="44"/>
      <c r="AP20" s="44"/>
      <c r="AR20" s="5">
        <v>66587</v>
      </c>
      <c r="AS20" s="2" t="s">
        <v>2</v>
      </c>
      <c r="AT20" s="2">
        <v>4</v>
      </c>
      <c r="AU20" s="2">
        <v>2</v>
      </c>
      <c r="AV20" s="2">
        <v>2</v>
      </c>
      <c r="AX20" t="s">
        <v>242</v>
      </c>
      <c r="AY20" s="37" t="s">
        <v>953</v>
      </c>
      <c r="AZ20" s="10"/>
    </row>
    <row r="21" spans="1:53" ht="17.399999999999999" x14ac:dyDescent="0.3">
      <c r="A21" s="6">
        <v>19</v>
      </c>
      <c r="B21" t="s">
        <v>21</v>
      </c>
      <c r="C21" t="s">
        <v>69</v>
      </c>
      <c r="D21" s="13" t="s">
        <v>799</v>
      </c>
      <c r="E21" s="13" t="s">
        <v>780</v>
      </c>
      <c r="F21" s="13" t="str">
        <v>विश्वकर्मा</v>
      </c>
      <c r="G21" s="22">
        <f t="shared" si="0"/>
        <v>2</v>
      </c>
      <c r="H21" s="22" t="s">
        <v>761</v>
      </c>
      <c r="I21" s="22"/>
      <c r="J21" s="22" t="s">
        <v>915</v>
      </c>
      <c r="K21" s="22"/>
      <c r="L21" s="22" t="s">
        <v>920</v>
      </c>
      <c r="M21" s="22"/>
      <c r="N21" s="22" t="s">
        <v>953</v>
      </c>
      <c r="O21" s="22" t="s">
        <v>954</v>
      </c>
      <c r="P21" s="22" t="s">
        <v>954</v>
      </c>
      <c r="Q21" s="4" t="s">
        <v>1000</v>
      </c>
      <c r="R21" s="22" t="s">
        <v>953</v>
      </c>
      <c r="S21" t="s">
        <v>256</v>
      </c>
      <c r="T21" s="15" t="s">
        <v>965</v>
      </c>
      <c r="U21" s="15"/>
      <c r="V21" s="42"/>
      <c r="W21" s="46" t="s">
        <v>953</v>
      </c>
      <c r="X21" s="46" t="s">
        <v>953</v>
      </c>
      <c r="Y21" s="46" t="s">
        <v>953</v>
      </c>
      <c r="Z21" s="46" t="s">
        <v>953</v>
      </c>
      <c r="AA21" s="46" t="s">
        <v>953</v>
      </c>
      <c r="AB21" s="22" t="s">
        <v>953</v>
      </c>
      <c r="AC21" s="42" t="s">
        <v>990</v>
      </c>
      <c r="AD21" s="42" t="s">
        <v>986</v>
      </c>
      <c r="AE21" s="22" t="s">
        <v>951</v>
      </c>
      <c r="AF21" s="42"/>
      <c r="AG21" s="22" t="s">
        <v>954</v>
      </c>
      <c r="AH21" s="42" t="s">
        <v>951</v>
      </c>
      <c r="AI21" s="22" t="s">
        <v>960</v>
      </c>
      <c r="AJ21" s="22"/>
      <c r="AK21" s="22"/>
      <c r="AL21" s="22"/>
      <c r="AM21" s="22"/>
      <c r="AN21" s="22" t="s">
        <v>975</v>
      </c>
      <c r="AO21" s="44"/>
      <c r="AP21" s="44"/>
      <c r="AR21" s="5">
        <v>66573</v>
      </c>
      <c r="AS21" s="2" t="s">
        <v>2</v>
      </c>
      <c r="AT21" s="2">
        <v>4</v>
      </c>
      <c r="AU21" s="2">
        <v>2</v>
      </c>
      <c r="AV21" s="2">
        <v>2</v>
      </c>
      <c r="AX21" t="s">
        <v>242</v>
      </c>
      <c r="AY21" s="37" t="s">
        <v>953</v>
      </c>
      <c r="AZ21" s="10"/>
    </row>
    <row r="22" spans="1:53" ht="17.399999999999999" x14ac:dyDescent="0.3">
      <c r="A22" s="6">
        <v>22</v>
      </c>
      <c r="B22" t="s">
        <v>24</v>
      </c>
      <c r="C22" t="s">
        <v>72</v>
      </c>
      <c r="D22" s="13" t="s">
        <v>800</v>
      </c>
      <c r="E22" s="13" t="s">
        <v>764</v>
      </c>
      <c r="F22" s="13" t="str">
        <v>शेर्पा</v>
      </c>
      <c r="G22" s="22">
        <f t="shared" si="0"/>
        <v>1</v>
      </c>
      <c r="H22" s="22" t="s">
        <v>762</v>
      </c>
      <c r="I22" s="22"/>
      <c r="J22" s="22" t="s">
        <v>914</v>
      </c>
      <c r="K22" s="22"/>
      <c r="L22" s="22" t="s">
        <v>919</v>
      </c>
      <c r="M22" s="22"/>
      <c r="N22" s="22" t="s">
        <v>954</v>
      </c>
      <c r="O22" s="22" t="s">
        <v>954</v>
      </c>
      <c r="P22" s="22" t="s">
        <v>953</v>
      </c>
      <c r="Q22" s="4" t="s">
        <v>1000</v>
      </c>
      <c r="R22" s="22" t="s">
        <v>953</v>
      </c>
      <c r="S22" t="s">
        <v>276</v>
      </c>
      <c r="T22" s="15" t="s">
        <v>961</v>
      </c>
      <c r="U22" s="15"/>
      <c r="V22" s="42"/>
      <c r="W22" s="46" t="s">
        <v>999</v>
      </c>
      <c r="X22" s="46" t="s">
        <v>953</v>
      </c>
      <c r="Y22" s="46" t="s">
        <v>999</v>
      </c>
      <c r="Z22" s="46" t="s">
        <v>953</v>
      </c>
      <c r="AA22" s="46" t="s">
        <v>999</v>
      </c>
      <c r="AB22" s="22" t="s">
        <v>954</v>
      </c>
      <c r="AC22" s="42" t="s">
        <v>988</v>
      </c>
      <c r="AD22" s="42" t="s">
        <v>988</v>
      </c>
      <c r="AE22" s="22" t="s">
        <v>950</v>
      </c>
      <c r="AF22" s="42"/>
      <c r="AG22" s="22" t="s">
        <v>954</v>
      </c>
      <c r="AH22" s="42" t="s">
        <v>950</v>
      </c>
      <c r="AI22" s="22" t="s">
        <v>950</v>
      </c>
      <c r="AJ22" s="22"/>
      <c r="AK22" s="22"/>
      <c r="AL22" s="22"/>
      <c r="AM22" s="22"/>
      <c r="AN22" s="22" t="s">
        <v>969</v>
      </c>
      <c r="AO22" s="44"/>
      <c r="AP22" s="44"/>
      <c r="AR22" s="5">
        <v>66408</v>
      </c>
      <c r="AS22" s="2" t="s">
        <v>2</v>
      </c>
      <c r="AT22" s="2">
        <v>5</v>
      </c>
      <c r="AU22" s="2">
        <v>2</v>
      </c>
      <c r="AV22" s="2">
        <v>3</v>
      </c>
      <c r="AX22" t="s">
        <v>242</v>
      </c>
      <c r="AY22" s="37" t="s">
        <v>953</v>
      </c>
      <c r="AZ22" s="10"/>
      <c r="BA22" t="s">
        <v>245</v>
      </c>
    </row>
    <row r="23" spans="1:53" ht="17.399999999999999" x14ac:dyDescent="0.3">
      <c r="A23" s="6">
        <v>23</v>
      </c>
      <c r="B23" t="s">
        <v>25</v>
      </c>
      <c r="C23" t="s">
        <v>73</v>
      </c>
      <c r="D23" s="13" t="s">
        <v>804</v>
      </c>
      <c r="E23" s="13" t="s">
        <v>779</v>
      </c>
      <c r="F23" s="13" t="str">
        <v>धामी</v>
      </c>
      <c r="G23" s="22">
        <f t="shared" si="0"/>
        <v>2</v>
      </c>
      <c r="H23" s="22" t="s">
        <v>750</v>
      </c>
      <c r="I23" s="22"/>
      <c r="J23" s="22" t="s">
        <v>913</v>
      </c>
      <c r="K23" s="22"/>
      <c r="L23" s="22" t="s">
        <v>920</v>
      </c>
      <c r="M23" s="22"/>
      <c r="N23" s="22" t="s">
        <v>954</v>
      </c>
      <c r="O23" s="22" t="s">
        <v>954</v>
      </c>
      <c r="P23" s="22" t="s">
        <v>953</v>
      </c>
      <c r="Q23" s="4" t="s">
        <v>1000</v>
      </c>
      <c r="R23" s="22" t="s">
        <v>953</v>
      </c>
      <c r="S23" t="s">
        <v>253</v>
      </c>
      <c r="T23" s="15" t="s">
        <v>962</v>
      </c>
      <c r="U23" s="15"/>
      <c r="V23" s="42"/>
      <c r="W23" s="46" t="s">
        <v>953</v>
      </c>
      <c r="X23" s="46" t="s">
        <v>953</v>
      </c>
      <c r="Y23" s="46" t="s">
        <v>953</v>
      </c>
      <c r="Z23" s="46" t="s">
        <v>953</v>
      </c>
      <c r="AA23" s="46" t="s">
        <v>999</v>
      </c>
      <c r="AB23" s="22" t="s">
        <v>953</v>
      </c>
      <c r="AC23" s="42" t="s">
        <v>987</v>
      </c>
      <c r="AD23" s="42" t="s">
        <v>987</v>
      </c>
      <c r="AE23" s="22" t="s">
        <v>945</v>
      </c>
      <c r="AF23" s="42"/>
      <c r="AG23" s="22" t="s">
        <v>953</v>
      </c>
      <c r="AH23" s="42" t="s">
        <v>943</v>
      </c>
      <c r="AI23" s="22" t="s">
        <v>956</v>
      </c>
      <c r="AJ23" s="22"/>
      <c r="AK23" s="22"/>
      <c r="AL23" s="22"/>
      <c r="AM23" s="22"/>
      <c r="AN23" s="22" t="s">
        <v>970</v>
      </c>
      <c r="AO23" s="44"/>
      <c r="AP23" s="44"/>
      <c r="AR23" s="5">
        <v>66392</v>
      </c>
      <c r="AS23" s="2" t="s">
        <v>2</v>
      </c>
      <c r="AT23" s="2">
        <v>4</v>
      </c>
      <c r="AU23" s="2">
        <v>2</v>
      </c>
      <c r="AV23" s="2">
        <v>2</v>
      </c>
      <c r="AX23" t="s">
        <v>238</v>
      </c>
      <c r="AY23" s="37" t="s">
        <v>954</v>
      </c>
      <c r="AZ23" s="10" t="s">
        <v>977</v>
      </c>
      <c r="BA23" t="s">
        <v>245</v>
      </c>
    </row>
    <row r="24" spans="1:53" ht="17.399999999999999" x14ac:dyDescent="0.3">
      <c r="A24" s="6">
        <v>24</v>
      </c>
      <c r="B24" t="s">
        <v>26</v>
      </c>
      <c r="C24" t="s">
        <v>74</v>
      </c>
      <c r="D24" s="13" t="s">
        <v>805</v>
      </c>
      <c r="E24" s="13" t="s">
        <v>764</v>
      </c>
      <c r="F24" s="13" t="str">
        <v>खड्का</v>
      </c>
      <c r="G24" s="22">
        <f t="shared" si="0"/>
        <v>5</v>
      </c>
      <c r="H24" s="22" t="s">
        <v>750</v>
      </c>
      <c r="I24" s="22"/>
      <c r="J24" s="22" t="s">
        <v>913</v>
      </c>
      <c r="K24" s="22"/>
      <c r="L24" s="22" t="s">
        <v>920</v>
      </c>
      <c r="M24" s="22"/>
      <c r="N24" s="22" t="s">
        <v>954</v>
      </c>
      <c r="O24" s="22" t="s">
        <v>954</v>
      </c>
      <c r="P24" s="22" t="s">
        <v>953</v>
      </c>
      <c r="Q24" s="4" t="s">
        <v>1000</v>
      </c>
      <c r="R24" s="22" t="s">
        <v>953</v>
      </c>
      <c r="S24" t="s">
        <v>330</v>
      </c>
      <c r="T24" s="15" t="s">
        <v>963</v>
      </c>
      <c r="U24" s="15"/>
      <c r="V24" s="42"/>
      <c r="W24" s="46" t="s">
        <v>953</v>
      </c>
      <c r="X24" s="46" t="s">
        <v>953</v>
      </c>
      <c r="Y24" s="46" t="s">
        <v>953</v>
      </c>
      <c r="Z24" s="46" t="s">
        <v>953</v>
      </c>
      <c r="AA24" s="46" t="s">
        <v>953</v>
      </c>
      <c r="AB24" s="22" t="s">
        <v>953</v>
      </c>
      <c r="AC24" s="42" t="s">
        <v>988</v>
      </c>
      <c r="AD24" s="42" t="s">
        <v>988</v>
      </c>
      <c r="AE24" s="22" t="s">
        <v>950</v>
      </c>
      <c r="AF24" s="42"/>
      <c r="AG24" s="22" t="s">
        <v>954</v>
      </c>
      <c r="AH24" s="42" t="s">
        <v>950</v>
      </c>
      <c r="AI24" s="22" t="s">
        <v>950</v>
      </c>
      <c r="AJ24" s="22"/>
      <c r="AK24" s="22"/>
      <c r="AL24" s="22"/>
      <c r="AM24" s="22"/>
      <c r="AN24" s="22" t="s">
        <v>975</v>
      </c>
      <c r="AO24" s="44"/>
      <c r="AP24" s="44"/>
      <c r="AR24" s="5">
        <v>66262</v>
      </c>
      <c r="AS24" s="2" t="s">
        <v>2</v>
      </c>
      <c r="AT24" s="2">
        <v>8</v>
      </c>
      <c r="AU24" s="2">
        <v>5</v>
      </c>
      <c r="AV24" s="2">
        <v>3</v>
      </c>
      <c r="AX24" t="s">
        <v>242</v>
      </c>
      <c r="AY24" s="37" t="s">
        <v>953</v>
      </c>
      <c r="AZ24" s="10"/>
      <c r="BA24" t="s">
        <v>245</v>
      </c>
    </row>
    <row r="25" spans="1:53" ht="17.399999999999999" x14ac:dyDescent="0.3">
      <c r="A25" s="6">
        <v>26</v>
      </c>
      <c r="B25" t="s">
        <v>27</v>
      </c>
      <c r="C25" t="s">
        <v>75</v>
      </c>
      <c r="D25" s="13" t="s">
        <v>806</v>
      </c>
      <c r="E25" s="13" t="s">
        <v>781</v>
      </c>
      <c r="F25" s="13" t="str">
        <v>कुँवर</v>
      </c>
      <c r="G25" s="22">
        <f t="shared" si="0"/>
        <v>1</v>
      </c>
      <c r="H25" s="22" t="s">
        <v>750</v>
      </c>
      <c r="I25" s="22"/>
      <c r="J25" s="22" t="s">
        <v>913</v>
      </c>
      <c r="K25" s="22"/>
      <c r="L25" s="22" t="s">
        <v>920</v>
      </c>
      <c r="M25" s="22"/>
      <c r="N25" s="22" t="s">
        <v>954</v>
      </c>
      <c r="O25" s="22" t="s">
        <v>954</v>
      </c>
      <c r="P25" s="22" t="s">
        <v>953</v>
      </c>
      <c r="Q25" s="4" t="s">
        <v>1000</v>
      </c>
      <c r="R25" s="22" t="s">
        <v>953</v>
      </c>
      <c r="S25" t="s">
        <v>329</v>
      </c>
      <c r="T25" s="15" t="s">
        <v>962</v>
      </c>
      <c r="U25" s="15"/>
      <c r="V25" s="42"/>
      <c r="W25" s="46" t="s">
        <v>953</v>
      </c>
      <c r="X25" s="46" t="s">
        <v>953</v>
      </c>
      <c r="Y25" s="46" t="s">
        <v>953</v>
      </c>
      <c r="Z25" s="46" t="s">
        <v>953</v>
      </c>
      <c r="AA25" s="46" t="s">
        <v>953</v>
      </c>
      <c r="AB25" s="22" t="s">
        <v>953</v>
      </c>
      <c r="AC25" s="42" t="s">
        <v>985</v>
      </c>
      <c r="AD25" s="42" t="s">
        <v>986</v>
      </c>
      <c r="AE25" s="22" t="s">
        <v>944</v>
      </c>
      <c r="AF25" s="42"/>
      <c r="AG25" s="22" t="s">
        <v>954</v>
      </c>
      <c r="AH25" s="42" t="s">
        <v>944</v>
      </c>
      <c r="AI25" s="22" t="s">
        <v>958</v>
      </c>
      <c r="AJ25" s="22"/>
      <c r="AK25" s="22"/>
      <c r="AL25" s="22"/>
      <c r="AM25" s="22"/>
      <c r="AN25" s="22" t="s">
        <v>973</v>
      </c>
      <c r="AO25" s="44"/>
      <c r="AP25" s="44"/>
      <c r="AR25" s="5">
        <v>66240</v>
      </c>
      <c r="AS25" s="2" t="s">
        <v>2</v>
      </c>
      <c r="AT25" s="2">
        <v>5</v>
      </c>
      <c r="AU25" s="2">
        <v>3</v>
      </c>
      <c r="AV25" s="2">
        <v>2</v>
      </c>
      <c r="AX25" t="s">
        <v>242</v>
      </c>
      <c r="AY25" s="37" t="s">
        <v>953</v>
      </c>
      <c r="AZ25" s="10"/>
    </row>
    <row r="26" spans="1:53" ht="17.399999999999999" x14ac:dyDescent="0.3">
      <c r="A26" s="6">
        <v>27</v>
      </c>
      <c r="B26" t="s">
        <v>28</v>
      </c>
      <c r="C26" t="s">
        <v>76</v>
      </c>
      <c r="D26" s="13" t="s">
        <v>809</v>
      </c>
      <c r="E26" s="13" t="s">
        <v>774</v>
      </c>
      <c r="F26" s="13" t="str">
        <v>श्रेष्ठ</v>
      </c>
      <c r="G26" s="22">
        <f t="shared" si="0"/>
        <v>11</v>
      </c>
      <c r="H26" s="22" t="s">
        <v>762</v>
      </c>
      <c r="I26" s="22"/>
      <c r="J26" s="22" t="s">
        <v>913</v>
      </c>
      <c r="K26" s="22"/>
      <c r="L26" s="22" t="s">
        <v>920</v>
      </c>
      <c r="M26" s="22"/>
      <c r="N26" s="22" t="s">
        <v>954</v>
      </c>
      <c r="O26" s="22" t="s">
        <v>954</v>
      </c>
      <c r="P26" s="22" t="s">
        <v>953</v>
      </c>
      <c r="Q26" s="4" t="s">
        <v>1001</v>
      </c>
      <c r="R26" s="22" t="s">
        <v>954</v>
      </c>
      <c r="S26" t="s">
        <v>314</v>
      </c>
      <c r="T26" s="15" t="s">
        <v>961</v>
      </c>
      <c r="U26" s="15"/>
      <c r="V26" s="42"/>
      <c r="W26" s="46" t="s">
        <v>953</v>
      </c>
      <c r="X26" s="46" t="s">
        <v>953</v>
      </c>
      <c r="Y26" s="46" t="s">
        <v>953</v>
      </c>
      <c r="Z26" s="46" t="s">
        <v>953</v>
      </c>
      <c r="AA26" s="46" t="s">
        <v>999</v>
      </c>
      <c r="AB26" s="22" t="s">
        <v>953</v>
      </c>
      <c r="AC26" s="42" t="s">
        <v>986</v>
      </c>
      <c r="AD26" s="42" t="s">
        <v>986</v>
      </c>
      <c r="AE26" s="22" t="s">
        <v>944</v>
      </c>
      <c r="AF26" s="42"/>
      <c r="AG26" s="22" t="s">
        <v>954</v>
      </c>
      <c r="AH26" s="42" t="s">
        <v>944</v>
      </c>
      <c r="AI26" s="22" t="s">
        <v>958</v>
      </c>
      <c r="AJ26" s="22"/>
      <c r="AK26" s="22"/>
      <c r="AL26" s="22"/>
      <c r="AM26" s="22"/>
      <c r="AN26" s="22" t="s">
        <v>973</v>
      </c>
      <c r="AO26" s="44"/>
      <c r="AP26" s="44"/>
      <c r="AR26" s="5">
        <v>66231</v>
      </c>
      <c r="AS26" s="2" t="s">
        <v>2</v>
      </c>
      <c r="AT26" s="2">
        <v>1</v>
      </c>
      <c r="AU26" s="2">
        <v>1</v>
      </c>
      <c r="AV26" s="2"/>
      <c r="AX26" t="s">
        <v>242</v>
      </c>
      <c r="AY26" s="37" t="s">
        <v>953</v>
      </c>
      <c r="AZ26" s="10"/>
    </row>
    <row r="27" spans="1:53" ht="17.399999999999999" x14ac:dyDescent="0.3">
      <c r="A27" s="6">
        <v>29</v>
      </c>
      <c r="B27" t="s">
        <v>30</v>
      </c>
      <c r="C27" t="s">
        <v>78</v>
      </c>
      <c r="D27" s="13" t="s">
        <v>810</v>
      </c>
      <c r="E27" s="13" t="s">
        <v>774</v>
      </c>
      <c r="F27" s="13" t="str">
        <v>क्षत्री</v>
      </c>
      <c r="G27" s="22">
        <f t="shared" si="0"/>
        <v>1</v>
      </c>
      <c r="H27" s="22" t="s">
        <v>750</v>
      </c>
      <c r="I27" s="22"/>
      <c r="J27" s="22" t="s">
        <v>913</v>
      </c>
      <c r="K27" s="22"/>
      <c r="L27" s="22" t="s">
        <v>920</v>
      </c>
      <c r="M27" s="22"/>
      <c r="N27" s="22" t="s">
        <v>954</v>
      </c>
      <c r="O27" s="22" t="s">
        <v>954</v>
      </c>
      <c r="P27" s="22" t="s">
        <v>953</v>
      </c>
      <c r="Q27" s="4" t="s">
        <v>1000</v>
      </c>
      <c r="R27" s="22" t="s">
        <v>953</v>
      </c>
      <c r="S27" t="s">
        <v>254</v>
      </c>
      <c r="T27" s="15" t="s">
        <v>963</v>
      </c>
      <c r="U27" s="15"/>
      <c r="V27" s="42"/>
      <c r="W27" s="46" t="s">
        <v>953</v>
      </c>
      <c r="X27" s="46" t="s">
        <v>953</v>
      </c>
      <c r="Y27" s="46" t="s">
        <v>953</v>
      </c>
      <c r="Z27" s="46" t="s">
        <v>953</v>
      </c>
      <c r="AA27" s="46" t="s">
        <v>999</v>
      </c>
      <c r="AB27" s="22" t="s">
        <v>953</v>
      </c>
      <c r="AC27" s="42" t="s">
        <v>985</v>
      </c>
      <c r="AD27" s="42" t="s">
        <v>986</v>
      </c>
      <c r="AE27" s="22" t="s">
        <v>944</v>
      </c>
      <c r="AF27" s="42"/>
      <c r="AG27" s="22" t="s">
        <v>954</v>
      </c>
      <c r="AH27" s="42" t="s">
        <v>944</v>
      </c>
      <c r="AI27" s="22" t="s">
        <v>958</v>
      </c>
      <c r="AJ27" s="22"/>
      <c r="AK27" s="22"/>
      <c r="AL27" s="22"/>
      <c r="AM27" s="22"/>
      <c r="AN27" s="22" t="s">
        <v>970</v>
      </c>
      <c r="AO27" s="44"/>
      <c r="AP27" s="44"/>
      <c r="AR27" s="5">
        <v>66188</v>
      </c>
      <c r="AS27" s="2" t="s">
        <v>2</v>
      </c>
      <c r="AT27" s="2">
        <v>7</v>
      </c>
      <c r="AU27" s="2">
        <v>3</v>
      </c>
      <c r="AV27" s="2">
        <v>4</v>
      </c>
      <c r="AX27" t="s">
        <v>242</v>
      </c>
      <c r="AY27" s="37" t="s">
        <v>953</v>
      </c>
      <c r="AZ27" s="10"/>
    </row>
    <row r="28" spans="1:53" ht="17.399999999999999" x14ac:dyDescent="0.3">
      <c r="A28" s="6">
        <v>31</v>
      </c>
      <c r="B28" t="s">
        <v>32</v>
      </c>
      <c r="C28" t="s">
        <v>80</v>
      </c>
      <c r="D28" s="13" t="s">
        <v>812</v>
      </c>
      <c r="E28" s="13" t="s">
        <v>813</v>
      </c>
      <c r="F28" s="13" t="str">
        <v>जिसी</v>
      </c>
      <c r="G28" s="22">
        <f t="shared" si="0"/>
        <v>1</v>
      </c>
      <c r="H28" s="22" t="s">
        <v>750</v>
      </c>
      <c r="I28" s="22"/>
      <c r="J28" s="22" t="s">
        <v>915</v>
      </c>
      <c r="K28" s="22"/>
      <c r="L28" s="22" t="s">
        <v>919</v>
      </c>
      <c r="M28" s="22"/>
      <c r="N28" s="22" t="s">
        <v>954</v>
      </c>
      <c r="O28" s="22" t="s">
        <v>954</v>
      </c>
      <c r="P28" s="22" t="s">
        <v>953</v>
      </c>
      <c r="Q28" s="4" t="s">
        <v>1000</v>
      </c>
      <c r="R28" s="22" t="s">
        <v>953</v>
      </c>
      <c r="S28" t="s">
        <v>264</v>
      </c>
      <c r="T28" s="15" t="s">
        <v>965</v>
      </c>
      <c r="U28" s="15"/>
      <c r="V28" s="42"/>
      <c r="W28" s="46" t="s">
        <v>999</v>
      </c>
      <c r="X28" s="46" t="s">
        <v>953</v>
      </c>
      <c r="Y28" s="46" t="s">
        <v>953</v>
      </c>
      <c r="Z28" s="46" t="s">
        <v>953</v>
      </c>
      <c r="AA28" s="46" t="s">
        <v>999</v>
      </c>
      <c r="AB28" s="22" t="s">
        <v>954</v>
      </c>
      <c r="AC28" s="42" t="s">
        <v>988</v>
      </c>
      <c r="AD28" s="42" t="s">
        <v>988</v>
      </c>
      <c r="AE28" s="22" t="s">
        <v>949</v>
      </c>
      <c r="AF28" s="42"/>
      <c r="AG28" s="22" t="s">
        <v>954</v>
      </c>
      <c r="AH28" s="42" t="s">
        <v>949</v>
      </c>
      <c r="AI28" s="22" t="s">
        <v>958</v>
      </c>
      <c r="AJ28" s="22"/>
      <c r="AK28" s="22"/>
      <c r="AL28" s="22"/>
      <c r="AM28" s="22"/>
      <c r="AN28" s="22" t="s">
        <v>973</v>
      </c>
      <c r="AO28" s="44"/>
      <c r="AP28" s="44"/>
      <c r="AR28" s="5">
        <v>66182</v>
      </c>
      <c r="AS28" s="2" t="s">
        <v>2</v>
      </c>
      <c r="AT28" s="2">
        <v>9</v>
      </c>
      <c r="AU28" s="2">
        <v>5</v>
      </c>
      <c r="AV28" s="2">
        <v>4</v>
      </c>
      <c r="AX28" t="s">
        <v>241</v>
      </c>
      <c r="AY28" s="37" t="s">
        <v>954</v>
      </c>
      <c r="AZ28" s="10" t="s">
        <v>977</v>
      </c>
      <c r="BA28" t="s">
        <v>245</v>
      </c>
    </row>
    <row r="29" spans="1:53" ht="17.399999999999999" x14ac:dyDescent="0.3">
      <c r="A29" s="6">
        <v>33</v>
      </c>
      <c r="B29" t="s">
        <v>34</v>
      </c>
      <c r="C29" t="s">
        <v>82</v>
      </c>
      <c r="D29" s="13" t="s">
        <v>815</v>
      </c>
      <c r="E29" s="13" t="s">
        <v>816</v>
      </c>
      <c r="F29" s="13" t="str">
        <v>सिंखडा</v>
      </c>
      <c r="G29" s="22">
        <f t="shared" si="0"/>
        <v>1</v>
      </c>
      <c r="H29" s="22" t="s">
        <v>760</v>
      </c>
      <c r="I29" s="22"/>
      <c r="J29" s="22" t="s">
        <v>913</v>
      </c>
      <c r="K29" s="22"/>
      <c r="L29" s="22" t="s">
        <v>919</v>
      </c>
      <c r="M29" s="22"/>
      <c r="N29" s="22" t="s">
        <v>953</v>
      </c>
      <c r="O29" s="22" t="s">
        <v>954</v>
      </c>
      <c r="P29" s="22" t="s">
        <v>953</v>
      </c>
      <c r="Q29" s="4" t="s">
        <v>1000</v>
      </c>
      <c r="R29" s="22" t="s">
        <v>953</v>
      </c>
      <c r="S29" t="s">
        <v>266</v>
      </c>
      <c r="T29" s="15" t="s">
        <v>963</v>
      </c>
      <c r="U29" s="15"/>
      <c r="V29" s="42"/>
      <c r="W29" s="46" t="s">
        <v>999</v>
      </c>
      <c r="X29" s="46" t="s">
        <v>953</v>
      </c>
      <c r="Y29" s="46" t="s">
        <v>999</v>
      </c>
      <c r="Z29" s="46" t="s">
        <v>953</v>
      </c>
      <c r="AA29" s="46" t="s">
        <v>999</v>
      </c>
      <c r="AB29" s="22" t="s">
        <v>953</v>
      </c>
      <c r="AC29" s="45" t="s">
        <v>987</v>
      </c>
      <c r="AD29" s="42" t="s">
        <v>990</v>
      </c>
      <c r="AE29" s="22" t="s">
        <v>945</v>
      </c>
      <c r="AF29" s="42"/>
      <c r="AG29" s="22" t="s">
        <v>954</v>
      </c>
      <c r="AH29" s="42" t="s">
        <v>945</v>
      </c>
      <c r="AI29" s="22" t="s">
        <v>956</v>
      </c>
      <c r="AJ29" s="22"/>
      <c r="AK29" s="22"/>
      <c r="AL29" s="22"/>
      <c r="AM29" s="22"/>
      <c r="AN29" s="22" t="s">
        <v>969</v>
      </c>
      <c r="AO29" s="44"/>
      <c r="AP29" s="44"/>
      <c r="AR29" s="5">
        <v>66138</v>
      </c>
      <c r="AS29" s="2" t="s">
        <v>2</v>
      </c>
      <c r="AT29" s="2">
        <v>4</v>
      </c>
      <c r="AU29" s="2">
        <v>2</v>
      </c>
      <c r="AV29" s="2">
        <v>2</v>
      </c>
      <c r="AX29" t="s">
        <v>242</v>
      </c>
      <c r="AY29" s="37" t="s">
        <v>953</v>
      </c>
      <c r="AZ29" s="10"/>
    </row>
    <row r="30" spans="1:53" ht="17.399999999999999" x14ac:dyDescent="0.3">
      <c r="A30" s="6">
        <v>34</v>
      </c>
      <c r="B30" t="s">
        <v>35</v>
      </c>
      <c r="C30" t="s">
        <v>83</v>
      </c>
      <c r="D30" s="13" t="s">
        <v>821</v>
      </c>
      <c r="E30" s="13" t="s">
        <v>801</v>
      </c>
      <c r="F30" s="13" t="str">
        <v>गुरुङ</v>
      </c>
      <c r="G30" s="22">
        <f t="shared" si="0"/>
        <v>1</v>
      </c>
      <c r="H30" s="22" t="s">
        <v>762</v>
      </c>
      <c r="I30" s="22"/>
      <c r="J30" s="22" t="s">
        <v>914</v>
      </c>
      <c r="K30" s="22"/>
      <c r="L30" s="22" t="s">
        <v>918</v>
      </c>
      <c r="M30" s="22"/>
      <c r="N30" s="22" t="s">
        <v>954</v>
      </c>
      <c r="O30" s="22" t="s">
        <v>954</v>
      </c>
      <c r="P30" s="22" t="s">
        <v>953</v>
      </c>
      <c r="Q30" s="4" t="s">
        <v>1000</v>
      </c>
      <c r="R30" s="22" t="s">
        <v>953</v>
      </c>
      <c r="S30" t="s">
        <v>287</v>
      </c>
      <c r="T30" s="15" t="s">
        <v>964</v>
      </c>
      <c r="U30" s="15"/>
      <c r="V30" s="42"/>
      <c r="W30" s="46" t="s">
        <v>999</v>
      </c>
      <c r="X30" s="46" t="s">
        <v>953</v>
      </c>
      <c r="Y30" s="46" t="s">
        <v>999</v>
      </c>
      <c r="Z30" s="46" t="s">
        <v>953</v>
      </c>
      <c r="AA30" s="46" t="s">
        <v>999</v>
      </c>
      <c r="AB30" s="22" t="s">
        <v>953</v>
      </c>
      <c r="AC30" s="42" t="s">
        <v>986</v>
      </c>
      <c r="AD30" s="42" t="s">
        <v>987</v>
      </c>
      <c r="AE30" s="22" t="s">
        <v>944</v>
      </c>
      <c r="AF30" s="42"/>
      <c r="AG30" s="22" t="s">
        <v>954</v>
      </c>
      <c r="AH30" s="42" t="s">
        <v>944</v>
      </c>
      <c r="AI30" s="22" t="s">
        <v>958</v>
      </c>
      <c r="AJ30" s="22"/>
      <c r="AK30" s="22"/>
      <c r="AL30" s="22"/>
      <c r="AM30" s="22"/>
      <c r="AN30" s="22" t="s">
        <v>975</v>
      </c>
      <c r="AO30" s="44"/>
      <c r="AP30" s="44"/>
      <c r="AR30" s="5">
        <v>66132</v>
      </c>
      <c r="AS30" s="2" t="s">
        <v>2</v>
      </c>
      <c r="AT30" s="2">
        <v>4</v>
      </c>
      <c r="AU30" s="2">
        <v>2</v>
      </c>
      <c r="AV30" s="2">
        <v>2</v>
      </c>
      <c r="AX30" t="s">
        <v>242</v>
      </c>
      <c r="AY30" s="37" t="s">
        <v>953</v>
      </c>
      <c r="AZ30" s="10"/>
    </row>
    <row r="31" spans="1:53" ht="17.399999999999999" x14ac:dyDescent="0.3">
      <c r="A31" s="6">
        <v>35</v>
      </c>
      <c r="B31" t="s">
        <v>36</v>
      </c>
      <c r="C31" t="s">
        <v>84</v>
      </c>
      <c r="D31" s="13" t="s">
        <v>822</v>
      </c>
      <c r="E31" s="13" t="s">
        <v>802</v>
      </c>
      <c r="F31" s="13" t="str">
        <v>दमाई</v>
      </c>
      <c r="G31" s="22">
        <f t="shared" si="0"/>
        <v>1</v>
      </c>
      <c r="H31" s="22" t="s">
        <v>761</v>
      </c>
      <c r="I31" s="22"/>
      <c r="J31" s="22" t="s">
        <v>915</v>
      </c>
      <c r="K31" s="22"/>
      <c r="L31" s="22" t="s">
        <v>920</v>
      </c>
      <c r="M31" s="22"/>
      <c r="N31" s="22" t="s">
        <v>953</v>
      </c>
      <c r="O31" s="22" t="s">
        <v>954</v>
      </c>
      <c r="P31" s="22" t="s">
        <v>953</v>
      </c>
      <c r="Q31" s="4" t="s">
        <v>1000</v>
      </c>
      <c r="R31" s="22" t="s">
        <v>953</v>
      </c>
      <c r="S31" t="s">
        <v>275</v>
      </c>
      <c r="T31" s="15" t="s">
        <v>963</v>
      </c>
      <c r="U31" s="15"/>
      <c r="V31" s="42"/>
      <c r="W31" s="46" t="s">
        <v>999</v>
      </c>
      <c r="X31" s="46" t="s">
        <v>953</v>
      </c>
      <c r="Y31" s="46" t="s">
        <v>953</v>
      </c>
      <c r="Z31" s="46" t="s">
        <v>953</v>
      </c>
      <c r="AA31" s="46" t="s">
        <v>999</v>
      </c>
      <c r="AB31" s="22" t="s">
        <v>953</v>
      </c>
      <c r="AC31" s="45" t="s">
        <v>986</v>
      </c>
      <c r="AD31" s="42" t="s">
        <v>989</v>
      </c>
      <c r="AE31" s="22" t="s">
        <v>945</v>
      </c>
      <c r="AF31" s="42"/>
      <c r="AG31" s="22" t="s">
        <v>954</v>
      </c>
      <c r="AH31" s="42" t="s">
        <v>945</v>
      </c>
      <c r="AI31" s="22" t="s">
        <v>956</v>
      </c>
      <c r="AJ31" s="22"/>
      <c r="AK31" s="22"/>
      <c r="AL31" s="22"/>
      <c r="AM31" s="22"/>
      <c r="AN31" s="22" t="s">
        <v>972</v>
      </c>
      <c r="AO31" s="44"/>
      <c r="AP31" s="44"/>
      <c r="AR31" s="5">
        <v>66127</v>
      </c>
      <c r="AS31" s="2" t="s">
        <v>2</v>
      </c>
      <c r="AT31" s="2">
        <v>4</v>
      </c>
      <c r="AU31" s="2">
        <v>2</v>
      </c>
      <c r="AV31" s="2">
        <v>2</v>
      </c>
      <c r="AX31" t="s">
        <v>242</v>
      </c>
      <c r="AY31" s="37" t="s">
        <v>953</v>
      </c>
      <c r="AZ31" s="10"/>
    </row>
    <row r="32" spans="1:53" ht="17.399999999999999" x14ac:dyDescent="0.3">
      <c r="A32" s="6">
        <v>36</v>
      </c>
      <c r="B32" t="s">
        <v>37</v>
      </c>
      <c r="C32" t="s">
        <v>85</v>
      </c>
      <c r="D32" s="13" t="s">
        <v>823</v>
      </c>
      <c r="E32" s="13" t="s">
        <v>803</v>
      </c>
      <c r="F32" s="13" t="str">
        <v>लिम्वु</v>
      </c>
      <c r="G32" s="22">
        <f t="shared" si="0"/>
        <v>1</v>
      </c>
      <c r="H32" s="22" t="s">
        <v>762</v>
      </c>
      <c r="I32" s="22"/>
      <c r="J32" s="22" t="s">
        <v>913</v>
      </c>
      <c r="K32" s="22"/>
      <c r="L32" s="22" t="s">
        <v>919</v>
      </c>
      <c r="M32" s="22"/>
      <c r="N32" s="22" t="s">
        <v>954</v>
      </c>
      <c r="O32" s="22" t="s">
        <v>954</v>
      </c>
      <c r="P32" s="22" t="s">
        <v>953</v>
      </c>
      <c r="Q32" s="4" t="s">
        <v>1000</v>
      </c>
      <c r="R32" s="22" t="s">
        <v>953</v>
      </c>
      <c r="S32" t="s">
        <v>290</v>
      </c>
      <c r="T32" s="15" t="s">
        <v>964</v>
      </c>
      <c r="U32" s="15"/>
      <c r="V32" s="42"/>
      <c r="W32" s="46" t="s">
        <v>999</v>
      </c>
      <c r="X32" s="46" t="s">
        <v>953</v>
      </c>
      <c r="Y32" s="46" t="s">
        <v>953</v>
      </c>
      <c r="Z32" s="46" t="s">
        <v>953</v>
      </c>
      <c r="AA32" s="46" t="s">
        <v>999</v>
      </c>
      <c r="AB32" s="22" t="s">
        <v>953</v>
      </c>
      <c r="AC32" s="42" t="s">
        <v>987</v>
      </c>
      <c r="AD32" s="42" t="s">
        <v>987</v>
      </c>
      <c r="AE32" s="22" t="s">
        <v>943</v>
      </c>
      <c r="AF32" s="42"/>
      <c r="AG32" s="22" t="s">
        <v>954</v>
      </c>
      <c r="AH32" s="42" t="s">
        <v>943</v>
      </c>
      <c r="AI32" s="22" t="s">
        <v>958</v>
      </c>
      <c r="AJ32" s="22"/>
      <c r="AK32" s="22"/>
      <c r="AL32" s="22"/>
      <c r="AM32" s="22"/>
      <c r="AN32" s="22" t="s">
        <v>973</v>
      </c>
      <c r="AO32" s="44"/>
      <c r="AP32" s="44"/>
      <c r="AR32" s="5">
        <v>66121</v>
      </c>
      <c r="AS32" s="2" t="s">
        <v>2</v>
      </c>
      <c r="AT32" s="2">
        <v>4</v>
      </c>
      <c r="AU32" s="2">
        <v>1</v>
      </c>
      <c r="AV32" s="2">
        <v>3</v>
      </c>
      <c r="AX32" t="s">
        <v>242</v>
      </c>
      <c r="AY32" s="37" t="s">
        <v>953</v>
      </c>
      <c r="AZ32" s="10"/>
      <c r="BA32" t="s">
        <v>245</v>
      </c>
    </row>
    <row r="33" spans="1:53" ht="17.399999999999999" x14ac:dyDescent="0.3">
      <c r="A33" s="6">
        <v>38</v>
      </c>
      <c r="B33" t="s">
        <v>39</v>
      </c>
      <c r="C33" t="s">
        <v>87</v>
      </c>
      <c r="D33" s="13" t="s">
        <v>824</v>
      </c>
      <c r="E33" s="13" t="s">
        <v>825</v>
      </c>
      <c r="F33" s="13" t="str">
        <v>सापकोटा</v>
      </c>
      <c r="G33" s="22">
        <f t="shared" si="0"/>
        <v>1</v>
      </c>
      <c r="H33" s="22" t="s">
        <v>760</v>
      </c>
      <c r="I33" s="22"/>
      <c r="J33" s="22" t="s">
        <v>913</v>
      </c>
      <c r="K33" s="22"/>
      <c r="L33" s="22" t="s">
        <v>920</v>
      </c>
      <c r="M33" s="22"/>
      <c r="N33" s="22" t="s">
        <v>954</v>
      </c>
      <c r="O33" s="22" t="s">
        <v>954</v>
      </c>
      <c r="P33" s="22" t="s">
        <v>953</v>
      </c>
      <c r="Q33" s="4" t="s">
        <v>1000</v>
      </c>
      <c r="R33" s="22" t="s">
        <v>953</v>
      </c>
      <c r="S33" t="s">
        <v>255</v>
      </c>
      <c r="T33" s="15" t="s">
        <v>962</v>
      </c>
      <c r="U33" s="15"/>
      <c r="V33" s="42"/>
      <c r="W33" s="46" t="s">
        <v>953</v>
      </c>
      <c r="X33" s="46" t="s">
        <v>953</v>
      </c>
      <c r="Y33" s="46" t="s">
        <v>953</v>
      </c>
      <c r="Z33" s="46" t="s">
        <v>953</v>
      </c>
      <c r="AA33" s="46" t="s">
        <v>999</v>
      </c>
      <c r="AB33" s="22" t="s">
        <v>953</v>
      </c>
      <c r="AC33" s="42" t="s">
        <v>988</v>
      </c>
      <c r="AD33" s="42" t="s">
        <v>988</v>
      </c>
      <c r="AE33" s="22" t="s">
        <v>945</v>
      </c>
      <c r="AF33" s="42"/>
      <c r="AG33" s="22" t="s">
        <v>953</v>
      </c>
      <c r="AH33" s="42" t="s">
        <v>942</v>
      </c>
      <c r="AI33" s="22" t="s">
        <v>956</v>
      </c>
      <c r="AJ33" s="22"/>
      <c r="AK33" s="22"/>
      <c r="AL33" s="22"/>
      <c r="AM33" s="22"/>
      <c r="AN33" s="22" t="s">
        <v>973</v>
      </c>
      <c r="AO33" s="44"/>
      <c r="AP33" s="44"/>
      <c r="AR33" s="5">
        <v>66029</v>
      </c>
      <c r="AS33" s="2" t="s">
        <v>2</v>
      </c>
      <c r="AT33" s="2">
        <v>3</v>
      </c>
      <c r="AU33" s="2">
        <v>1</v>
      </c>
      <c r="AV33" s="2">
        <v>2</v>
      </c>
      <c r="AX33" t="s">
        <v>242</v>
      </c>
      <c r="AY33" s="37" t="s">
        <v>953</v>
      </c>
      <c r="AZ33" s="10"/>
    </row>
    <row r="34" spans="1:53" ht="17.399999999999999" x14ac:dyDescent="0.3">
      <c r="A34" s="6">
        <v>39</v>
      </c>
      <c r="B34" t="s">
        <v>40</v>
      </c>
      <c r="C34" t="s">
        <v>88</v>
      </c>
      <c r="D34" s="13" t="s">
        <v>829</v>
      </c>
      <c r="E34" s="13" t="s">
        <v>771</v>
      </c>
      <c r="F34" s="13" t="str">
        <v>केसी</v>
      </c>
      <c r="G34" s="22">
        <f t="shared" si="0"/>
        <v>2</v>
      </c>
      <c r="H34" s="22" t="s">
        <v>750</v>
      </c>
      <c r="I34" s="22"/>
      <c r="J34" s="22" t="s">
        <v>913</v>
      </c>
      <c r="K34" s="22"/>
      <c r="L34" s="22" t="s">
        <v>920</v>
      </c>
      <c r="M34" s="22"/>
      <c r="N34" s="22" t="s">
        <v>954</v>
      </c>
      <c r="O34" s="22" t="s">
        <v>954</v>
      </c>
      <c r="P34" s="22" t="s">
        <v>953</v>
      </c>
      <c r="Q34" s="4" t="s">
        <v>1000</v>
      </c>
      <c r="R34" s="22" t="s">
        <v>953</v>
      </c>
      <c r="S34" t="s">
        <v>302</v>
      </c>
      <c r="T34" s="15" t="s">
        <v>961</v>
      </c>
      <c r="U34" s="15"/>
      <c r="V34" s="42"/>
      <c r="W34" s="46" t="s">
        <v>999</v>
      </c>
      <c r="X34" s="46" t="s">
        <v>953</v>
      </c>
      <c r="Y34" s="46" t="s">
        <v>953</v>
      </c>
      <c r="Z34" s="46" t="s">
        <v>953</v>
      </c>
      <c r="AA34" s="46" t="s">
        <v>999</v>
      </c>
      <c r="AB34" s="22" t="s">
        <v>954</v>
      </c>
      <c r="AC34" s="42" t="s">
        <v>985</v>
      </c>
      <c r="AD34" s="42" t="s">
        <v>986</v>
      </c>
      <c r="AE34" s="36" t="s">
        <v>942</v>
      </c>
      <c r="AF34" s="42"/>
      <c r="AG34" s="22" t="s">
        <v>954</v>
      </c>
      <c r="AH34" s="42" t="s">
        <v>942</v>
      </c>
      <c r="AI34" s="22" t="s">
        <v>950</v>
      </c>
      <c r="AJ34" s="22"/>
      <c r="AK34" s="22"/>
      <c r="AL34" s="22"/>
      <c r="AM34" s="22"/>
      <c r="AN34" s="22" t="s">
        <v>975</v>
      </c>
      <c r="AO34" s="44"/>
      <c r="AP34" s="44"/>
      <c r="AR34" s="5">
        <v>66029</v>
      </c>
      <c r="AS34" s="2" t="s">
        <v>2</v>
      </c>
      <c r="AT34" s="2">
        <v>2</v>
      </c>
      <c r="AU34" s="2"/>
      <c r="AV34" s="2">
        <v>2</v>
      </c>
      <c r="AX34" t="s">
        <v>242</v>
      </c>
      <c r="AY34" s="37" t="s">
        <v>953</v>
      </c>
      <c r="AZ34" s="10"/>
    </row>
    <row r="35" spans="1:53" ht="17.399999999999999" x14ac:dyDescent="0.3">
      <c r="A35" s="6">
        <v>40</v>
      </c>
      <c r="B35" t="s">
        <v>41</v>
      </c>
      <c r="C35" t="s">
        <v>89</v>
      </c>
      <c r="D35" s="13" t="s">
        <v>786</v>
      </c>
      <c r="E35" s="13" t="s">
        <v>807</v>
      </c>
      <c r="F35" s="13" t="str">
        <v>प्रसाद</v>
      </c>
      <c r="G35" s="22">
        <f t="shared" si="0"/>
        <v>1</v>
      </c>
      <c r="H35" s="22" t="s">
        <v>750</v>
      </c>
      <c r="I35" s="22"/>
      <c r="J35" s="22" t="s">
        <v>913</v>
      </c>
      <c r="K35" s="22"/>
      <c r="L35" s="22" t="s">
        <v>919</v>
      </c>
      <c r="M35" s="22"/>
      <c r="N35" s="22" t="s">
        <v>954</v>
      </c>
      <c r="O35" s="22" t="s">
        <v>954</v>
      </c>
      <c r="P35" s="22" t="s">
        <v>953</v>
      </c>
      <c r="Q35" s="4" t="s">
        <v>1000</v>
      </c>
      <c r="R35" s="22" t="s">
        <v>953</v>
      </c>
      <c r="S35" t="s">
        <v>267</v>
      </c>
      <c r="T35" s="15" t="s">
        <v>963</v>
      </c>
      <c r="U35" s="15"/>
      <c r="V35" s="42"/>
      <c r="W35" s="46" t="s">
        <v>953</v>
      </c>
      <c r="X35" s="46" t="s">
        <v>953</v>
      </c>
      <c r="Y35" s="46" t="s">
        <v>953</v>
      </c>
      <c r="Z35" s="46" t="s">
        <v>953</v>
      </c>
      <c r="AA35" s="46" t="s">
        <v>999</v>
      </c>
      <c r="AB35" s="22" t="s">
        <v>953</v>
      </c>
      <c r="AC35" s="45" t="s">
        <v>986</v>
      </c>
      <c r="AD35" s="42" t="s">
        <v>989</v>
      </c>
      <c r="AE35" s="36" t="s">
        <v>945</v>
      </c>
      <c r="AF35" s="42"/>
      <c r="AG35" s="22" t="s">
        <v>954</v>
      </c>
      <c r="AH35" s="42" t="s">
        <v>945</v>
      </c>
      <c r="AI35" s="22" t="s">
        <v>956</v>
      </c>
      <c r="AJ35" s="22"/>
      <c r="AK35" s="22"/>
      <c r="AL35" s="22"/>
      <c r="AM35" s="22"/>
      <c r="AN35" s="22" t="s">
        <v>970</v>
      </c>
      <c r="AO35" s="44"/>
      <c r="AP35" s="44"/>
      <c r="AR35" s="5">
        <v>66021</v>
      </c>
      <c r="AS35" s="2" t="s">
        <v>2</v>
      </c>
      <c r="AT35" s="2">
        <v>4</v>
      </c>
      <c r="AU35" s="2">
        <v>2</v>
      </c>
      <c r="AV35" s="2">
        <v>2</v>
      </c>
      <c r="AX35" t="s">
        <v>242</v>
      </c>
      <c r="AY35" s="37" t="s">
        <v>953</v>
      </c>
      <c r="AZ35" s="10"/>
    </row>
    <row r="36" spans="1:53" ht="17.399999999999999" x14ac:dyDescent="0.3">
      <c r="A36" s="6">
        <v>42</v>
      </c>
      <c r="B36" t="s">
        <v>43</v>
      </c>
      <c r="C36" t="s">
        <v>91</v>
      </c>
      <c r="D36" s="13" t="s">
        <v>830</v>
      </c>
      <c r="E36" s="13" t="s">
        <v>808</v>
      </c>
      <c r="F36" s="13" t="str">
        <v>भण्डारी</v>
      </c>
      <c r="G36" s="22">
        <f t="shared" si="0"/>
        <v>1</v>
      </c>
      <c r="H36" s="22" t="s">
        <v>750</v>
      </c>
      <c r="I36" s="22"/>
      <c r="J36" s="22" t="s">
        <v>913</v>
      </c>
      <c r="K36" s="22"/>
      <c r="L36" s="22" t="s">
        <v>920</v>
      </c>
      <c r="M36" s="22"/>
      <c r="N36" s="22" t="s">
        <v>953</v>
      </c>
      <c r="O36" s="22" t="s">
        <v>954</v>
      </c>
      <c r="P36" s="22" t="s">
        <v>953</v>
      </c>
      <c r="Q36" s="4" t="s">
        <v>1003</v>
      </c>
      <c r="R36" s="22" t="s">
        <v>954</v>
      </c>
      <c r="S36" t="s">
        <v>322</v>
      </c>
      <c r="T36" s="15" t="s">
        <v>964</v>
      </c>
      <c r="U36" s="15"/>
      <c r="V36" s="42"/>
      <c r="W36" s="46" t="s">
        <v>953</v>
      </c>
      <c r="X36" s="46" t="s">
        <v>953</v>
      </c>
      <c r="Y36" s="46" t="s">
        <v>953</v>
      </c>
      <c r="Z36" s="46" t="s">
        <v>953</v>
      </c>
      <c r="AA36" s="46" t="s">
        <v>953</v>
      </c>
      <c r="AB36" s="22" t="s">
        <v>953</v>
      </c>
      <c r="AC36" s="42" t="s">
        <v>986</v>
      </c>
      <c r="AD36" s="42" t="s">
        <v>987</v>
      </c>
      <c r="AE36" s="36" t="s">
        <v>944</v>
      </c>
      <c r="AF36" s="42"/>
      <c r="AG36" s="22" t="s">
        <v>954</v>
      </c>
      <c r="AH36" s="42" t="s">
        <v>944</v>
      </c>
      <c r="AI36" s="22" t="s">
        <v>956</v>
      </c>
      <c r="AJ36" s="22"/>
      <c r="AK36" s="22"/>
      <c r="AL36" s="22"/>
      <c r="AM36" s="22"/>
      <c r="AN36" s="22" t="s">
        <v>970</v>
      </c>
      <c r="AO36" s="44"/>
      <c r="AP36" s="44"/>
      <c r="AR36" s="5">
        <v>65972</v>
      </c>
      <c r="AS36" s="2" t="s">
        <v>2</v>
      </c>
      <c r="AT36" s="2">
        <v>3</v>
      </c>
      <c r="AU36" s="2">
        <v>2</v>
      </c>
      <c r="AV36" s="2">
        <v>1</v>
      </c>
      <c r="AX36" t="s">
        <v>242</v>
      </c>
      <c r="AY36" s="37" t="s">
        <v>953</v>
      </c>
      <c r="AZ36" s="10"/>
      <c r="BA36" t="s">
        <v>245</v>
      </c>
    </row>
    <row r="37" spans="1:53" ht="17.399999999999999" x14ac:dyDescent="0.3">
      <c r="A37" s="6">
        <v>43</v>
      </c>
      <c r="B37" t="s">
        <v>44</v>
      </c>
      <c r="C37" t="s">
        <v>92</v>
      </c>
      <c r="D37" s="13" t="s">
        <v>833</v>
      </c>
      <c r="E37" s="13" t="s">
        <v>775</v>
      </c>
      <c r="F37" s="13" t="str">
        <v>मगर</v>
      </c>
      <c r="G37" s="22">
        <f t="shared" si="0"/>
        <v>1</v>
      </c>
      <c r="H37" s="22" t="s">
        <v>762</v>
      </c>
      <c r="I37" s="22"/>
      <c r="J37" s="22" t="s">
        <v>913</v>
      </c>
      <c r="K37" s="22"/>
      <c r="L37" s="22" t="s">
        <v>920</v>
      </c>
      <c r="M37" s="22"/>
      <c r="N37" s="22" t="s">
        <v>954</v>
      </c>
      <c r="O37" s="22" t="s">
        <v>954</v>
      </c>
      <c r="P37" s="22" t="s">
        <v>954</v>
      </c>
      <c r="Q37" s="4" t="s">
        <v>1003</v>
      </c>
      <c r="R37" s="22" t="s">
        <v>953</v>
      </c>
      <c r="S37" t="s">
        <v>313</v>
      </c>
      <c r="T37" s="15" t="s">
        <v>965</v>
      </c>
      <c r="U37" s="15"/>
      <c r="V37" s="42"/>
      <c r="W37" s="46" t="s">
        <v>953</v>
      </c>
      <c r="X37" s="46" t="s">
        <v>953</v>
      </c>
      <c r="Y37" s="46" t="s">
        <v>953</v>
      </c>
      <c r="Z37" s="46" t="s">
        <v>953</v>
      </c>
      <c r="AA37" s="46" t="s">
        <v>953</v>
      </c>
      <c r="AB37" s="22" t="s">
        <v>953</v>
      </c>
      <c r="AC37" s="42" t="s">
        <v>987</v>
      </c>
      <c r="AD37" s="42" t="s">
        <v>987</v>
      </c>
      <c r="AE37" s="36" t="s">
        <v>944</v>
      </c>
      <c r="AF37" s="42"/>
      <c r="AG37" s="22" t="s">
        <v>954</v>
      </c>
      <c r="AH37" s="42" t="s">
        <v>944</v>
      </c>
      <c r="AI37" s="22" t="s">
        <v>960</v>
      </c>
      <c r="AJ37" s="22"/>
      <c r="AK37" s="22"/>
      <c r="AL37" s="22"/>
      <c r="AM37" s="22"/>
      <c r="AN37" s="22" t="s">
        <v>970</v>
      </c>
      <c r="AO37" s="44"/>
      <c r="AP37" s="44"/>
      <c r="AQ37" t="s">
        <v>115</v>
      </c>
      <c r="AR37" s="5">
        <v>65949</v>
      </c>
      <c r="AS37" s="2" t="s">
        <v>2</v>
      </c>
      <c r="AT37" s="2">
        <v>4</v>
      </c>
      <c r="AU37" s="2">
        <v>2</v>
      </c>
      <c r="AV37" s="2">
        <v>2</v>
      </c>
      <c r="AX37" t="s">
        <v>242</v>
      </c>
      <c r="AY37" s="37" t="s">
        <v>953</v>
      </c>
      <c r="AZ37" s="10"/>
    </row>
    <row r="38" spans="1:53" ht="17.399999999999999" x14ac:dyDescent="0.3">
      <c r="A38" s="6">
        <v>45</v>
      </c>
      <c r="B38" t="s">
        <v>46</v>
      </c>
      <c r="C38" t="s">
        <v>94</v>
      </c>
      <c r="D38" s="13" t="s">
        <v>834</v>
      </c>
      <c r="E38" s="13" t="s">
        <v>825</v>
      </c>
      <c r="F38" s="13" t="str">
        <v>कडेल</v>
      </c>
      <c r="G38" s="22">
        <f t="shared" si="0"/>
        <v>1</v>
      </c>
      <c r="H38" s="22" t="s">
        <v>760</v>
      </c>
      <c r="I38" s="22"/>
      <c r="J38" s="22" t="s">
        <v>913</v>
      </c>
      <c r="K38" s="22"/>
      <c r="L38" s="22" t="s">
        <v>920</v>
      </c>
      <c r="M38" s="22"/>
      <c r="N38" s="22" t="s">
        <v>954</v>
      </c>
      <c r="O38" s="22" t="s">
        <v>954</v>
      </c>
      <c r="P38" s="22" t="s">
        <v>953</v>
      </c>
      <c r="Q38" s="4" t="s">
        <v>1000</v>
      </c>
      <c r="R38" s="22" t="s">
        <v>953</v>
      </c>
      <c r="S38" t="s">
        <v>308</v>
      </c>
      <c r="T38" s="15" t="s">
        <v>963</v>
      </c>
      <c r="U38" s="15"/>
      <c r="V38" s="42"/>
      <c r="W38" s="46" t="s">
        <v>999</v>
      </c>
      <c r="X38" s="46" t="s">
        <v>953</v>
      </c>
      <c r="Y38" s="46" t="s">
        <v>953</v>
      </c>
      <c r="Z38" s="46" t="s">
        <v>953</v>
      </c>
      <c r="AA38" s="46" t="s">
        <v>999</v>
      </c>
      <c r="AB38" s="22" t="s">
        <v>953</v>
      </c>
      <c r="AC38" s="42" t="s">
        <v>986</v>
      </c>
      <c r="AD38" s="42" t="s">
        <v>987</v>
      </c>
      <c r="AE38" s="22" t="s">
        <v>944</v>
      </c>
      <c r="AF38" s="42"/>
      <c r="AG38" s="22" t="s">
        <v>954</v>
      </c>
      <c r="AH38" s="42" t="s">
        <v>944</v>
      </c>
      <c r="AI38" s="22" t="s">
        <v>957</v>
      </c>
      <c r="AJ38" s="22"/>
      <c r="AK38" s="22"/>
      <c r="AL38" s="22"/>
      <c r="AM38" s="22"/>
      <c r="AN38" s="22" t="s">
        <v>973</v>
      </c>
      <c r="AO38" s="44"/>
      <c r="AP38" s="44"/>
      <c r="AQ38" t="s">
        <v>113</v>
      </c>
      <c r="AR38" s="5">
        <v>65858</v>
      </c>
      <c r="AS38" s="2" t="s">
        <v>2</v>
      </c>
      <c r="AT38" s="2">
        <v>5</v>
      </c>
      <c r="AU38" s="2">
        <v>2</v>
      </c>
      <c r="AV38" s="2">
        <v>3</v>
      </c>
      <c r="AX38" t="s">
        <v>242</v>
      </c>
      <c r="AY38" s="37" t="s">
        <v>953</v>
      </c>
      <c r="AZ38" s="10"/>
    </row>
    <row r="39" spans="1:53" ht="17.399999999999999" x14ac:dyDescent="0.3">
      <c r="A39" s="6">
        <v>46</v>
      </c>
      <c r="B39" t="s">
        <v>47</v>
      </c>
      <c r="C39" t="s">
        <v>95</v>
      </c>
      <c r="D39" s="13" t="s">
        <v>837</v>
      </c>
      <c r="E39" s="13" t="s">
        <v>825</v>
      </c>
      <c r="F39" s="13" t="str">
        <v>थापा</v>
      </c>
      <c r="G39" s="22">
        <f t="shared" si="0"/>
        <v>3</v>
      </c>
      <c r="H39" s="22" t="s">
        <v>750</v>
      </c>
      <c r="I39" s="22"/>
      <c r="J39" s="22" t="s">
        <v>913</v>
      </c>
      <c r="K39" s="22"/>
      <c r="L39" s="22" t="s">
        <v>920</v>
      </c>
      <c r="M39" s="22"/>
      <c r="N39" s="22" t="s">
        <v>954</v>
      </c>
      <c r="O39" s="22" t="s">
        <v>954</v>
      </c>
      <c r="P39" s="22" t="s">
        <v>953</v>
      </c>
      <c r="Q39" s="4" t="s">
        <v>1000</v>
      </c>
      <c r="R39" s="22" t="s">
        <v>953</v>
      </c>
      <c r="S39" t="s">
        <v>268</v>
      </c>
      <c r="T39" s="15" t="s">
        <v>963</v>
      </c>
      <c r="U39" s="15"/>
      <c r="V39" s="42"/>
      <c r="W39" s="46" t="s">
        <v>953</v>
      </c>
      <c r="X39" s="46" t="s">
        <v>953</v>
      </c>
      <c r="Y39" s="46" t="s">
        <v>953</v>
      </c>
      <c r="Z39" s="46" t="s">
        <v>953</v>
      </c>
      <c r="AA39" s="46" t="s">
        <v>953</v>
      </c>
      <c r="AB39" s="22" t="s">
        <v>954</v>
      </c>
      <c r="AC39" s="42" t="s">
        <v>988</v>
      </c>
      <c r="AD39" s="42" t="s">
        <v>988</v>
      </c>
      <c r="AE39" s="22" t="s">
        <v>949</v>
      </c>
      <c r="AF39" s="42"/>
      <c r="AG39" s="22" t="s">
        <v>954</v>
      </c>
      <c r="AH39" s="42" t="s">
        <v>949</v>
      </c>
      <c r="AI39" s="22" t="s">
        <v>958</v>
      </c>
      <c r="AJ39" s="22"/>
      <c r="AK39" s="22"/>
      <c r="AL39" s="22"/>
      <c r="AM39" s="22"/>
      <c r="AN39" s="22" t="s">
        <v>973</v>
      </c>
      <c r="AO39" s="44"/>
      <c r="AP39" s="44"/>
      <c r="AQ39" t="s">
        <v>112</v>
      </c>
      <c r="AR39" s="5">
        <v>65840</v>
      </c>
      <c r="AS39" s="2" t="s">
        <v>2</v>
      </c>
      <c r="AT39" s="2">
        <v>4</v>
      </c>
      <c r="AU39" s="2">
        <v>3</v>
      </c>
      <c r="AV39" s="2">
        <v>1</v>
      </c>
      <c r="AX39" t="s">
        <v>242</v>
      </c>
      <c r="AY39" s="37" t="s">
        <v>953</v>
      </c>
      <c r="AZ39" s="10"/>
    </row>
    <row r="40" spans="1:53" ht="17.399999999999999" x14ac:dyDescent="0.3">
      <c r="A40" s="6">
        <v>48</v>
      </c>
      <c r="B40" t="s">
        <v>49</v>
      </c>
      <c r="C40" t="s">
        <v>97</v>
      </c>
      <c r="D40" s="13" t="s">
        <v>838</v>
      </c>
      <c r="E40" s="13" t="s">
        <v>774</v>
      </c>
      <c r="F40" s="13" t="str">
        <v>मल्ल</v>
      </c>
      <c r="G40" s="22">
        <f t="shared" si="0"/>
        <v>1</v>
      </c>
      <c r="H40" s="22" t="s">
        <v>762</v>
      </c>
      <c r="I40" s="22"/>
      <c r="J40" s="22" t="s">
        <v>913</v>
      </c>
      <c r="K40" s="22"/>
      <c r="L40" s="22" t="s">
        <v>918</v>
      </c>
      <c r="M40" s="22"/>
      <c r="N40" s="22" t="s">
        <v>954</v>
      </c>
      <c r="O40" s="22" t="s">
        <v>954</v>
      </c>
      <c r="P40" s="22" t="s">
        <v>953</v>
      </c>
      <c r="Q40" s="4" t="s">
        <v>1000</v>
      </c>
      <c r="R40" s="22" t="s">
        <v>953</v>
      </c>
      <c r="S40" t="s">
        <v>317</v>
      </c>
      <c r="T40" s="15" t="s">
        <v>962</v>
      </c>
      <c r="U40" s="15"/>
      <c r="V40" s="42"/>
      <c r="W40" s="46" t="s">
        <v>999</v>
      </c>
      <c r="X40" s="46" t="s">
        <v>953</v>
      </c>
      <c r="Y40" s="46" t="s">
        <v>953</v>
      </c>
      <c r="Z40" s="46" t="s">
        <v>953</v>
      </c>
      <c r="AA40" s="46" t="s">
        <v>999</v>
      </c>
      <c r="AB40" s="22" t="s">
        <v>953</v>
      </c>
      <c r="AC40" s="45" t="s">
        <v>987</v>
      </c>
      <c r="AD40" s="42" t="s">
        <v>987</v>
      </c>
      <c r="AE40" s="36" t="s">
        <v>945</v>
      </c>
      <c r="AF40" s="42"/>
      <c r="AG40" s="22" t="s">
        <v>954</v>
      </c>
      <c r="AH40" s="42" t="s">
        <v>945</v>
      </c>
      <c r="AI40" s="22" t="s">
        <v>956</v>
      </c>
      <c r="AJ40" s="22"/>
      <c r="AK40" s="22"/>
      <c r="AL40" s="22"/>
      <c r="AM40" s="22"/>
      <c r="AN40" s="22" t="s">
        <v>969</v>
      </c>
      <c r="AO40" s="44"/>
      <c r="AP40" s="44"/>
      <c r="AQ40" t="s">
        <v>110</v>
      </c>
      <c r="AR40" s="5">
        <v>65825</v>
      </c>
      <c r="AS40" s="2" t="s">
        <v>2</v>
      </c>
      <c r="AT40" s="2">
        <v>4</v>
      </c>
      <c r="AU40" s="2">
        <v>3</v>
      </c>
      <c r="AV40" s="2">
        <v>1</v>
      </c>
      <c r="AX40" t="s">
        <v>242</v>
      </c>
      <c r="AY40" s="37" t="s">
        <v>953</v>
      </c>
      <c r="AZ40" s="10"/>
    </row>
    <row r="41" spans="1:53" ht="17.399999999999999" x14ac:dyDescent="0.3">
      <c r="A41" s="6">
        <v>50</v>
      </c>
      <c r="B41" t="s">
        <v>51</v>
      </c>
      <c r="C41" t="s">
        <v>99</v>
      </c>
      <c r="D41" s="13" t="s">
        <v>840</v>
      </c>
      <c r="E41" s="13" t="s">
        <v>825</v>
      </c>
      <c r="F41" s="13" t="str">
        <v>क्षेत्री</v>
      </c>
      <c r="G41" s="22">
        <f t="shared" si="0"/>
        <v>1</v>
      </c>
      <c r="H41" s="22" t="s">
        <v>750</v>
      </c>
      <c r="I41" s="22"/>
      <c r="J41" s="22" t="s">
        <v>913</v>
      </c>
      <c r="K41" s="22"/>
      <c r="L41" s="22" t="s">
        <v>920</v>
      </c>
      <c r="M41" s="22"/>
      <c r="N41" s="22" t="s">
        <v>954</v>
      </c>
      <c r="O41" s="22" t="s">
        <v>954</v>
      </c>
      <c r="P41" s="22" t="s">
        <v>953</v>
      </c>
      <c r="Q41" s="4" t="s">
        <v>1001</v>
      </c>
      <c r="R41" s="22" t="s">
        <v>954</v>
      </c>
      <c r="S41" t="s">
        <v>321</v>
      </c>
      <c r="T41" s="15" t="s">
        <v>964</v>
      </c>
      <c r="U41" s="15"/>
      <c r="V41" s="42"/>
      <c r="W41" s="46" t="s">
        <v>953</v>
      </c>
      <c r="X41" s="46" t="s">
        <v>953</v>
      </c>
      <c r="Y41" s="46" t="s">
        <v>953</v>
      </c>
      <c r="Z41" s="46" t="s">
        <v>953</v>
      </c>
      <c r="AA41" s="46" t="s">
        <v>953</v>
      </c>
      <c r="AB41" s="22" t="s">
        <v>953</v>
      </c>
      <c r="AC41" s="42" t="s">
        <v>988</v>
      </c>
      <c r="AD41" s="42" t="s">
        <v>988</v>
      </c>
      <c r="AE41" s="22" t="s">
        <v>944</v>
      </c>
      <c r="AF41" s="42"/>
      <c r="AG41" s="22" t="s">
        <v>954</v>
      </c>
      <c r="AH41" s="42" t="s">
        <v>944</v>
      </c>
      <c r="AI41" s="22" t="s">
        <v>957</v>
      </c>
      <c r="AJ41" s="22"/>
      <c r="AK41" s="22"/>
      <c r="AL41" s="22"/>
      <c r="AM41" s="22"/>
      <c r="AN41" s="22" t="s">
        <v>970</v>
      </c>
      <c r="AO41" s="44"/>
      <c r="AP41" s="44"/>
      <c r="AQ41" t="s">
        <v>108</v>
      </c>
      <c r="AR41" s="5">
        <v>65762</v>
      </c>
      <c r="AS41" s="2" t="s">
        <v>2</v>
      </c>
      <c r="AT41" s="2">
        <v>2</v>
      </c>
      <c r="AU41" s="2">
        <v>1</v>
      </c>
      <c r="AV41" s="2">
        <v>1</v>
      </c>
      <c r="AX41" t="s">
        <v>242</v>
      </c>
      <c r="AY41" s="37" t="s">
        <v>953</v>
      </c>
      <c r="AZ41" s="10"/>
    </row>
    <row r="42" spans="1:53" ht="17.399999999999999" x14ac:dyDescent="0.3">
      <c r="A42" s="6">
        <v>51</v>
      </c>
      <c r="B42" t="s">
        <v>116</v>
      </c>
      <c r="C42" t="s">
        <v>165</v>
      </c>
      <c r="D42" s="13" t="s">
        <v>848</v>
      </c>
      <c r="E42" s="13" t="s">
        <v>849</v>
      </c>
      <c r="F42" s="13" t="str">
        <v>गौतम</v>
      </c>
      <c r="G42" s="22">
        <f t="shared" si="0"/>
        <v>2</v>
      </c>
      <c r="H42" s="22" t="s">
        <v>760</v>
      </c>
      <c r="I42" s="22"/>
      <c r="J42" s="22" t="s">
        <v>913</v>
      </c>
      <c r="K42" s="22"/>
      <c r="L42" s="22" t="s">
        <v>919</v>
      </c>
      <c r="M42" s="22"/>
      <c r="N42" s="22" t="s">
        <v>954</v>
      </c>
      <c r="O42" s="22" t="s">
        <v>954</v>
      </c>
      <c r="P42" s="22" t="s">
        <v>953</v>
      </c>
      <c r="Q42" s="4" t="s">
        <v>1000</v>
      </c>
      <c r="R42" s="22" t="s">
        <v>953</v>
      </c>
      <c r="S42" t="s">
        <v>305</v>
      </c>
      <c r="T42" s="15" t="s">
        <v>964</v>
      </c>
      <c r="U42" s="15"/>
      <c r="V42" s="42"/>
      <c r="W42" s="46" t="s">
        <v>999</v>
      </c>
      <c r="X42" s="46" t="s">
        <v>953</v>
      </c>
      <c r="Y42" s="46" t="s">
        <v>953</v>
      </c>
      <c r="Z42" s="46" t="s">
        <v>953</v>
      </c>
      <c r="AA42" s="46" t="s">
        <v>999</v>
      </c>
      <c r="AB42" s="22" t="s">
        <v>953</v>
      </c>
      <c r="AC42" s="42" t="s">
        <v>988</v>
      </c>
      <c r="AD42" s="42" t="s">
        <v>988</v>
      </c>
      <c r="AE42" s="36" t="s">
        <v>949</v>
      </c>
      <c r="AF42" s="42"/>
      <c r="AG42" s="22" t="s">
        <v>954</v>
      </c>
      <c r="AH42" s="42" t="s">
        <v>949</v>
      </c>
      <c r="AI42" s="22" t="s">
        <v>958</v>
      </c>
      <c r="AJ42" s="22"/>
      <c r="AK42" s="22"/>
      <c r="AL42" s="22"/>
      <c r="AM42" s="22"/>
      <c r="AN42" s="22" t="s">
        <v>972</v>
      </c>
      <c r="AO42" s="44"/>
      <c r="AP42" s="44"/>
      <c r="AQ42" t="s">
        <v>215</v>
      </c>
      <c r="AR42" s="5">
        <v>65736</v>
      </c>
      <c r="AS42" s="2" t="s">
        <v>2</v>
      </c>
      <c r="AT42" s="2">
        <v>3</v>
      </c>
      <c r="AU42" s="2">
        <v>2</v>
      </c>
      <c r="AV42" s="2">
        <v>1</v>
      </c>
      <c r="AX42" t="s">
        <v>242</v>
      </c>
      <c r="AY42" s="37" t="s">
        <v>953</v>
      </c>
      <c r="AZ42" s="10"/>
    </row>
    <row r="43" spans="1:53" ht="17.399999999999999" x14ac:dyDescent="0.3">
      <c r="A43" s="6">
        <v>52</v>
      </c>
      <c r="B43" t="s">
        <v>117</v>
      </c>
      <c r="C43" s="1" t="s">
        <v>166</v>
      </c>
      <c r="D43" s="13" t="s">
        <v>850</v>
      </c>
      <c r="E43" s="13" t="s">
        <v>811</v>
      </c>
      <c r="F43" s="13" t="str">
        <v>बासकोटा</v>
      </c>
      <c r="G43" s="22">
        <f t="shared" si="0"/>
        <v>1</v>
      </c>
      <c r="H43" s="22" t="s">
        <v>760</v>
      </c>
      <c r="I43" s="22"/>
      <c r="J43" s="22" t="s">
        <v>913</v>
      </c>
      <c r="K43" s="22"/>
      <c r="L43" s="22" t="s">
        <v>919</v>
      </c>
      <c r="M43" s="22"/>
      <c r="N43" s="22" t="s">
        <v>954</v>
      </c>
      <c r="O43" s="22" t="s">
        <v>954</v>
      </c>
      <c r="P43" s="22" t="s">
        <v>954</v>
      </c>
      <c r="Q43" s="4" t="s">
        <v>1003</v>
      </c>
      <c r="R43" s="22" t="s">
        <v>953</v>
      </c>
      <c r="S43" t="s">
        <v>309</v>
      </c>
      <c r="T43" s="15" t="s">
        <v>965</v>
      </c>
      <c r="U43" s="15"/>
      <c r="V43" s="42"/>
      <c r="W43" s="46" t="s">
        <v>953</v>
      </c>
      <c r="X43" s="46" t="s">
        <v>953</v>
      </c>
      <c r="Y43" s="46" t="s">
        <v>953</v>
      </c>
      <c r="Z43" s="46" t="s">
        <v>953</v>
      </c>
      <c r="AA43" s="46" t="s">
        <v>953</v>
      </c>
      <c r="AB43" s="22" t="s">
        <v>953</v>
      </c>
      <c r="AC43" s="45" t="s">
        <v>987</v>
      </c>
      <c r="AD43" s="42" t="s">
        <v>989</v>
      </c>
      <c r="AE43" s="36" t="s">
        <v>945</v>
      </c>
      <c r="AF43" s="42"/>
      <c r="AG43" s="22" t="s">
        <v>954</v>
      </c>
      <c r="AH43" s="42" t="s">
        <v>945</v>
      </c>
      <c r="AI43" s="22" t="s">
        <v>956</v>
      </c>
      <c r="AJ43" s="22"/>
      <c r="AK43" s="22"/>
      <c r="AL43" s="22"/>
      <c r="AM43" s="22"/>
      <c r="AN43" s="22" t="s">
        <v>975</v>
      </c>
      <c r="AO43" s="44"/>
      <c r="AP43" s="44"/>
      <c r="AR43" s="5">
        <v>65695</v>
      </c>
      <c r="AS43" s="2" t="s">
        <v>2</v>
      </c>
      <c r="AT43" s="2">
        <v>4</v>
      </c>
      <c r="AU43" s="2">
        <v>2</v>
      </c>
      <c r="AV43" s="2">
        <v>2</v>
      </c>
      <c r="AX43" t="s">
        <v>242</v>
      </c>
      <c r="AY43" s="37" t="s">
        <v>953</v>
      </c>
      <c r="AZ43" s="10"/>
    </row>
    <row r="44" spans="1:53" ht="17.399999999999999" x14ac:dyDescent="0.3">
      <c r="A44" s="6">
        <v>53</v>
      </c>
      <c r="B44" t="s">
        <v>118</v>
      </c>
      <c r="C44" t="s">
        <v>167</v>
      </c>
      <c r="D44" s="13" t="s">
        <v>851</v>
      </c>
      <c r="E44" s="13" t="s">
        <v>852</v>
      </c>
      <c r="F44" s="13" t="str">
        <v>चुडाल</v>
      </c>
      <c r="G44" s="22">
        <f t="shared" si="0"/>
        <v>1</v>
      </c>
      <c r="H44" s="22" t="s">
        <v>760</v>
      </c>
      <c r="I44" s="22"/>
      <c r="J44" s="22" t="s">
        <v>913</v>
      </c>
      <c r="K44" s="22"/>
      <c r="L44" s="22" t="s">
        <v>920</v>
      </c>
      <c r="M44" s="22"/>
      <c r="N44" s="22" t="s">
        <v>954</v>
      </c>
      <c r="O44" s="22" t="s">
        <v>954</v>
      </c>
      <c r="P44" s="22" t="s">
        <v>953</v>
      </c>
      <c r="Q44" s="4" t="s">
        <v>1000</v>
      </c>
      <c r="R44" s="22" t="s">
        <v>953</v>
      </c>
      <c r="S44" t="s">
        <v>310</v>
      </c>
      <c r="T44" s="15" t="s">
        <v>963</v>
      </c>
      <c r="U44" s="15"/>
      <c r="V44" s="42"/>
      <c r="W44" s="46" t="s">
        <v>953</v>
      </c>
      <c r="X44" s="46" t="s">
        <v>953</v>
      </c>
      <c r="Y44" s="46" t="s">
        <v>953</v>
      </c>
      <c r="Z44" s="46" t="s">
        <v>953</v>
      </c>
      <c r="AA44" s="46" t="s">
        <v>999</v>
      </c>
      <c r="AB44" s="22" t="s">
        <v>953</v>
      </c>
      <c r="AC44" s="45" t="s">
        <v>988</v>
      </c>
      <c r="AD44" s="42" t="s">
        <v>990</v>
      </c>
      <c r="AE44" s="36" t="s">
        <v>945</v>
      </c>
      <c r="AF44" s="42"/>
      <c r="AG44" s="22" t="s">
        <v>954</v>
      </c>
      <c r="AH44" s="42" t="s">
        <v>945</v>
      </c>
      <c r="AI44" s="22" t="s">
        <v>960</v>
      </c>
      <c r="AJ44" s="22"/>
      <c r="AK44" s="22"/>
      <c r="AL44" s="22"/>
      <c r="AM44" s="22"/>
      <c r="AN44" s="22" t="s">
        <v>970</v>
      </c>
      <c r="AO44" s="44"/>
      <c r="AP44" s="44"/>
      <c r="AR44" s="5">
        <v>65644</v>
      </c>
      <c r="AS44" s="2" t="s">
        <v>2</v>
      </c>
      <c r="AT44" s="2">
        <v>3</v>
      </c>
      <c r="AU44" s="2">
        <v>1</v>
      </c>
      <c r="AV44" s="2">
        <v>2</v>
      </c>
      <c r="AX44" t="s">
        <v>242</v>
      </c>
      <c r="AY44" s="37" t="s">
        <v>953</v>
      </c>
      <c r="AZ44" s="10"/>
      <c r="BA44" t="s">
        <v>245</v>
      </c>
    </row>
    <row r="45" spans="1:53" ht="17.399999999999999" x14ac:dyDescent="0.3">
      <c r="A45" s="6">
        <v>54</v>
      </c>
      <c r="B45" t="s">
        <v>119</v>
      </c>
      <c r="C45" t="s">
        <v>168</v>
      </c>
      <c r="D45" s="13" t="s">
        <v>853</v>
      </c>
      <c r="E45" s="13" t="s">
        <v>814</v>
      </c>
      <c r="F45" s="13" t="str">
        <v>बुढथोकी</v>
      </c>
      <c r="G45" s="22">
        <f t="shared" si="0"/>
        <v>1</v>
      </c>
      <c r="H45" s="22" t="s">
        <v>750</v>
      </c>
      <c r="I45" s="22"/>
      <c r="J45" s="22" t="s">
        <v>913</v>
      </c>
      <c r="K45" s="22"/>
      <c r="L45" s="22" t="s">
        <v>920</v>
      </c>
      <c r="M45" s="22"/>
      <c r="N45" s="22" t="s">
        <v>953</v>
      </c>
      <c r="O45" s="22" t="s">
        <v>954</v>
      </c>
      <c r="P45" s="22" t="s">
        <v>953</v>
      </c>
      <c r="Q45" s="4" t="s">
        <v>1000</v>
      </c>
      <c r="R45" s="22" t="s">
        <v>953</v>
      </c>
      <c r="S45" t="s">
        <v>324</v>
      </c>
      <c r="T45" s="15" t="s">
        <v>962</v>
      </c>
      <c r="U45" s="15"/>
      <c r="V45" s="42"/>
      <c r="W45" s="46" t="s">
        <v>953</v>
      </c>
      <c r="X45" s="46" t="s">
        <v>953</v>
      </c>
      <c r="Y45" s="46" t="s">
        <v>953</v>
      </c>
      <c r="Z45" s="46" t="s">
        <v>953</v>
      </c>
      <c r="AA45" s="46" t="s">
        <v>999</v>
      </c>
      <c r="AB45" s="22" t="s">
        <v>953</v>
      </c>
      <c r="AC45" s="42" t="s">
        <v>990</v>
      </c>
      <c r="AD45" s="42" t="s">
        <v>990</v>
      </c>
      <c r="AE45" s="36" t="s">
        <v>951</v>
      </c>
      <c r="AF45" s="42"/>
      <c r="AG45" s="22" t="s">
        <v>954</v>
      </c>
      <c r="AH45" s="42" t="s">
        <v>951</v>
      </c>
      <c r="AI45" s="22" t="s">
        <v>960</v>
      </c>
      <c r="AJ45" s="22"/>
      <c r="AK45" s="22"/>
      <c r="AL45" s="22"/>
      <c r="AM45" s="22"/>
      <c r="AN45" s="22" t="s">
        <v>975</v>
      </c>
      <c r="AO45" s="44"/>
      <c r="AP45" s="44"/>
      <c r="AR45" s="5">
        <v>65631</v>
      </c>
      <c r="AS45" s="2" t="s">
        <v>2</v>
      </c>
      <c r="AT45" s="2">
        <v>4</v>
      </c>
      <c r="AU45" s="2">
        <v>3</v>
      </c>
      <c r="AV45" s="2">
        <v>1</v>
      </c>
      <c r="AX45" t="s">
        <v>242</v>
      </c>
      <c r="AY45" s="37" t="s">
        <v>953</v>
      </c>
      <c r="AZ45" s="10"/>
      <c r="BA45" t="s">
        <v>245</v>
      </c>
    </row>
    <row r="46" spans="1:53" ht="17.399999999999999" x14ac:dyDescent="0.3">
      <c r="A46" s="6">
        <v>55</v>
      </c>
      <c r="B46" t="s">
        <v>120</v>
      </c>
      <c r="C46" t="s">
        <v>169</v>
      </c>
      <c r="D46" s="13" t="s">
        <v>854</v>
      </c>
      <c r="E46" s="13" t="s">
        <v>855</v>
      </c>
      <c r="F46" s="13" t="str">
        <v>तामाङ</v>
      </c>
      <c r="G46" s="22">
        <f t="shared" si="0"/>
        <v>1</v>
      </c>
      <c r="H46" s="22" t="s">
        <v>762</v>
      </c>
      <c r="I46" s="22"/>
      <c r="J46" s="22" t="s">
        <v>914</v>
      </c>
      <c r="K46" s="22"/>
      <c r="L46" s="22" t="s">
        <v>919</v>
      </c>
      <c r="M46" s="22"/>
      <c r="N46" s="22" t="s">
        <v>954</v>
      </c>
      <c r="O46" s="22" t="s">
        <v>954</v>
      </c>
      <c r="P46" s="22" t="s">
        <v>954</v>
      </c>
      <c r="Q46" s="4" t="s">
        <v>1003</v>
      </c>
      <c r="R46" s="22" t="s">
        <v>953</v>
      </c>
      <c r="S46" t="s">
        <v>326</v>
      </c>
      <c r="T46" s="15" t="s">
        <v>965</v>
      </c>
      <c r="U46" s="15"/>
      <c r="V46" s="42"/>
      <c r="W46" s="46" t="s">
        <v>953</v>
      </c>
      <c r="X46" s="46" t="s">
        <v>953</v>
      </c>
      <c r="Y46" s="46" t="s">
        <v>953</v>
      </c>
      <c r="Z46" s="46" t="s">
        <v>953</v>
      </c>
      <c r="AA46" s="46" t="s">
        <v>953</v>
      </c>
      <c r="AB46" s="22" t="s">
        <v>954</v>
      </c>
      <c r="AC46" s="42" t="s">
        <v>989</v>
      </c>
      <c r="AD46" s="42" t="s">
        <v>989</v>
      </c>
      <c r="AE46" s="36" t="s">
        <v>949</v>
      </c>
      <c r="AF46" s="42"/>
      <c r="AG46" s="22" t="s">
        <v>954</v>
      </c>
      <c r="AH46" s="42" t="s">
        <v>949</v>
      </c>
      <c r="AI46" s="22" t="s">
        <v>958</v>
      </c>
      <c r="AJ46" s="22"/>
      <c r="AK46" s="22"/>
      <c r="AL46" s="22"/>
      <c r="AM46" s="22"/>
      <c r="AN46" s="22" t="s">
        <v>973</v>
      </c>
      <c r="AO46" s="44"/>
      <c r="AP46" s="44"/>
      <c r="AR46" s="5">
        <v>65631</v>
      </c>
      <c r="AS46" s="2" t="s">
        <v>2</v>
      </c>
      <c r="AT46" s="2">
        <v>7</v>
      </c>
      <c r="AU46" s="2">
        <v>5</v>
      </c>
      <c r="AV46" s="2">
        <v>2</v>
      </c>
      <c r="AX46" t="s">
        <v>242</v>
      </c>
      <c r="AY46" s="37" t="s">
        <v>953</v>
      </c>
      <c r="AZ46" s="10"/>
    </row>
    <row r="47" spans="1:53" ht="17.399999999999999" x14ac:dyDescent="0.3">
      <c r="A47" s="6">
        <v>56</v>
      </c>
      <c r="B47" t="s">
        <v>121</v>
      </c>
      <c r="C47" s="35" t="s">
        <v>170</v>
      </c>
      <c r="D47" s="13" t="s">
        <v>856</v>
      </c>
      <c r="E47" s="13" t="s">
        <v>825</v>
      </c>
      <c r="F47" s="13" t="str">
        <v>मिश्र</v>
      </c>
      <c r="G47" s="22">
        <f t="shared" si="0"/>
        <v>1</v>
      </c>
      <c r="H47" s="22" t="s">
        <v>760</v>
      </c>
      <c r="I47" s="22"/>
      <c r="J47" s="22" t="s">
        <v>913</v>
      </c>
      <c r="K47" s="22"/>
      <c r="L47" s="22" t="s">
        <v>920</v>
      </c>
      <c r="M47" s="22"/>
      <c r="N47" s="22" t="s">
        <v>954</v>
      </c>
      <c r="O47" s="22" t="s">
        <v>954</v>
      </c>
      <c r="P47" s="22" t="s">
        <v>953</v>
      </c>
      <c r="Q47" s="4" t="s">
        <v>1000</v>
      </c>
      <c r="R47" s="22" t="s">
        <v>953</v>
      </c>
      <c r="S47" t="s">
        <v>293</v>
      </c>
      <c r="T47" s="15" t="s">
        <v>963</v>
      </c>
      <c r="U47" s="15"/>
      <c r="V47" s="42"/>
      <c r="W47" s="46" t="s">
        <v>953</v>
      </c>
      <c r="X47" s="46" t="s">
        <v>953</v>
      </c>
      <c r="Y47" s="46" t="s">
        <v>953</v>
      </c>
      <c r="Z47" s="46" t="s">
        <v>953</v>
      </c>
      <c r="AA47" s="46" t="s">
        <v>999</v>
      </c>
      <c r="AB47" s="22" t="s">
        <v>953</v>
      </c>
      <c r="AC47" s="42" t="s">
        <v>986</v>
      </c>
      <c r="AD47" s="42" t="s">
        <v>987</v>
      </c>
      <c r="AE47" s="36" t="s">
        <v>944</v>
      </c>
      <c r="AF47" s="42"/>
      <c r="AG47" s="22" t="s">
        <v>954</v>
      </c>
      <c r="AH47" s="42" t="s">
        <v>944</v>
      </c>
      <c r="AI47" s="22" t="s">
        <v>960</v>
      </c>
      <c r="AJ47" s="22"/>
      <c r="AK47" s="22"/>
      <c r="AL47" s="22"/>
      <c r="AM47" s="22"/>
      <c r="AN47" s="22" t="s">
        <v>970</v>
      </c>
      <c r="AO47" s="44"/>
      <c r="AP47" s="44"/>
      <c r="AR47" s="5">
        <v>65582</v>
      </c>
      <c r="AS47" s="2" t="s">
        <v>2</v>
      </c>
      <c r="AT47" s="2">
        <v>3</v>
      </c>
      <c r="AU47" s="2">
        <v>1</v>
      </c>
      <c r="AV47" s="2">
        <v>2</v>
      </c>
      <c r="AX47" t="s">
        <v>242</v>
      </c>
      <c r="AY47" s="37" t="s">
        <v>953</v>
      </c>
      <c r="AZ47" s="10"/>
    </row>
    <row r="48" spans="1:53" ht="17.399999999999999" x14ac:dyDescent="0.3">
      <c r="A48" s="6">
        <v>57</v>
      </c>
      <c r="B48" t="s">
        <v>122</v>
      </c>
      <c r="C48" s="35" t="s">
        <v>171</v>
      </c>
      <c r="D48" s="13" t="s">
        <v>857</v>
      </c>
      <c r="E48" s="13" t="s">
        <v>817</v>
      </c>
      <c r="F48" s="13" t="str">
        <v>चौधरी</v>
      </c>
      <c r="G48" s="22">
        <f t="shared" si="0"/>
        <v>1</v>
      </c>
      <c r="H48" s="22" t="s">
        <v>762</v>
      </c>
      <c r="I48" s="22"/>
      <c r="J48" s="22" t="s">
        <v>913</v>
      </c>
      <c r="K48" s="22"/>
      <c r="L48" s="22" t="s">
        <v>920</v>
      </c>
      <c r="M48" s="22"/>
      <c r="N48" s="22" t="s">
        <v>954</v>
      </c>
      <c r="O48" s="22" t="s">
        <v>954</v>
      </c>
      <c r="P48" s="22" t="s">
        <v>953</v>
      </c>
      <c r="Q48" s="4" t="s">
        <v>1003</v>
      </c>
      <c r="R48" s="22" t="s">
        <v>953</v>
      </c>
      <c r="S48" t="s">
        <v>254</v>
      </c>
      <c r="T48" s="15" t="s">
        <v>964</v>
      </c>
      <c r="U48" s="15"/>
      <c r="V48" s="42"/>
      <c r="W48" s="46" t="s">
        <v>953</v>
      </c>
      <c r="X48" s="46" t="s">
        <v>953</v>
      </c>
      <c r="Y48" s="46" t="s">
        <v>953</v>
      </c>
      <c r="Z48" s="46" t="s">
        <v>953</v>
      </c>
      <c r="AA48" s="46" t="s">
        <v>999</v>
      </c>
      <c r="AB48" s="22" t="s">
        <v>953</v>
      </c>
      <c r="AC48" s="42" t="s">
        <v>988</v>
      </c>
      <c r="AD48" s="42" t="s">
        <v>988</v>
      </c>
      <c r="AE48" s="22" t="s">
        <v>949</v>
      </c>
      <c r="AF48" s="42"/>
      <c r="AG48" s="22" t="s">
        <v>954</v>
      </c>
      <c r="AH48" s="42" t="s">
        <v>949</v>
      </c>
      <c r="AI48" s="22" t="s">
        <v>958</v>
      </c>
      <c r="AJ48" s="22"/>
      <c r="AK48" s="22"/>
      <c r="AL48" s="22"/>
      <c r="AM48" s="22"/>
      <c r="AN48" s="22" t="s">
        <v>969</v>
      </c>
      <c r="AO48" s="44"/>
      <c r="AP48" s="44"/>
      <c r="AR48" s="5">
        <v>65533</v>
      </c>
      <c r="AS48" s="2" t="s">
        <v>2</v>
      </c>
      <c r="AT48" s="2">
        <v>5</v>
      </c>
      <c r="AU48" s="2">
        <v>2</v>
      </c>
      <c r="AV48" s="2">
        <v>3</v>
      </c>
      <c r="AX48" t="s">
        <v>242</v>
      </c>
      <c r="AY48" s="37" t="s">
        <v>953</v>
      </c>
      <c r="AZ48" s="10"/>
    </row>
    <row r="49" spans="1:53" ht="17.399999999999999" x14ac:dyDescent="0.3">
      <c r="A49" s="6">
        <v>58</v>
      </c>
      <c r="B49" t="s">
        <v>123</v>
      </c>
      <c r="C49" t="s">
        <v>172</v>
      </c>
      <c r="D49" s="13" t="s">
        <v>858</v>
      </c>
      <c r="E49" s="13" t="s">
        <v>817</v>
      </c>
      <c r="F49" s="13" t="str">
        <v>वराल</v>
      </c>
      <c r="G49" s="22">
        <f t="shared" si="0"/>
        <v>1</v>
      </c>
      <c r="H49" s="22" t="s">
        <v>760</v>
      </c>
      <c r="I49" s="22"/>
      <c r="J49" s="22" t="s">
        <v>913</v>
      </c>
      <c r="K49" s="22"/>
      <c r="L49" s="22" t="s">
        <v>920</v>
      </c>
      <c r="M49" s="22"/>
      <c r="N49" s="22" t="s">
        <v>954</v>
      </c>
      <c r="O49" s="22" t="s">
        <v>954</v>
      </c>
      <c r="P49" s="22" t="s">
        <v>953</v>
      </c>
      <c r="Q49" s="4" t="s">
        <v>1003</v>
      </c>
      <c r="R49" s="22" t="s">
        <v>953</v>
      </c>
      <c r="S49" t="s">
        <v>254</v>
      </c>
      <c r="T49" s="15" t="s">
        <v>965</v>
      </c>
      <c r="U49" s="15"/>
      <c r="V49" s="42"/>
      <c r="W49" s="46" t="s">
        <v>953</v>
      </c>
      <c r="X49" s="46" t="s">
        <v>953</v>
      </c>
      <c r="Y49" s="46" t="s">
        <v>953</v>
      </c>
      <c r="Z49" s="46" t="s">
        <v>953</v>
      </c>
      <c r="AA49" s="46" t="s">
        <v>999</v>
      </c>
      <c r="AB49" s="22" t="s">
        <v>953</v>
      </c>
      <c r="AC49" s="42" t="s">
        <v>988</v>
      </c>
      <c r="AD49" s="42" t="s">
        <v>988</v>
      </c>
      <c r="AE49" s="22" t="s">
        <v>950</v>
      </c>
      <c r="AF49" s="42"/>
      <c r="AG49" s="22" t="s">
        <v>954</v>
      </c>
      <c r="AH49" s="42" t="s">
        <v>950</v>
      </c>
      <c r="AI49" s="22" t="s">
        <v>950</v>
      </c>
      <c r="AJ49" s="22"/>
      <c r="AK49" s="22"/>
      <c r="AL49" s="22"/>
      <c r="AM49" s="22"/>
      <c r="AN49" s="22" t="s">
        <v>975</v>
      </c>
      <c r="AO49" s="44"/>
      <c r="AP49" s="44"/>
      <c r="AR49" s="5">
        <v>65527</v>
      </c>
      <c r="AS49" s="2" t="s">
        <v>2</v>
      </c>
      <c r="AT49" s="2">
        <v>5</v>
      </c>
      <c r="AU49" s="2">
        <v>3</v>
      </c>
      <c r="AV49" s="2">
        <v>2</v>
      </c>
      <c r="AX49" t="s">
        <v>242</v>
      </c>
      <c r="AY49" s="37" t="s">
        <v>953</v>
      </c>
      <c r="AZ49" s="10"/>
      <c r="BA49" t="s">
        <v>245</v>
      </c>
    </row>
    <row r="50" spans="1:53" ht="17.399999999999999" x14ac:dyDescent="0.3">
      <c r="A50" s="6">
        <v>60</v>
      </c>
      <c r="B50" t="s">
        <v>125</v>
      </c>
      <c r="C50" t="s">
        <v>174</v>
      </c>
      <c r="D50" s="13" t="s">
        <v>859</v>
      </c>
      <c r="E50" s="13" t="s">
        <v>818</v>
      </c>
      <c r="F50" s="13" t="str">
        <v>राई</v>
      </c>
      <c r="G50" s="22">
        <f t="shared" si="0"/>
        <v>1</v>
      </c>
      <c r="H50" s="22" t="s">
        <v>762</v>
      </c>
      <c r="I50" s="22"/>
      <c r="J50" s="22" t="s">
        <v>913</v>
      </c>
      <c r="K50" s="22"/>
      <c r="L50" s="22" t="s">
        <v>920</v>
      </c>
      <c r="M50" s="22"/>
      <c r="N50" s="22" t="s">
        <v>954</v>
      </c>
      <c r="O50" s="22" t="s">
        <v>954</v>
      </c>
      <c r="P50" s="22" t="s">
        <v>954</v>
      </c>
      <c r="Q50" s="4" t="s">
        <v>1003</v>
      </c>
      <c r="R50" s="22" t="s">
        <v>953</v>
      </c>
      <c r="S50" t="s">
        <v>296</v>
      </c>
      <c r="T50" s="15" t="s">
        <v>964</v>
      </c>
      <c r="U50" s="15"/>
      <c r="V50" s="42"/>
      <c r="W50" s="46" t="s">
        <v>953</v>
      </c>
      <c r="X50" s="46" t="s">
        <v>953</v>
      </c>
      <c r="Y50" s="46" t="s">
        <v>953</v>
      </c>
      <c r="Z50" s="46" t="s">
        <v>953</v>
      </c>
      <c r="AA50" s="46" t="s">
        <v>953</v>
      </c>
      <c r="AB50" s="22" t="s">
        <v>953</v>
      </c>
      <c r="AC50" s="42" t="s">
        <v>989</v>
      </c>
      <c r="AD50" s="42" t="s">
        <v>989</v>
      </c>
      <c r="AE50" s="36" t="s">
        <v>949</v>
      </c>
      <c r="AF50" s="42"/>
      <c r="AG50" s="22" t="s">
        <v>954</v>
      </c>
      <c r="AH50" s="42" t="s">
        <v>949</v>
      </c>
      <c r="AI50" s="22" t="s">
        <v>958</v>
      </c>
      <c r="AJ50" s="22"/>
      <c r="AK50" s="22"/>
      <c r="AL50" s="22"/>
      <c r="AM50" s="22"/>
      <c r="AN50" s="22" t="s">
        <v>973</v>
      </c>
      <c r="AO50" s="44"/>
      <c r="AP50" s="44"/>
      <c r="AR50" s="5">
        <v>65490</v>
      </c>
      <c r="AS50" s="2" t="s">
        <v>2</v>
      </c>
      <c r="AT50" s="2">
        <v>4</v>
      </c>
      <c r="AU50" s="2">
        <v>3</v>
      </c>
      <c r="AV50" s="2">
        <v>1</v>
      </c>
      <c r="AX50" t="s">
        <v>242</v>
      </c>
      <c r="AY50" s="37" t="s">
        <v>953</v>
      </c>
      <c r="AZ50" s="10"/>
    </row>
    <row r="51" spans="1:53" ht="17.399999999999999" x14ac:dyDescent="0.3">
      <c r="A51" s="6">
        <v>61</v>
      </c>
      <c r="B51" t="s">
        <v>126</v>
      </c>
      <c r="C51" t="s">
        <v>175</v>
      </c>
      <c r="D51" s="13" t="s">
        <v>860</v>
      </c>
      <c r="E51" s="13" t="s">
        <v>802</v>
      </c>
      <c r="F51" s="13" t="str">
        <v>डंगोल</v>
      </c>
      <c r="G51" s="22">
        <f t="shared" si="0"/>
        <v>1</v>
      </c>
      <c r="H51" s="22" t="s">
        <v>762</v>
      </c>
      <c r="I51" s="22"/>
      <c r="J51" s="22" t="s">
        <v>913</v>
      </c>
      <c r="K51" s="22"/>
      <c r="L51" s="22" t="s">
        <v>920</v>
      </c>
      <c r="M51" s="22"/>
      <c r="N51" s="22" t="s">
        <v>954</v>
      </c>
      <c r="O51" s="22" t="s">
        <v>954</v>
      </c>
      <c r="P51" s="22" t="s">
        <v>953</v>
      </c>
      <c r="Q51" s="4" t="s">
        <v>1003</v>
      </c>
      <c r="R51" s="22" t="s">
        <v>968</v>
      </c>
      <c r="S51" t="s">
        <v>294</v>
      </c>
      <c r="T51" s="15" t="s">
        <v>963</v>
      </c>
      <c r="U51" s="15"/>
      <c r="V51" s="42"/>
      <c r="W51" s="46" t="s">
        <v>953</v>
      </c>
      <c r="X51" s="46" t="s">
        <v>953</v>
      </c>
      <c r="Y51" s="46" t="s">
        <v>953</v>
      </c>
      <c r="Z51" s="46" t="s">
        <v>953</v>
      </c>
      <c r="AA51" s="46" t="s">
        <v>999</v>
      </c>
      <c r="AB51" s="22" t="s">
        <v>953</v>
      </c>
      <c r="AC51" s="42" t="s">
        <v>986</v>
      </c>
      <c r="AD51" s="42" t="s">
        <v>987</v>
      </c>
      <c r="AE51" s="22" t="s">
        <v>944</v>
      </c>
      <c r="AF51" s="42"/>
      <c r="AG51" s="22" t="s">
        <v>953</v>
      </c>
      <c r="AH51" s="42" t="s">
        <v>949</v>
      </c>
      <c r="AI51" s="22" t="s">
        <v>958</v>
      </c>
      <c r="AJ51" s="22"/>
      <c r="AK51" s="22"/>
      <c r="AL51" s="22"/>
      <c r="AM51" s="22"/>
      <c r="AN51" s="22" t="s">
        <v>973</v>
      </c>
      <c r="AO51" s="44"/>
      <c r="AP51" s="44"/>
      <c r="AR51" s="5">
        <v>65479</v>
      </c>
      <c r="AS51" s="2" t="s">
        <v>2</v>
      </c>
      <c r="AT51" s="2">
        <v>4</v>
      </c>
      <c r="AU51" s="2">
        <v>3</v>
      </c>
      <c r="AV51" s="2">
        <v>1</v>
      </c>
      <c r="AX51" t="s">
        <v>242</v>
      </c>
      <c r="AY51" s="37" t="s">
        <v>953</v>
      </c>
      <c r="AZ51" s="10"/>
    </row>
    <row r="52" spans="1:53" ht="17.399999999999999" x14ac:dyDescent="0.3">
      <c r="A52" s="6">
        <v>62</v>
      </c>
      <c r="B52" t="s">
        <v>127</v>
      </c>
      <c r="C52" t="s">
        <v>176</v>
      </c>
      <c r="D52" s="13" t="s">
        <v>858</v>
      </c>
      <c r="E52" s="13" t="s">
        <v>802</v>
      </c>
      <c r="F52" s="13" t="str">
        <v>चम्लागाई</v>
      </c>
      <c r="G52" s="22">
        <f t="shared" si="0"/>
        <v>1</v>
      </c>
      <c r="H52" s="22" t="s">
        <v>760</v>
      </c>
      <c r="I52" s="22"/>
      <c r="J52" s="22" t="s">
        <v>913</v>
      </c>
      <c r="K52" s="22"/>
      <c r="L52" s="22" t="s">
        <v>920</v>
      </c>
      <c r="M52" s="22"/>
      <c r="N52" s="22" t="s">
        <v>954</v>
      </c>
      <c r="O52" s="22" t="s">
        <v>954</v>
      </c>
      <c r="P52" s="22" t="s">
        <v>953</v>
      </c>
      <c r="Q52" s="4" t="s">
        <v>1000</v>
      </c>
      <c r="R52" s="22" t="s">
        <v>953</v>
      </c>
      <c r="S52" t="s">
        <v>294</v>
      </c>
      <c r="T52" s="15" t="s">
        <v>961</v>
      </c>
      <c r="U52" s="15"/>
      <c r="V52" s="42"/>
      <c r="W52" s="46" t="s">
        <v>953</v>
      </c>
      <c r="X52" s="46" t="s">
        <v>953</v>
      </c>
      <c r="Y52" s="46" t="s">
        <v>953</v>
      </c>
      <c r="Z52" s="46" t="s">
        <v>953</v>
      </c>
      <c r="AA52" s="46" t="s">
        <v>999</v>
      </c>
      <c r="AB52" s="22" t="s">
        <v>953</v>
      </c>
      <c r="AC52" s="42" t="s">
        <v>987</v>
      </c>
      <c r="AD52" s="42" t="s">
        <v>987</v>
      </c>
      <c r="AE52" s="22" t="s">
        <v>944</v>
      </c>
      <c r="AF52" s="42"/>
      <c r="AG52" s="22" t="s">
        <v>954</v>
      </c>
      <c r="AH52" s="42" t="s">
        <v>944</v>
      </c>
      <c r="AI52" s="22" t="s">
        <v>958</v>
      </c>
      <c r="AJ52" s="22"/>
      <c r="AK52" s="22"/>
      <c r="AL52" s="22"/>
      <c r="AM52" s="22"/>
      <c r="AN52" s="22" t="s">
        <v>970</v>
      </c>
      <c r="AO52" s="44"/>
      <c r="AP52" s="44"/>
      <c r="AR52" s="5">
        <v>65478</v>
      </c>
      <c r="AS52" s="2" t="s">
        <v>2</v>
      </c>
      <c r="AT52" s="2">
        <v>4</v>
      </c>
      <c r="AU52" s="2">
        <v>3</v>
      </c>
      <c r="AV52" s="2">
        <v>1</v>
      </c>
      <c r="AX52" t="s">
        <v>242</v>
      </c>
      <c r="AY52" s="37" t="s">
        <v>953</v>
      </c>
      <c r="AZ52" s="10"/>
      <c r="BA52" t="s">
        <v>245</v>
      </c>
    </row>
    <row r="53" spans="1:53" ht="17.399999999999999" x14ac:dyDescent="0.3">
      <c r="A53" s="6">
        <v>63</v>
      </c>
      <c r="B53" t="s">
        <v>128</v>
      </c>
      <c r="C53" t="s">
        <v>177</v>
      </c>
      <c r="D53" s="13" t="s">
        <v>861</v>
      </c>
      <c r="E53" s="13" t="s">
        <v>764</v>
      </c>
      <c r="F53" s="13" t="str">
        <v>पोख्रेल</v>
      </c>
      <c r="G53" s="22">
        <f t="shared" si="0"/>
        <v>1</v>
      </c>
      <c r="H53" s="22" t="s">
        <v>760</v>
      </c>
      <c r="I53" s="22"/>
      <c r="J53" s="22" t="s">
        <v>913</v>
      </c>
      <c r="K53" s="22"/>
      <c r="L53" s="22" t="s">
        <v>920</v>
      </c>
      <c r="M53" s="22"/>
      <c r="N53" s="22" t="s">
        <v>954</v>
      </c>
      <c r="O53" s="22" t="s">
        <v>954</v>
      </c>
      <c r="P53" s="22" t="s">
        <v>953</v>
      </c>
      <c r="Q53" s="4" t="s">
        <v>1000</v>
      </c>
      <c r="R53" s="22" t="s">
        <v>953</v>
      </c>
      <c r="S53" t="s">
        <v>311</v>
      </c>
      <c r="T53" s="15" t="s">
        <v>962</v>
      </c>
      <c r="U53" s="15"/>
      <c r="V53" s="42"/>
      <c r="W53" s="46" t="s">
        <v>999</v>
      </c>
      <c r="X53" s="46" t="s">
        <v>953</v>
      </c>
      <c r="Y53" s="46" t="s">
        <v>953</v>
      </c>
      <c r="Z53" s="46" t="s">
        <v>953</v>
      </c>
      <c r="AA53" s="46" t="s">
        <v>999</v>
      </c>
      <c r="AB53" s="22" t="s">
        <v>953</v>
      </c>
      <c r="AC53" s="45" t="s">
        <v>987</v>
      </c>
      <c r="AD53" s="42" t="s">
        <v>988</v>
      </c>
      <c r="AE53" s="22" t="s">
        <v>945</v>
      </c>
      <c r="AF53" s="42"/>
      <c r="AG53" s="22" t="s">
        <v>954</v>
      </c>
      <c r="AH53" s="42" t="s">
        <v>945</v>
      </c>
      <c r="AI53" s="22" t="s">
        <v>960</v>
      </c>
      <c r="AJ53" s="22"/>
      <c r="AK53" s="22"/>
      <c r="AL53" s="22"/>
      <c r="AM53" s="22"/>
      <c r="AN53" s="22" t="s">
        <v>970</v>
      </c>
      <c r="AO53" s="44"/>
      <c r="AP53" s="44"/>
      <c r="AR53" s="5">
        <v>65466</v>
      </c>
      <c r="AS53" s="2" t="s">
        <v>2</v>
      </c>
      <c r="AT53" s="2">
        <v>4</v>
      </c>
      <c r="AU53" s="2">
        <v>1</v>
      </c>
      <c r="AV53" s="2">
        <v>3</v>
      </c>
      <c r="AX53" t="s">
        <v>242</v>
      </c>
      <c r="AY53" s="37" t="s">
        <v>953</v>
      </c>
      <c r="AZ53" s="10"/>
    </row>
    <row r="54" spans="1:53" ht="17.399999999999999" x14ac:dyDescent="0.3">
      <c r="A54" s="6">
        <v>64</v>
      </c>
      <c r="B54" t="s">
        <v>129</v>
      </c>
      <c r="C54" t="s">
        <v>178</v>
      </c>
      <c r="D54" s="13" t="s">
        <v>862</v>
      </c>
      <c r="E54" s="13" t="s">
        <v>819</v>
      </c>
      <c r="F54" s="13" t="str">
        <v>पौडेल</v>
      </c>
      <c r="G54" s="22">
        <f t="shared" si="0"/>
        <v>1</v>
      </c>
      <c r="H54" s="22" t="s">
        <v>760</v>
      </c>
      <c r="I54" s="22"/>
      <c r="J54" s="22" t="s">
        <v>913</v>
      </c>
      <c r="K54" s="22"/>
      <c r="L54" s="22" t="s">
        <v>919</v>
      </c>
      <c r="M54" s="22"/>
      <c r="N54" s="22" t="s">
        <v>954</v>
      </c>
      <c r="O54" s="22" t="s">
        <v>954</v>
      </c>
      <c r="P54" s="22" t="s">
        <v>953</v>
      </c>
      <c r="Q54" s="4" t="s">
        <v>1000</v>
      </c>
      <c r="R54" s="22" t="s">
        <v>953</v>
      </c>
      <c r="S54" t="s">
        <v>300</v>
      </c>
      <c r="T54" s="15" t="s">
        <v>965</v>
      </c>
      <c r="U54" s="15"/>
      <c r="V54" s="42"/>
      <c r="W54" s="46" t="s">
        <v>953</v>
      </c>
      <c r="X54" s="46" t="s">
        <v>953</v>
      </c>
      <c r="Y54" s="46" t="s">
        <v>953</v>
      </c>
      <c r="Z54" s="46" t="s">
        <v>953</v>
      </c>
      <c r="AA54" s="46" t="s">
        <v>953</v>
      </c>
      <c r="AB54" s="22" t="s">
        <v>953</v>
      </c>
      <c r="AC54" s="42" t="s">
        <v>989</v>
      </c>
      <c r="AD54" s="42" t="s">
        <v>990</v>
      </c>
      <c r="AE54" s="22" t="s">
        <v>949</v>
      </c>
      <c r="AF54" s="42"/>
      <c r="AG54" s="22" t="s">
        <v>954</v>
      </c>
      <c r="AH54" s="42" t="s">
        <v>949</v>
      </c>
      <c r="AI54" s="22" t="s">
        <v>958</v>
      </c>
      <c r="AJ54" s="22"/>
      <c r="AK54" s="22"/>
      <c r="AL54" s="22"/>
      <c r="AM54" s="22"/>
      <c r="AN54" s="22" t="s">
        <v>975</v>
      </c>
      <c r="AO54" s="44"/>
      <c r="AP54" s="44"/>
      <c r="AR54" s="5">
        <v>65447</v>
      </c>
      <c r="AS54" s="2" t="s">
        <v>2</v>
      </c>
      <c r="AT54" s="2">
        <v>5</v>
      </c>
      <c r="AU54" s="2">
        <v>3</v>
      </c>
      <c r="AV54" s="2">
        <v>2</v>
      </c>
      <c r="AX54" t="s">
        <v>239</v>
      </c>
      <c r="AY54" s="37" t="s">
        <v>954</v>
      </c>
      <c r="AZ54" s="10" t="s">
        <v>977</v>
      </c>
    </row>
    <row r="55" spans="1:53" ht="17.399999999999999" x14ac:dyDescent="0.3">
      <c r="A55" s="6">
        <v>65</v>
      </c>
      <c r="B55" t="s">
        <v>130</v>
      </c>
      <c r="C55" t="s">
        <v>179</v>
      </c>
      <c r="D55" s="13" t="s">
        <v>792</v>
      </c>
      <c r="E55" s="13" t="s">
        <v>820</v>
      </c>
      <c r="F55" s="13" t="str">
        <v>तिवारी</v>
      </c>
      <c r="G55" s="22">
        <f t="shared" si="0"/>
        <v>1</v>
      </c>
      <c r="H55" s="22" t="s">
        <v>760</v>
      </c>
      <c r="I55" s="22"/>
      <c r="J55" s="22" t="s">
        <v>913</v>
      </c>
      <c r="K55" s="22"/>
      <c r="L55" s="22" t="s">
        <v>920</v>
      </c>
      <c r="M55" s="22"/>
      <c r="N55" s="22" t="s">
        <v>954</v>
      </c>
      <c r="O55" s="22" t="s">
        <v>954</v>
      </c>
      <c r="P55" s="22" t="s">
        <v>954</v>
      </c>
      <c r="Q55" s="4" t="s">
        <v>1000</v>
      </c>
      <c r="R55" s="22" t="s">
        <v>953</v>
      </c>
      <c r="S55" t="s">
        <v>252</v>
      </c>
      <c r="T55" s="15" t="s">
        <v>964</v>
      </c>
      <c r="U55" s="15"/>
      <c r="V55" s="42"/>
      <c r="W55" s="46" t="s">
        <v>953</v>
      </c>
      <c r="X55" s="46" t="s">
        <v>953</v>
      </c>
      <c r="Y55" s="46" t="s">
        <v>953</v>
      </c>
      <c r="Z55" s="46" t="s">
        <v>953</v>
      </c>
      <c r="AA55" s="46" t="s">
        <v>953</v>
      </c>
      <c r="AB55" s="22" t="s">
        <v>953</v>
      </c>
      <c r="AC55" s="42" t="s">
        <v>986</v>
      </c>
      <c r="AD55" s="42" t="s">
        <v>988</v>
      </c>
      <c r="AE55" s="22" t="s">
        <v>944</v>
      </c>
      <c r="AF55" s="42"/>
      <c r="AG55" s="22" t="s">
        <v>954</v>
      </c>
      <c r="AH55" s="42" t="s">
        <v>944</v>
      </c>
      <c r="AI55" s="22" t="s">
        <v>958</v>
      </c>
      <c r="AJ55" s="22"/>
      <c r="AK55" s="22"/>
      <c r="AL55" s="22"/>
      <c r="AM55" s="22"/>
      <c r="AN55" s="22" t="s">
        <v>972</v>
      </c>
      <c r="AO55" s="44"/>
      <c r="AP55" s="44"/>
      <c r="AR55" s="5">
        <v>65440</v>
      </c>
      <c r="AS55" s="2" t="s">
        <v>2</v>
      </c>
      <c r="AT55" s="2">
        <v>6</v>
      </c>
      <c r="AU55" s="2">
        <v>2</v>
      </c>
      <c r="AV55" s="2">
        <v>4</v>
      </c>
      <c r="AX55" t="s">
        <v>242</v>
      </c>
      <c r="AY55" s="37" t="s">
        <v>953</v>
      </c>
      <c r="AZ55" s="10"/>
    </row>
    <row r="56" spans="1:53" ht="17.399999999999999" x14ac:dyDescent="0.3">
      <c r="A56" s="6">
        <v>66</v>
      </c>
      <c r="B56" t="s">
        <v>131</v>
      </c>
      <c r="C56" t="s">
        <v>180</v>
      </c>
      <c r="D56" s="13" t="s">
        <v>863</v>
      </c>
      <c r="E56" s="13" t="s">
        <v>864</v>
      </c>
      <c r="F56" s="13" t="str">
        <v>खनाल</v>
      </c>
      <c r="G56" s="22">
        <f t="shared" si="0"/>
        <v>1</v>
      </c>
      <c r="H56" s="22" t="s">
        <v>760</v>
      </c>
      <c r="I56" s="22"/>
      <c r="J56" s="22" t="s">
        <v>913</v>
      </c>
      <c r="K56" s="22"/>
      <c r="L56" s="22" t="s">
        <v>920</v>
      </c>
      <c r="M56" s="22"/>
      <c r="N56" s="22" t="s">
        <v>954</v>
      </c>
      <c r="O56" s="22" t="s">
        <v>954</v>
      </c>
      <c r="P56" s="22" t="s">
        <v>953</v>
      </c>
      <c r="Q56" s="4" t="s">
        <v>1000</v>
      </c>
      <c r="R56" s="22" t="s">
        <v>953</v>
      </c>
      <c r="S56" t="s">
        <v>292</v>
      </c>
      <c r="T56" s="15" t="s">
        <v>963</v>
      </c>
      <c r="U56" s="15"/>
      <c r="V56" s="42"/>
      <c r="W56" s="46" t="s">
        <v>999</v>
      </c>
      <c r="X56" s="46" t="s">
        <v>953</v>
      </c>
      <c r="Y56" s="46" t="s">
        <v>953</v>
      </c>
      <c r="Z56" s="46" t="s">
        <v>953</v>
      </c>
      <c r="AA56" s="46" t="s">
        <v>999</v>
      </c>
      <c r="AB56" s="22" t="s">
        <v>953</v>
      </c>
      <c r="AC56" s="42" t="s">
        <v>987</v>
      </c>
      <c r="AD56" s="42" t="s">
        <v>987</v>
      </c>
      <c r="AE56" s="36" t="s">
        <v>949</v>
      </c>
      <c r="AF56" s="42"/>
      <c r="AG56" s="22" t="s">
        <v>954</v>
      </c>
      <c r="AH56" s="42" t="s">
        <v>949</v>
      </c>
      <c r="AI56" s="22" t="s">
        <v>958</v>
      </c>
      <c r="AJ56" s="22"/>
      <c r="AK56" s="22"/>
      <c r="AL56" s="22"/>
      <c r="AM56" s="22"/>
      <c r="AN56" s="22" t="s">
        <v>973</v>
      </c>
      <c r="AO56" s="44"/>
      <c r="AP56" s="44"/>
      <c r="AR56" s="5">
        <v>65369</v>
      </c>
      <c r="AS56" s="2" t="s">
        <v>2</v>
      </c>
      <c r="AT56" s="2">
        <v>3</v>
      </c>
      <c r="AU56" s="2">
        <v>2</v>
      </c>
      <c r="AV56" s="2">
        <v>1</v>
      </c>
      <c r="AX56" t="s">
        <v>242</v>
      </c>
      <c r="AY56" s="37" t="s">
        <v>953</v>
      </c>
      <c r="AZ56" s="10"/>
      <c r="BA56" t="s">
        <v>245</v>
      </c>
    </row>
    <row r="57" spans="1:53" ht="17.399999999999999" x14ac:dyDescent="0.3">
      <c r="A57" s="6">
        <v>67</v>
      </c>
      <c r="B57" t="s">
        <v>132</v>
      </c>
      <c r="C57" t="s">
        <v>181</v>
      </c>
      <c r="D57" s="13" t="s">
        <v>865</v>
      </c>
      <c r="E57" s="13" t="s">
        <v>826</v>
      </c>
      <c r="F57" s="13" t="str">
        <v>सुवेदी</v>
      </c>
      <c r="G57" s="22">
        <f t="shared" si="0"/>
        <v>1</v>
      </c>
      <c r="H57" s="22" t="s">
        <v>760</v>
      </c>
      <c r="I57" s="22"/>
      <c r="J57" s="22" t="s">
        <v>913</v>
      </c>
      <c r="K57" s="22"/>
      <c r="L57" s="22" t="s">
        <v>919</v>
      </c>
      <c r="M57" s="22"/>
      <c r="N57" s="22" t="s">
        <v>954</v>
      </c>
      <c r="O57" s="22" t="s">
        <v>954</v>
      </c>
      <c r="P57" s="22" t="s">
        <v>954</v>
      </c>
      <c r="Q57" s="4" t="s">
        <v>1000</v>
      </c>
      <c r="R57" s="22" t="s">
        <v>953</v>
      </c>
      <c r="S57" t="s">
        <v>235</v>
      </c>
      <c r="T57" s="15" t="s">
        <v>964</v>
      </c>
      <c r="U57" s="15"/>
      <c r="V57" s="42"/>
      <c r="W57" s="47"/>
      <c r="X57" s="47"/>
      <c r="Y57" s="47"/>
      <c r="Z57" s="47"/>
      <c r="AA57" s="47"/>
      <c r="AB57" s="22" t="s">
        <v>953</v>
      </c>
      <c r="AC57" s="42" t="s">
        <v>988</v>
      </c>
      <c r="AD57" s="42" t="s">
        <v>988</v>
      </c>
      <c r="AE57" s="22" t="s">
        <v>944</v>
      </c>
      <c r="AF57" s="42"/>
      <c r="AG57" s="22" t="s">
        <v>953</v>
      </c>
      <c r="AH57" s="42" t="s">
        <v>943</v>
      </c>
      <c r="AI57" s="22" t="s">
        <v>960</v>
      </c>
      <c r="AJ57" s="22"/>
      <c r="AK57" s="22"/>
      <c r="AL57" s="22"/>
      <c r="AM57" s="22"/>
      <c r="AN57" s="22" t="s">
        <v>970</v>
      </c>
      <c r="AO57" s="44"/>
      <c r="AP57" s="44"/>
      <c r="AR57" s="5">
        <v>65366</v>
      </c>
      <c r="AS57" s="2" t="s">
        <v>2</v>
      </c>
      <c r="AT57" s="2">
        <v>4</v>
      </c>
      <c r="AU57" s="2">
        <v>2</v>
      </c>
      <c r="AV57" s="2">
        <v>2</v>
      </c>
      <c r="AW57" t="s">
        <v>235</v>
      </c>
      <c r="AX57" t="s">
        <v>242</v>
      </c>
      <c r="AY57" s="37" t="s">
        <v>953</v>
      </c>
      <c r="AZ57" s="10"/>
    </row>
    <row r="58" spans="1:53" ht="17.399999999999999" x14ac:dyDescent="0.3">
      <c r="A58" s="6">
        <v>69</v>
      </c>
      <c r="B58" t="s">
        <v>134</v>
      </c>
      <c r="C58" t="s">
        <v>183</v>
      </c>
      <c r="D58" s="13" t="s">
        <v>795</v>
      </c>
      <c r="E58" s="13" t="s">
        <v>825</v>
      </c>
      <c r="F58" s="13"/>
      <c r="G58" s="13"/>
      <c r="H58" s="13"/>
      <c r="I58" s="13"/>
      <c r="J58" s="13"/>
      <c r="K58" s="13"/>
      <c r="L58" s="22" t="s">
        <v>919</v>
      </c>
      <c r="M58" s="22"/>
      <c r="N58" s="22" t="s">
        <v>954</v>
      </c>
      <c r="O58" s="22" t="s">
        <v>954</v>
      </c>
      <c r="P58" s="22" t="s">
        <v>953</v>
      </c>
      <c r="Q58" s="4" t="s">
        <v>1000</v>
      </c>
      <c r="R58" s="22" t="s">
        <v>953</v>
      </c>
      <c r="S58" t="s">
        <v>283</v>
      </c>
      <c r="T58" s="15" t="s">
        <v>962</v>
      </c>
      <c r="U58" s="15"/>
      <c r="V58" s="42"/>
      <c r="W58" s="46" t="s">
        <v>953</v>
      </c>
      <c r="X58" s="46" t="s">
        <v>953</v>
      </c>
      <c r="Y58" s="46" t="s">
        <v>953</v>
      </c>
      <c r="Z58" s="46" t="s">
        <v>953</v>
      </c>
      <c r="AA58" s="46" t="s">
        <v>999</v>
      </c>
      <c r="AB58" s="22" t="s">
        <v>953</v>
      </c>
      <c r="AC58" s="42" t="s">
        <v>986</v>
      </c>
      <c r="AD58" s="42" t="s">
        <v>987</v>
      </c>
      <c r="AE58" s="36" t="s">
        <v>944</v>
      </c>
      <c r="AF58" s="42"/>
      <c r="AG58" s="22" t="s">
        <v>954</v>
      </c>
      <c r="AH58" s="42" t="s">
        <v>944</v>
      </c>
      <c r="AI58" s="22" t="s">
        <v>958</v>
      </c>
      <c r="AJ58" s="22"/>
      <c r="AK58" s="22"/>
      <c r="AL58" s="22"/>
      <c r="AM58" s="22"/>
      <c r="AN58" s="22" t="s">
        <v>970</v>
      </c>
      <c r="AO58" s="44"/>
      <c r="AP58" s="44"/>
      <c r="AR58" s="5">
        <v>65356</v>
      </c>
      <c r="AS58" s="2" t="s">
        <v>2</v>
      </c>
      <c r="AT58" s="2">
        <v>5</v>
      </c>
      <c r="AU58" s="2">
        <v>2</v>
      </c>
      <c r="AV58" s="2">
        <v>3</v>
      </c>
      <c r="AX58" t="s">
        <v>242</v>
      </c>
      <c r="AY58" s="37" t="s">
        <v>953</v>
      </c>
      <c r="AZ58" s="10"/>
    </row>
    <row r="59" spans="1:53" ht="17.399999999999999" x14ac:dyDescent="0.3">
      <c r="A59" s="6">
        <v>71</v>
      </c>
      <c r="B59" t="s">
        <v>136</v>
      </c>
      <c r="C59" t="s">
        <v>185</v>
      </c>
      <c r="D59" s="13" t="s">
        <v>866</v>
      </c>
      <c r="E59" s="13" t="s">
        <v>827</v>
      </c>
      <c r="F59" s="13"/>
      <c r="G59" s="13"/>
      <c r="H59" s="13"/>
      <c r="I59" s="13"/>
      <c r="J59" s="13"/>
      <c r="K59" s="13"/>
      <c r="L59" s="22" t="s">
        <v>918</v>
      </c>
      <c r="M59" s="22"/>
      <c r="N59" s="22" t="s">
        <v>954</v>
      </c>
      <c r="O59" s="22" t="s">
        <v>954</v>
      </c>
      <c r="P59" s="22" t="s">
        <v>953</v>
      </c>
      <c r="Q59" s="4" t="s">
        <v>1000</v>
      </c>
      <c r="R59" s="22" t="s">
        <v>953</v>
      </c>
      <c r="S59" t="s">
        <v>254</v>
      </c>
      <c r="T59" s="15" t="s">
        <v>961</v>
      </c>
      <c r="U59" s="15"/>
      <c r="V59" s="42"/>
      <c r="W59" s="46" t="s">
        <v>953</v>
      </c>
      <c r="X59" s="46" t="s">
        <v>953</v>
      </c>
      <c r="Y59" s="46" t="s">
        <v>953</v>
      </c>
      <c r="Z59" s="46" t="s">
        <v>953</v>
      </c>
      <c r="AA59" s="46" t="s">
        <v>999</v>
      </c>
      <c r="AB59" s="22" t="s">
        <v>953</v>
      </c>
      <c r="AC59" s="42" t="s">
        <v>988</v>
      </c>
      <c r="AD59" s="42" t="s">
        <v>988</v>
      </c>
      <c r="AE59" s="36" t="s">
        <v>949</v>
      </c>
      <c r="AF59" s="42"/>
      <c r="AG59" s="22" t="s">
        <v>954</v>
      </c>
      <c r="AH59" s="42" t="s">
        <v>949</v>
      </c>
      <c r="AI59" s="22" t="s">
        <v>960</v>
      </c>
      <c r="AJ59" s="22"/>
      <c r="AK59" s="22"/>
      <c r="AL59" s="22"/>
      <c r="AM59" s="22"/>
      <c r="AN59" s="22" t="s">
        <v>975</v>
      </c>
      <c r="AO59" s="44"/>
      <c r="AP59" s="44"/>
      <c r="AR59" s="5">
        <v>65350</v>
      </c>
      <c r="AS59" s="2" t="s">
        <v>2</v>
      </c>
      <c r="AT59" s="2">
        <v>2</v>
      </c>
      <c r="AU59" s="2">
        <v>1</v>
      </c>
      <c r="AV59" s="2">
        <v>1</v>
      </c>
      <c r="AX59" t="s">
        <v>242</v>
      </c>
      <c r="AY59" s="37" t="s">
        <v>953</v>
      </c>
      <c r="AZ59" s="10"/>
      <c r="BA59" t="s">
        <v>245</v>
      </c>
    </row>
    <row r="60" spans="1:53" ht="17.399999999999999" x14ac:dyDescent="0.3">
      <c r="A60" s="6">
        <v>72</v>
      </c>
      <c r="B60" t="s">
        <v>137</v>
      </c>
      <c r="C60" t="s">
        <v>186</v>
      </c>
      <c r="D60" s="13" t="s">
        <v>867</v>
      </c>
      <c r="E60" s="13" t="s">
        <v>828</v>
      </c>
      <c r="F60" s="13"/>
      <c r="G60" s="13"/>
      <c r="H60" s="13"/>
      <c r="I60" s="13"/>
      <c r="J60" s="13"/>
      <c r="K60" s="13"/>
      <c r="L60" s="22" t="s">
        <v>919</v>
      </c>
      <c r="M60" s="22"/>
      <c r="N60" s="22" t="s">
        <v>954</v>
      </c>
      <c r="O60" s="22" t="s">
        <v>954</v>
      </c>
      <c r="P60" s="22" t="s">
        <v>953</v>
      </c>
      <c r="Q60" s="4" t="s">
        <v>1003</v>
      </c>
      <c r="R60" s="22" t="s">
        <v>953</v>
      </c>
      <c r="S60" t="s">
        <v>270</v>
      </c>
      <c r="T60" s="15" t="s">
        <v>965</v>
      </c>
      <c r="U60" s="15"/>
      <c r="V60" s="42"/>
      <c r="W60" s="46" t="s">
        <v>953</v>
      </c>
      <c r="X60" s="46" t="s">
        <v>953</v>
      </c>
      <c r="Y60" s="46" t="s">
        <v>953</v>
      </c>
      <c r="Z60" s="46" t="s">
        <v>953</v>
      </c>
      <c r="AA60" s="46" t="s">
        <v>953</v>
      </c>
      <c r="AB60" s="22" t="s">
        <v>953</v>
      </c>
      <c r="AC60" s="42" t="s">
        <v>987</v>
      </c>
      <c r="AD60" s="42" t="s">
        <v>987</v>
      </c>
      <c r="AE60" s="22" t="s">
        <v>949</v>
      </c>
      <c r="AF60" s="42"/>
      <c r="AG60" s="22" t="s">
        <v>954</v>
      </c>
      <c r="AH60" s="42" t="s">
        <v>949</v>
      </c>
      <c r="AI60" s="22" t="s">
        <v>960</v>
      </c>
      <c r="AJ60" s="22"/>
      <c r="AK60" s="22"/>
      <c r="AL60" s="22"/>
      <c r="AM60" s="22"/>
      <c r="AN60" s="22" t="s">
        <v>969</v>
      </c>
      <c r="AO60" s="44"/>
      <c r="AP60" s="44"/>
      <c r="AR60" s="5">
        <v>65328</v>
      </c>
      <c r="AS60" s="2" t="s">
        <v>2</v>
      </c>
      <c r="AT60" s="2">
        <v>4</v>
      </c>
      <c r="AU60" s="2">
        <v>3</v>
      </c>
      <c r="AV60" s="2">
        <v>1</v>
      </c>
      <c r="AX60" t="s">
        <v>242</v>
      </c>
      <c r="AY60" s="37" t="s">
        <v>953</v>
      </c>
      <c r="AZ60" s="10"/>
    </row>
    <row r="61" spans="1:53" ht="17.399999999999999" x14ac:dyDescent="0.3">
      <c r="A61" s="6">
        <v>73</v>
      </c>
      <c r="B61" t="s">
        <v>138</v>
      </c>
      <c r="C61" t="s">
        <v>187</v>
      </c>
      <c r="D61" s="13" t="s">
        <v>868</v>
      </c>
      <c r="E61" s="13" t="s">
        <v>869</v>
      </c>
      <c r="F61" s="13"/>
      <c r="G61" s="13"/>
      <c r="H61" s="13"/>
      <c r="I61" s="13"/>
      <c r="J61" s="13"/>
      <c r="K61" s="13"/>
      <c r="L61" s="22" t="s">
        <v>919</v>
      </c>
      <c r="M61" s="22"/>
      <c r="N61" s="22" t="s">
        <v>954</v>
      </c>
      <c r="O61" s="22" t="s">
        <v>954</v>
      </c>
      <c r="P61" s="22" t="s">
        <v>953</v>
      </c>
      <c r="Q61" s="4" t="s">
        <v>1000</v>
      </c>
      <c r="R61" s="22" t="s">
        <v>953</v>
      </c>
      <c r="S61" t="s">
        <v>263</v>
      </c>
      <c r="T61" s="15" t="s">
        <v>961</v>
      </c>
      <c r="U61" s="15"/>
      <c r="V61" s="42"/>
      <c r="W61" s="46" t="s">
        <v>953</v>
      </c>
      <c r="X61" s="46" t="s">
        <v>953</v>
      </c>
      <c r="Y61" s="46" t="s">
        <v>953</v>
      </c>
      <c r="Z61" s="46" t="s">
        <v>953</v>
      </c>
      <c r="AA61" s="46" t="s">
        <v>953</v>
      </c>
      <c r="AB61" s="22" t="s">
        <v>953</v>
      </c>
      <c r="AC61" s="42" t="s">
        <v>987</v>
      </c>
      <c r="AD61" s="42" t="s">
        <v>987</v>
      </c>
      <c r="AE61" s="22" t="s">
        <v>948</v>
      </c>
      <c r="AF61" s="42"/>
      <c r="AG61" s="22" t="s">
        <v>954</v>
      </c>
      <c r="AH61" s="42" t="s">
        <v>948</v>
      </c>
      <c r="AI61" s="22" t="s">
        <v>958</v>
      </c>
      <c r="AJ61" s="22"/>
      <c r="AK61" s="22"/>
      <c r="AL61" s="22"/>
      <c r="AM61" s="22"/>
      <c r="AN61" s="22" t="s">
        <v>970</v>
      </c>
      <c r="AO61" s="44"/>
      <c r="AP61" s="44"/>
      <c r="AR61" s="5">
        <v>65306</v>
      </c>
      <c r="AS61" s="2" t="s">
        <v>2</v>
      </c>
      <c r="AT61" s="2">
        <v>4</v>
      </c>
      <c r="AU61" s="2">
        <v>2</v>
      </c>
      <c r="AV61" s="2">
        <v>2</v>
      </c>
      <c r="AX61" t="s">
        <v>242</v>
      </c>
      <c r="AY61" s="37" t="s">
        <v>953</v>
      </c>
      <c r="AZ61" s="10"/>
    </row>
    <row r="62" spans="1:53" ht="17.399999999999999" x14ac:dyDescent="0.3">
      <c r="A62" s="6">
        <v>74</v>
      </c>
      <c r="B62" t="s">
        <v>139</v>
      </c>
      <c r="C62" t="s">
        <v>188</v>
      </c>
      <c r="D62" s="13" t="s">
        <v>870</v>
      </c>
      <c r="E62" s="13" t="s">
        <v>831</v>
      </c>
      <c r="F62" s="13"/>
      <c r="G62" s="13"/>
      <c r="H62" s="13"/>
      <c r="I62" s="13"/>
      <c r="J62" s="13"/>
      <c r="K62" s="13"/>
      <c r="L62" s="22" t="s">
        <v>919</v>
      </c>
      <c r="M62" s="22"/>
      <c r="N62" s="22" t="s">
        <v>953</v>
      </c>
      <c r="O62" s="22" t="s">
        <v>954</v>
      </c>
      <c r="P62" s="22" t="s">
        <v>954</v>
      </c>
      <c r="Q62" s="4" t="s">
        <v>1003</v>
      </c>
      <c r="R62" s="22" t="s">
        <v>953</v>
      </c>
      <c r="S62" t="s">
        <v>334</v>
      </c>
      <c r="T62" s="15" t="s">
        <v>964</v>
      </c>
      <c r="U62" s="15"/>
      <c r="V62" s="42"/>
      <c r="W62" s="46" t="s">
        <v>953</v>
      </c>
      <c r="X62" s="46" t="s">
        <v>953</v>
      </c>
      <c r="Y62" s="46" t="s">
        <v>953</v>
      </c>
      <c r="Z62" s="46" t="s">
        <v>953</v>
      </c>
      <c r="AA62" s="46" t="s">
        <v>953</v>
      </c>
      <c r="AB62" s="22" t="s">
        <v>953</v>
      </c>
      <c r="AC62" s="42" t="s">
        <v>988</v>
      </c>
      <c r="AD62" s="42" t="s">
        <v>988</v>
      </c>
      <c r="AE62" s="22" t="s">
        <v>951</v>
      </c>
      <c r="AF62" s="42"/>
      <c r="AG62" s="22" t="s">
        <v>954</v>
      </c>
      <c r="AH62" s="42" t="s">
        <v>951</v>
      </c>
      <c r="AI62" s="22" t="s">
        <v>960</v>
      </c>
      <c r="AJ62" s="22"/>
      <c r="AK62" s="22"/>
      <c r="AL62" s="22"/>
      <c r="AM62" s="22"/>
      <c r="AN62" s="22" t="s">
        <v>970</v>
      </c>
      <c r="AO62" s="44"/>
      <c r="AP62" s="44"/>
      <c r="AR62" s="5">
        <v>65304</v>
      </c>
      <c r="AS62" s="2" t="s">
        <v>2</v>
      </c>
      <c r="AT62" s="2">
        <v>1</v>
      </c>
      <c r="AU62" s="2">
        <v>1</v>
      </c>
      <c r="AV62" s="2"/>
      <c r="AX62" t="s">
        <v>242</v>
      </c>
      <c r="AY62" s="37" t="s">
        <v>953</v>
      </c>
      <c r="AZ62" s="10"/>
    </row>
    <row r="63" spans="1:53" ht="17.399999999999999" x14ac:dyDescent="0.3">
      <c r="A63" s="6">
        <v>75</v>
      </c>
      <c r="B63" t="s">
        <v>140</v>
      </c>
      <c r="C63" t="s">
        <v>189</v>
      </c>
      <c r="D63" s="13" t="s">
        <v>871</v>
      </c>
      <c r="E63" s="13" t="s">
        <v>802</v>
      </c>
      <c r="F63" s="13"/>
      <c r="G63" s="13"/>
      <c r="H63" s="13"/>
      <c r="I63" s="13"/>
      <c r="J63" s="13"/>
      <c r="K63" s="13"/>
      <c r="L63" s="22" t="s">
        <v>919</v>
      </c>
      <c r="M63" s="22"/>
      <c r="N63" s="22" t="s">
        <v>954</v>
      </c>
      <c r="O63" s="22" t="s">
        <v>954</v>
      </c>
      <c r="P63" s="22" t="s">
        <v>953</v>
      </c>
      <c r="Q63" s="4" t="s">
        <v>1000</v>
      </c>
      <c r="R63" s="22" t="s">
        <v>953</v>
      </c>
      <c r="S63" t="s">
        <v>273</v>
      </c>
      <c r="T63" s="15" t="s">
        <v>963</v>
      </c>
      <c r="U63" s="15"/>
      <c r="V63" s="42"/>
      <c r="W63" s="46" t="s">
        <v>999</v>
      </c>
      <c r="X63" s="46" t="s">
        <v>953</v>
      </c>
      <c r="Y63" s="46" t="s">
        <v>953</v>
      </c>
      <c r="Z63" s="46" t="s">
        <v>953</v>
      </c>
      <c r="AA63" s="46" t="s">
        <v>999</v>
      </c>
      <c r="AB63" s="22" t="s">
        <v>953</v>
      </c>
      <c r="AC63" s="42" t="s">
        <v>986</v>
      </c>
      <c r="AD63" s="42" t="s">
        <v>987</v>
      </c>
      <c r="AE63" s="22" t="s">
        <v>944</v>
      </c>
      <c r="AF63" s="42"/>
      <c r="AG63" s="22" t="s">
        <v>954</v>
      </c>
      <c r="AH63" s="42" t="s">
        <v>944</v>
      </c>
      <c r="AI63" s="22" t="s">
        <v>958</v>
      </c>
      <c r="AJ63" s="22"/>
      <c r="AK63" s="22"/>
      <c r="AL63" s="22"/>
      <c r="AM63" s="22"/>
      <c r="AN63" s="22" t="s">
        <v>970</v>
      </c>
      <c r="AO63" s="44"/>
      <c r="AP63" s="44"/>
      <c r="AR63" s="5">
        <v>65302</v>
      </c>
      <c r="AS63" s="2" t="s">
        <v>2</v>
      </c>
      <c r="AT63" s="2">
        <v>3</v>
      </c>
      <c r="AU63" s="2">
        <v>2</v>
      </c>
      <c r="AV63" s="2">
        <v>1</v>
      </c>
      <c r="AX63" t="s">
        <v>241</v>
      </c>
      <c r="AY63" s="37" t="s">
        <v>954</v>
      </c>
      <c r="AZ63" s="10" t="s">
        <v>977</v>
      </c>
    </row>
    <row r="64" spans="1:53" ht="17.399999999999999" x14ac:dyDescent="0.3">
      <c r="A64" s="6">
        <v>76</v>
      </c>
      <c r="B64" t="s">
        <v>141</v>
      </c>
      <c r="C64" s="1" t="s">
        <v>190</v>
      </c>
      <c r="D64" s="13" t="s">
        <v>872</v>
      </c>
      <c r="E64" s="13" t="s">
        <v>832</v>
      </c>
      <c r="F64" s="13"/>
      <c r="G64" s="13"/>
      <c r="H64" s="13"/>
      <c r="I64" s="13"/>
      <c r="J64" s="13"/>
      <c r="K64" s="13"/>
      <c r="L64" s="22" t="s">
        <v>920</v>
      </c>
      <c r="M64" s="22"/>
      <c r="N64" s="22" t="s">
        <v>954</v>
      </c>
      <c r="O64" s="22" t="s">
        <v>953</v>
      </c>
      <c r="P64" s="22" t="s">
        <v>953</v>
      </c>
      <c r="Q64" s="4" t="s">
        <v>1000</v>
      </c>
      <c r="R64" s="22" t="s">
        <v>953</v>
      </c>
      <c r="S64" t="s">
        <v>316</v>
      </c>
      <c r="T64" s="15" t="s">
        <v>963</v>
      </c>
      <c r="U64" s="15"/>
      <c r="V64" s="42"/>
      <c r="W64" s="46" t="s">
        <v>953</v>
      </c>
      <c r="X64" s="46" t="s">
        <v>953</v>
      </c>
      <c r="Y64" s="46" t="s">
        <v>953</v>
      </c>
      <c r="Z64" s="46" t="s">
        <v>953</v>
      </c>
      <c r="AA64" s="46" t="s">
        <v>953</v>
      </c>
      <c r="AB64" s="22" t="s">
        <v>953</v>
      </c>
      <c r="AC64" s="45" t="s">
        <v>987</v>
      </c>
      <c r="AD64" s="42" t="s">
        <v>989</v>
      </c>
      <c r="AE64" s="22" t="s">
        <v>945</v>
      </c>
      <c r="AF64" s="42"/>
      <c r="AG64" s="22" t="s">
        <v>954</v>
      </c>
      <c r="AH64" s="42" t="s">
        <v>945</v>
      </c>
      <c r="AI64" s="22" t="s">
        <v>960</v>
      </c>
      <c r="AJ64" s="22"/>
      <c r="AK64" s="22"/>
      <c r="AL64" s="22"/>
      <c r="AM64" s="22"/>
      <c r="AN64" s="22" t="s">
        <v>970</v>
      </c>
      <c r="AO64" s="44"/>
      <c r="AP64" s="44"/>
      <c r="AR64" s="5">
        <v>65291</v>
      </c>
      <c r="AS64" s="2" t="s">
        <v>2</v>
      </c>
      <c r="AT64" s="2">
        <v>4</v>
      </c>
      <c r="AU64" s="2">
        <v>1</v>
      </c>
      <c r="AV64" s="2">
        <v>3</v>
      </c>
      <c r="AX64" t="s">
        <v>242</v>
      </c>
      <c r="AY64" s="37" t="s">
        <v>953</v>
      </c>
      <c r="AZ64" s="10"/>
    </row>
    <row r="65" spans="1:53" ht="17.399999999999999" x14ac:dyDescent="0.3">
      <c r="A65" s="6">
        <v>77</v>
      </c>
      <c r="B65" t="s">
        <v>142</v>
      </c>
      <c r="C65" t="s">
        <v>191</v>
      </c>
      <c r="D65" s="13" t="s">
        <v>873</v>
      </c>
      <c r="E65" s="13" t="s">
        <v>813</v>
      </c>
      <c r="F65" s="13"/>
      <c r="G65" s="13"/>
      <c r="H65" s="13"/>
      <c r="I65" s="13"/>
      <c r="J65" s="13"/>
      <c r="K65" s="13"/>
      <c r="L65" s="22" t="s">
        <v>920</v>
      </c>
      <c r="M65" s="22"/>
      <c r="N65" s="22" t="s">
        <v>954</v>
      </c>
      <c r="O65" s="22" t="s">
        <v>954</v>
      </c>
      <c r="P65" s="22" t="s">
        <v>953</v>
      </c>
      <c r="Q65" s="4" t="s">
        <v>1000</v>
      </c>
      <c r="R65" s="22" t="s">
        <v>953</v>
      </c>
      <c r="S65" t="s">
        <v>299</v>
      </c>
      <c r="T65" s="15" t="s">
        <v>964</v>
      </c>
      <c r="U65" s="15"/>
      <c r="V65" s="42"/>
      <c r="W65" s="46" t="s">
        <v>953</v>
      </c>
      <c r="X65" s="46" t="s">
        <v>953</v>
      </c>
      <c r="Y65" s="46" t="s">
        <v>953</v>
      </c>
      <c r="Z65" s="46" t="s">
        <v>953</v>
      </c>
      <c r="AA65" s="46" t="s">
        <v>953</v>
      </c>
      <c r="AB65" s="22" t="s">
        <v>953</v>
      </c>
      <c r="AC65" s="42" t="s">
        <v>986</v>
      </c>
      <c r="AD65" s="42" t="s">
        <v>986</v>
      </c>
      <c r="AE65" s="22" t="s">
        <v>944</v>
      </c>
      <c r="AF65" s="42"/>
      <c r="AG65" s="22" t="s">
        <v>954</v>
      </c>
      <c r="AH65" s="42" t="s">
        <v>944</v>
      </c>
      <c r="AI65" s="22" t="s">
        <v>960</v>
      </c>
      <c r="AJ65" s="22"/>
      <c r="AK65" s="22"/>
      <c r="AL65" s="22"/>
      <c r="AM65" s="22"/>
      <c r="AN65" s="22" t="s">
        <v>970</v>
      </c>
      <c r="AO65" s="44"/>
      <c r="AP65" s="44"/>
      <c r="AR65" s="5">
        <v>65290</v>
      </c>
      <c r="AS65" s="2" t="s">
        <v>2</v>
      </c>
      <c r="AT65" s="2">
        <v>3</v>
      </c>
      <c r="AU65" s="2">
        <v>2</v>
      </c>
      <c r="AV65" s="2">
        <v>1</v>
      </c>
      <c r="AX65" t="s">
        <v>242</v>
      </c>
      <c r="AY65" s="37" t="s">
        <v>953</v>
      </c>
      <c r="AZ65" s="10"/>
      <c r="BA65" t="s">
        <v>245</v>
      </c>
    </row>
    <row r="66" spans="1:53" ht="17.399999999999999" x14ac:dyDescent="0.3">
      <c r="A66" s="6">
        <v>78</v>
      </c>
      <c r="B66" t="s">
        <v>143</v>
      </c>
      <c r="C66" t="s">
        <v>192</v>
      </c>
      <c r="D66" s="13" t="s">
        <v>874</v>
      </c>
      <c r="E66" s="13" t="s">
        <v>801</v>
      </c>
      <c r="F66" s="13"/>
      <c r="G66" s="13"/>
      <c r="H66" s="13"/>
      <c r="I66" s="13"/>
      <c r="J66" s="13"/>
      <c r="K66" s="13"/>
      <c r="L66" s="22" t="s">
        <v>918</v>
      </c>
      <c r="M66" s="22"/>
      <c r="N66" s="22" t="s">
        <v>954</v>
      </c>
      <c r="O66" s="22" t="s">
        <v>954</v>
      </c>
      <c r="P66" s="22" t="s">
        <v>953</v>
      </c>
      <c r="Q66" s="4" t="s">
        <v>1000</v>
      </c>
      <c r="R66" s="22" t="s">
        <v>953</v>
      </c>
      <c r="S66" t="s">
        <v>291</v>
      </c>
      <c r="T66" s="15" t="s">
        <v>963</v>
      </c>
      <c r="U66" s="15"/>
      <c r="V66" s="42"/>
      <c r="W66" s="46" t="s">
        <v>953</v>
      </c>
      <c r="X66" s="46" t="s">
        <v>953</v>
      </c>
      <c r="Y66" s="46" t="s">
        <v>953</v>
      </c>
      <c r="Z66" s="46" t="s">
        <v>953</v>
      </c>
      <c r="AA66" s="46" t="s">
        <v>953</v>
      </c>
      <c r="AB66" s="22" t="s">
        <v>953</v>
      </c>
      <c r="AC66" s="42" t="s">
        <v>986</v>
      </c>
      <c r="AD66" s="42" t="s">
        <v>988</v>
      </c>
      <c r="AE66" s="22" t="s">
        <v>944</v>
      </c>
      <c r="AF66" s="42"/>
      <c r="AG66" s="22" t="s">
        <v>954</v>
      </c>
      <c r="AH66" s="42" t="s">
        <v>944</v>
      </c>
      <c r="AI66" s="22" t="s">
        <v>958</v>
      </c>
      <c r="AJ66" s="22"/>
      <c r="AK66" s="22"/>
      <c r="AL66" s="22"/>
      <c r="AM66" s="22"/>
      <c r="AN66" s="22" t="s">
        <v>972</v>
      </c>
      <c r="AO66" s="44"/>
      <c r="AP66" s="44"/>
      <c r="AR66" s="5">
        <v>65287</v>
      </c>
      <c r="AS66" s="2" t="s">
        <v>2</v>
      </c>
      <c r="AT66" s="2">
        <v>3</v>
      </c>
      <c r="AU66" s="2">
        <v>2</v>
      </c>
      <c r="AV66" s="2">
        <v>1</v>
      </c>
      <c r="AX66" t="s">
        <v>242</v>
      </c>
      <c r="AY66" s="37" t="s">
        <v>953</v>
      </c>
      <c r="AZ66" s="10"/>
    </row>
    <row r="67" spans="1:53" ht="17.399999999999999" x14ac:dyDescent="0.3">
      <c r="A67" s="6">
        <v>81</v>
      </c>
      <c r="B67" t="s">
        <v>146</v>
      </c>
      <c r="C67" t="s">
        <v>195</v>
      </c>
      <c r="D67" s="13" t="s">
        <v>875</v>
      </c>
      <c r="E67" s="13" t="s">
        <v>876</v>
      </c>
      <c r="F67" s="13"/>
      <c r="G67" s="13"/>
      <c r="H67" s="13"/>
      <c r="I67" s="13"/>
      <c r="J67" s="13"/>
      <c r="K67" s="13"/>
      <c r="L67" s="22" t="s">
        <v>919</v>
      </c>
      <c r="M67" s="22"/>
      <c r="N67" s="22" t="s">
        <v>954</v>
      </c>
      <c r="O67" s="22" t="s">
        <v>954</v>
      </c>
      <c r="P67" s="22" t="s">
        <v>953</v>
      </c>
      <c r="Q67" s="4" t="s">
        <v>1003</v>
      </c>
      <c r="R67" s="22" t="s">
        <v>953</v>
      </c>
      <c r="S67" t="s">
        <v>277</v>
      </c>
      <c r="T67" s="15" t="s">
        <v>962</v>
      </c>
      <c r="U67" s="15"/>
      <c r="V67" s="42"/>
      <c r="W67" s="46" t="s">
        <v>953</v>
      </c>
      <c r="X67" s="46" t="s">
        <v>953</v>
      </c>
      <c r="Y67" s="46" t="s">
        <v>953</v>
      </c>
      <c r="Z67" s="46" t="s">
        <v>953</v>
      </c>
      <c r="AA67" s="46" t="s">
        <v>953</v>
      </c>
      <c r="AB67" s="22" t="s">
        <v>953</v>
      </c>
      <c r="AC67" s="42" t="s">
        <v>989</v>
      </c>
      <c r="AD67" s="42" t="s">
        <v>989</v>
      </c>
      <c r="AE67" s="22" t="s">
        <v>950</v>
      </c>
      <c r="AF67" s="42"/>
      <c r="AG67" s="22" t="s">
        <v>954</v>
      </c>
      <c r="AH67" s="42" t="s">
        <v>950</v>
      </c>
      <c r="AI67" s="22" t="s">
        <v>950</v>
      </c>
      <c r="AJ67" s="22"/>
      <c r="AK67" s="22"/>
      <c r="AL67" s="22"/>
      <c r="AM67" s="22"/>
      <c r="AN67" s="22" t="s">
        <v>975</v>
      </c>
      <c r="AO67" s="44"/>
      <c r="AP67" s="44"/>
      <c r="AR67" s="5">
        <v>65146</v>
      </c>
      <c r="AS67" s="2" t="s">
        <v>2</v>
      </c>
      <c r="AT67" s="2">
        <v>4</v>
      </c>
      <c r="AU67" s="2">
        <v>2</v>
      </c>
      <c r="AV67" s="2">
        <v>2</v>
      </c>
      <c r="AX67" t="s">
        <v>242</v>
      </c>
      <c r="AY67" s="37" t="s">
        <v>953</v>
      </c>
      <c r="AZ67" s="10"/>
    </row>
    <row r="68" spans="1:53" ht="17.399999999999999" x14ac:dyDescent="0.3">
      <c r="A68" s="6">
        <v>82</v>
      </c>
      <c r="B68" t="s">
        <v>147</v>
      </c>
      <c r="C68" t="s">
        <v>196</v>
      </c>
      <c r="D68" s="13" t="s">
        <v>877</v>
      </c>
      <c r="E68" s="13" t="s">
        <v>869</v>
      </c>
      <c r="F68" s="13"/>
      <c r="G68" s="13"/>
      <c r="H68" s="13"/>
      <c r="I68" s="13"/>
      <c r="J68" s="13"/>
      <c r="K68" s="13"/>
      <c r="L68" s="22" t="s">
        <v>920</v>
      </c>
      <c r="M68" s="22"/>
      <c r="N68" s="22" t="s">
        <v>954</v>
      </c>
      <c r="O68" s="22" t="s">
        <v>954</v>
      </c>
      <c r="P68" s="22" t="s">
        <v>953</v>
      </c>
      <c r="Q68" s="4" t="s">
        <v>1000</v>
      </c>
      <c r="R68" s="22" t="s">
        <v>953</v>
      </c>
      <c r="S68" t="s">
        <v>315</v>
      </c>
      <c r="T68" s="15" t="s">
        <v>961</v>
      </c>
      <c r="U68" s="15"/>
      <c r="V68" s="42"/>
      <c r="W68" s="46" t="s">
        <v>953</v>
      </c>
      <c r="X68" s="46" t="s">
        <v>953</v>
      </c>
      <c r="Y68" s="46" t="s">
        <v>953</v>
      </c>
      <c r="Z68" s="46" t="s">
        <v>953</v>
      </c>
      <c r="AA68" s="46" t="s">
        <v>999</v>
      </c>
      <c r="AB68" s="22" t="s">
        <v>953</v>
      </c>
      <c r="AC68" s="42" t="s">
        <v>988</v>
      </c>
      <c r="AD68" s="42" t="s">
        <v>988</v>
      </c>
      <c r="AE68" s="22" t="s">
        <v>949</v>
      </c>
      <c r="AF68" s="42"/>
      <c r="AG68" s="22" t="s">
        <v>954</v>
      </c>
      <c r="AH68" s="42" t="s">
        <v>949</v>
      </c>
      <c r="AI68" s="22" t="s">
        <v>960</v>
      </c>
      <c r="AJ68" s="22"/>
      <c r="AK68" s="22"/>
      <c r="AL68" s="22"/>
      <c r="AM68" s="22"/>
      <c r="AN68" s="22" t="s">
        <v>973</v>
      </c>
      <c r="AO68" s="44"/>
      <c r="AP68" s="44"/>
      <c r="AR68" s="5">
        <v>64977</v>
      </c>
      <c r="AS68" s="2" t="s">
        <v>2</v>
      </c>
      <c r="AT68" s="2">
        <v>2</v>
      </c>
      <c r="AU68" s="2">
        <v>1</v>
      </c>
      <c r="AV68" s="2">
        <v>1</v>
      </c>
      <c r="AX68" t="s">
        <v>240</v>
      </c>
      <c r="AY68" s="37" t="s">
        <v>954</v>
      </c>
      <c r="AZ68" s="10" t="s">
        <v>977</v>
      </c>
    </row>
    <row r="69" spans="1:53" ht="17.399999999999999" x14ac:dyDescent="0.3">
      <c r="A69" s="6">
        <v>84</v>
      </c>
      <c r="B69" t="s">
        <v>149</v>
      </c>
      <c r="C69" t="s">
        <v>198</v>
      </c>
      <c r="D69" s="13" t="s">
        <v>878</v>
      </c>
      <c r="E69" s="13" t="s">
        <v>825</v>
      </c>
      <c r="F69" s="13"/>
      <c r="G69" s="13"/>
      <c r="H69" s="13"/>
      <c r="I69" s="13"/>
      <c r="J69" s="13"/>
      <c r="K69" s="13"/>
      <c r="L69" s="22" t="s">
        <v>920</v>
      </c>
      <c r="M69" s="22"/>
      <c r="N69" s="22" t="s">
        <v>954</v>
      </c>
      <c r="O69" s="22" t="s">
        <v>954</v>
      </c>
      <c r="P69" s="22" t="s">
        <v>953</v>
      </c>
      <c r="Q69" s="4" t="s">
        <v>1000</v>
      </c>
      <c r="R69" s="22" t="s">
        <v>953</v>
      </c>
      <c r="S69" t="s">
        <v>286</v>
      </c>
      <c r="T69" s="15" t="s">
        <v>963</v>
      </c>
      <c r="U69" s="15"/>
      <c r="V69" s="42"/>
      <c r="W69" s="46" t="s">
        <v>999</v>
      </c>
      <c r="X69" s="46" t="s">
        <v>953</v>
      </c>
      <c r="Y69" s="46" t="s">
        <v>953</v>
      </c>
      <c r="Z69" s="46" t="s">
        <v>953</v>
      </c>
      <c r="AA69" s="46" t="s">
        <v>999</v>
      </c>
      <c r="AB69" s="22" t="s">
        <v>953</v>
      </c>
      <c r="AC69" s="42" t="s">
        <v>987</v>
      </c>
      <c r="AD69" s="42" t="s">
        <v>987</v>
      </c>
      <c r="AE69" s="22" t="s">
        <v>944</v>
      </c>
      <c r="AF69" s="42"/>
      <c r="AG69" s="22" t="s">
        <v>954</v>
      </c>
      <c r="AH69" s="42" t="s">
        <v>944</v>
      </c>
      <c r="AI69" s="22" t="s">
        <v>959</v>
      </c>
      <c r="AJ69" s="22"/>
      <c r="AK69" s="22"/>
      <c r="AL69" s="22"/>
      <c r="AM69" s="22"/>
      <c r="AN69" s="22" t="s">
        <v>969</v>
      </c>
      <c r="AO69" s="44"/>
      <c r="AP69" s="44"/>
      <c r="AR69" s="5">
        <v>64887</v>
      </c>
      <c r="AS69" s="2" t="s">
        <v>2</v>
      </c>
      <c r="AT69" s="2">
        <v>4</v>
      </c>
      <c r="AU69" s="2">
        <v>2</v>
      </c>
      <c r="AV69" s="2">
        <v>2</v>
      </c>
      <c r="AX69" t="s">
        <v>242</v>
      </c>
      <c r="AY69" s="37" t="s">
        <v>953</v>
      </c>
      <c r="AZ69" s="10"/>
      <c r="BA69" t="s">
        <v>245</v>
      </c>
    </row>
    <row r="70" spans="1:53" ht="17.399999999999999" x14ac:dyDescent="0.3">
      <c r="A70" s="6">
        <v>86</v>
      </c>
      <c r="B70" t="s">
        <v>45</v>
      </c>
      <c r="C70" t="s">
        <v>93</v>
      </c>
      <c r="D70" s="13" t="s">
        <v>879</v>
      </c>
      <c r="E70" s="13" t="s">
        <v>835</v>
      </c>
      <c r="F70" s="13"/>
      <c r="G70" s="13"/>
      <c r="H70" s="13"/>
      <c r="I70" s="13"/>
      <c r="J70" s="13"/>
      <c r="K70" s="13"/>
      <c r="L70" s="22" t="s">
        <v>919</v>
      </c>
      <c r="M70" s="22"/>
      <c r="N70" s="22" t="s">
        <v>953</v>
      </c>
      <c r="O70" s="22" t="s">
        <v>954</v>
      </c>
      <c r="P70" s="22" t="s">
        <v>953</v>
      </c>
      <c r="Q70" s="4" t="s">
        <v>1000</v>
      </c>
      <c r="R70" s="22" t="s">
        <v>953</v>
      </c>
      <c r="S70" t="s">
        <v>250</v>
      </c>
      <c r="T70" s="15" t="s">
        <v>961</v>
      </c>
      <c r="U70" s="15"/>
      <c r="V70" s="42"/>
      <c r="W70" s="46" t="s">
        <v>999</v>
      </c>
      <c r="X70" s="46" t="s">
        <v>953</v>
      </c>
      <c r="Y70" s="46" t="s">
        <v>953</v>
      </c>
      <c r="Z70" s="46" t="s">
        <v>953</v>
      </c>
      <c r="AA70" s="46" t="s">
        <v>999</v>
      </c>
      <c r="AB70" s="22" t="s">
        <v>954</v>
      </c>
      <c r="AC70" s="42" t="s">
        <v>985</v>
      </c>
      <c r="AD70" s="42" t="s">
        <v>985</v>
      </c>
      <c r="AE70" s="22" t="s">
        <v>945</v>
      </c>
      <c r="AF70" s="42"/>
      <c r="AG70" s="22" t="s">
        <v>953</v>
      </c>
      <c r="AH70" s="42" t="s">
        <v>949</v>
      </c>
      <c r="AI70" s="22" t="s">
        <v>960</v>
      </c>
      <c r="AJ70" s="22"/>
      <c r="AK70" s="22"/>
      <c r="AL70" s="22"/>
      <c r="AM70" s="22"/>
      <c r="AN70" s="22" t="s">
        <v>970</v>
      </c>
      <c r="AO70" s="44"/>
      <c r="AP70" s="44"/>
      <c r="AR70" s="5">
        <v>64618</v>
      </c>
      <c r="AS70" s="2" t="s">
        <v>2</v>
      </c>
      <c r="AT70" s="2">
        <v>4</v>
      </c>
      <c r="AU70" s="2">
        <v>3</v>
      </c>
      <c r="AV70" s="2">
        <v>1</v>
      </c>
      <c r="AX70" t="s">
        <v>241</v>
      </c>
      <c r="AY70" s="37" t="s">
        <v>954</v>
      </c>
      <c r="AZ70" s="10" t="s">
        <v>977</v>
      </c>
    </row>
    <row r="71" spans="1:53" ht="17.399999999999999" x14ac:dyDescent="0.3">
      <c r="A71" s="6">
        <v>87</v>
      </c>
      <c r="B71" t="s">
        <v>151</v>
      </c>
      <c r="C71" t="s">
        <v>200</v>
      </c>
      <c r="D71" s="13" t="s">
        <v>880</v>
      </c>
      <c r="E71" s="13" t="s">
        <v>836</v>
      </c>
      <c r="F71" s="13"/>
      <c r="G71" s="13"/>
      <c r="H71" s="13"/>
      <c r="I71" s="13"/>
      <c r="J71" s="13"/>
      <c r="K71" s="13"/>
      <c r="L71" s="22" t="s">
        <v>919</v>
      </c>
      <c r="M71" s="22"/>
      <c r="N71" s="22" t="s">
        <v>954</v>
      </c>
      <c r="O71" s="22" t="s">
        <v>954</v>
      </c>
      <c r="P71" s="22" t="s">
        <v>953</v>
      </c>
      <c r="Q71" s="4" t="s">
        <v>1000</v>
      </c>
      <c r="R71" s="22" t="s">
        <v>953</v>
      </c>
      <c r="S71" t="s">
        <v>301</v>
      </c>
      <c r="T71" s="15" t="s">
        <v>961</v>
      </c>
      <c r="U71" s="15"/>
      <c r="V71" s="42"/>
      <c r="W71" s="46" t="s">
        <v>953</v>
      </c>
      <c r="X71" s="46" t="s">
        <v>953</v>
      </c>
      <c r="Y71" s="46" t="s">
        <v>953</v>
      </c>
      <c r="Z71" s="46" t="s">
        <v>953</v>
      </c>
      <c r="AA71" s="46" t="s">
        <v>999</v>
      </c>
      <c r="AB71" s="22" t="s">
        <v>953</v>
      </c>
      <c r="AC71" s="42" t="s">
        <v>989</v>
      </c>
      <c r="AD71" s="42" t="s">
        <v>989</v>
      </c>
      <c r="AE71" s="22" t="s">
        <v>943</v>
      </c>
      <c r="AF71" s="42"/>
      <c r="AG71" s="22" t="s">
        <v>954</v>
      </c>
      <c r="AH71" s="42" t="s">
        <v>943</v>
      </c>
      <c r="AI71" s="22" t="s">
        <v>959</v>
      </c>
      <c r="AJ71" s="22"/>
      <c r="AK71" s="22"/>
      <c r="AL71" s="22"/>
      <c r="AM71" s="22"/>
      <c r="AN71" s="22" t="s">
        <v>969</v>
      </c>
      <c r="AO71" s="44"/>
      <c r="AP71" s="44"/>
      <c r="AR71" s="5">
        <v>64618</v>
      </c>
      <c r="AS71" s="2" t="s">
        <v>2</v>
      </c>
      <c r="AT71" s="2">
        <v>1</v>
      </c>
      <c r="AU71" s="2"/>
      <c r="AV71" s="2">
        <v>1</v>
      </c>
      <c r="AX71" t="s">
        <v>242</v>
      </c>
      <c r="AY71" s="37" t="s">
        <v>953</v>
      </c>
      <c r="AZ71" s="10"/>
    </row>
    <row r="72" spans="1:53" ht="17.399999999999999" x14ac:dyDescent="0.3">
      <c r="A72" s="6">
        <v>88</v>
      </c>
      <c r="B72" t="s">
        <v>152</v>
      </c>
      <c r="C72" t="s">
        <v>201</v>
      </c>
      <c r="D72" s="13" t="s">
        <v>881</v>
      </c>
      <c r="E72" s="13" t="s">
        <v>826</v>
      </c>
      <c r="F72" s="13"/>
      <c r="G72" s="13"/>
      <c r="H72" s="13"/>
      <c r="I72" s="13"/>
      <c r="J72" s="13"/>
      <c r="K72" s="13"/>
      <c r="L72" s="22" t="s">
        <v>919</v>
      </c>
      <c r="M72" s="22"/>
      <c r="N72" s="22" t="s">
        <v>954</v>
      </c>
      <c r="O72" s="22" t="s">
        <v>954</v>
      </c>
      <c r="P72" s="22" t="s">
        <v>953</v>
      </c>
      <c r="Q72" s="4" t="s">
        <v>1000</v>
      </c>
      <c r="R72" s="22" t="s">
        <v>953</v>
      </c>
      <c r="S72" t="s">
        <v>281</v>
      </c>
      <c r="T72" s="15" t="s">
        <v>965</v>
      </c>
      <c r="U72" s="15"/>
      <c r="V72" s="42"/>
      <c r="W72" s="46" t="s">
        <v>999</v>
      </c>
      <c r="X72" s="46" t="s">
        <v>953</v>
      </c>
      <c r="Y72" s="46" t="s">
        <v>999</v>
      </c>
      <c r="Z72" s="46" t="s">
        <v>953</v>
      </c>
      <c r="AA72" s="46" t="s">
        <v>999</v>
      </c>
      <c r="AB72" s="22" t="s">
        <v>953</v>
      </c>
      <c r="AC72" s="45" t="s">
        <v>988</v>
      </c>
      <c r="AD72" s="42" t="s">
        <v>989</v>
      </c>
      <c r="AE72" s="22" t="s">
        <v>945</v>
      </c>
      <c r="AF72" s="42"/>
      <c r="AG72" s="22" t="s">
        <v>954</v>
      </c>
      <c r="AH72" s="42" t="s">
        <v>945</v>
      </c>
      <c r="AI72" s="22" t="s">
        <v>960</v>
      </c>
      <c r="AJ72" s="22"/>
      <c r="AK72" s="22"/>
      <c r="AL72" s="22"/>
      <c r="AM72" s="22"/>
      <c r="AN72" s="22" t="s">
        <v>972</v>
      </c>
      <c r="AO72" s="44"/>
      <c r="AP72" s="44"/>
      <c r="AR72" s="5">
        <v>64571</v>
      </c>
      <c r="AS72" s="2" t="s">
        <v>2</v>
      </c>
      <c r="AT72" s="2">
        <v>5</v>
      </c>
      <c r="AU72" s="2">
        <v>3</v>
      </c>
      <c r="AV72" s="2">
        <v>2</v>
      </c>
      <c r="AX72" t="s">
        <v>242</v>
      </c>
      <c r="AY72" s="37" t="s">
        <v>953</v>
      </c>
      <c r="AZ72" s="10"/>
    </row>
    <row r="73" spans="1:53" ht="17.399999999999999" x14ac:dyDescent="0.3">
      <c r="A73" s="6">
        <v>90</v>
      </c>
      <c r="B73" t="s">
        <v>154</v>
      </c>
      <c r="C73" t="s">
        <v>203</v>
      </c>
      <c r="D73" s="13" t="s">
        <v>882</v>
      </c>
      <c r="E73" s="13" t="s">
        <v>802</v>
      </c>
      <c r="F73" s="13"/>
      <c r="G73" s="13"/>
      <c r="H73" s="13"/>
      <c r="I73" s="13"/>
      <c r="J73" s="13"/>
      <c r="K73" s="13"/>
      <c r="L73" s="22" t="s">
        <v>920</v>
      </c>
      <c r="M73" s="22"/>
      <c r="N73" s="22" t="s">
        <v>954</v>
      </c>
      <c r="O73" s="22" t="s">
        <v>954</v>
      </c>
      <c r="P73" s="22" t="s">
        <v>953</v>
      </c>
      <c r="Q73" s="4" t="s">
        <v>1003</v>
      </c>
      <c r="R73" s="22" t="s">
        <v>968</v>
      </c>
      <c r="S73" t="s">
        <v>294</v>
      </c>
      <c r="T73" s="15" t="s">
        <v>963</v>
      </c>
      <c r="U73" s="15"/>
      <c r="V73" s="42"/>
      <c r="W73" s="46" t="s">
        <v>953</v>
      </c>
      <c r="X73" s="46" t="s">
        <v>953</v>
      </c>
      <c r="Y73" s="46" t="s">
        <v>953</v>
      </c>
      <c r="Z73" s="46" t="s">
        <v>953</v>
      </c>
      <c r="AA73" s="46" t="s">
        <v>999</v>
      </c>
      <c r="AB73" s="22" t="s">
        <v>953</v>
      </c>
      <c r="AC73" s="45" t="s">
        <v>986</v>
      </c>
      <c r="AD73" s="42" t="s">
        <v>989</v>
      </c>
      <c r="AE73" s="22" t="s">
        <v>945</v>
      </c>
      <c r="AF73" s="42"/>
      <c r="AG73" s="22" t="s">
        <v>954</v>
      </c>
      <c r="AH73" s="42" t="s">
        <v>945</v>
      </c>
      <c r="AI73" s="22" t="s">
        <v>960</v>
      </c>
      <c r="AJ73" s="22"/>
      <c r="AK73" s="22"/>
      <c r="AL73" s="22"/>
      <c r="AM73" s="22"/>
      <c r="AN73" s="22" t="s">
        <v>970</v>
      </c>
      <c r="AO73" s="44"/>
      <c r="AP73" s="44"/>
      <c r="AR73" s="5">
        <v>64446</v>
      </c>
      <c r="AS73" s="2" t="s">
        <v>2</v>
      </c>
      <c r="AT73" s="2">
        <v>4</v>
      </c>
      <c r="AU73" s="2">
        <v>1</v>
      </c>
      <c r="AV73" s="2">
        <v>3</v>
      </c>
      <c r="AX73" t="s">
        <v>242</v>
      </c>
      <c r="AY73" s="37" t="s">
        <v>953</v>
      </c>
      <c r="AZ73" s="10"/>
      <c r="BA73" t="s">
        <v>245</v>
      </c>
    </row>
    <row r="74" spans="1:53" ht="17.399999999999999" x14ac:dyDescent="0.3">
      <c r="A74" s="6">
        <v>91</v>
      </c>
      <c r="B74" t="s">
        <v>155</v>
      </c>
      <c r="C74" t="s">
        <v>204</v>
      </c>
      <c r="D74" s="13" t="s">
        <v>883</v>
      </c>
      <c r="E74" s="13" t="s">
        <v>884</v>
      </c>
      <c r="F74" s="13"/>
      <c r="G74" s="13"/>
      <c r="H74" s="13"/>
      <c r="I74" s="13"/>
      <c r="J74" s="13"/>
      <c r="K74" s="13"/>
      <c r="L74" s="22" t="s">
        <v>920</v>
      </c>
      <c r="M74" s="22"/>
      <c r="N74" s="22" t="s">
        <v>954</v>
      </c>
      <c r="O74" s="22" t="s">
        <v>954</v>
      </c>
      <c r="P74" s="22" t="s">
        <v>953</v>
      </c>
      <c r="Q74" s="4" t="s">
        <v>1000</v>
      </c>
      <c r="R74" s="22" t="s">
        <v>953</v>
      </c>
      <c r="S74" t="s">
        <v>262</v>
      </c>
      <c r="T74" s="15" t="s">
        <v>963</v>
      </c>
      <c r="U74" s="15"/>
      <c r="V74" s="42"/>
      <c r="W74" s="46" t="s">
        <v>953</v>
      </c>
      <c r="X74" s="46" t="s">
        <v>953</v>
      </c>
      <c r="Y74" s="46" t="s">
        <v>953</v>
      </c>
      <c r="Z74" s="46" t="s">
        <v>953</v>
      </c>
      <c r="AA74" s="46" t="s">
        <v>953</v>
      </c>
      <c r="AB74" s="22" t="s">
        <v>953</v>
      </c>
      <c r="AC74" s="42" t="s">
        <v>987</v>
      </c>
      <c r="AD74" s="42" t="s">
        <v>987</v>
      </c>
      <c r="AE74" s="22" t="s">
        <v>945</v>
      </c>
      <c r="AF74" s="42"/>
      <c r="AG74" s="22" t="s">
        <v>953</v>
      </c>
      <c r="AH74" s="42" t="s">
        <v>944</v>
      </c>
      <c r="AI74" s="22" t="s">
        <v>960</v>
      </c>
      <c r="AJ74" s="22"/>
      <c r="AK74" s="22"/>
      <c r="AL74" s="22"/>
      <c r="AM74" s="22"/>
      <c r="AN74" s="22" t="s">
        <v>969</v>
      </c>
      <c r="AO74" s="44"/>
      <c r="AP74" s="44"/>
      <c r="AR74" s="5">
        <v>64444</v>
      </c>
      <c r="AS74" s="2" t="s">
        <v>2</v>
      </c>
      <c r="AT74" s="2">
        <v>4</v>
      </c>
      <c r="AU74" s="2">
        <v>3</v>
      </c>
      <c r="AV74" s="2">
        <v>1</v>
      </c>
      <c r="AX74" t="s">
        <v>242</v>
      </c>
      <c r="AY74" s="37" t="s">
        <v>953</v>
      </c>
      <c r="AZ74" s="10"/>
    </row>
    <row r="75" spans="1:53" ht="17.399999999999999" x14ac:dyDescent="0.3">
      <c r="A75" s="6">
        <v>92</v>
      </c>
      <c r="B75" t="s">
        <v>156</v>
      </c>
      <c r="C75" t="s">
        <v>205</v>
      </c>
      <c r="D75" s="13" t="s">
        <v>885</v>
      </c>
      <c r="E75" s="13" t="s">
        <v>825</v>
      </c>
      <c r="F75" s="13"/>
      <c r="G75" s="13"/>
      <c r="H75" s="13"/>
      <c r="I75" s="13"/>
      <c r="J75" s="13"/>
      <c r="K75" s="13"/>
      <c r="L75" s="22" t="s">
        <v>920</v>
      </c>
      <c r="M75" s="22"/>
      <c r="N75" s="22" t="s">
        <v>954</v>
      </c>
      <c r="O75" s="22" t="s">
        <v>954</v>
      </c>
      <c r="P75" s="22" t="s">
        <v>954</v>
      </c>
      <c r="Q75" s="4" t="s">
        <v>1003</v>
      </c>
      <c r="R75" s="22" t="s">
        <v>953</v>
      </c>
      <c r="S75" t="s">
        <v>265</v>
      </c>
      <c r="T75" s="15" t="s">
        <v>961</v>
      </c>
      <c r="U75" s="15"/>
      <c r="V75" s="42"/>
      <c r="W75" s="46" t="s">
        <v>953</v>
      </c>
      <c r="X75" s="46" t="s">
        <v>953</v>
      </c>
      <c r="Y75" s="46" t="s">
        <v>953</v>
      </c>
      <c r="Z75" s="46" t="s">
        <v>953</v>
      </c>
      <c r="AA75" s="46" t="s">
        <v>999</v>
      </c>
      <c r="AB75" s="22" t="s">
        <v>953</v>
      </c>
      <c r="AC75" s="42" t="s">
        <v>986</v>
      </c>
      <c r="AD75" s="42" t="s">
        <v>987</v>
      </c>
      <c r="AE75" s="22" t="s">
        <v>944</v>
      </c>
      <c r="AF75" s="42"/>
      <c r="AG75" s="22" t="s">
        <v>954</v>
      </c>
      <c r="AH75" s="42" t="s">
        <v>944</v>
      </c>
      <c r="AI75" s="22" t="s">
        <v>960</v>
      </c>
      <c r="AJ75" s="22"/>
      <c r="AK75" s="22"/>
      <c r="AL75" s="22"/>
      <c r="AM75" s="22"/>
      <c r="AN75" s="22" t="s">
        <v>970</v>
      </c>
      <c r="AO75" s="44"/>
      <c r="AP75" s="44"/>
      <c r="AR75" s="5">
        <v>64424</v>
      </c>
      <c r="AS75" s="2" t="s">
        <v>2</v>
      </c>
      <c r="AT75" s="2">
        <v>4</v>
      </c>
      <c r="AU75" s="2">
        <v>2</v>
      </c>
      <c r="AV75" s="2">
        <v>2</v>
      </c>
      <c r="AX75" t="s">
        <v>242</v>
      </c>
      <c r="AY75" s="37" t="s">
        <v>953</v>
      </c>
      <c r="AZ75" s="10"/>
    </row>
    <row r="76" spans="1:53" ht="17.399999999999999" x14ac:dyDescent="0.3">
      <c r="A76" s="6">
        <v>93</v>
      </c>
      <c r="B76" t="s">
        <v>157</v>
      </c>
      <c r="C76" t="s">
        <v>206</v>
      </c>
      <c r="D76" s="13" t="s">
        <v>886</v>
      </c>
      <c r="E76" s="13" t="s">
        <v>839</v>
      </c>
      <c r="F76" s="13"/>
      <c r="G76" s="13"/>
      <c r="H76" s="13"/>
      <c r="I76" s="13"/>
      <c r="J76" s="13"/>
      <c r="K76" s="13"/>
      <c r="L76" s="22" t="s">
        <v>920</v>
      </c>
      <c r="M76" s="22"/>
      <c r="N76" s="22" t="s">
        <v>954</v>
      </c>
      <c r="O76" s="22" t="s">
        <v>954</v>
      </c>
      <c r="P76" s="22" t="s">
        <v>953</v>
      </c>
      <c r="Q76" s="4" t="s">
        <v>1003</v>
      </c>
      <c r="R76" s="22" t="s">
        <v>953</v>
      </c>
      <c r="S76" t="s">
        <v>335</v>
      </c>
      <c r="T76" s="15" t="s">
        <v>961</v>
      </c>
      <c r="U76" s="15"/>
      <c r="V76" s="42"/>
      <c r="W76" s="46" t="s">
        <v>999</v>
      </c>
      <c r="X76" s="46" t="s">
        <v>953</v>
      </c>
      <c r="Y76" s="46" t="s">
        <v>953</v>
      </c>
      <c r="Z76" s="46" t="s">
        <v>953</v>
      </c>
      <c r="AA76" s="46" t="s">
        <v>999</v>
      </c>
      <c r="AB76" s="22" t="s">
        <v>953</v>
      </c>
      <c r="AC76" s="42" t="s">
        <v>986</v>
      </c>
      <c r="AD76" s="42" t="s">
        <v>987</v>
      </c>
      <c r="AE76" s="22" t="s">
        <v>944</v>
      </c>
      <c r="AF76" s="42"/>
      <c r="AG76" s="22" t="s">
        <v>954</v>
      </c>
      <c r="AH76" s="42" t="s">
        <v>944</v>
      </c>
      <c r="AI76" s="22" t="s">
        <v>957</v>
      </c>
      <c r="AJ76" s="22"/>
      <c r="AK76" s="22"/>
      <c r="AL76" s="22"/>
      <c r="AM76" s="22"/>
      <c r="AN76" s="22" t="s">
        <v>970</v>
      </c>
      <c r="AO76" s="44"/>
      <c r="AP76" s="44"/>
      <c r="AR76" s="5">
        <v>64395</v>
      </c>
      <c r="AS76" s="2" t="s">
        <v>2</v>
      </c>
      <c r="AT76" s="2">
        <v>2</v>
      </c>
      <c r="AU76" s="2">
        <v>1</v>
      </c>
      <c r="AV76" s="2">
        <v>1</v>
      </c>
      <c r="AX76" t="s">
        <v>242</v>
      </c>
      <c r="AY76" s="37" t="s">
        <v>953</v>
      </c>
      <c r="AZ76" s="10"/>
    </row>
    <row r="77" spans="1:53" ht="17.399999999999999" x14ac:dyDescent="0.3">
      <c r="A77" s="6">
        <v>94</v>
      </c>
      <c r="B77" t="s">
        <v>158</v>
      </c>
      <c r="C77" t="s">
        <v>207</v>
      </c>
      <c r="D77" s="13" t="s">
        <v>887</v>
      </c>
      <c r="E77" s="13" t="s">
        <v>888</v>
      </c>
      <c r="F77" s="13"/>
      <c r="G77" s="13"/>
      <c r="H77" s="13"/>
      <c r="I77" s="13"/>
      <c r="J77" s="13"/>
      <c r="K77" s="13"/>
      <c r="L77" s="22" t="s">
        <v>919</v>
      </c>
      <c r="M77" s="22"/>
      <c r="N77" t="s">
        <v>953</v>
      </c>
      <c r="O77" s="22" t="s">
        <v>954</v>
      </c>
      <c r="P77" s="22" t="s">
        <v>953</v>
      </c>
      <c r="Q77" s="4" t="s">
        <v>1000</v>
      </c>
      <c r="R77" s="22" t="s">
        <v>953</v>
      </c>
      <c r="S77" t="s">
        <v>323</v>
      </c>
      <c r="T77" s="15" t="s">
        <v>963</v>
      </c>
      <c r="U77" s="15"/>
      <c r="V77" s="42"/>
      <c r="W77" s="46" t="s">
        <v>999</v>
      </c>
      <c r="X77" s="46" t="s">
        <v>953</v>
      </c>
      <c r="Y77" s="46" t="s">
        <v>953</v>
      </c>
      <c r="Z77" s="46" t="s">
        <v>953</v>
      </c>
      <c r="AA77" s="46" t="s">
        <v>999</v>
      </c>
      <c r="AB77" s="22" t="s">
        <v>953</v>
      </c>
      <c r="AC77" s="45" t="s">
        <v>987</v>
      </c>
      <c r="AD77" s="42" t="s">
        <v>988</v>
      </c>
      <c r="AE77" s="22" t="s">
        <v>945</v>
      </c>
      <c r="AF77" s="42"/>
      <c r="AG77" s="22" t="s">
        <v>954</v>
      </c>
      <c r="AH77" s="42" t="s">
        <v>945</v>
      </c>
      <c r="AI77" s="22" t="s">
        <v>956</v>
      </c>
      <c r="AJ77" s="22"/>
      <c r="AK77" s="22"/>
      <c r="AL77" s="22"/>
      <c r="AM77" s="22"/>
      <c r="AN77" s="22" t="s">
        <v>970</v>
      </c>
      <c r="AO77" s="44"/>
      <c r="AP77" s="44"/>
      <c r="AR77" s="5">
        <v>64320</v>
      </c>
      <c r="AS77" s="2" t="s">
        <v>2</v>
      </c>
      <c r="AT77" s="2">
        <v>4</v>
      </c>
      <c r="AU77" s="2">
        <v>1</v>
      </c>
      <c r="AV77" s="2">
        <v>3</v>
      </c>
      <c r="AX77" t="s">
        <v>241</v>
      </c>
      <c r="AY77" s="37" t="s">
        <v>954</v>
      </c>
      <c r="AZ77" s="10" t="s">
        <v>977</v>
      </c>
    </row>
    <row r="78" spans="1:53" ht="17.399999999999999" x14ac:dyDescent="0.3">
      <c r="A78" s="6">
        <v>95</v>
      </c>
      <c r="B78" t="s">
        <v>159</v>
      </c>
      <c r="C78" t="s">
        <v>208</v>
      </c>
      <c r="D78" s="13" t="s">
        <v>889</v>
      </c>
      <c r="E78" s="13" t="s">
        <v>772</v>
      </c>
      <c r="F78" s="13"/>
      <c r="G78" s="13"/>
      <c r="H78" s="13"/>
      <c r="I78" s="13"/>
      <c r="J78" s="13"/>
      <c r="K78" s="13"/>
      <c r="L78" s="22" t="s">
        <v>919</v>
      </c>
      <c r="M78" s="22"/>
      <c r="N78" s="22" t="s">
        <v>954</v>
      </c>
      <c r="O78" s="22" t="s">
        <v>954</v>
      </c>
      <c r="P78" s="22" t="s">
        <v>953</v>
      </c>
      <c r="Q78" s="4" t="s">
        <v>1003</v>
      </c>
      <c r="R78" s="22" t="s">
        <v>954</v>
      </c>
      <c r="S78" t="s">
        <v>306</v>
      </c>
      <c r="T78" s="15" t="s">
        <v>963</v>
      </c>
      <c r="U78" s="15"/>
      <c r="V78" s="42"/>
      <c r="W78" s="46" t="s">
        <v>999</v>
      </c>
      <c r="X78" s="46" t="s">
        <v>953</v>
      </c>
      <c r="Y78" s="46" t="s">
        <v>953</v>
      </c>
      <c r="Z78" s="46" t="s">
        <v>953</v>
      </c>
      <c r="AA78" s="46" t="s">
        <v>999</v>
      </c>
      <c r="AB78" s="22" t="s">
        <v>953</v>
      </c>
      <c r="AC78" s="42" t="s">
        <v>988</v>
      </c>
      <c r="AD78" s="42" t="s">
        <v>988</v>
      </c>
      <c r="AE78" s="22" t="s">
        <v>943</v>
      </c>
      <c r="AF78" s="42"/>
      <c r="AG78" s="22" t="s">
        <v>954</v>
      </c>
      <c r="AH78" s="42" t="s">
        <v>943</v>
      </c>
      <c r="AI78" s="22" t="s">
        <v>959</v>
      </c>
      <c r="AJ78" s="22"/>
      <c r="AK78" s="22"/>
      <c r="AL78" s="22"/>
      <c r="AM78" s="22"/>
      <c r="AN78" s="22" t="s">
        <v>969</v>
      </c>
      <c r="AO78" s="44"/>
      <c r="AP78" s="44"/>
      <c r="AR78" s="5">
        <v>64167</v>
      </c>
      <c r="AS78" s="2" t="s">
        <v>2</v>
      </c>
      <c r="AT78" s="2">
        <v>2</v>
      </c>
      <c r="AU78" s="2">
        <v>1</v>
      </c>
      <c r="AV78" s="2">
        <v>1</v>
      </c>
      <c r="AX78" t="s">
        <v>242</v>
      </c>
      <c r="AY78" s="37" t="s">
        <v>953</v>
      </c>
      <c r="AZ78" s="10"/>
      <c r="BA78" t="s">
        <v>245</v>
      </c>
    </row>
    <row r="79" spans="1:53" ht="17.399999999999999" x14ac:dyDescent="0.3">
      <c r="A79" s="6">
        <v>97</v>
      </c>
      <c r="B79" t="s">
        <v>161</v>
      </c>
      <c r="C79" t="s">
        <v>210</v>
      </c>
      <c r="D79" s="13" t="s">
        <v>890</v>
      </c>
      <c r="E79" s="13" t="s">
        <v>825</v>
      </c>
      <c r="F79" s="13"/>
      <c r="G79" s="13"/>
      <c r="H79" s="13"/>
      <c r="I79" s="13"/>
      <c r="J79" s="13"/>
      <c r="K79" s="13"/>
      <c r="L79" s="22" t="s">
        <v>920</v>
      </c>
      <c r="M79" s="22"/>
      <c r="N79" s="22" t="s">
        <v>954</v>
      </c>
      <c r="O79" s="22" t="s">
        <v>954</v>
      </c>
      <c r="P79" s="22" t="s">
        <v>953</v>
      </c>
      <c r="Q79" s="4" t="s">
        <v>1000</v>
      </c>
      <c r="R79" s="22" t="s">
        <v>953</v>
      </c>
      <c r="S79" t="s">
        <v>284</v>
      </c>
      <c r="T79" s="15" t="s">
        <v>962</v>
      </c>
      <c r="U79" s="15"/>
      <c r="V79" s="42"/>
      <c r="W79" s="46" t="s">
        <v>953</v>
      </c>
      <c r="X79" s="46" t="s">
        <v>953</v>
      </c>
      <c r="Y79" s="46" t="s">
        <v>953</v>
      </c>
      <c r="Z79" s="46" t="s">
        <v>953</v>
      </c>
      <c r="AA79" s="46" t="s">
        <v>999</v>
      </c>
      <c r="AB79" s="22" t="s">
        <v>953</v>
      </c>
      <c r="AC79" s="42" t="s">
        <v>985</v>
      </c>
      <c r="AD79" s="42" t="s">
        <v>986</v>
      </c>
      <c r="AE79" s="22" t="s">
        <v>944</v>
      </c>
      <c r="AF79" s="42"/>
      <c r="AG79" s="22" t="s">
        <v>954</v>
      </c>
      <c r="AH79" s="42" t="s">
        <v>944</v>
      </c>
      <c r="AI79" s="22" t="s">
        <v>959</v>
      </c>
      <c r="AJ79" s="22"/>
      <c r="AK79" s="22"/>
      <c r="AL79" s="22"/>
      <c r="AM79" s="22"/>
      <c r="AN79" s="22" t="s">
        <v>969</v>
      </c>
      <c r="AO79" s="44"/>
      <c r="AP79" s="44"/>
      <c r="AR79" s="5">
        <v>64099</v>
      </c>
      <c r="AS79" s="2" t="s">
        <v>2</v>
      </c>
      <c r="AT79" s="2">
        <v>5</v>
      </c>
      <c r="AU79" s="2">
        <v>3</v>
      </c>
      <c r="AV79" s="2">
        <v>2</v>
      </c>
      <c r="AX79" t="s">
        <v>242</v>
      </c>
      <c r="AY79" s="37" t="s">
        <v>953</v>
      </c>
      <c r="AZ79" s="10"/>
    </row>
    <row r="80" spans="1:53" ht="17.399999999999999" x14ac:dyDescent="0.3">
      <c r="A80" s="6">
        <v>99</v>
      </c>
      <c r="B80" t="s">
        <v>163</v>
      </c>
      <c r="C80" t="s">
        <v>212</v>
      </c>
      <c r="D80" s="13" t="s">
        <v>891</v>
      </c>
      <c r="E80" s="13" t="s">
        <v>825</v>
      </c>
      <c r="F80" s="13"/>
      <c r="G80" s="13"/>
      <c r="H80" s="13"/>
      <c r="I80" s="13"/>
      <c r="J80" s="13"/>
      <c r="K80" s="13"/>
      <c r="L80" s="22" t="s">
        <v>920</v>
      </c>
      <c r="M80" s="22"/>
      <c r="N80" s="22" t="s">
        <v>954</v>
      </c>
      <c r="O80" s="22" t="s">
        <v>954</v>
      </c>
      <c r="P80" s="22" t="s">
        <v>953</v>
      </c>
      <c r="Q80" s="4" t="s">
        <v>1000</v>
      </c>
      <c r="R80" s="22" t="s">
        <v>953</v>
      </c>
      <c r="S80" t="s">
        <v>282</v>
      </c>
      <c r="T80" s="15" t="s">
        <v>962</v>
      </c>
      <c r="U80" s="15"/>
      <c r="V80" s="42"/>
      <c r="W80" s="46" t="s">
        <v>953</v>
      </c>
      <c r="X80" s="46" t="s">
        <v>953</v>
      </c>
      <c r="Y80" s="46" t="s">
        <v>953</v>
      </c>
      <c r="Z80" s="46" t="s">
        <v>953</v>
      </c>
      <c r="AA80" s="46" t="s">
        <v>953</v>
      </c>
      <c r="AB80" s="22" t="s">
        <v>953</v>
      </c>
      <c r="AC80" s="42" t="s">
        <v>986</v>
      </c>
      <c r="AD80" s="42" t="s">
        <v>987</v>
      </c>
      <c r="AE80" s="22" t="s">
        <v>944</v>
      </c>
      <c r="AF80" s="42"/>
      <c r="AG80" s="22" t="s">
        <v>954</v>
      </c>
      <c r="AH80" s="42" t="s">
        <v>944</v>
      </c>
      <c r="AI80" s="22" t="s">
        <v>957</v>
      </c>
      <c r="AJ80" s="22"/>
      <c r="AK80" s="22"/>
      <c r="AL80" s="22"/>
      <c r="AM80" s="22"/>
      <c r="AN80" s="22" t="s">
        <v>970</v>
      </c>
      <c r="AO80" s="44"/>
      <c r="AP80" s="44"/>
      <c r="AR80" s="5">
        <v>63997</v>
      </c>
      <c r="AS80" s="2" t="s">
        <v>2</v>
      </c>
      <c r="AT80" s="2">
        <v>4</v>
      </c>
      <c r="AU80" s="2">
        <v>2</v>
      </c>
      <c r="AV80" s="2">
        <v>2</v>
      </c>
      <c r="AX80" t="s">
        <v>242</v>
      </c>
      <c r="AY80" s="37" t="s">
        <v>953</v>
      </c>
      <c r="AZ80" s="10"/>
    </row>
    <row r="81" spans="1:53" ht="17.399999999999999" x14ac:dyDescent="0.3">
      <c r="A81" s="6">
        <v>100</v>
      </c>
      <c r="B81" t="s">
        <v>164</v>
      </c>
      <c r="C81" t="s">
        <v>213</v>
      </c>
      <c r="D81" s="13" t="s">
        <v>892</v>
      </c>
      <c r="E81" s="13" t="s">
        <v>841</v>
      </c>
      <c r="F81" s="13"/>
      <c r="G81" s="13"/>
      <c r="H81" s="13"/>
      <c r="I81" s="13"/>
      <c r="J81" s="13"/>
      <c r="K81" s="13"/>
      <c r="L81" s="22" t="s">
        <v>919</v>
      </c>
      <c r="M81" s="22"/>
      <c r="N81" s="22" t="s">
        <v>954</v>
      </c>
      <c r="O81" s="22" t="s">
        <v>954</v>
      </c>
      <c r="P81" s="22" t="s">
        <v>954</v>
      </c>
      <c r="Q81" s="4" t="s">
        <v>1001</v>
      </c>
      <c r="R81" s="22" t="s">
        <v>954</v>
      </c>
      <c r="S81" t="s">
        <v>269</v>
      </c>
      <c r="T81" s="15" t="s">
        <v>962</v>
      </c>
      <c r="U81" s="15"/>
      <c r="V81" s="42"/>
      <c r="W81" s="46" t="s">
        <v>953</v>
      </c>
      <c r="X81" s="46" t="s">
        <v>953</v>
      </c>
      <c r="Y81" s="46" t="s">
        <v>953</v>
      </c>
      <c r="Z81" s="46" t="s">
        <v>953</v>
      </c>
      <c r="AA81" s="46" t="s">
        <v>953</v>
      </c>
      <c r="AB81" s="22" t="s">
        <v>953</v>
      </c>
      <c r="AC81" s="42" t="s">
        <v>986</v>
      </c>
      <c r="AD81" s="42" t="s">
        <v>987</v>
      </c>
      <c r="AE81" s="22" t="s">
        <v>943</v>
      </c>
      <c r="AF81" s="42"/>
      <c r="AG81" s="22" t="s">
        <v>954</v>
      </c>
      <c r="AH81" s="42" t="s">
        <v>943</v>
      </c>
      <c r="AI81" s="22" t="s">
        <v>960</v>
      </c>
      <c r="AJ81" s="22"/>
      <c r="AK81" s="22"/>
      <c r="AL81" s="22"/>
      <c r="AM81" s="22"/>
      <c r="AN81" s="22" t="s">
        <v>972</v>
      </c>
      <c r="AO81" s="44"/>
      <c r="AP81" s="44"/>
      <c r="AQ81" t="s">
        <v>214</v>
      </c>
      <c r="AR81" s="5">
        <v>63944</v>
      </c>
      <c r="AS81" s="2" t="s">
        <v>2</v>
      </c>
      <c r="AT81" s="2">
        <v>2</v>
      </c>
      <c r="AU81" s="2">
        <v>1</v>
      </c>
      <c r="AV81" s="2">
        <v>1</v>
      </c>
      <c r="AX81" t="s">
        <v>242</v>
      </c>
      <c r="AY81" s="37" t="s">
        <v>953</v>
      </c>
      <c r="AZ81" s="10"/>
    </row>
    <row r="82" spans="1:53" ht="17.399999999999999" x14ac:dyDescent="0.3">
      <c r="A82" s="6">
        <v>101</v>
      </c>
      <c r="B82" t="s">
        <v>216</v>
      </c>
      <c r="C82" t="s">
        <v>222</v>
      </c>
      <c r="D82" s="13" t="s">
        <v>893</v>
      </c>
      <c r="E82" s="13" t="s">
        <v>826</v>
      </c>
      <c r="F82" s="13"/>
      <c r="G82" s="13"/>
      <c r="H82" s="13"/>
      <c r="I82" s="13"/>
      <c r="J82" s="13"/>
      <c r="K82" s="13"/>
      <c r="L82" s="22" t="s">
        <v>920</v>
      </c>
      <c r="M82" s="22"/>
      <c r="N82" s="22" t="s">
        <v>953</v>
      </c>
      <c r="O82" s="22" t="s">
        <v>954</v>
      </c>
      <c r="P82" s="22" t="s">
        <v>953</v>
      </c>
      <c r="Q82" s="4" t="s">
        <v>1000</v>
      </c>
      <c r="R82" s="22" t="s">
        <v>953</v>
      </c>
      <c r="S82" t="s">
        <v>297</v>
      </c>
      <c r="T82" s="15" t="s">
        <v>963</v>
      </c>
      <c r="U82" s="15"/>
      <c r="V82" s="42"/>
      <c r="W82" s="46" t="s">
        <v>999</v>
      </c>
      <c r="X82" s="46" t="s">
        <v>953</v>
      </c>
      <c r="Y82" s="46" t="s">
        <v>953</v>
      </c>
      <c r="Z82" s="46" t="s">
        <v>953</v>
      </c>
      <c r="AA82" s="46" t="s">
        <v>999</v>
      </c>
      <c r="AB82" s="22" t="s">
        <v>953</v>
      </c>
      <c r="AC82" s="42" t="s">
        <v>985</v>
      </c>
      <c r="AD82" s="42" t="s">
        <v>988</v>
      </c>
      <c r="AE82" s="22" t="s">
        <v>944</v>
      </c>
      <c r="AF82" s="42"/>
      <c r="AG82" s="22" t="s">
        <v>954</v>
      </c>
      <c r="AH82" s="42" t="s">
        <v>944</v>
      </c>
      <c r="AI82" s="22" t="s">
        <v>956</v>
      </c>
      <c r="AJ82" s="22"/>
      <c r="AK82" s="22"/>
      <c r="AL82" s="22"/>
      <c r="AM82" s="22"/>
      <c r="AN82" s="22" t="s">
        <v>975</v>
      </c>
      <c r="AO82" s="44"/>
      <c r="AP82" s="44"/>
      <c r="AQ82" t="s">
        <v>230</v>
      </c>
      <c r="AR82" s="5">
        <v>63928</v>
      </c>
      <c r="AS82" s="2" t="s">
        <v>2</v>
      </c>
      <c r="AT82" s="2">
        <v>4</v>
      </c>
      <c r="AU82" s="2">
        <v>2</v>
      </c>
      <c r="AV82" s="2">
        <v>2</v>
      </c>
      <c r="AX82" t="s">
        <v>237</v>
      </c>
      <c r="AY82" s="37" t="s">
        <v>954</v>
      </c>
      <c r="AZ82" s="10" t="s">
        <v>977</v>
      </c>
      <c r="BA82" t="s">
        <v>245</v>
      </c>
    </row>
    <row r="83" spans="1:53" ht="17.399999999999999" x14ac:dyDescent="0.3">
      <c r="A83" s="6">
        <v>102</v>
      </c>
      <c r="B83" t="s">
        <v>145</v>
      </c>
      <c r="C83" t="s">
        <v>193</v>
      </c>
      <c r="D83" s="13" t="s">
        <v>783</v>
      </c>
      <c r="E83" s="13" t="s">
        <v>842</v>
      </c>
      <c r="F83" s="13"/>
      <c r="G83" s="13"/>
      <c r="H83" s="13"/>
      <c r="I83" s="13"/>
      <c r="J83" s="13"/>
      <c r="K83" s="13"/>
      <c r="L83" s="22" t="s">
        <v>919</v>
      </c>
      <c r="M83" s="22"/>
      <c r="N83" s="22" t="s">
        <v>954</v>
      </c>
      <c r="O83" s="22" t="s">
        <v>954</v>
      </c>
      <c r="P83" s="22" t="s">
        <v>953</v>
      </c>
      <c r="Q83" s="4" t="s">
        <v>1000</v>
      </c>
      <c r="R83" s="22" t="s">
        <v>953</v>
      </c>
      <c r="S83" t="s">
        <v>288</v>
      </c>
      <c r="T83" s="15" t="s">
        <v>962</v>
      </c>
      <c r="U83" s="15"/>
      <c r="V83" s="42"/>
      <c r="W83" s="46" t="s">
        <v>953</v>
      </c>
      <c r="X83" s="46" t="s">
        <v>953</v>
      </c>
      <c r="Y83" s="46" t="s">
        <v>953</v>
      </c>
      <c r="Z83" s="46" t="s">
        <v>953</v>
      </c>
      <c r="AA83" s="46" t="s">
        <v>999</v>
      </c>
      <c r="AB83" s="22" t="s">
        <v>953</v>
      </c>
      <c r="AC83" s="42" t="s">
        <v>987</v>
      </c>
      <c r="AD83" s="42" t="s">
        <v>987</v>
      </c>
      <c r="AE83" s="22" t="s">
        <v>949</v>
      </c>
      <c r="AF83" s="42"/>
      <c r="AG83" s="22" t="s">
        <v>953</v>
      </c>
      <c r="AH83" s="42" t="s">
        <v>945</v>
      </c>
      <c r="AI83" s="22" t="s">
        <v>960</v>
      </c>
      <c r="AJ83" s="22"/>
      <c r="AK83" s="22"/>
      <c r="AL83" s="22"/>
      <c r="AM83" s="22"/>
      <c r="AN83" s="22" t="s">
        <v>969</v>
      </c>
      <c r="AO83" s="44"/>
      <c r="AP83" s="44"/>
      <c r="AR83" s="5">
        <v>63834</v>
      </c>
      <c r="AS83" s="2" t="s">
        <v>2</v>
      </c>
      <c r="AT83" s="2">
        <v>4</v>
      </c>
      <c r="AU83" s="2">
        <v>2</v>
      </c>
      <c r="AV83" s="2">
        <v>2</v>
      </c>
      <c r="AX83" t="s">
        <v>241</v>
      </c>
      <c r="AY83" s="37" t="s">
        <v>954</v>
      </c>
      <c r="AZ83" s="10" t="s">
        <v>977</v>
      </c>
    </row>
    <row r="84" spans="1:53" ht="17.399999999999999" x14ac:dyDescent="0.3">
      <c r="A84" s="6">
        <v>103</v>
      </c>
      <c r="B84" t="s">
        <v>217</v>
      </c>
      <c r="C84" t="s">
        <v>223</v>
      </c>
      <c r="D84" s="13" t="s">
        <v>894</v>
      </c>
      <c r="E84" s="13" t="s">
        <v>843</v>
      </c>
      <c r="F84" s="13"/>
      <c r="G84" s="13"/>
      <c r="H84" s="13"/>
      <c r="I84" s="13"/>
      <c r="J84" s="13"/>
      <c r="K84" s="13"/>
      <c r="L84" s="22" t="s">
        <v>919</v>
      </c>
      <c r="M84" s="22"/>
      <c r="N84" s="22" t="s">
        <v>953</v>
      </c>
      <c r="O84" s="22" t="s">
        <v>954</v>
      </c>
      <c r="P84" s="22" t="s">
        <v>954</v>
      </c>
      <c r="Q84" s="4" t="s">
        <v>1000</v>
      </c>
      <c r="R84" s="22" t="s">
        <v>953</v>
      </c>
      <c r="S84" t="s">
        <v>295</v>
      </c>
      <c r="T84" s="15" t="s">
        <v>964</v>
      </c>
      <c r="U84" s="15"/>
      <c r="V84" s="42"/>
      <c r="W84" s="46" t="s">
        <v>953</v>
      </c>
      <c r="X84" s="46" t="s">
        <v>953</v>
      </c>
      <c r="Y84" s="46" t="s">
        <v>953</v>
      </c>
      <c r="Z84" s="46" t="s">
        <v>953</v>
      </c>
      <c r="AA84" s="46" t="s">
        <v>953</v>
      </c>
      <c r="AB84" s="22" t="s">
        <v>953</v>
      </c>
      <c r="AC84" s="45" t="s">
        <v>989</v>
      </c>
      <c r="AD84" s="42" t="s">
        <v>990</v>
      </c>
      <c r="AE84" s="22" t="s">
        <v>945</v>
      </c>
      <c r="AF84" s="42"/>
      <c r="AG84" s="22" t="s">
        <v>954</v>
      </c>
      <c r="AH84" s="42" t="s">
        <v>945</v>
      </c>
      <c r="AI84" s="22" t="s">
        <v>956</v>
      </c>
      <c r="AJ84" s="22"/>
      <c r="AK84" s="22"/>
      <c r="AL84" s="22"/>
      <c r="AM84" s="22"/>
      <c r="AN84" s="22" t="s">
        <v>970</v>
      </c>
      <c r="AO84" s="44"/>
      <c r="AP84" s="44"/>
      <c r="AR84" s="5">
        <v>63817</v>
      </c>
      <c r="AS84" s="2" t="s">
        <v>2</v>
      </c>
      <c r="AT84" s="2">
        <v>3</v>
      </c>
      <c r="AU84" s="2">
        <v>1</v>
      </c>
      <c r="AV84" s="2">
        <v>2</v>
      </c>
      <c r="AX84" t="s">
        <v>242</v>
      </c>
      <c r="AY84" s="37" t="s">
        <v>953</v>
      </c>
      <c r="AZ84" s="10"/>
    </row>
    <row r="85" spans="1:53" ht="17.399999999999999" x14ac:dyDescent="0.3">
      <c r="A85" s="6">
        <v>104</v>
      </c>
      <c r="B85" t="s">
        <v>38</v>
      </c>
      <c r="C85" t="s">
        <v>86</v>
      </c>
      <c r="D85" s="13" t="s">
        <v>895</v>
      </c>
      <c r="E85" s="13" t="s">
        <v>844</v>
      </c>
      <c r="F85" s="13"/>
      <c r="G85" s="13"/>
      <c r="H85" s="13"/>
      <c r="I85" s="13"/>
      <c r="J85" s="13"/>
      <c r="K85" s="13"/>
      <c r="L85" s="22" t="s">
        <v>919</v>
      </c>
      <c r="M85" s="22"/>
      <c r="N85" s="22" t="s">
        <v>954</v>
      </c>
      <c r="O85" s="22" t="s">
        <v>954</v>
      </c>
      <c r="P85" s="22" t="s">
        <v>953</v>
      </c>
      <c r="Q85" s="4" t="s">
        <v>1003</v>
      </c>
      <c r="R85" s="22" t="s">
        <v>953</v>
      </c>
      <c r="S85" t="s">
        <v>279</v>
      </c>
      <c r="T85" s="15" t="s">
        <v>962</v>
      </c>
      <c r="U85" s="15"/>
      <c r="V85" s="42"/>
      <c r="W85" s="46" t="s">
        <v>999</v>
      </c>
      <c r="X85" s="46" t="s">
        <v>953</v>
      </c>
      <c r="Y85" s="46" t="s">
        <v>953</v>
      </c>
      <c r="Z85" s="46" t="s">
        <v>953</v>
      </c>
      <c r="AA85" s="46" t="s">
        <v>999</v>
      </c>
      <c r="AB85" s="22" t="s">
        <v>953</v>
      </c>
      <c r="AC85" s="42" t="s">
        <v>987</v>
      </c>
      <c r="AD85" s="42" t="s">
        <v>987</v>
      </c>
      <c r="AE85" s="22" t="s">
        <v>949</v>
      </c>
      <c r="AF85" s="42"/>
      <c r="AG85" s="22" t="s">
        <v>954</v>
      </c>
      <c r="AH85" s="42" t="s">
        <v>949</v>
      </c>
      <c r="AI85" s="22" t="s">
        <v>960</v>
      </c>
      <c r="AJ85" s="22"/>
      <c r="AK85" s="22"/>
      <c r="AL85" s="22"/>
      <c r="AM85" s="22"/>
      <c r="AN85" s="22" t="s">
        <v>975</v>
      </c>
      <c r="AO85" s="44"/>
      <c r="AP85" s="44"/>
      <c r="AR85" s="5">
        <v>63725</v>
      </c>
      <c r="AS85" s="2" t="s">
        <v>2</v>
      </c>
      <c r="AT85" s="2">
        <v>5</v>
      </c>
      <c r="AU85" s="2">
        <v>3</v>
      </c>
      <c r="AV85" s="2">
        <v>2</v>
      </c>
      <c r="AX85" t="s">
        <v>239</v>
      </c>
      <c r="AY85" s="37" t="s">
        <v>954</v>
      </c>
      <c r="AZ85" s="10" t="s">
        <v>977</v>
      </c>
    </row>
    <row r="86" spans="1:53" ht="17.399999999999999" x14ac:dyDescent="0.3">
      <c r="A86" s="6">
        <v>105</v>
      </c>
      <c r="B86" t="s">
        <v>218</v>
      </c>
      <c r="C86" t="s">
        <v>224</v>
      </c>
      <c r="D86" s="13" t="s">
        <v>896</v>
      </c>
      <c r="E86" s="13" t="s">
        <v>845</v>
      </c>
      <c r="F86" s="13"/>
      <c r="G86" s="13"/>
      <c r="H86" s="13"/>
      <c r="I86" s="13"/>
      <c r="J86" s="13"/>
      <c r="K86" s="13"/>
      <c r="L86" s="22" t="s">
        <v>920</v>
      </c>
      <c r="M86" s="22"/>
      <c r="N86" s="22" t="s">
        <v>954</v>
      </c>
      <c r="O86" s="22" t="s">
        <v>953</v>
      </c>
      <c r="P86" s="22" t="s">
        <v>954</v>
      </c>
      <c r="Q86" s="4" t="s">
        <v>1000</v>
      </c>
      <c r="R86" s="22" t="s">
        <v>953</v>
      </c>
      <c r="S86" t="s">
        <v>269</v>
      </c>
      <c r="T86" s="15" t="s">
        <v>963</v>
      </c>
      <c r="U86" s="15"/>
      <c r="V86" s="42"/>
      <c r="W86" s="46" t="s">
        <v>953</v>
      </c>
      <c r="X86" s="46" t="s">
        <v>953</v>
      </c>
      <c r="Y86" s="46" t="s">
        <v>953</v>
      </c>
      <c r="Z86" s="46" t="s">
        <v>953</v>
      </c>
      <c r="AA86" s="46" t="s">
        <v>953</v>
      </c>
      <c r="AB86" s="22" t="s">
        <v>953</v>
      </c>
      <c r="AC86" s="42" t="s">
        <v>988</v>
      </c>
      <c r="AD86" s="42" t="s">
        <v>989</v>
      </c>
      <c r="AE86" s="22" t="s">
        <v>945</v>
      </c>
      <c r="AF86" s="42"/>
      <c r="AG86" s="22" t="s">
        <v>954</v>
      </c>
      <c r="AH86" s="42" t="s">
        <v>945</v>
      </c>
      <c r="AI86" s="22" t="s">
        <v>960</v>
      </c>
      <c r="AJ86" s="22"/>
      <c r="AK86" s="22"/>
      <c r="AL86" s="22"/>
      <c r="AM86" s="22"/>
      <c r="AN86" s="22" t="s">
        <v>969</v>
      </c>
      <c r="AO86" s="44"/>
      <c r="AP86" s="44"/>
      <c r="AR86" s="5">
        <v>63683</v>
      </c>
      <c r="AS86" s="2" t="s">
        <v>2</v>
      </c>
      <c r="AT86" s="2">
        <v>3</v>
      </c>
      <c r="AU86" s="2">
        <v>2</v>
      </c>
      <c r="AV86" s="2">
        <v>1</v>
      </c>
      <c r="AX86" t="s">
        <v>242</v>
      </c>
      <c r="AY86" s="37" t="s">
        <v>953</v>
      </c>
      <c r="AZ86" s="10"/>
    </row>
    <row r="87" spans="1:53" ht="17.399999999999999" x14ac:dyDescent="0.3">
      <c r="A87" s="6">
        <v>106</v>
      </c>
      <c r="B87" t="s">
        <v>46</v>
      </c>
      <c r="C87" t="s">
        <v>94</v>
      </c>
      <c r="D87" s="13" t="s">
        <v>834</v>
      </c>
      <c r="E87" s="13" t="s">
        <v>825</v>
      </c>
      <c r="F87" s="13"/>
      <c r="G87" s="13"/>
      <c r="H87" s="13"/>
      <c r="I87" s="13"/>
      <c r="J87" s="13"/>
      <c r="K87" s="13"/>
      <c r="L87" s="22" t="s">
        <v>920</v>
      </c>
      <c r="M87" s="22"/>
      <c r="N87" s="22" t="s">
        <v>953</v>
      </c>
      <c r="O87" s="22" t="s">
        <v>954</v>
      </c>
      <c r="P87" s="22" t="s">
        <v>953</v>
      </c>
      <c r="Q87" s="4" t="s">
        <v>1000</v>
      </c>
      <c r="R87" s="22" t="s">
        <v>953</v>
      </c>
      <c r="S87" t="s">
        <v>307</v>
      </c>
      <c r="T87" s="15" t="s">
        <v>963</v>
      </c>
      <c r="U87" s="15"/>
      <c r="V87" s="42"/>
      <c r="W87" s="46" t="s">
        <v>953</v>
      </c>
      <c r="X87" s="46" t="s">
        <v>953</v>
      </c>
      <c r="Y87" s="46" t="s">
        <v>953</v>
      </c>
      <c r="Z87" s="46" t="s">
        <v>953</v>
      </c>
      <c r="AA87" s="46" t="s">
        <v>953</v>
      </c>
      <c r="AB87" s="22" t="s">
        <v>953</v>
      </c>
      <c r="AC87" s="42" t="s">
        <v>987</v>
      </c>
      <c r="AD87" s="42" t="s">
        <v>987</v>
      </c>
      <c r="AE87" s="22" t="s">
        <v>944</v>
      </c>
      <c r="AF87" s="42"/>
      <c r="AG87" s="22" t="s">
        <v>954</v>
      </c>
      <c r="AH87" s="42" t="s">
        <v>944</v>
      </c>
      <c r="AI87" s="22" t="s">
        <v>956</v>
      </c>
      <c r="AJ87" s="22"/>
      <c r="AK87" s="22"/>
      <c r="AL87" s="22"/>
      <c r="AM87" s="22"/>
      <c r="AN87" s="22" t="s">
        <v>970</v>
      </c>
      <c r="AO87" s="44"/>
      <c r="AP87" s="44"/>
      <c r="AR87" s="5">
        <v>63673</v>
      </c>
      <c r="AS87" s="2" t="s">
        <v>2</v>
      </c>
      <c r="AT87" s="2">
        <v>5</v>
      </c>
      <c r="AU87" s="2">
        <v>2</v>
      </c>
      <c r="AV87" s="2">
        <v>3</v>
      </c>
      <c r="AX87" t="s">
        <v>242</v>
      </c>
      <c r="AY87" s="37" t="s">
        <v>953</v>
      </c>
      <c r="AZ87" s="10"/>
    </row>
    <row r="88" spans="1:53" ht="17.399999999999999" x14ac:dyDescent="0.3">
      <c r="A88" s="6">
        <v>107</v>
      </c>
      <c r="B88" t="s">
        <v>219</v>
      </c>
      <c r="C88" t="s">
        <v>225</v>
      </c>
      <c r="D88" s="13" t="s">
        <v>897</v>
      </c>
      <c r="E88" s="13" t="s">
        <v>769</v>
      </c>
      <c r="F88" s="13"/>
      <c r="G88" s="13"/>
      <c r="H88" s="13"/>
      <c r="I88" s="13"/>
      <c r="J88" s="13"/>
      <c r="K88" s="13"/>
      <c r="L88" s="22" t="s">
        <v>920</v>
      </c>
      <c r="M88" s="22"/>
      <c r="N88" s="22" t="s">
        <v>954</v>
      </c>
      <c r="O88" s="22" t="s">
        <v>954</v>
      </c>
      <c r="P88" s="22" t="s">
        <v>953</v>
      </c>
      <c r="Q88" s="4" t="s">
        <v>1000</v>
      </c>
      <c r="R88" s="22" t="s">
        <v>953</v>
      </c>
      <c r="S88" t="s">
        <v>274</v>
      </c>
      <c r="T88" s="15" t="s">
        <v>965</v>
      </c>
      <c r="U88" s="15"/>
      <c r="V88" s="42"/>
      <c r="W88" s="46" t="s">
        <v>953</v>
      </c>
      <c r="X88" s="46" t="s">
        <v>953</v>
      </c>
      <c r="Y88" s="46" t="s">
        <v>953</v>
      </c>
      <c r="Z88" s="46" t="s">
        <v>953</v>
      </c>
      <c r="AA88" s="46" t="s">
        <v>999</v>
      </c>
      <c r="AB88" s="22" t="s">
        <v>953</v>
      </c>
      <c r="AC88" s="42" t="s">
        <v>987</v>
      </c>
      <c r="AD88" s="42" t="s">
        <v>987</v>
      </c>
      <c r="AE88" s="22" t="s">
        <v>949</v>
      </c>
      <c r="AF88" s="42"/>
      <c r="AG88" s="22" t="s">
        <v>954</v>
      </c>
      <c r="AH88" s="42" t="s">
        <v>949</v>
      </c>
      <c r="AI88" s="22" t="s">
        <v>960</v>
      </c>
      <c r="AJ88" s="22"/>
      <c r="AK88" s="22"/>
      <c r="AL88" s="22"/>
      <c r="AM88" s="22"/>
      <c r="AN88" s="22" t="s">
        <v>975</v>
      </c>
      <c r="AO88" s="44"/>
      <c r="AP88" s="44"/>
      <c r="AR88" s="5">
        <v>63649</v>
      </c>
      <c r="AS88" s="2" t="s">
        <v>2</v>
      </c>
      <c r="AT88" s="2">
        <v>6</v>
      </c>
      <c r="AU88" s="2">
        <v>1</v>
      </c>
      <c r="AV88" s="2">
        <v>5</v>
      </c>
      <c r="AX88" t="s">
        <v>239</v>
      </c>
      <c r="AY88" s="37" t="s">
        <v>954</v>
      </c>
      <c r="AZ88" s="10" t="s">
        <v>977</v>
      </c>
    </row>
    <row r="89" spans="1:53" ht="17.399999999999999" x14ac:dyDescent="0.3">
      <c r="A89" s="6">
        <v>108</v>
      </c>
      <c r="B89" t="s">
        <v>148</v>
      </c>
      <c r="C89" t="s">
        <v>226</v>
      </c>
      <c r="D89" s="13" t="s">
        <v>898</v>
      </c>
      <c r="E89" s="13" t="s">
        <v>777</v>
      </c>
      <c r="F89" s="13"/>
      <c r="G89" s="13"/>
      <c r="H89" s="13"/>
      <c r="I89" s="13"/>
      <c r="J89" s="13"/>
      <c r="K89" s="13"/>
      <c r="L89" s="22" t="s">
        <v>919</v>
      </c>
      <c r="M89" s="22"/>
      <c r="N89" s="22" t="s">
        <v>954</v>
      </c>
      <c r="O89" s="22" t="s">
        <v>954</v>
      </c>
      <c r="P89" s="22" t="s">
        <v>953</v>
      </c>
      <c r="Q89" s="4" t="s">
        <v>1003</v>
      </c>
      <c r="R89" s="22" t="s">
        <v>953</v>
      </c>
      <c r="S89" t="s">
        <v>260</v>
      </c>
      <c r="T89" s="15" t="s">
        <v>962</v>
      </c>
      <c r="U89" s="15"/>
      <c r="V89" s="42"/>
      <c r="W89" s="46" t="s">
        <v>999</v>
      </c>
      <c r="X89" s="46" t="s">
        <v>953</v>
      </c>
      <c r="Y89" s="46" t="s">
        <v>999</v>
      </c>
      <c r="Z89" s="46" t="s">
        <v>953</v>
      </c>
      <c r="AA89" s="46" t="s">
        <v>999</v>
      </c>
      <c r="AB89" s="22" t="s">
        <v>953</v>
      </c>
      <c r="AC89" s="42" t="s">
        <v>986</v>
      </c>
      <c r="AD89" s="42" t="s">
        <v>987</v>
      </c>
      <c r="AE89" s="22" t="s">
        <v>944</v>
      </c>
      <c r="AF89" s="42"/>
      <c r="AG89" s="22" t="s">
        <v>954</v>
      </c>
      <c r="AH89" s="42" t="s">
        <v>944</v>
      </c>
      <c r="AI89" s="22" t="s">
        <v>957</v>
      </c>
      <c r="AJ89" s="22"/>
      <c r="AK89" s="22"/>
      <c r="AL89" s="22"/>
      <c r="AM89" s="22"/>
      <c r="AN89" s="22" t="s">
        <v>970</v>
      </c>
      <c r="AO89" s="44"/>
      <c r="AP89" s="44"/>
      <c r="AR89" s="5">
        <v>63601</v>
      </c>
      <c r="AS89" s="2" t="s">
        <v>2</v>
      </c>
      <c r="AT89" s="2">
        <v>4</v>
      </c>
      <c r="AU89" s="2">
        <v>2</v>
      </c>
      <c r="AV89" s="2">
        <v>2</v>
      </c>
      <c r="AX89" t="s">
        <v>242</v>
      </c>
      <c r="AY89" s="37" t="s">
        <v>953</v>
      </c>
      <c r="AZ89" s="10"/>
    </row>
    <row r="90" spans="1:53" ht="17.399999999999999" x14ac:dyDescent="0.3">
      <c r="A90" s="6">
        <v>109</v>
      </c>
      <c r="B90" t="s">
        <v>220</v>
      </c>
      <c r="C90" t="s">
        <v>227</v>
      </c>
      <c r="D90" s="13" t="s">
        <v>899</v>
      </c>
      <c r="E90" s="13" t="s">
        <v>846</v>
      </c>
      <c r="F90" s="13"/>
      <c r="G90" s="13"/>
      <c r="H90" s="13"/>
      <c r="I90" s="13"/>
      <c r="J90" s="13"/>
      <c r="K90" s="13"/>
      <c r="L90" s="22" t="s">
        <v>919</v>
      </c>
      <c r="M90" s="22"/>
      <c r="N90" s="22" t="s">
        <v>954</v>
      </c>
      <c r="O90" s="22" t="s">
        <v>954</v>
      </c>
      <c r="P90" s="22" t="s">
        <v>953</v>
      </c>
      <c r="Q90" s="4" t="s">
        <v>1000</v>
      </c>
      <c r="R90" s="22" t="s">
        <v>953</v>
      </c>
      <c r="S90" t="s">
        <v>261</v>
      </c>
      <c r="T90" s="15" t="s">
        <v>963</v>
      </c>
      <c r="U90" s="15"/>
      <c r="V90" s="42"/>
      <c r="W90" s="46" t="s">
        <v>999</v>
      </c>
      <c r="X90" s="46" t="s">
        <v>953</v>
      </c>
      <c r="Y90" s="46" t="s">
        <v>999</v>
      </c>
      <c r="Z90" s="46" t="s">
        <v>953</v>
      </c>
      <c r="AA90" s="46" t="s">
        <v>999</v>
      </c>
      <c r="AB90" s="22" t="s">
        <v>953</v>
      </c>
      <c r="AC90" s="42" t="s">
        <v>987</v>
      </c>
      <c r="AD90" s="42" t="s">
        <v>987</v>
      </c>
      <c r="AE90" s="22" t="s">
        <v>949</v>
      </c>
      <c r="AF90" s="42"/>
      <c r="AG90" s="22" t="s">
        <v>953</v>
      </c>
      <c r="AH90" s="42" t="s">
        <v>942</v>
      </c>
      <c r="AI90" s="22" t="s">
        <v>960</v>
      </c>
      <c r="AJ90" s="22"/>
      <c r="AK90" s="22"/>
      <c r="AL90" s="22"/>
      <c r="AM90" s="22"/>
      <c r="AN90" s="22" t="s">
        <v>975</v>
      </c>
      <c r="AO90" s="44"/>
      <c r="AP90" s="44"/>
      <c r="AR90" s="5">
        <v>63569</v>
      </c>
      <c r="AS90" s="2" t="s">
        <v>2</v>
      </c>
      <c r="AT90" s="2">
        <v>3</v>
      </c>
      <c r="AU90" s="2">
        <v>2</v>
      </c>
      <c r="AV90" s="2">
        <v>1</v>
      </c>
      <c r="AX90" t="s">
        <v>242</v>
      </c>
      <c r="AY90" s="37" t="s">
        <v>953</v>
      </c>
      <c r="AZ90" s="10"/>
      <c r="BA90" t="s">
        <v>245</v>
      </c>
    </row>
    <row r="91" spans="1:53" ht="17.399999999999999" x14ac:dyDescent="0.3">
      <c r="A91" s="6">
        <v>110</v>
      </c>
      <c r="B91" t="s">
        <v>221</v>
      </c>
      <c r="C91" t="s">
        <v>228</v>
      </c>
      <c r="D91" s="13" t="s">
        <v>900</v>
      </c>
      <c r="E91" s="13" t="s">
        <v>847</v>
      </c>
      <c r="F91" s="13"/>
      <c r="G91" s="13"/>
      <c r="H91" s="13"/>
      <c r="I91" s="13"/>
      <c r="J91" s="13"/>
      <c r="K91" s="13"/>
      <c r="L91" s="22" t="s">
        <v>920</v>
      </c>
      <c r="M91" s="22"/>
      <c r="N91" s="22" t="s">
        <v>953</v>
      </c>
      <c r="O91" s="22" t="s">
        <v>954</v>
      </c>
      <c r="P91" s="22" t="s">
        <v>954</v>
      </c>
      <c r="Q91" s="4" t="s">
        <v>1000</v>
      </c>
      <c r="R91" s="22" t="s">
        <v>953</v>
      </c>
      <c r="S91" t="s">
        <v>295</v>
      </c>
      <c r="T91" s="15" t="s">
        <v>964</v>
      </c>
      <c r="U91" s="15"/>
      <c r="V91" s="42"/>
      <c r="W91" s="46" t="s">
        <v>953</v>
      </c>
      <c r="X91" s="46" t="s">
        <v>953</v>
      </c>
      <c r="Y91" s="46" t="s">
        <v>953</v>
      </c>
      <c r="Z91" s="46" t="s">
        <v>953</v>
      </c>
      <c r="AA91" s="46" t="s">
        <v>953</v>
      </c>
      <c r="AB91" s="22" t="s">
        <v>953</v>
      </c>
      <c r="AC91" s="42" t="s">
        <v>987</v>
      </c>
      <c r="AD91" s="42" t="s">
        <v>988</v>
      </c>
      <c r="AE91" s="22" t="s">
        <v>944</v>
      </c>
      <c r="AF91" s="42"/>
      <c r="AG91" s="22" t="s">
        <v>954</v>
      </c>
      <c r="AH91" s="42" t="s">
        <v>944</v>
      </c>
      <c r="AI91" s="22" t="s">
        <v>956</v>
      </c>
      <c r="AJ91" s="22"/>
      <c r="AK91" s="22"/>
      <c r="AL91" s="22"/>
      <c r="AM91" s="22"/>
      <c r="AN91" s="22" t="s">
        <v>969</v>
      </c>
      <c r="AO91" s="44"/>
      <c r="AP91" s="44"/>
      <c r="AQ91" t="s">
        <v>229</v>
      </c>
      <c r="AR91" s="5">
        <v>63566</v>
      </c>
      <c r="AS91" s="2" t="s">
        <v>2</v>
      </c>
      <c r="AT91" s="2">
        <v>4</v>
      </c>
      <c r="AU91" s="2">
        <v>2</v>
      </c>
      <c r="AV91" s="2">
        <v>2</v>
      </c>
      <c r="AX91" t="s">
        <v>242</v>
      </c>
      <c r="AY91" s="37" t="s">
        <v>953</v>
      </c>
      <c r="AZ91" s="10"/>
    </row>
    <row r="92" spans="1:53" ht="15.6" x14ac:dyDescent="0.3">
      <c r="T92" s="15"/>
      <c r="U92" s="15"/>
      <c r="V92" s="42"/>
      <c r="W92" s="42"/>
      <c r="X92" s="42"/>
      <c r="Y92" s="42"/>
      <c r="Z92" s="42"/>
      <c r="AA92" s="42"/>
      <c r="AC92" s="42"/>
      <c r="AD92" s="42"/>
      <c r="AE92" s="22"/>
      <c r="AF92" s="42"/>
      <c r="AH92" s="42"/>
      <c r="AT92" s="23">
        <f>SUM(AT3:AT91)</f>
        <v>345</v>
      </c>
      <c r="AU92" s="23">
        <f t="shared" ref="AU92:AV92" si="6">SUM(AU3:AU91)</f>
        <v>182</v>
      </c>
      <c r="AV92" s="23">
        <f t="shared" si="6"/>
        <v>163</v>
      </c>
    </row>
    <row r="93" spans="1:53" x14ac:dyDescent="0.3">
      <c r="T93" s="15"/>
      <c r="U93" s="15"/>
      <c r="V93" s="42"/>
      <c r="W93" s="42"/>
      <c r="X93" s="42"/>
      <c r="Y93" s="42"/>
      <c r="Z93" s="42"/>
      <c r="AA93" s="42"/>
      <c r="AC93" s="42"/>
      <c r="AD93" s="42"/>
      <c r="AF93" s="42"/>
      <c r="AH93" s="42"/>
    </row>
    <row r="94" spans="1:53" ht="15.6" x14ac:dyDescent="0.3">
      <c r="E94" s="22"/>
      <c r="F94" s="22"/>
      <c r="T94" s="15"/>
      <c r="U94" s="15"/>
      <c r="V94" s="42"/>
      <c r="W94" s="42"/>
      <c r="X94" s="42"/>
      <c r="Y94" s="42"/>
      <c r="Z94" s="42"/>
      <c r="AA94" s="42"/>
      <c r="AC94" s="42"/>
      <c r="AD94" s="42"/>
      <c r="AF94" s="42"/>
      <c r="AH94" s="42"/>
    </row>
  </sheetData>
  <autoFilter ref="A2:BA92" xr:uid="{00000000-0001-0000-0100-000000000000}"/>
  <mergeCells count="5">
    <mergeCell ref="AT1:AV1"/>
    <mergeCell ref="AX1:AX2"/>
    <mergeCell ref="S1:S2"/>
    <mergeCell ref="BA1:BA2"/>
    <mergeCell ref="AW1:AW2"/>
  </mergeCells>
  <dataValidations count="2">
    <dataValidation type="list" allowBlank="1" showInputMessage="1" showErrorMessage="1" sqref="AS3:AS91" xr:uid="{00000000-0002-0000-0100-000000000000}">
      <formula1>$AS$6:$AS$25</formula1>
    </dataValidation>
    <dataValidation type="list" allowBlank="1" sqref="W3:AA91" xr:uid="{EB26E2D8-C590-4BB3-83EF-6A16C52F4532}">
      <formula1>"Yes,Limited,No"</formula1>
    </dataValidation>
  </dataValidations>
  <pageMargins left="0.7" right="0.7" top="0.75" bottom="0.75" header="0.3" footer="0.3"/>
  <pageSetup paperSize="9" scale="8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1000000}">
          <x14:formula1>
            <xm:f>Reasons!$A$2:$A$7</xm:f>
          </x14:formula1>
          <xm:sqref>AX3:AX91</xm:sqref>
        </x14:dataValidation>
        <x14:dataValidation type="list" allowBlank="1" showInputMessage="1" showErrorMessage="1" xr:uid="{E8C1423C-6B35-47BD-AC92-CE265C8786B0}">
          <x14:formula1>
            <xm:f>Reasons!$C$2:$C$11</xm:f>
          </x14:formula1>
          <xm:sqref>AE3:AF92 R92 AI92:AP92</xm:sqref>
        </x14:dataValidation>
        <x14:dataValidation type="list" allowBlank="1" showInputMessage="1" showErrorMessage="1" xr:uid="{18702F24-535A-4328-AC4F-FB42165B7517}">
          <x14:formula1>
            <xm:f>Reasons!$A$14:$A$18</xm:f>
          </x14:formula1>
          <xm:sqref>T3:U94 AL3</xm:sqref>
        </x14:dataValidation>
        <x14:dataValidation type="list" allowBlank="1" showInputMessage="1" showErrorMessage="1" xr:uid="{E66D9213-228B-40A7-86F9-A865A01DA215}">
          <x14:formula1>
            <xm:f>Reasons!$C$14:$C$18</xm:f>
          </x14:formula1>
          <xm:sqref>AN3:AN91</xm:sqref>
        </x14:dataValidation>
        <x14:dataValidation type="list" allowBlank="1" showInputMessage="1" showErrorMessage="1" xr:uid="{1FE2D347-1141-4CB7-8610-602660F46CFB}">
          <x14:formula1>
            <xm:f>Reasons!$A$21:$A$22</xm:f>
          </x14:formula1>
          <xm:sqref>AB3:AB91 O82:O83 S3:S91 N78:N91 N3:N76 AG3:AG91 O84:P91 O3:P81 P82</xm:sqref>
        </x14:dataValidation>
        <x14:dataValidation type="list" allowBlank="1" showInputMessage="1" showErrorMessage="1" xr:uid="{332F5A00-2632-4E27-99AB-775D9594B3D4}">
          <x14:formula1>
            <xm:f>Reasons!$C$23:$C$28</xm:f>
          </x14:formula1>
          <xm:sqref>AC3:AG91</xm:sqref>
        </x14:dataValidation>
        <x14:dataValidation type="list" allowBlank="1" showInputMessage="1" showErrorMessage="1" xr:uid="{4221E203-3989-40F9-8A03-C646FC2C7047}">
          <x14:formula1>
            <xm:f>Reasons!$C$31:$C$38</xm:f>
          </x14:formula1>
          <xm:sqref>AH3:AH91</xm:sqref>
        </x14:dataValidation>
        <x14:dataValidation type="list" allowBlank="1" showInputMessage="1" showErrorMessage="1" xr:uid="{130E0829-F456-4325-8516-F1D3E230575A}">
          <x14:formula1>
            <xm:f>Reasons!$A$29:$A$31</xm:f>
          </x14:formula1>
          <xm:sqref>Q3:Q91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selection activeCell="F6" sqref="F6"/>
    </sheetView>
  </sheetViews>
  <sheetFormatPr defaultRowHeight="14.4" x14ac:dyDescent="0.3"/>
  <cols>
    <col min="1" max="1" width="4.33203125" bestFit="1" customWidth="1"/>
    <col min="2" max="2" width="27.44140625" bestFit="1" customWidth="1"/>
    <col min="3" max="3" width="23.6640625" bestFit="1" customWidth="1"/>
    <col min="4" max="4" width="8.109375" bestFit="1" customWidth="1"/>
    <col min="5" max="5" width="12.5546875" customWidth="1"/>
    <col min="6" max="6" width="11.109375" bestFit="1" customWidth="1"/>
    <col min="7" max="7" width="8.5546875" bestFit="1" customWidth="1"/>
    <col min="8" max="8" width="10.5546875" bestFit="1" customWidth="1"/>
    <col min="9" max="9" width="18" bestFit="1" customWidth="1"/>
    <col min="10" max="10" width="11.5546875" bestFit="1" customWidth="1"/>
    <col min="11" max="11" width="10.5546875" bestFit="1" customWidth="1"/>
    <col min="12" max="12" width="2.109375" bestFit="1" customWidth="1"/>
    <col min="13" max="13" width="2" bestFit="1" customWidth="1"/>
    <col min="14" max="14" width="2.109375" bestFit="1" customWidth="1"/>
    <col min="15" max="15" width="7.6640625" bestFit="1" customWidth="1"/>
    <col min="16" max="16" width="7.44140625" bestFit="1" customWidth="1"/>
  </cols>
  <sheetData>
    <row r="1" spans="1:16" x14ac:dyDescent="0.3">
      <c r="F1" t="s">
        <v>736</v>
      </c>
      <c r="G1" t="s">
        <v>759</v>
      </c>
      <c r="H1" t="s">
        <v>737</v>
      </c>
    </row>
    <row r="2" spans="1:16" ht="17.399999999999999" x14ac:dyDescent="0.3">
      <c r="A2" s="6">
        <v>1</v>
      </c>
      <c r="B2" t="s">
        <v>0</v>
      </c>
      <c r="C2" t="s">
        <v>231</v>
      </c>
      <c r="D2" s="13" t="str">
        <f t="shared" ref="D2" si="0">LEFT(C2,(FIND(" ",C2)))</f>
        <v xml:space="preserve">विकास </v>
      </c>
      <c r="E2" s="13" t="str">
        <f>TRIM(RIGHT(SUBSTITUTE(C2," ",REPT(" ",255)),255))</f>
        <v>कार्की</v>
      </c>
      <c r="F2" s="13" t="str" cm="1">
        <f t="array" ref="F2:F57">_xlfn.UNIQUE(E2:E111)</f>
        <v>कार्की</v>
      </c>
      <c r="G2" s="22">
        <f>COUNTIF($E$2:$E$111,F2)</f>
        <v>5</v>
      </c>
      <c r="H2" s="22" t="s">
        <v>750</v>
      </c>
      <c r="I2" t="s">
        <v>1</v>
      </c>
      <c r="J2" s="5">
        <v>66897</v>
      </c>
      <c r="K2" s="2" t="s">
        <v>2</v>
      </c>
      <c r="L2" s="3">
        <v>4</v>
      </c>
      <c r="M2" s="3"/>
      <c r="N2" s="3">
        <v>0</v>
      </c>
      <c r="P2" t="s">
        <v>242</v>
      </c>
    </row>
    <row r="3" spans="1:16" ht="17.399999999999999" x14ac:dyDescent="0.3">
      <c r="A3" s="6">
        <v>2</v>
      </c>
      <c r="B3" t="s">
        <v>3</v>
      </c>
      <c r="C3" t="s">
        <v>52</v>
      </c>
      <c r="D3" s="13" t="str">
        <f t="shared" ref="D3:D20" si="1">LEFT(C3,(FIND(" ",C3)))</f>
        <v xml:space="preserve">दिपक </v>
      </c>
      <c r="E3" s="13" t="str">
        <f t="shared" ref="E3:E20" si="2">TRIM(RIGHT(SUBSTITUTE(C3," ",REPT(" ",255)),255))</f>
        <v>भट्टराई</v>
      </c>
      <c r="F3" s="13" t="str">
        <v>भट्टराई</v>
      </c>
      <c r="G3" s="22">
        <f t="shared" ref="G3:G20" si="3">COUNTIF($E$2:$E$111,F3)</f>
        <v>1</v>
      </c>
      <c r="H3" s="22" t="s">
        <v>760</v>
      </c>
      <c r="I3" t="s">
        <v>4</v>
      </c>
      <c r="J3" s="5">
        <v>66890</v>
      </c>
      <c r="K3" s="2" t="s">
        <v>2</v>
      </c>
      <c r="L3" s="2">
        <v>4</v>
      </c>
      <c r="M3" s="2"/>
      <c r="N3" s="2"/>
      <c r="P3" t="s">
        <v>242</v>
      </c>
    </row>
    <row r="4" spans="1:16" ht="17.399999999999999" x14ac:dyDescent="0.3">
      <c r="A4" s="6">
        <v>3</v>
      </c>
      <c r="B4" t="s">
        <v>5</v>
      </c>
      <c r="C4" t="s">
        <v>53</v>
      </c>
      <c r="D4" s="13" t="str">
        <f t="shared" si="1"/>
        <v xml:space="preserve">कृष्ण </v>
      </c>
      <c r="E4" s="13" t="str">
        <f t="shared" si="2"/>
        <v>प्याकुरेल</v>
      </c>
      <c r="F4" s="13" t="str">
        <v>प्याकुरेल</v>
      </c>
      <c r="G4" s="22">
        <f t="shared" si="3"/>
        <v>1</v>
      </c>
      <c r="H4" s="22" t="s">
        <v>760</v>
      </c>
      <c r="J4" s="5">
        <v>66876</v>
      </c>
      <c r="K4" s="2" t="s">
        <v>2</v>
      </c>
      <c r="L4" s="2">
        <v>5</v>
      </c>
      <c r="M4" s="2"/>
      <c r="N4" s="2"/>
      <c r="P4" t="s">
        <v>242</v>
      </c>
    </row>
    <row r="5" spans="1:16" ht="17.399999999999999" x14ac:dyDescent="0.3">
      <c r="A5" s="6">
        <v>4</v>
      </c>
      <c r="B5" t="s">
        <v>6</v>
      </c>
      <c r="C5" t="s">
        <v>54</v>
      </c>
      <c r="D5" s="13" t="str">
        <f t="shared" si="1"/>
        <v xml:space="preserve">ठुलो </v>
      </c>
      <c r="E5" s="13" t="str">
        <f t="shared" si="2"/>
        <v>कामी</v>
      </c>
      <c r="F5" s="13" t="str">
        <v>कामी</v>
      </c>
      <c r="G5" s="22">
        <f t="shared" si="3"/>
        <v>1</v>
      </c>
      <c r="H5" s="22" t="s">
        <v>761</v>
      </c>
      <c r="J5" s="5">
        <v>66828</v>
      </c>
      <c r="K5" s="2" t="s">
        <v>2</v>
      </c>
      <c r="L5" s="2">
        <v>2</v>
      </c>
      <c r="M5" s="2"/>
      <c r="N5" s="2"/>
      <c r="P5" t="s">
        <v>242</v>
      </c>
    </row>
    <row r="6" spans="1:16" ht="17.399999999999999" x14ac:dyDescent="0.3">
      <c r="A6" s="6">
        <v>5</v>
      </c>
      <c r="B6" t="s">
        <v>7</v>
      </c>
      <c r="C6" t="s">
        <v>55</v>
      </c>
      <c r="D6" s="13" t="str">
        <f t="shared" si="1"/>
        <v xml:space="preserve">मनिता </v>
      </c>
      <c r="E6" s="13" t="str">
        <f t="shared" si="2"/>
        <v>रिसाल</v>
      </c>
      <c r="F6" s="13" t="str">
        <v>रिसाल</v>
      </c>
      <c r="G6" s="22">
        <f t="shared" si="3"/>
        <v>1</v>
      </c>
      <c r="H6" s="22" t="s">
        <v>760</v>
      </c>
      <c r="J6" s="5">
        <v>66809</v>
      </c>
      <c r="K6" s="2" t="s">
        <v>2</v>
      </c>
      <c r="L6" s="2">
        <v>4</v>
      </c>
      <c r="M6" s="2"/>
      <c r="N6" s="2"/>
      <c r="P6" t="s">
        <v>242</v>
      </c>
    </row>
    <row r="7" spans="1:16" ht="17.399999999999999" x14ac:dyDescent="0.3">
      <c r="A7" s="6">
        <v>6</v>
      </c>
      <c r="B7" t="s">
        <v>8</v>
      </c>
      <c r="C7" s="1" t="s">
        <v>56</v>
      </c>
      <c r="D7" s="13" t="str">
        <f t="shared" si="1"/>
        <v xml:space="preserve">दुर्गा </v>
      </c>
      <c r="E7" s="13" t="str">
        <f t="shared" si="2"/>
        <v>दाहाल</v>
      </c>
      <c r="F7" s="13" t="str">
        <v>दाहाल</v>
      </c>
      <c r="G7" s="22">
        <f t="shared" si="3"/>
        <v>2</v>
      </c>
      <c r="H7" s="22" t="s">
        <v>760</v>
      </c>
      <c r="J7" s="5">
        <v>66762</v>
      </c>
      <c r="K7" s="2" t="s">
        <v>2</v>
      </c>
      <c r="L7" s="2">
        <v>1</v>
      </c>
      <c r="M7" s="2"/>
      <c r="N7" s="2"/>
      <c r="P7" t="s">
        <v>242</v>
      </c>
    </row>
    <row r="8" spans="1:16" ht="17.399999999999999" x14ac:dyDescent="0.3">
      <c r="A8" s="6">
        <v>7</v>
      </c>
      <c r="B8" t="s">
        <v>9</v>
      </c>
      <c r="C8" t="s">
        <v>57</v>
      </c>
      <c r="D8" s="13" t="str">
        <f t="shared" si="1"/>
        <v xml:space="preserve">सन्दिप </v>
      </c>
      <c r="E8" s="13" t="str">
        <f t="shared" si="2"/>
        <v>परियार</v>
      </c>
      <c r="F8" s="13" t="str">
        <v>परियार</v>
      </c>
      <c r="G8" s="22">
        <f t="shared" si="3"/>
        <v>2</v>
      </c>
      <c r="H8" s="22" t="s">
        <v>761</v>
      </c>
      <c r="J8" s="5">
        <v>66760</v>
      </c>
      <c r="K8" s="2" t="s">
        <v>2</v>
      </c>
      <c r="L8" s="2">
        <v>1</v>
      </c>
      <c r="M8" s="2"/>
      <c r="N8" s="2"/>
      <c r="P8" t="s">
        <v>242</v>
      </c>
    </row>
    <row r="9" spans="1:16" ht="17.399999999999999" x14ac:dyDescent="0.3">
      <c r="A9" s="6">
        <v>8</v>
      </c>
      <c r="B9" t="s">
        <v>10</v>
      </c>
      <c r="C9" t="s">
        <v>58</v>
      </c>
      <c r="D9" s="13" t="str">
        <f t="shared" si="1"/>
        <v xml:space="preserve">सिता </v>
      </c>
      <c r="E9" s="13" t="str">
        <f t="shared" si="2"/>
        <v>अधिकारी</v>
      </c>
      <c r="F9" s="13" t="str">
        <v>अधिकारी</v>
      </c>
      <c r="G9" s="22">
        <f t="shared" si="3"/>
        <v>2</v>
      </c>
      <c r="H9" s="22" t="s">
        <v>760</v>
      </c>
      <c r="J9" s="5">
        <v>66711</v>
      </c>
      <c r="K9" s="2" t="s">
        <v>2</v>
      </c>
      <c r="L9" s="2">
        <v>4</v>
      </c>
      <c r="M9" s="2"/>
      <c r="N9" s="2"/>
      <c r="P9" t="s">
        <v>242</v>
      </c>
    </row>
    <row r="10" spans="1:16" ht="17.399999999999999" x14ac:dyDescent="0.3">
      <c r="A10" s="6">
        <v>9</v>
      </c>
      <c r="B10" t="s">
        <v>11</v>
      </c>
      <c r="C10" t="s">
        <v>59</v>
      </c>
      <c r="D10" s="13" t="str">
        <f t="shared" si="1"/>
        <v xml:space="preserve">पुण्य </v>
      </c>
      <c r="E10" s="13" t="str">
        <f t="shared" si="2"/>
        <v>घिमिरे</v>
      </c>
      <c r="F10" s="13" t="str">
        <v>घिमिरे</v>
      </c>
      <c r="G10" s="22">
        <f t="shared" si="3"/>
        <v>2</v>
      </c>
      <c r="H10" s="22" t="s">
        <v>760</v>
      </c>
      <c r="J10" s="5">
        <v>66689</v>
      </c>
      <c r="K10" s="2" t="s">
        <v>2</v>
      </c>
      <c r="L10" s="2">
        <v>4</v>
      </c>
      <c r="M10" s="2"/>
      <c r="N10" s="2"/>
      <c r="P10" t="s">
        <v>242</v>
      </c>
    </row>
    <row r="11" spans="1:16" ht="17.399999999999999" x14ac:dyDescent="0.3">
      <c r="A11" s="6">
        <v>10</v>
      </c>
      <c r="B11" t="s">
        <v>12</v>
      </c>
      <c r="C11" t="s">
        <v>60</v>
      </c>
      <c r="D11" s="13" t="str">
        <f t="shared" si="1"/>
        <v xml:space="preserve">राजेश </v>
      </c>
      <c r="E11" s="13" t="str">
        <f t="shared" si="2"/>
        <v>विष्ट</v>
      </c>
      <c r="F11" s="13" t="str">
        <v>विष्ट</v>
      </c>
      <c r="G11" s="22">
        <f t="shared" si="3"/>
        <v>1</v>
      </c>
      <c r="H11" s="22" t="s">
        <v>761</v>
      </c>
      <c r="J11" s="5">
        <v>66687</v>
      </c>
      <c r="K11" s="2" t="s">
        <v>2</v>
      </c>
      <c r="L11" s="2">
        <v>4</v>
      </c>
      <c r="M11" s="2"/>
      <c r="N11" s="2"/>
      <c r="P11" t="s">
        <v>242</v>
      </c>
    </row>
    <row r="12" spans="1:16" ht="17.399999999999999" x14ac:dyDescent="0.3">
      <c r="A12" s="6">
        <v>11</v>
      </c>
      <c r="B12" t="s">
        <v>13</v>
      </c>
      <c r="C12" t="s">
        <v>61</v>
      </c>
      <c r="D12" s="13" t="str">
        <f t="shared" si="1"/>
        <v xml:space="preserve">इन्दिरा </v>
      </c>
      <c r="E12" s="13" t="str">
        <f t="shared" si="2"/>
        <v>परियार</v>
      </c>
      <c r="F12" s="13" t="str">
        <v>खत्री</v>
      </c>
      <c r="G12" s="22">
        <f t="shared" si="3"/>
        <v>4</v>
      </c>
      <c r="H12" s="22" t="s">
        <v>750</v>
      </c>
      <c r="J12" s="5">
        <v>66674</v>
      </c>
      <c r="K12" s="2" t="s">
        <v>2</v>
      </c>
      <c r="L12" s="2">
        <v>8</v>
      </c>
      <c r="M12" s="2"/>
      <c r="N12" s="2"/>
      <c r="P12" t="s">
        <v>242</v>
      </c>
    </row>
    <row r="13" spans="1:16" ht="17.399999999999999" x14ac:dyDescent="0.3">
      <c r="A13" s="6">
        <v>12</v>
      </c>
      <c r="B13" t="s">
        <v>14</v>
      </c>
      <c r="C13" t="s">
        <v>62</v>
      </c>
      <c r="D13" s="13" t="str">
        <f t="shared" si="1"/>
        <v xml:space="preserve">श्याम </v>
      </c>
      <c r="E13" s="13" t="str">
        <f t="shared" si="2"/>
        <v>खत्री</v>
      </c>
      <c r="F13" s="13" t="str">
        <v>लामा</v>
      </c>
      <c r="G13" s="22">
        <f t="shared" si="3"/>
        <v>2</v>
      </c>
      <c r="H13" s="22" t="s">
        <v>762</v>
      </c>
      <c r="J13" s="5">
        <v>66668</v>
      </c>
      <c r="K13" s="2" t="s">
        <v>2</v>
      </c>
      <c r="L13" s="2">
        <v>1</v>
      </c>
      <c r="M13" s="2"/>
      <c r="N13" s="2"/>
      <c r="P13" t="s">
        <v>242</v>
      </c>
    </row>
    <row r="14" spans="1:16" ht="17.399999999999999" x14ac:dyDescent="0.3">
      <c r="A14" s="6">
        <v>13</v>
      </c>
      <c r="B14" t="s">
        <v>15</v>
      </c>
      <c r="C14" t="s">
        <v>63</v>
      </c>
      <c r="D14" s="13" t="str">
        <f t="shared" si="1"/>
        <v xml:space="preserve">सुकमाया </v>
      </c>
      <c r="E14" s="13" t="str">
        <f t="shared" si="2"/>
        <v>लामा</v>
      </c>
      <c r="F14" s="13" t="str">
        <v>महत</v>
      </c>
      <c r="G14" s="22">
        <f t="shared" si="3"/>
        <v>1</v>
      </c>
      <c r="H14" s="22" t="s">
        <v>762</v>
      </c>
      <c r="J14" s="5">
        <v>66618</v>
      </c>
      <c r="K14" s="2" t="s">
        <v>2</v>
      </c>
      <c r="L14" s="2">
        <v>4</v>
      </c>
      <c r="M14" s="2"/>
      <c r="N14" s="2"/>
      <c r="P14" t="s">
        <v>242</v>
      </c>
    </row>
    <row r="15" spans="1:16" ht="17.399999999999999" x14ac:dyDescent="0.3">
      <c r="A15" s="6">
        <v>14</v>
      </c>
      <c r="B15" t="s">
        <v>16</v>
      </c>
      <c r="C15" t="s">
        <v>64</v>
      </c>
      <c r="D15" s="13" t="str">
        <f t="shared" si="1"/>
        <v xml:space="preserve">संझना </v>
      </c>
      <c r="E15" s="13" t="str">
        <f t="shared" si="2"/>
        <v>कार्की</v>
      </c>
      <c r="F15" s="13" t="str">
        <v>बस्नेत</v>
      </c>
      <c r="G15" s="22">
        <f t="shared" si="3"/>
        <v>2</v>
      </c>
      <c r="H15" s="22" t="s">
        <v>760</v>
      </c>
      <c r="J15" s="5">
        <v>66605</v>
      </c>
      <c r="K15" s="2" t="s">
        <v>2</v>
      </c>
      <c r="L15" s="2">
        <v>3</v>
      </c>
      <c r="M15" s="2"/>
      <c r="N15" s="2"/>
      <c r="P15" t="s">
        <v>242</v>
      </c>
    </row>
    <row r="16" spans="1:16" ht="17.399999999999999" x14ac:dyDescent="0.3">
      <c r="A16" s="6">
        <v>15</v>
      </c>
      <c r="B16" t="s">
        <v>17</v>
      </c>
      <c r="C16" t="s">
        <v>65</v>
      </c>
      <c r="D16" s="13" t="str">
        <f t="shared" si="1"/>
        <v xml:space="preserve">केशर </v>
      </c>
      <c r="E16" s="13" t="str">
        <f t="shared" si="2"/>
        <v>महत</v>
      </c>
      <c r="F16" s="13" t="str">
        <v>ढकाल</v>
      </c>
      <c r="G16" s="22">
        <f t="shared" si="3"/>
        <v>1</v>
      </c>
      <c r="H16" s="22" t="s">
        <v>760</v>
      </c>
      <c r="J16" s="5">
        <v>66605</v>
      </c>
      <c r="K16" s="2" t="s">
        <v>2</v>
      </c>
      <c r="L16" s="2">
        <v>4</v>
      </c>
      <c r="M16" s="2"/>
      <c r="N16" s="2"/>
      <c r="P16" t="s">
        <v>242</v>
      </c>
    </row>
    <row r="17" spans="1:16" ht="17.399999999999999" x14ac:dyDescent="0.3">
      <c r="A17" s="6">
        <v>16</v>
      </c>
      <c r="B17" t="s">
        <v>19</v>
      </c>
      <c r="C17" t="s">
        <v>66</v>
      </c>
      <c r="D17" s="13" t="str">
        <f t="shared" si="1"/>
        <v xml:space="preserve">झन </v>
      </c>
      <c r="E17" s="13" t="str">
        <f t="shared" si="2"/>
        <v>बस्नेत</v>
      </c>
      <c r="F17" s="13" t="str">
        <v>खतिवडा</v>
      </c>
      <c r="G17" s="22">
        <f t="shared" si="3"/>
        <v>2</v>
      </c>
      <c r="H17" s="22" t="s">
        <v>760</v>
      </c>
      <c r="J17" s="5">
        <v>66594</v>
      </c>
      <c r="K17" s="2" t="s">
        <v>2</v>
      </c>
      <c r="L17" s="2">
        <v>3</v>
      </c>
      <c r="M17" s="2"/>
      <c r="N17" s="2"/>
      <c r="P17" t="s">
        <v>242</v>
      </c>
    </row>
    <row r="18" spans="1:16" ht="17.399999999999999" x14ac:dyDescent="0.3">
      <c r="A18" s="6">
        <v>17</v>
      </c>
      <c r="B18" t="s">
        <v>18</v>
      </c>
      <c r="C18" t="s">
        <v>67</v>
      </c>
      <c r="D18" s="13" t="str">
        <f t="shared" si="1"/>
        <v xml:space="preserve">उत्सव </v>
      </c>
      <c r="E18" s="13" t="str">
        <f t="shared" si="2"/>
        <v>ढकाल</v>
      </c>
      <c r="F18" s="13" t="str">
        <v>बास्कोटा</v>
      </c>
      <c r="G18" s="22">
        <f t="shared" si="3"/>
        <v>1</v>
      </c>
      <c r="H18" s="22" t="s">
        <v>760</v>
      </c>
      <c r="J18" s="5">
        <v>66589</v>
      </c>
      <c r="K18" s="2" t="s">
        <v>2</v>
      </c>
      <c r="L18" s="2">
        <v>6</v>
      </c>
      <c r="M18" s="2"/>
      <c r="N18" s="2"/>
      <c r="P18" t="s">
        <v>242</v>
      </c>
    </row>
    <row r="19" spans="1:16" ht="17.399999999999999" x14ac:dyDescent="0.3">
      <c r="A19" s="6">
        <v>18</v>
      </c>
      <c r="B19" t="s">
        <v>20</v>
      </c>
      <c r="C19" t="s">
        <v>68</v>
      </c>
      <c r="D19" s="13" t="str">
        <f t="shared" si="1"/>
        <v xml:space="preserve">सुर्य </v>
      </c>
      <c r="E19" s="13" t="str">
        <f t="shared" si="2"/>
        <v>खतिवडा</v>
      </c>
      <c r="F19" s="13">
        <v>0</v>
      </c>
      <c r="G19" s="22">
        <f t="shared" si="3"/>
        <v>0</v>
      </c>
      <c r="H19" s="22"/>
      <c r="J19" s="5">
        <v>66587</v>
      </c>
      <c r="K19" s="2" t="s">
        <v>2</v>
      </c>
      <c r="L19" s="2">
        <v>4</v>
      </c>
      <c r="M19" s="2"/>
      <c r="N19" s="2"/>
      <c r="P19" t="s">
        <v>242</v>
      </c>
    </row>
    <row r="20" spans="1:16" ht="17.399999999999999" x14ac:dyDescent="0.3">
      <c r="A20" s="6">
        <v>19</v>
      </c>
      <c r="B20" t="s">
        <v>21</v>
      </c>
      <c r="C20" t="s">
        <v>69</v>
      </c>
      <c r="D20" s="13" t="str">
        <f t="shared" si="1"/>
        <v xml:space="preserve">भवानी </v>
      </c>
      <c r="E20" s="13" t="str">
        <f t="shared" si="2"/>
        <v>बास्कोटा</v>
      </c>
      <c r="F20" s="13" t="str">
        <v>वलम्पाकी</v>
      </c>
      <c r="G20" s="22">
        <f t="shared" si="3"/>
        <v>1</v>
      </c>
      <c r="H20" s="22" t="s">
        <v>762</v>
      </c>
      <c r="J20" s="5">
        <v>66573</v>
      </c>
      <c r="K20" s="2" t="s">
        <v>2</v>
      </c>
      <c r="L20" s="2">
        <v>4</v>
      </c>
      <c r="M20" s="2"/>
      <c r="N20" s="2"/>
      <c r="P20" t="s">
        <v>242</v>
      </c>
    </row>
    <row r="21" spans="1:16" x14ac:dyDescent="0.3">
      <c r="A21" s="6">
        <v>20</v>
      </c>
      <c r="B21" t="s">
        <v>22</v>
      </c>
      <c r="C21" t="s">
        <v>70</v>
      </c>
      <c r="F21" t="str">
        <v>विश्वकर्मा</v>
      </c>
      <c r="J21" s="5">
        <v>66559</v>
      </c>
      <c r="K21" s="2" t="s">
        <v>100</v>
      </c>
      <c r="L21" s="2">
        <v>1</v>
      </c>
      <c r="M21" s="2"/>
      <c r="N21" s="2"/>
      <c r="P21" t="s">
        <v>242</v>
      </c>
    </row>
    <row r="22" spans="1:16" x14ac:dyDescent="0.3">
      <c r="A22" s="6">
        <v>21</v>
      </c>
      <c r="B22" t="s">
        <v>23</v>
      </c>
      <c r="C22" t="s">
        <v>71</v>
      </c>
      <c r="F22" t="str">
        <v>शेर्पा</v>
      </c>
      <c r="J22" s="5">
        <v>66423</v>
      </c>
      <c r="K22" s="2" t="s">
        <v>100</v>
      </c>
      <c r="L22" s="2">
        <v>5</v>
      </c>
      <c r="M22" s="2"/>
      <c r="N22" s="2"/>
      <c r="P22" t="s">
        <v>242</v>
      </c>
    </row>
    <row r="23" spans="1:16" ht="17.399999999999999" x14ac:dyDescent="0.3">
      <c r="A23" s="6">
        <v>22</v>
      </c>
      <c r="B23" t="s">
        <v>24</v>
      </c>
      <c r="C23" t="s">
        <v>72</v>
      </c>
      <c r="D23" s="13" t="str">
        <f t="shared" ref="D23:D25" si="4">LEFT(C23,(FIND(" ",C23)))</f>
        <v xml:space="preserve">जीवन </v>
      </c>
      <c r="E23" s="13" t="str">
        <f t="shared" ref="E23:E25" si="5">TRIM(RIGHT(SUBSTITUTE(C23," ",REPT(" ",255)),255))</f>
        <v>कार्की</v>
      </c>
      <c r="F23" s="13" t="str">
        <v>धामी</v>
      </c>
      <c r="G23" s="22">
        <f t="shared" ref="G23:G25" si="6">COUNTIF($E$2:$E$111,F23)</f>
        <v>2</v>
      </c>
      <c r="H23" s="22" t="s">
        <v>750</v>
      </c>
      <c r="J23" s="5">
        <v>66408</v>
      </c>
      <c r="K23" s="2" t="s">
        <v>2</v>
      </c>
      <c r="L23" s="2">
        <v>5</v>
      </c>
      <c r="M23" s="2"/>
      <c r="N23" s="2"/>
      <c r="P23" t="s">
        <v>242</v>
      </c>
    </row>
    <row r="24" spans="1:16" ht="17.399999999999999" x14ac:dyDescent="0.3">
      <c r="A24" s="6">
        <v>23</v>
      </c>
      <c r="B24" t="s">
        <v>25</v>
      </c>
      <c r="C24" t="s">
        <v>73</v>
      </c>
      <c r="D24" s="13" t="str">
        <f t="shared" si="4"/>
        <v xml:space="preserve">वज्र </v>
      </c>
      <c r="E24" s="13" t="str">
        <f t="shared" si="5"/>
        <v>खतिवडा</v>
      </c>
      <c r="F24" s="13" t="str">
        <v>खड्का</v>
      </c>
      <c r="G24" s="22">
        <f t="shared" si="6"/>
        <v>5</v>
      </c>
      <c r="H24" s="22" t="s">
        <v>750</v>
      </c>
      <c r="J24" s="5">
        <v>66392</v>
      </c>
      <c r="K24" s="2" t="s">
        <v>2</v>
      </c>
      <c r="L24" s="2">
        <v>4</v>
      </c>
      <c r="M24" s="2"/>
      <c r="N24" s="2"/>
      <c r="P24" t="s">
        <v>242</v>
      </c>
    </row>
    <row r="25" spans="1:16" ht="17.399999999999999" x14ac:dyDescent="0.3">
      <c r="A25" s="6">
        <v>24</v>
      </c>
      <c r="B25" t="s">
        <v>26</v>
      </c>
      <c r="C25" t="s">
        <v>74</v>
      </c>
      <c r="D25" s="13" t="str">
        <f t="shared" si="4"/>
        <v xml:space="preserve">टिकाराम </v>
      </c>
      <c r="E25" s="13" t="str">
        <f t="shared" si="5"/>
        <v>कार्की</v>
      </c>
      <c r="F25" s="13" t="str">
        <v>कुँवर</v>
      </c>
      <c r="G25" s="22">
        <f t="shared" si="6"/>
        <v>1</v>
      </c>
      <c r="H25" s="22" t="s">
        <v>762</v>
      </c>
      <c r="J25" s="5">
        <v>66262</v>
      </c>
      <c r="K25" s="2" t="s">
        <v>2</v>
      </c>
      <c r="L25" s="2">
        <v>8</v>
      </c>
      <c r="M25" s="2"/>
      <c r="N25" s="2"/>
      <c r="P25" t="s">
        <v>242</v>
      </c>
    </row>
    <row r="26" spans="1:16" x14ac:dyDescent="0.3">
      <c r="A26" s="6">
        <v>25</v>
      </c>
      <c r="B26" t="s">
        <v>3</v>
      </c>
      <c r="C26" t="s">
        <v>52</v>
      </c>
      <c r="F26" t="str">
        <v>श्रेष्ठ</v>
      </c>
      <c r="J26" s="5">
        <v>66242</v>
      </c>
      <c r="K26" s="2" t="s">
        <v>100</v>
      </c>
      <c r="L26" s="2">
        <v>3</v>
      </c>
      <c r="M26" s="2"/>
      <c r="N26" s="2"/>
      <c r="P26" t="s">
        <v>242</v>
      </c>
    </row>
    <row r="27" spans="1:16" ht="17.399999999999999" x14ac:dyDescent="0.3">
      <c r="A27" s="6">
        <v>26</v>
      </c>
      <c r="B27" t="s">
        <v>27</v>
      </c>
      <c r="C27" t="s">
        <v>75</v>
      </c>
      <c r="D27" s="13" t="str">
        <f t="shared" ref="D27:D28" si="7">LEFT(C27,(FIND(" ",C27)))</f>
        <v xml:space="preserve">टेक </v>
      </c>
      <c r="E27" s="13" t="str">
        <f t="shared" ref="E27:E28" si="8">TRIM(RIGHT(SUBSTITUTE(C27," ",REPT(" ",255)),255))</f>
        <v>वलम्पाकी</v>
      </c>
      <c r="F27" s="13" t="str">
        <v>क्षत्री</v>
      </c>
      <c r="G27" s="22">
        <f t="shared" ref="G27:G28" si="9">COUNTIF($E$2:$E$111,F27)</f>
        <v>1</v>
      </c>
      <c r="H27" s="22" t="s">
        <v>750</v>
      </c>
      <c r="J27" s="5">
        <v>66240</v>
      </c>
      <c r="K27" s="2" t="s">
        <v>2</v>
      </c>
      <c r="L27" s="2">
        <v>5</v>
      </c>
      <c r="M27" s="2"/>
      <c r="N27" s="2"/>
      <c r="P27" t="s">
        <v>242</v>
      </c>
    </row>
    <row r="28" spans="1:16" ht="17.399999999999999" x14ac:dyDescent="0.3">
      <c r="A28" s="6">
        <v>27</v>
      </c>
      <c r="B28" t="s">
        <v>28</v>
      </c>
      <c r="C28" t="s">
        <v>76</v>
      </c>
      <c r="D28" s="13" t="str">
        <f t="shared" si="7"/>
        <v xml:space="preserve">सन्तोकी </v>
      </c>
      <c r="E28" s="13" t="str">
        <f t="shared" si="8"/>
        <v>खत्री</v>
      </c>
      <c r="F28" s="13" t="str">
        <v>जिसी</v>
      </c>
      <c r="G28" s="22">
        <f t="shared" si="9"/>
        <v>1</v>
      </c>
      <c r="H28" s="22" t="s">
        <v>761</v>
      </c>
      <c r="J28" s="5">
        <v>66231</v>
      </c>
      <c r="K28" s="2" t="s">
        <v>2</v>
      </c>
      <c r="L28" s="2">
        <v>1</v>
      </c>
      <c r="M28" s="2"/>
      <c r="N28" s="2"/>
      <c r="P28" t="s">
        <v>242</v>
      </c>
    </row>
    <row r="29" spans="1:16" x14ac:dyDescent="0.3">
      <c r="A29" s="6">
        <v>28</v>
      </c>
      <c r="B29" t="s">
        <v>29</v>
      </c>
      <c r="C29" t="s">
        <v>77</v>
      </c>
      <c r="F29" t="str">
        <v>सिंखडा</v>
      </c>
      <c r="J29" s="5">
        <v>66195</v>
      </c>
      <c r="K29" s="2" t="s">
        <v>100</v>
      </c>
      <c r="L29" s="2">
        <v>1</v>
      </c>
      <c r="M29" s="2"/>
      <c r="N29" s="2"/>
      <c r="P29" t="s">
        <v>242</v>
      </c>
    </row>
    <row r="30" spans="1:16" ht="17.399999999999999" x14ac:dyDescent="0.3">
      <c r="A30" s="6">
        <v>29</v>
      </c>
      <c r="B30" t="s">
        <v>30</v>
      </c>
      <c r="C30" t="s">
        <v>78</v>
      </c>
      <c r="D30" s="13" t="str">
        <f t="shared" ref="D30" si="10">LEFT(C30,(FIND(" ",C30)))</f>
        <v xml:space="preserve">दया </v>
      </c>
      <c r="E30" s="13" t="str">
        <f>TRIM(RIGHT(SUBSTITUTE(C30," ",REPT(" ",255)),255))</f>
        <v>खत्री</v>
      </c>
      <c r="F30" s="13" t="str">
        <v>गुरुङ</v>
      </c>
      <c r="G30" s="22">
        <f>COUNTIF($E$2:$E$111,F30)</f>
        <v>1</v>
      </c>
      <c r="H30" s="22" t="s">
        <v>762</v>
      </c>
      <c r="J30" s="5">
        <v>66188</v>
      </c>
      <c r="K30" s="2" t="s">
        <v>2</v>
      </c>
      <c r="L30" s="2">
        <v>7</v>
      </c>
      <c r="M30" s="2"/>
      <c r="N30" s="2"/>
      <c r="P30" t="s">
        <v>242</v>
      </c>
    </row>
    <row r="31" spans="1:16" x14ac:dyDescent="0.3">
      <c r="A31" s="6">
        <v>30</v>
      </c>
      <c r="B31" t="s">
        <v>31</v>
      </c>
      <c r="C31" t="s">
        <v>79</v>
      </c>
      <c r="F31" t="str">
        <v>दमाई</v>
      </c>
      <c r="J31" s="5">
        <v>66183</v>
      </c>
      <c r="K31" s="2" t="s">
        <v>100</v>
      </c>
      <c r="L31" s="2">
        <v>1</v>
      </c>
      <c r="M31" s="2"/>
      <c r="N31" s="2"/>
      <c r="P31" t="s">
        <v>242</v>
      </c>
    </row>
    <row r="32" spans="1:16" ht="17.399999999999999" x14ac:dyDescent="0.3">
      <c r="A32" s="6">
        <v>31</v>
      </c>
      <c r="B32" t="s">
        <v>32</v>
      </c>
      <c r="C32" t="s">
        <v>80</v>
      </c>
      <c r="D32" s="13" t="str">
        <f t="shared" ref="D32" si="11">LEFT(C32,(FIND(" ",C32)))</f>
        <v xml:space="preserve">दल्ली </v>
      </c>
      <c r="E32" s="13" t="str">
        <f>TRIM(RIGHT(SUBSTITUTE(C32," ",REPT(" ",255)),255))</f>
        <v>विश्वकर्मा</v>
      </c>
      <c r="F32" s="13" t="str">
        <v>लिम्वु</v>
      </c>
      <c r="G32" s="22">
        <f>COUNTIF($E$2:$E$111,F32)</f>
        <v>1</v>
      </c>
      <c r="H32" s="22" t="s">
        <v>762</v>
      </c>
      <c r="J32" s="5">
        <v>66182</v>
      </c>
      <c r="K32" s="2" t="s">
        <v>2</v>
      </c>
      <c r="L32" s="2">
        <v>9</v>
      </c>
      <c r="M32" s="2"/>
      <c r="N32" s="2"/>
      <c r="P32" t="s">
        <v>242</v>
      </c>
    </row>
    <row r="33" spans="1:16" x14ac:dyDescent="0.3">
      <c r="A33" s="6">
        <v>32</v>
      </c>
      <c r="B33" t="s">
        <v>33</v>
      </c>
      <c r="C33" t="s">
        <v>81</v>
      </c>
      <c r="F33" t="str">
        <v>सापकोटा</v>
      </c>
      <c r="J33" s="5">
        <v>66169</v>
      </c>
      <c r="K33" s="2" t="s">
        <v>100</v>
      </c>
      <c r="L33" s="2">
        <v>6</v>
      </c>
      <c r="M33" s="2"/>
      <c r="N33" s="2"/>
      <c r="P33" t="s">
        <v>242</v>
      </c>
    </row>
    <row r="34" spans="1:16" ht="17.399999999999999" x14ac:dyDescent="0.3">
      <c r="A34" s="6">
        <v>33</v>
      </c>
      <c r="B34" t="s">
        <v>34</v>
      </c>
      <c r="C34" t="s">
        <v>82</v>
      </c>
      <c r="D34" s="13" t="str">
        <f t="shared" ref="D34:D37" si="12">LEFT(C34,(FIND(" ",C34)))</f>
        <v xml:space="preserve">दोर्ची </v>
      </c>
      <c r="E34" s="13" t="str">
        <f t="shared" ref="E34:E37" si="13">TRIM(RIGHT(SUBSTITUTE(C34," ",REPT(" ",255)),255))</f>
        <v>शेर्पा</v>
      </c>
      <c r="F34" s="13" t="str">
        <v>केसी</v>
      </c>
      <c r="G34" s="22">
        <f t="shared" ref="G34:G37" si="14">COUNTIF($E$2:$E$111,F34)</f>
        <v>2</v>
      </c>
      <c r="H34" s="22" t="s">
        <v>750</v>
      </c>
      <c r="J34" s="5">
        <v>66138</v>
      </c>
      <c r="K34" s="2" t="s">
        <v>2</v>
      </c>
      <c r="L34" s="2">
        <v>4</v>
      </c>
      <c r="M34" s="2"/>
      <c r="N34" s="2"/>
      <c r="P34" t="s">
        <v>242</v>
      </c>
    </row>
    <row r="35" spans="1:16" ht="17.399999999999999" x14ac:dyDescent="0.3">
      <c r="A35" s="6">
        <v>34</v>
      </c>
      <c r="B35" t="s">
        <v>35</v>
      </c>
      <c r="C35" t="s">
        <v>83</v>
      </c>
      <c r="D35" s="13" t="str">
        <f t="shared" si="12"/>
        <v xml:space="preserve">किशन </v>
      </c>
      <c r="E35" s="13" t="str">
        <f t="shared" si="13"/>
        <v>धामी</v>
      </c>
      <c r="F35" s="13" t="str">
        <v>प्रसाद</v>
      </c>
      <c r="G35" s="22">
        <f t="shared" si="14"/>
        <v>1</v>
      </c>
      <c r="H35" s="22" t="s">
        <v>750</v>
      </c>
      <c r="J35" s="5">
        <v>66132</v>
      </c>
      <c r="K35" s="2" t="s">
        <v>2</v>
      </c>
      <c r="L35" s="2">
        <v>4</v>
      </c>
      <c r="M35" s="2"/>
      <c r="N35" s="2"/>
      <c r="P35" t="s">
        <v>242</v>
      </c>
    </row>
    <row r="36" spans="1:16" ht="17.399999999999999" x14ac:dyDescent="0.3">
      <c r="A36" s="6">
        <v>35</v>
      </c>
      <c r="B36" t="s">
        <v>36</v>
      </c>
      <c r="C36" t="s">
        <v>84</v>
      </c>
      <c r="D36" s="13" t="str">
        <f t="shared" si="12"/>
        <v xml:space="preserve">जिवन </v>
      </c>
      <c r="E36" s="13" t="str">
        <f t="shared" si="13"/>
        <v>खड्का</v>
      </c>
      <c r="F36" s="13" t="str">
        <v>भण्डारी</v>
      </c>
      <c r="G36" s="22">
        <f t="shared" si="14"/>
        <v>1</v>
      </c>
      <c r="H36" s="22" t="s">
        <v>760</v>
      </c>
      <c r="J36" s="5">
        <v>66127</v>
      </c>
      <c r="K36" s="2" t="s">
        <v>2</v>
      </c>
      <c r="L36" s="2">
        <v>4</v>
      </c>
      <c r="M36" s="2"/>
      <c r="N36" s="2"/>
      <c r="P36" t="s">
        <v>242</v>
      </c>
    </row>
    <row r="37" spans="1:16" ht="17.399999999999999" x14ac:dyDescent="0.3">
      <c r="A37" s="6">
        <v>36</v>
      </c>
      <c r="B37" t="s">
        <v>37</v>
      </c>
      <c r="C37" t="s">
        <v>85</v>
      </c>
      <c r="D37" s="13" t="str">
        <f t="shared" si="12"/>
        <v xml:space="preserve">कुमार </v>
      </c>
      <c r="E37" s="13" t="str">
        <f t="shared" si="13"/>
        <v>कुँवर</v>
      </c>
      <c r="F37" s="13" t="str">
        <v>मगर</v>
      </c>
      <c r="G37" s="22">
        <f t="shared" si="14"/>
        <v>1</v>
      </c>
      <c r="H37" s="22" t="s">
        <v>762</v>
      </c>
      <c r="J37" s="5">
        <v>66121</v>
      </c>
      <c r="K37" s="2" t="s">
        <v>2</v>
      </c>
      <c r="L37" s="2">
        <v>4</v>
      </c>
      <c r="M37" s="2"/>
      <c r="N37" s="2"/>
      <c r="P37" t="s">
        <v>242</v>
      </c>
    </row>
    <row r="38" spans="1:16" x14ac:dyDescent="0.3">
      <c r="A38" s="6">
        <v>37</v>
      </c>
      <c r="B38" t="s">
        <v>38</v>
      </c>
      <c r="C38" t="s">
        <v>86</v>
      </c>
      <c r="F38" t="str">
        <v>कडेल</v>
      </c>
      <c r="J38" s="5">
        <v>66058</v>
      </c>
      <c r="K38" s="2" t="s">
        <v>100</v>
      </c>
      <c r="L38" s="2">
        <v>4</v>
      </c>
      <c r="M38" s="2"/>
      <c r="N38" s="2"/>
      <c r="P38" t="s">
        <v>242</v>
      </c>
    </row>
    <row r="39" spans="1:16" ht="17.399999999999999" x14ac:dyDescent="0.3">
      <c r="A39" s="6">
        <v>38</v>
      </c>
      <c r="B39" t="s">
        <v>39</v>
      </c>
      <c r="C39" t="s">
        <v>87</v>
      </c>
      <c r="D39" s="13" t="str">
        <f t="shared" ref="D39:D41" si="15">LEFT(C39,(FIND(" ",C39)))</f>
        <v xml:space="preserve">बेद </v>
      </c>
      <c r="E39" s="13" t="str">
        <f t="shared" ref="E39:E41" si="16">TRIM(RIGHT(SUBSTITUTE(C39," ",REPT(" ",255)),255))</f>
        <v>श्रेष्ठ</v>
      </c>
      <c r="F39" s="13" t="str">
        <v>थापा</v>
      </c>
      <c r="G39" s="22">
        <f t="shared" ref="G39:G41" si="17">COUNTIF($E$2:$E$111,F39)</f>
        <v>3</v>
      </c>
      <c r="H39" s="22" t="s">
        <v>750</v>
      </c>
      <c r="J39" s="5">
        <v>66029</v>
      </c>
      <c r="K39" s="2" t="s">
        <v>2</v>
      </c>
      <c r="L39" s="2">
        <v>3</v>
      </c>
      <c r="M39" s="2"/>
      <c r="N39" s="2"/>
      <c r="P39" t="s">
        <v>242</v>
      </c>
    </row>
    <row r="40" spans="1:16" ht="17.399999999999999" x14ac:dyDescent="0.3">
      <c r="A40" s="6">
        <v>39</v>
      </c>
      <c r="B40" t="s">
        <v>40</v>
      </c>
      <c r="C40" t="s">
        <v>88</v>
      </c>
      <c r="D40" s="13" t="str">
        <f t="shared" si="15"/>
        <v xml:space="preserve">प्राची </v>
      </c>
      <c r="E40" s="13" t="str">
        <f t="shared" si="16"/>
        <v>अधिकारी</v>
      </c>
      <c r="F40" s="13" t="str">
        <v>मल्ल</v>
      </c>
      <c r="G40" s="22">
        <f t="shared" si="17"/>
        <v>1</v>
      </c>
      <c r="H40" s="22" t="s">
        <v>762</v>
      </c>
      <c r="J40" s="5">
        <v>66029</v>
      </c>
      <c r="K40" s="2" t="s">
        <v>2</v>
      </c>
      <c r="L40" s="2">
        <v>2</v>
      </c>
      <c r="M40" s="2"/>
      <c r="N40" s="2"/>
      <c r="P40" t="s">
        <v>242</v>
      </c>
    </row>
    <row r="41" spans="1:16" ht="17.399999999999999" x14ac:dyDescent="0.3">
      <c r="A41" s="6">
        <v>40</v>
      </c>
      <c r="B41" t="s">
        <v>41</v>
      </c>
      <c r="C41" t="s">
        <v>89</v>
      </c>
      <c r="D41" s="13" t="str">
        <f t="shared" si="15"/>
        <v xml:space="preserve">दुर्गा </v>
      </c>
      <c r="E41" s="13" t="str">
        <f t="shared" si="16"/>
        <v>क्षत्री</v>
      </c>
      <c r="F41" s="13" t="str">
        <v>क्षेत्री</v>
      </c>
      <c r="G41" s="22">
        <f t="shared" si="17"/>
        <v>1</v>
      </c>
      <c r="H41" s="22" t="s">
        <v>750</v>
      </c>
      <c r="J41" s="5">
        <v>66021</v>
      </c>
      <c r="K41" s="2" t="s">
        <v>2</v>
      </c>
      <c r="L41" s="2">
        <v>4</v>
      </c>
      <c r="M41" s="2"/>
      <c r="N41" s="2"/>
      <c r="P41" t="s">
        <v>242</v>
      </c>
    </row>
    <row r="42" spans="1:16" x14ac:dyDescent="0.3">
      <c r="A42" s="6">
        <v>41</v>
      </c>
      <c r="B42" t="s">
        <v>42</v>
      </c>
      <c r="C42" t="s">
        <v>90</v>
      </c>
      <c r="F42" t="str">
        <v>गौतम</v>
      </c>
      <c r="J42" s="5">
        <v>65997</v>
      </c>
      <c r="K42" s="2" t="s">
        <v>100</v>
      </c>
      <c r="L42" s="2">
        <v>3</v>
      </c>
      <c r="M42" s="2"/>
      <c r="N42" s="2"/>
      <c r="P42" t="s">
        <v>242</v>
      </c>
    </row>
    <row r="43" spans="1:16" ht="17.399999999999999" x14ac:dyDescent="0.3">
      <c r="A43" s="6">
        <v>42</v>
      </c>
      <c r="B43" t="s">
        <v>43</v>
      </c>
      <c r="C43" t="s">
        <v>91</v>
      </c>
      <c r="D43" s="13" t="str">
        <f t="shared" ref="D43:D44" si="18">LEFT(C43,(FIND(" ",C43)))</f>
        <v xml:space="preserve">श्रीमती </v>
      </c>
      <c r="E43" s="13" t="str">
        <f t="shared" ref="E43:E44" si="19">TRIM(RIGHT(SUBSTITUTE(C43," ",REPT(" ",255)),255))</f>
        <v>जिसी</v>
      </c>
      <c r="F43" s="13" t="str">
        <v>बासकोटा</v>
      </c>
      <c r="G43" s="22">
        <f t="shared" ref="G43:G44" si="20">COUNTIF($E$2:$E$111,F43)</f>
        <v>1</v>
      </c>
      <c r="H43" s="22" t="s">
        <v>760</v>
      </c>
      <c r="J43" s="5">
        <v>65972</v>
      </c>
      <c r="K43" s="2" t="s">
        <v>2</v>
      </c>
      <c r="L43" s="2">
        <v>3</v>
      </c>
      <c r="M43" s="2"/>
      <c r="N43" s="2"/>
      <c r="P43" t="s">
        <v>242</v>
      </c>
    </row>
    <row r="44" spans="1:16" ht="17.399999999999999" x14ac:dyDescent="0.3">
      <c r="A44" s="6">
        <v>43</v>
      </c>
      <c r="B44" t="s">
        <v>44</v>
      </c>
      <c r="C44" t="s">
        <v>92</v>
      </c>
      <c r="D44" s="13" t="str">
        <f t="shared" si="18"/>
        <v xml:space="preserve">संजय </v>
      </c>
      <c r="E44" s="13" t="str">
        <f t="shared" si="19"/>
        <v>लामा</v>
      </c>
      <c r="F44" s="13" t="str">
        <v>चुडाल</v>
      </c>
      <c r="G44" s="22">
        <f t="shared" si="20"/>
        <v>1</v>
      </c>
      <c r="H44" s="22" t="s">
        <v>760</v>
      </c>
      <c r="I44" t="s">
        <v>115</v>
      </c>
      <c r="J44" s="5">
        <v>65949</v>
      </c>
      <c r="K44" s="2" t="s">
        <v>2</v>
      </c>
      <c r="L44" s="2">
        <v>4</v>
      </c>
      <c r="M44" s="2"/>
      <c r="N44" s="2"/>
      <c r="P44" t="s">
        <v>242</v>
      </c>
    </row>
    <row r="45" spans="1:16" x14ac:dyDescent="0.3">
      <c r="A45" s="6">
        <v>44</v>
      </c>
      <c r="B45" t="s">
        <v>45</v>
      </c>
      <c r="C45" t="s">
        <v>93</v>
      </c>
      <c r="F45" t="str">
        <v>बुढथोकी</v>
      </c>
      <c r="I45" t="s">
        <v>114</v>
      </c>
      <c r="J45" s="5">
        <v>65877</v>
      </c>
      <c r="K45" s="2" t="s">
        <v>100</v>
      </c>
      <c r="L45" s="2">
        <v>4</v>
      </c>
      <c r="M45" s="2"/>
      <c r="N45" s="2"/>
      <c r="P45" t="s">
        <v>242</v>
      </c>
    </row>
    <row r="46" spans="1:16" ht="17.399999999999999" x14ac:dyDescent="0.3">
      <c r="A46" s="6">
        <v>45</v>
      </c>
      <c r="B46" t="s">
        <v>46</v>
      </c>
      <c r="C46" t="s">
        <v>94</v>
      </c>
      <c r="D46" s="13" t="str">
        <f t="shared" ref="D46:D47" si="21">LEFT(C46,(FIND(" ",C46)))</f>
        <v xml:space="preserve">रत्न </v>
      </c>
      <c r="E46" s="13" t="str">
        <f t="shared" ref="E46:E47" si="22">TRIM(RIGHT(SUBSTITUTE(C46," ",REPT(" ",255)),255))</f>
        <v>श्रेष्ठ</v>
      </c>
      <c r="F46" s="13" t="str">
        <v>तामाङ</v>
      </c>
      <c r="G46" s="22">
        <f t="shared" ref="G46:G47" si="23">COUNTIF($E$2:$E$111,F46)</f>
        <v>1</v>
      </c>
      <c r="H46" s="22" t="s">
        <v>762</v>
      </c>
      <c r="I46" t="s">
        <v>113</v>
      </c>
      <c r="J46" s="5">
        <v>65858</v>
      </c>
      <c r="K46" s="2" t="s">
        <v>2</v>
      </c>
      <c r="L46" s="2">
        <v>5</v>
      </c>
      <c r="M46" s="2"/>
      <c r="N46" s="2"/>
      <c r="P46" t="s">
        <v>242</v>
      </c>
    </row>
    <row r="47" spans="1:16" ht="17.399999999999999" x14ac:dyDescent="0.3">
      <c r="A47" s="6">
        <v>46</v>
      </c>
      <c r="B47" t="s">
        <v>47</v>
      </c>
      <c r="C47" t="s">
        <v>95</v>
      </c>
      <c r="D47" s="13" t="str">
        <f t="shared" si="21"/>
        <v xml:space="preserve">गणेश </v>
      </c>
      <c r="E47" s="13" t="str">
        <f t="shared" si="22"/>
        <v>श्रेष्ठ</v>
      </c>
      <c r="F47" s="13" t="str">
        <v>मिश्र</v>
      </c>
      <c r="G47" s="22">
        <f t="shared" si="23"/>
        <v>1</v>
      </c>
      <c r="H47" s="22" t="s">
        <v>760</v>
      </c>
      <c r="I47" t="s">
        <v>112</v>
      </c>
      <c r="J47" s="5">
        <v>65840</v>
      </c>
      <c r="K47" s="2" t="s">
        <v>2</v>
      </c>
      <c r="L47" s="2">
        <v>4</v>
      </c>
      <c r="M47" s="2"/>
      <c r="N47" s="2"/>
      <c r="P47" t="s">
        <v>242</v>
      </c>
    </row>
    <row r="48" spans="1:16" x14ac:dyDescent="0.3">
      <c r="A48" s="6">
        <v>47</v>
      </c>
      <c r="B48" t="s">
        <v>48</v>
      </c>
      <c r="C48" t="s">
        <v>96</v>
      </c>
      <c r="F48" t="str">
        <v>चौधरी</v>
      </c>
      <c r="I48" t="s">
        <v>111</v>
      </c>
      <c r="J48" s="5">
        <v>65826</v>
      </c>
      <c r="K48" s="2" t="s">
        <v>100</v>
      </c>
      <c r="L48" s="2">
        <v>3</v>
      </c>
      <c r="M48" s="2"/>
      <c r="N48" s="2"/>
      <c r="P48" t="s">
        <v>242</v>
      </c>
    </row>
    <row r="49" spans="1:17" ht="17.399999999999999" x14ac:dyDescent="0.3">
      <c r="A49" s="6">
        <v>48</v>
      </c>
      <c r="B49" t="s">
        <v>49</v>
      </c>
      <c r="C49" t="s">
        <v>97</v>
      </c>
      <c r="D49" s="13" t="str">
        <f t="shared" ref="D49" si="24">LEFT(C49,(FIND(" ",C49)))</f>
        <v xml:space="preserve">शोभा </v>
      </c>
      <c r="E49" s="13" t="str">
        <f>TRIM(RIGHT(SUBSTITUTE(C49," ",REPT(" ",255)),255))</f>
        <v>खत्री</v>
      </c>
      <c r="F49" s="13" t="str">
        <v>वराल</v>
      </c>
      <c r="G49" s="22">
        <f>COUNTIF($E$2:$E$111,F49)</f>
        <v>1</v>
      </c>
      <c r="H49" s="22" t="s">
        <v>760</v>
      </c>
      <c r="I49" t="s">
        <v>110</v>
      </c>
      <c r="J49" s="5">
        <v>65825</v>
      </c>
      <c r="K49" s="2" t="s">
        <v>2</v>
      </c>
      <c r="L49" s="2">
        <v>4</v>
      </c>
      <c r="M49" s="2"/>
      <c r="N49" s="2"/>
      <c r="P49" t="s">
        <v>242</v>
      </c>
    </row>
    <row r="50" spans="1:17" x14ac:dyDescent="0.3">
      <c r="A50" s="6">
        <v>49</v>
      </c>
      <c r="B50" t="s">
        <v>50</v>
      </c>
      <c r="C50" t="s">
        <v>98</v>
      </c>
      <c r="F50" t="str">
        <v>राई</v>
      </c>
      <c r="I50" t="s">
        <v>109</v>
      </c>
      <c r="J50" s="5">
        <v>65800</v>
      </c>
      <c r="K50" s="2" t="s">
        <v>100</v>
      </c>
      <c r="L50" s="2">
        <v>3</v>
      </c>
      <c r="M50" s="2">
        <v>2</v>
      </c>
      <c r="N50" s="2">
        <v>1</v>
      </c>
      <c r="P50" t="s">
        <v>242</v>
      </c>
      <c r="Q50" t="s">
        <v>244</v>
      </c>
    </row>
    <row r="51" spans="1:17" ht="17.399999999999999" x14ac:dyDescent="0.3">
      <c r="A51" s="6">
        <v>50</v>
      </c>
      <c r="B51" t="s">
        <v>51</v>
      </c>
      <c r="C51" t="s">
        <v>99</v>
      </c>
      <c r="D51" s="13" t="str">
        <f t="shared" ref="D51:D59" si="25">LEFT(C51,(FIND(" ",C51)))</f>
        <v xml:space="preserve">सीता </v>
      </c>
      <c r="E51" s="13" t="str">
        <f t="shared" ref="E51:E59" si="26">TRIM(RIGHT(SUBSTITUTE(C51," ",REPT(" ",255)),255))</f>
        <v>श्रेष्ठ</v>
      </c>
      <c r="F51" s="13" t="str">
        <v>डंगोल</v>
      </c>
      <c r="G51" s="22">
        <f t="shared" ref="G51:G57" si="27">COUNTIF($E$2:$E$111,F51)</f>
        <v>1</v>
      </c>
      <c r="H51" s="22" t="s">
        <v>762</v>
      </c>
      <c r="I51" t="s">
        <v>108</v>
      </c>
      <c r="J51" s="5">
        <v>65762</v>
      </c>
      <c r="K51" s="2" t="s">
        <v>2</v>
      </c>
      <c r="L51" s="2">
        <v>2</v>
      </c>
      <c r="M51" s="2"/>
      <c r="N51" s="2"/>
      <c r="P51" t="s">
        <v>242</v>
      </c>
    </row>
    <row r="52" spans="1:17" ht="17.399999999999999" x14ac:dyDescent="0.3">
      <c r="A52" s="6">
        <v>51</v>
      </c>
      <c r="B52" t="s">
        <v>116</v>
      </c>
      <c r="C52" t="s">
        <v>165</v>
      </c>
      <c r="D52" s="13" t="str">
        <f t="shared" si="25"/>
        <v xml:space="preserve">रमेश </v>
      </c>
      <c r="E52" s="13" t="str">
        <f t="shared" si="26"/>
        <v>सिंखडा</v>
      </c>
      <c r="F52" s="13" t="str">
        <v>चम्लागाई</v>
      </c>
      <c r="G52" s="22">
        <f t="shared" si="27"/>
        <v>1</v>
      </c>
      <c r="H52" s="22" t="s">
        <v>760</v>
      </c>
      <c r="I52" t="s">
        <v>215</v>
      </c>
      <c r="J52" s="5">
        <v>65736</v>
      </c>
      <c r="K52" s="2" t="s">
        <v>2</v>
      </c>
      <c r="L52" s="2">
        <v>3</v>
      </c>
      <c r="M52" s="2"/>
      <c r="N52" s="2"/>
      <c r="P52" t="s">
        <v>242</v>
      </c>
    </row>
    <row r="53" spans="1:17" ht="17.399999999999999" x14ac:dyDescent="0.3">
      <c r="A53" s="6">
        <v>52</v>
      </c>
      <c r="B53" t="s">
        <v>117</v>
      </c>
      <c r="C53" s="1" t="s">
        <v>166</v>
      </c>
      <c r="D53" s="13" t="str">
        <f t="shared" si="25"/>
        <v xml:space="preserve">रिनु </v>
      </c>
      <c r="E53" s="13" t="str">
        <f t="shared" si="26"/>
        <v>गुरुङ</v>
      </c>
      <c r="F53" s="13" t="str">
        <v>पोख्रेल</v>
      </c>
      <c r="G53" s="22">
        <f t="shared" si="27"/>
        <v>1</v>
      </c>
      <c r="H53" s="22" t="s">
        <v>760</v>
      </c>
      <c r="J53" s="5">
        <v>65695</v>
      </c>
      <c r="K53" s="2" t="s">
        <v>2</v>
      </c>
      <c r="L53" s="2">
        <v>4</v>
      </c>
      <c r="M53" s="2"/>
      <c r="N53" s="2"/>
      <c r="P53" t="s">
        <v>242</v>
      </c>
    </row>
    <row r="54" spans="1:17" ht="17.399999999999999" x14ac:dyDescent="0.3">
      <c r="A54" s="6">
        <v>53</v>
      </c>
      <c r="B54" t="s">
        <v>118</v>
      </c>
      <c r="C54" t="s">
        <v>167</v>
      </c>
      <c r="D54" s="13" t="str">
        <f t="shared" si="25"/>
        <v xml:space="preserve">रीता </v>
      </c>
      <c r="E54" s="13" t="str">
        <f t="shared" si="26"/>
        <v>दमाई</v>
      </c>
      <c r="F54" s="13" t="str">
        <v>पौडेल</v>
      </c>
      <c r="G54" s="22">
        <f t="shared" si="27"/>
        <v>1</v>
      </c>
      <c r="H54" s="22" t="s">
        <v>760</v>
      </c>
      <c r="J54" s="5">
        <v>65644</v>
      </c>
      <c r="K54" s="2" t="s">
        <v>2</v>
      </c>
      <c r="L54" s="2">
        <v>3</v>
      </c>
      <c r="M54" s="2"/>
      <c r="N54" s="2"/>
      <c r="P54" t="s">
        <v>242</v>
      </c>
    </row>
    <row r="55" spans="1:17" ht="17.399999999999999" x14ac:dyDescent="0.3">
      <c r="A55" s="6">
        <v>54</v>
      </c>
      <c r="B55" t="s">
        <v>119</v>
      </c>
      <c r="C55" t="s">
        <v>168</v>
      </c>
      <c r="D55" s="13" t="str">
        <f t="shared" si="25"/>
        <v xml:space="preserve">सुबास </v>
      </c>
      <c r="E55" s="13" t="str">
        <f t="shared" si="26"/>
        <v>लिम्वु</v>
      </c>
      <c r="F55" s="13" t="str">
        <v>तिवारी</v>
      </c>
      <c r="G55" s="22">
        <f t="shared" si="27"/>
        <v>1</v>
      </c>
      <c r="H55" s="22" t="s">
        <v>760</v>
      </c>
      <c r="J55" s="5">
        <v>65631</v>
      </c>
      <c r="K55" s="2" t="s">
        <v>2</v>
      </c>
      <c r="L55" s="2">
        <v>4</v>
      </c>
      <c r="M55" s="2"/>
      <c r="N55" s="2"/>
      <c r="P55" t="s">
        <v>242</v>
      </c>
    </row>
    <row r="56" spans="1:17" ht="17.399999999999999" x14ac:dyDescent="0.3">
      <c r="A56" s="6">
        <v>55</v>
      </c>
      <c r="B56" t="s">
        <v>120</v>
      </c>
      <c r="C56" t="s">
        <v>169</v>
      </c>
      <c r="D56" s="13" t="str">
        <f t="shared" si="25"/>
        <v xml:space="preserve">सुदर्शन </v>
      </c>
      <c r="E56" s="13" t="str">
        <f t="shared" si="26"/>
        <v>सापकोटा</v>
      </c>
      <c r="F56" s="13" t="str">
        <v>खनाल</v>
      </c>
      <c r="G56" s="22">
        <f t="shared" si="27"/>
        <v>1</v>
      </c>
      <c r="H56" s="22" t="s">
        <v>760</v>
      </c>
      <c r="J56" s="5">
        <v>65631</v>
      </c>
      <c r="K56" s="2" t="s">
        <v>2</v>
      </c>
      <c r="L56" s="2">
        <v>7</v>
      </c>
      <c r="M56" s="2"/>
      <c r="N56" s="2"/>
      <c r="P56" t="s">
        <v>242</v>
      </c>
    </row>
    <row r="57" spans="1:17" ht="17.399999999999999" x14ac:dyDescent="0.3">
      <c r="A57" s="6">
        <v>56</v>
      </c>
      <c r="B57" t="s">
        <v>121</v>
      </c>
      <c r="C57" t="s">
        <v>170</v>
      </c>
      <c r="D57" s="13" t="str">
        <f t="shared" si="25"/>
        <v xml:space="preserve">मेनुका </v>
      </c>
      <c r="E57" s="13" t="str">
        <f t="shared" si="26"/>
        <v>श्रेष्ठ</v>
      </c>
      <c r="F57" s="13" t="str">
        <v>सुवेदी</v>
      </c>
      <c r="G57" s="22">
        <f t="shared" si="27"/>
        <v>1</v>
      </c>
      <c r="H57" s="22" t="s">
        <v>760</v>
      </c>
      <c r="J57" s="5">
        <v>65582</v>
      </c>
      <c r="K57" s="2" t="s">
        <v>2</v>
      </c>
      <c r="L57" s="2">
        <v>3</v>
      </c>
      <c r="M57" s="2"/>
      <c r="N57" s="2"/>
      <c r="P57" t="s">
        <v>242</v>
      </c>
    </row>
    <row r="58" spans="1:17" ht="17.399999999999999" x14ac:dyDescent="0.3">
      <c r="A58" s="6">
        <v>57</v>
      </c>
      <c r="B58" t="s">
        <v>122</v>
      </c>
      <c r="C58" t="s">
        <v>171</v>
      </c>
      <c r="D58" s="13" t="str">
        <f t="shared" si="25"/>
        <v xml:space="preserve">बसन्त </v>
      </c>
      <c r="E58" s="13" t="str">
        <f t="shared" si="26"/>
        <v>केसी</v>
      </c>
      <c r="F58" s="13"/>
      <c r="G58" s="13"/>
      <c r="H58" s="13"/>
      <c r="J58" s="5">
        <v>65533</v>
      </c>
      <c r="K58" s="2" t="s">
        <v>2</v>
      </c>
      <c r="L58" s="2">
        <v>5</v>
      </c>
      <c r="M58" s="2"/>
      <c r="N58" s="2"/>
      <c r="P58" t="s">
        <v>242</v>
      </c>
    </row>
    <row r="59" spans="1:17" ht="17.399999999999999" x14ac:dyDescent="0.3">
      <c r="A59" s="6">
        <v>58</v>
      </c>
      <c r="B59" t="s">
        <v>123</v>
      </c>
      <c r="C59" t="s">
        <v>172</v>
      </c>
      <c r="D59" s="13" t="str">
        <f t="shared" si="25"/>
        <v xml:space="preserve">नारायण </v>
      </c>
      <c r="E59" s="13" t="str">
        <f t="shared" si="26"/>
        <v>केसी</v>
      </c>
      <c r="F59" s="13"/>
      <c r="G59" s="13"/>
      <c r="H59" s="13"/>
      <c r="J59" s="5">
        <v>65527</v>
      </c>
      <c r="K59" s="2" t="s">
        <v>2</v>
      </c>
      <c r="L59" s="2">
        <v>5</v>
      </c>
      <c r="M59" s="2"/>
      <c r="N59" s="2"/>
      <c r="P59" t="s">
        <v>242</v>
      </c>
    </row>
    <row r="60" spans="1:17" x14ac:dyDescent="0.3">
      <c r="A60" s="6">
        <v>59</v>
      </c>
      <c r="B60" t="s">
        <v>124</v>
      </c>
      <c r="C60" t="s">
        <v>173</v>
      </c>
      <c r="J60" s="5">
        <v>65512</v>
      </c>
      <c r="K60" s="2" t="s">
        <v>100</v>
      </c>
      <c r="L60" s="2">
        <v>2</v>
      </c>
      <c r="M60" s="2"/>
      <c r="N60" s="2"/>
      <c r="P60" t="s">
        <v>242</v>
      </c>
    </row>
    <row r="61" spans="1:17" ht="17.399999999999999" x14ac:dyDescent="0.3">
      <c r="A61" s="6">
        <v>60</v>
      </c>
      <c r="B61" t="s">
        <v>125</v>
      </c>
      <c r="C61" t="s">
        <v>174</v>
      </c>
      <c r="D61" s="13" t="str">
        <f t="shared" ref="D61:D68" si="28">LEFT(C61,(FIND(" ",C61)))</f>
        <v xml:space="preserve">नन्द </v>
      </c>
      <c r="E61" s="13" t="str">
        <f t="shared" ref="E61:E68" si="29">TRIM(RIGHT(SUBSTITUTE(C61," ",REPT(" ",255)),255))</f>
        <v>प्रसाद</v>
      </c>
      <c r="F61" s="13"/>
      <c r="G61" s="13"/>
      <c r="H61" s="13"/>
      <c r="J61" s="5">
        <v>65490</v>
      </c>
      <c r="K61" s="2" t="s">
        <v>2</v>
      </c>
      <c r="L61" s="2">
        <v>4</v>
      </c>
      <c r="M61" s="2"/>
      <c r="N61" s="2"/>
      <c r="P61" t="s">
        <v>242</v>
      </c>
    </row>
    <row r="62" spans="1:17" ht="17.399999999999999" x14ac:dyDescent="0.3">
      <c r="A62" s="6">
        <v>61</v>
      </c>
      <c r="B62" t="s">
        <v>126</v>
      </c>
      <c r="C62" t="s">
        <v>175</v>
      </c>
      <c r="D62" s="13" t="str">
        <f t="shared" si="28"/>
        <v xml:space="preserve">मिठ्ठा </v>
      </c>
      <c r="E62" s="13" t="str">
        <f t="shared" si="29"/>
        <v>खड्का</v>
      </c>
      <c r="F62" s="13"/>
      <c r="G62" s="13"/>
      <c r="H62" s="13"/>
      <c r="J62" s="5">
        <v>65479</v>
      </c>
      <c r="K62" s="2" t="s">
        <v>2</v>
      </c>
      <c r="L62" s="2">
        <v>4</v>
      </c>
      <c r="M62" s="2"/>
      <c r="N62" s="2"/>
      <c r="P62" t="s">
        <v>242</v>
      </c>
    </row>
    <row r="63" spans="1:17" ht="17.399999999999999" x14ac:dyDescent="0.3">
      <c r="A63" s="6">
        <v>62</v>
      </c>
      <c r="B63" t="s">
        <v>127</v>
      </c>
      <c r="C63" t="s">
        <v>176</v>
      </c>
      <c r="D63" s="13" t="str">
        <f t="shared" si="28"/>
        <v xml:space="preserve">नारायण </v>
      </c>
      <c r="E63" s="13" t="str">
        <f t="shared" si="29"/>
        <v>खड्का</v>
      </c>
      <c r="F63" s="13"/>
      <c r="G63" s="13"/>
      <c r="H63" s="13"/>
      <c r="J63" s="5">
        <v>65478</v>
      </c>
      <c r="K63" s="2" t="s">
        <v>2</v>
      </c>
      <c r="L63" s="2">
        <v>4</v>
      </c>
      <c r="M63" s="2"/>
      <c r="N63" s="2"/>
      <c r="P63" t="s">
        <v>242</v>
      </c>
    </row>
    <row r="64" spans="1:17" ht="17.399999999999999" x14ac:dyDescent="0.3">
      <c r="A64" s="6">
        <v>63</v>
      </c>
      <c r="B64" t="s">
        <v>128</v>
      </c>
      <c r="C64" t="s">
        <v>177</v>
      </c>
      <c r="D64" s="13" t="str">
        <f t="shared" si="28"/>
        <v xml:space="preserve">रुद्र </v>
      </c>
      <c r="E64" s="13" t="str">
        <f t="shared" si="29"/>
        <v>कार्की</v>
      </c>
      <c r="F64" s="13"/>
      <c r="G64" s="13"/>
      <c r="H64" s="13"/>
      <c r="J64" s="5">
        <v>65466</v>
      </c>
      <c r="K64" s="2" t="s">
        <v>2</v>
      </c>
      <c r="L64" s="2">
        <v>4</v>
      </c>
      <c r="M64" s="2"/>
      <c r="N64" s="2"/>
      <c r="P64" t="s">
        <v>242</v>
      </c>
    </row>
    <row r="65" spans="1:17" ht="17.399999999999999" x14ac:dyDescent="0.3">
      <c r="A65" s="6">
        <v>64</v>
      </c>
      <c r="B65" t="s">
        <v>129</v>
      </c>
      <c r="C65" t="s">
        <v>178</v>
      </c>
      <c r="D65" s="13" t="str">
        <f t="shared" si="28"/>
        <v xml:space="preserve">ओम </v>
      </c>
      <c r="E65" s="13" t="str">
        <f t="shared" si="29"/>
        <v>भण्डारी</v>
      </c>
      <c r="F65" s="13"/>
      <c r="G65" s="13"/>
      <c r="H65" s="13"/>
      <c r="J65" s="5">
        <v>65447</v>
      </c>
      <c r="K65" s="2" t="s">
        <v>2</v>
      </c>
      <c r="L65" s="2">
        <v>5</v>
      </c>
      <c r="M65" s="2"/>
      <c r="N65" s="2"/>
      <c r="P65" t="s">
        <v>242</v>
      </c>
    </row>
    <row r="66" spans="1:17" ht="17.399999999999999" x14ac:dyDescent="0.3">
      <c r="A66" s="6">
        <v>65</v>
      </c>
      <c r="B66" t="s">
        <v>130</v>
      </c>
      <c r="C66" t="s">
        <v>179</v>
      </c>
      <c r="D66" s="13" t="str">
        <f t="shared" si="28"/>
        <v xml:space="preserve">श्याम </v>
      </c>
      <c r="E66" s="13" t="str">
        <f t="shared" si="29"/>
        <v>मगर</v>
      </c>
      <c r="F66" s="13"/>
      <c r="G66" s="13"/>
      <c r="H66" s="13"/>
      <c r="J66" s="5">
        <v>65440</v>
      </c>
      <c r="K66" s="2" t="s">
        <v>2</v>
      </c>
      <c r="L66" s="2">
        <v>6</v>
      </c>
      <c r="M66" s="2"/>
      <c r="N66" s="2"/>
      <c r="P66" t="s">
        <v>242</v>
      </c>
    </row>
    <row r="67" spans="1:17" ht="17.399999999999999" x14ac:dyDescent="0.3">
      <c r="A67" s="6">
        <v>66</v>
      </c>
      <c r="B67" t="s">
        <v>131</v>
      </c>
      <c r="C67" t="s">
        <v>180</v>
      </c>
      <c r="D67" s="13" t="str">
        <f t="shared" si="28"/>
        <v xml:space="preserve">लाल </v>
      </c>
      <c r="E67" s="13" t="str">
        <f t="shared" si="29"/>
        <v>कडेल</v>
      </c>
      <c r="F67" s="13"/>
      <c r="G67" s="13"/>
      <c r="H67" s="13"/>
      <c r="J67" s="5">
        <v>65369</v>
      </c>
      <c r="K67" s="2" t="s">
        <v>2</v>
      </c>
      <c r="L67" s="2">
        <v>4</v>
      </c>
      <c r="M67" s="2"/>
      <c r="N67" s="2"/>
      <c r="P67" t="s">
        <v>242</v>
      </c>
    </row>
    <row r="68" spans="1:17" ht="17.399999999999999" x14ac:dyDescent="0.3">
      <c r="A68" s="6">
        <v>67</v>
      </c>
      <c r="B68" t="s">
        <v>132</v>
      </c>
      <c r="C68" t="s">
        <v>181</v>
      </c>
      <c r="D68" s="13" t="str">
        <f t="shared" si="28"/>
        <v xml:space="preserve">अम्बिका </v>
      </c>
      <c r="E68" s="13" t="str">
        <f t="shared" si="29"/>
        <v>थापा</v>
      </c>
      <c r="F68" s="13"/>
      <c r="G68" s="13"/>
      <c r="H68" s="13"/>
      <c r="J68" s="5">
        <v>65366</v>
      </c>
      <c r="K68" s="2" t="s">
        <v>2</v>
      </c>
      <c r="L68" s="2">
        <v>4</v>
      </c>
      <c r="M68" s="2">
        <f>L68-N68</f>
        <v>2</v>
      </c>
      <c r="N68" s="2">
        <v>2</v>
      </c>
      <c r="O68" t="s">
        <v>235</v>
      </c>
      <c r="P68" t="s">
        <v>242</v>
      </c>
      <c r="Q68" t="s">
        <v>245</v>
      </c>
    </row>
    <row r="69" spans="1:17" x14ac:dyDescent="0.3">
      <c r="A69" s="6">
        <v>68</v>
      </c>
      <c r="B69" t="s">
        <v>133</v>
      </c>
      <c r="C69" t="s">
        <v>182</v>
      </c>
      <c r="J69" s="5">
        <v>65365</v>
      </c>
      <c r="K69" s="2" t="s">
        <v>100</v>
      </c>
      <c r="L69" s="2">
        <v>2</v>
      </c>
      <c r="M69" s="2"/>
      <c r="N69" s="2"/>
      <c r="P69" t="s">
        <v>242</v>
      </c>
    </row>
    <row r="70" spans="1:17" ht="17.399999999999999" x14ac:dyDescent="0.3">
      <c r="A70" s="6">
        <v>69</v>
      </c>
      <c r="B70" t="s">
        <v>134</v>
      </c>
      <c r="C70" t="s">
        <v>183</v>
      </c>
      <c r="D70" s="13" t="str">
        <f t="shared" ref="D70" si="30">LEFT(C70,(FIND(" ",C70)))</f>
        <v xml:space="preserve">केशर </v>
      </c>
      <c r="E70" s="13" t="str">
        <f>TRIM(RIGHT(SUBSTITUTE(C70," ",REPT(" ",255)),255))</f>
        <v>श्रेष्ठ</v>
      </c>
      <c r="F70" s="13"/>
      <c r="G70" s="13"/>
      <c r="H70" s="13"/>
      <c r="J70" s="5">
        <v>65356</v>
      </c>
      <c r="K70" s="2" t="s">
        <v>2</v>
      </c>
      <c r="L70" s="2">
        <v>6</v>
      </c>
      <c r="M70" s="2"/>
      <c r="N70" s="2"/>
      <c r="P70" t="s">
        <v>242</v>
      </c>
    </row>
    <row r="71" spans="1:17" x14ac:dyDescent="0.3">
      <c r="A71" s="6">
        <v>70</v>
      </c>
      <c r="B71" t="s">
        <v>135</v>
      </c>
      <c r="C71" s="1" t="s">
        <v>184</v>
      </c>
      <c r="D71" s="1"/>
      <c r="E71" s="1"/>
      <c r="F71" s="1"/>
      <c r="G71" s="1"/>
      <c r="H71" s="1"/>
      <c r="J71" s="5">
        <v>65356</v>
      </c>
      <c r="K71" s="2" t="s">
        <v>100</v>
      </c>
      <c r="L71" s="2">
        <v>5</v>
      </c>
      <c r="M71" s="2"/>
      <c r="N71" s="2"/>
      <c r="P71" t="s">
        <v>242</v>
      </c>
    </row>
    <row r="72" spans="1:17" ht="17.399999999999999" x14ac:dyDescent="0.3">
      <c r="A72" s="6">
        <v>71</v>
      </c>
      <c r="B72" t="s">
        <v>136</v>
      </c>
      <c r="C72" t="s">
        <v>185</v>
      </c>
      <c r="D72" s="13" t="str">
        <f t="shared" ref="D72:D79" si="31">LEFT(C72,(FIND(" ",C72)))</f>
        <v xml:space="preserve">बासुदेब </v>
      </c>
      <c r="E72" s="13" t="str">
        <f t="shared" ref="E72:E79" si="32">TRIM(RIGHT(SUBSTITUTE(C72," ",REPT(" ",255)),255))</f>
        <v>मल्ल</v>
      </c>
      <c r="F72" s="13"/>
      <c r="G72" s="13"/>
      <c r="H72" s="13"/>
      <c r="J72" s="5">
        <v>65350</v>
      </c>
      <c r="K72" s="2" t="s">
        <v>2</v>
      </c>
      <c r="L72" s="2">
        <v>3</v>
      </c>
      <c r="M72" s="2"/>
      <c r="N72" s="2"/>
      <c r="P72" t="s">
        <v>242</v>
      </c>
    </row>
    <row r="73" spans="1:17" ht="17.399999999999999" x14ac:dyDescent="0.3">
      <c r="A73" s="6">
        <v>72</v>
      </c>
      <c r="B73" t="s">
        <v>137</v>
      </c>
      <c r="C73" t="s">
        <v>186</v>
      </c>
      <c r="D73" s="13" t="str">
        <f t="shared" si="31"/>
        <v xml:space="preserve">हितेन्द्र </v>
      </c>
      <c r="E73" s="13" t="str">
        <f t="shared" si="32"/>
        <v>क्षेत्री</v>
      </c>
      <c r="F73" s="13"/>
      <c r="G73" s="13"/>
      <c r="H73" s="13"/>
      <c r="J73" s="5">
        <v>65328</v>
      </c>
      <c r="K73" s="2" t="s">
        <v>2</v>
      </c>
      <c r="L73" s="2">
        <v>5</v>
      </c>
      <c r="M73" s="2"/>
      <c r="N73" s="2"/>
      <c r="P73" t="s">
        <v>242</v>
      </c>
    </row>
    <row r="74" spans="1:17" ht="17.399999999999999" x14ac:dyDescent="0.3">
      <c r="A74" s="6">
        <v>73</v>
      </c>
      <c r="B74" t="s">
        <v>138</v>
      </c>
      <c r="C74" t="s">
        <v>187</v>
      </c>
      <c r="D74" s="13" t="str">
        <f t="shared" si="31"/>
        <v xml:space="preserve">दिब्या </v>
      </c>
      <c r="E74" s="13" t="str">
        <f t="shared" si="32"/>
        <v>गौतम</v>
      </c>
      <c r="F74" s="13"/>
      <c r="G74" s="13"/>
      <c r="H74" s="13"/>
      <c r="J74" s="5">
        <v>65306</v>
      </c>
      <c r="K74" s="2" t="s">
        <v>2</v>
      </c>
      <c r="L74" s="2">
        <v>5</v>
      </c>
      <c r="M74" s="2"/>
      <c r="N74" s="2"/>
      <c r="P74" t="s">
        <v>242</v>
      </c>
    </row>
    <row r="75" spans="1:17" ht="17.399999999999999" x14ac:dyDescent="0.3">
      <c r="A75" s="6">
        <v>74</v>
      </c>
      <c r="B75" t="s">
        <v>139</v>
      </c>
      <c r="C75" t="s">
        <v>188</v>
      </c>
      <c r="D75" s="13" t="str">
        <f t="shared" si="31"/>
        <v xml:space="preserve">यादव </v>
      </c>
      <c r="E75" s="13" t="str">
        <f t="shared" si="32"/>
        <v>बासकोटा</v>
      </c>
      <c r="F75" s="13"/>
      <c r="G75" s="13"/>
      <c r="H75" s="13"/>
      <c r="J75" s="5">
        <v>65304</v>
      </c>
      <c r="K75" s="2" t="s">
        <v>2</v>
      </c>
      <c r="L75" s="2">
        <v>2</v>
      </c>
      <c r="M75" s="2"/>
      <c r="N75" s="2"/>
      <c r="P75" t="s">
        <v>242</v>
      </c>
    </row>
    <row r="76" spans="1:17" ht="17.399999999999999" x14ac:dyDescent="0.3">
      <c r="A76" s="6">
        <v>75</v>
      </c>
      <c r="B76" t="s">
        <v>140</v>
      </c>
      <c r="C76" t="s">
        <v>189</v>
      </c>
      <c r="D76" s="13" t="str">
        <f t="shared" si="31"/>
        <v xml:space="preserve">जानकी </v>
      </c>
      <c r="E76" s="13" t="str">
        <f t="shared" si="32"/>
        <v>खड्का</v>
      </c>
      <c r="F76" s="13"/>
      <c r="G76" s="13"/>
      <c r="H76" s="13"/>
      <c r="J76" s="5">
        <v>65302</v>
      </c>
      <c r="K76" s="2" t="s">
        <v>2</v>
      </c>
      <c r="L76" s="2">
        <v>3</v>
      </c>
      <c r="M76" s="2"/>
      <c r="N76" s="2"/>
      <c r="P76" t="s">
        <v>242</v>
      </c>
    </row>
    <row r="77" spans="1:17" ht="17.399999999999999" x14ac:dyDescent="0.3">
      <c r="A77" s="6">
        <v>76</v>
      </c>
      <c r="B77" t="s">
        <v>141</v>
      </c>
      <c r="C77" s="1" t="s">
        <v>190</v>
      </c>
      <c r="D77" s="13" t="str">
        <f t="shared" si="31"/>
        <v xml:space="preserve">शिव </v>
      </c>
      <c r="E77" s="13" t="str">
        <f t="shared" si="32"/>
        <v>चुडाल</v>
      </c>
      <c r="F77" s="13"/>
      <c r="G77" s="13"/>
      <c r="H77" s="13"/>
      <c r="J77" s="5">
        <v>65291</v>
      </c>
      <c r="K77" s="2" t="s">
        <v>2</v>
      </c>
      <c r="L77" s="2">
        <v>5</v>
      </c>
      <c r="M77" s="2"/>
      <c r="N77" s="2"/>
      <c r="P77" t="s">
        <v>242</v>
      </c>
    </row>
    <row r="78" spans="1:17" ht="17.399999999999999" x14ac:dyDescent="0.3">
      <c r="A78" s="6">
        <v>77</v>
      </c>
      <c r="B78" t="s">
        <v>142</v>
      </c>
      <c r="C78" t="s">
        <v>191</v>
      </c>
      <c r="D78" s="13" t="str">
        <f t="shared" si="31"/>
        <v xml:space="preserve">निरु </v>
      </c>
      <c r="E78" s="13" t="str">
        <f t="shared" si="32"/>
        <v>विश्वकर्मा</v>
      </c>
      <c r="F78" s="13"/>
      <c r="G78" s="13"/>
      <c r="H78" s="13"/>
      <c r="J78" s="5">
        <v>65290</v>
      </c>
      <c r="K78" s="2" t="s">
        <v>2</v>
      </c>
      <c r="L78" s="2">
        <v>4</v>
      </c>
      <c r="M78" s="2"/>
      <c r="N78" s="2"/>
      <c r="P78" t="s">
        <v>242</v>
      </c>
    </row>
    <row r="79" spans="1:17" ht="17.399999999999999" x14ac:dyDescent="0.3">
      <c r="A79" s="6">
        <v>78</v>
      </c>
      <c r="B79" t="s">
        <v>143</v>
      </c>
      <c r="C79" t="s">
        <v>192</v>
      </c>
      <c r="D79" s="13" t="str">
        <f t="shared" si="31"/>
        <v xml:space="preserve">कुशल </v>
      </c>
      <c r="E79" s="13" t="str">
        <f t="shared" si="32"/>
        <v>धामी</v>
      </c>
      <c r="F79" s="13"/>
      <c r="G79" s="13"/>
      <c r="H79" s="13"/>
      <c r="J79" s="5">
        <v>65287</v>
      </c>
      <c r="K79" s="2" t="s">
        <v>2</v>
      </c>
      <c r="L79" s="2">
        <v>4</v>
      </c>
      <c r="M79" s="2"/>
      <c r="N79" s="2"/>
      <c r="P79" t="s">
        <v>242</v>
      </c>
    </row>
    <row r="80" spans="1:17" x14ac:dyDescent="0.3">
      <c r="A80" s="6">
        <v>79</v>
      </c>
      <c r="B80" t="s">
        <v>145</v>
      </c>
      <c r="C80" t="s">
        <v>193</v>
      </c>
      <c r="J80" s="5">
        <v>65265</v>
      </c>
      <c r="K80" s="2" t="s">
        <v>100</v>
      </c>
      <c r="L80" s="2">
        <v>5</v>
      </c>
      <c r="M80" s="2"/>
      <c r="N80" s="2"/>
      <c r="P80" t="s">
        <v>242</v>
      </c>
    </row>
    <row r="81" spans="1:16" x14ac:dyDescent="0.3">
      <c r="A81" s="6">
        <v>80</v>
      </c>
      <c r="B81" t="s">
        <v>144</v>
      </c>
      <c r="C81" t="s">
        <v>194</v>
      </c>
      <c r="J81" s="5">
        <v>65173</v>
      </c>
      <c r="K81" s="2" t="s">
        <v>100</v>
      </c>
      <c r="L81" s="2">
        <v>5</v>
      </c>
      <c r="M81" s="2"/>
      <c r="N81" s="2"/>
      <c r="P81" t="s">
        <v>242</v>
      </c>
    </row>
    <row r="82" spans="1:16" ht="17.399999999999999" x14ac:dyDescent="0.3">
      <c r="A82" s="6">
        <v>81</v>
      </c>
      <c r="B82" t="s">
        <v>146</v>
      </c>
      <c r="C82" t="s">
        <v>195</v>
      </c>
      <c r="D82" s="13" t="str">
        <f t="shared" ref="D82:D83" si="33">LEFT(C82,(FIND(" ",C82)))</f>
        <v xml:space="preserve">जीत </v>
      </c>
      <c r="E82" s="13" t="str">
        <f t="shared" ref="E82:E83" si="34">TRIM(RIGHT(SUBSTITUTE(C82," ",REPT(" ",255)),255))</f>
        <v>बुढथोकी</v>
      </c>
      <c r="F82" s="13"/>
      <c r="G82" s="13"/>
      <c r="H82" s="13"/>
      <c r="J82" s="5">
        <v>65146</v>
      </c>
      <c r="K82" s="2" t="s">
        <v>2</v>
      </c>
      <c r="L82" s="2">
        <v>5</v>
      </c>
      <c r="M82" s="2"/>
      <c r="N82" s="2"/>
      <c r="P82" t="s">
        <v>242</v>
      </c>
    </row>
    <row r="83" spans="1:16" ht="17.399999999999999" x14ac:dyDescent="0.3">
      <c r="A83" s="6">
        <v>82</v>
      </c>
      <c r="B83" t="s">
        <v>147</v>
      </c>
      <c r="C83" t="s">
        <v>196</v>
      </c>
      <c r="D83" s="13" t="str">
        <f t="shared" si="33"/>
        <v xml:space="preserve">शर्मिला </v>
      </c>
      <c r="E83" s="13" t="str">
        <f t="shared" si="34"/>
        <v>गौतम</v>
      </c>
      <c r="F83" s="13"/>
      <c r="G83" s="13"/>
      <c r="H83" s="13"/>
      <c r="J83" s="5">
        <v>64977</v>
      </c>
      <c r="K83" s="2" t="s">
        <v>2</v>
      </c>
      <c r="L83" s="2">
        <v>2</v>
      </c>
      <c r="M83" s="2"/>
      <c r="N83" s="2"/>
      <c r="P83" t="s">
        <v>242</v>
      </c>
    </row>
    <row r="84" spans="1:16" x14ac:dyDescent="0.3">
      <c r="A84" s="6">
        <v>83</v>
      </c>
      <c r="B84" t="s">
        <v>148</v>
      </c>
      <c r="C84" t="s">
        <v>197</v>
      </c>
      <c r="J84" s="5">
        <v>64935</v>
      </c>
      <c r="K84" s="2" t="s">
        <v>100</v>
      </c>
      <c r="L84" s="2">
        <v>4</v>
      </c>
      <c r="M84" s="2"/>
      <c r="N84" s="2"/>
      <c r="P84" t="s">
        <v>242</v>
      </c>
    </row>
    <row r="85" spans="1:16" ht="17.399999999999999" x14ac:dyDescent="0.3">
      <c r="A85" s="6">
        <v>84</v>
      </c>
      <c r="B85" t="s">
        <v>149</v>
      </c>
      <c r="C85" t="s">
        <v>198</v>
      </c>
      <c r="D85" s="13" t="str">
        <f t="shared" ref="D85" si="35">LEFT(C85,(FIND(" ",C85)))</f>
        <v xml:space="preserve">खड्ग </v>
      </c>
      <c r="E85" s="13" t="str">
        <f>TRIM(RIGHT(SUBSTITUTE(C85," ",REPT(" ",255)),255))</f>
        <v>श्रेष्ठ</v>
      </c>
      <c r="F85" s="13"/>
      <c r="G85" s="13"/>
      <c r="H85" s="13"/>
      <c r="J85" s="5">
        <v>64887</v>
      </c>
      <c r="K85" s="2" t="s">
        <v>2</v>
      </c>
      <c r="L85" s="2">
        <v>4</v>
      </c>
      <c r="M85" s="2"/>
      <c r="N85" s="2"/>
      <c r="P85" t="s">
        <v>242</v>
      </c>
    </row>
    <row r="86" spans="1:16" x14ac:dyDescent="0.3">
      <c r="A86" s="6">
        <v>85</v>
      </c>
      <c r="B86" t="s">
        <v>150</v>
      </c>
      <c r="C86" t="s">
        <v>199</v>
      </c>
      <c r="J86" s="5">
        <v>64813</v>
      </c>
      <c r="K86" s="2" t="s">
        <v>100</v>
      </c>
      <c r="L86" s="2">
        <v>4</v>
      </c>
      <c r="M86" s="2"/>
      <c r="N86" s="2"/>
      <c r="P86" t="s">
        <v>242</v>
      </c>
    </row>
    <row r="87" spans="1:16" ht="17.399999999999999" x14ac:dyDescent="0.3">
      <c r="A87" s="6">
        <v>86</v>
      </c>
      <c r="B87" t="s">
        <v>45</v>
      </c>
      <c r="C87" t="s">
        <v>93</v>
      </c>
      <c r="D87" s="13" t="str">
        <f t="shared" ref="D87:D89" si="36">LEFT(C87,(FIND(" ",C87)))</f>
        <v xml:space="preserve">अनिता </v>
      </c>
      <c r="E87" s="13" t="str">
        <f t="shared" ref="E87:E89" si="37">TRIM(RIGHT(SUBSTITUTE(C87," ",REPT(" ",255)),255))</f>
        <v>तामाङ</v>
      </c>
      <c r="F87" s="13"/>
      <c r="G87" s="13"/>
      <c r="H87" s="13"/>
      <c r="J87" s="5">
        <v>64618</v>
      </c>
      <c r="K87" s="2" t="s">
        <v>2</v>
      </c>
      <c r="L87" s="2">
        <v>4</v>
      </c>
      <c r="M87" s="2"/>
      <c r="N87" s="2"/>
      <c r="P87" t="s">
        <v>242</v>
      </c>
    </row>
    <row r="88" spans="1:16" ht="17.399999999999999" x14ac:dyDescent="0.3">
      <c r="A88" s="6">
        <v>87</v>
      </c>
      <c r="B88" t="s">
        <v>151</v>
      </c>
      <c r="C88" t="s">
        <v>200</v>
      </c>
      <c r="D88" s="13" t="str">
        <f t="shared" si="36"/>
        <v xml:space="preserve">पुनम </v>
      </c>
      <c r="E88" s="13" t="str">
        <f t="shared" si="37"/>
        <v>मिश्र</v>
      </c>
      <c r="F88" s="13"/>
      <c r="G88" s="13"/>
      <c r="H88" s="13"/>
      <c r="J88" s="5">
        <v>64618</v>
      </c>
      <c r="K88" s="2" t="s">
        <v>2</v>
      </c>
      <c r="L88" s="2">
        <v>1</v>
      </c>
      <c r="M88" s="2"/>
      <c r="N88" s="2"/>
      <c r="P88" t="s">
        <v>242</v>
      </c>
    </row>
    <row r="89" spans="1:16" ht="17.399999999999999" x14ac:dyDescent="0.3">
      <c r="A89" s="6">
        <v>88</v>
      </c>
      <c r="B89" t="s">
        <v>152</v>
      </c>
      <c r="C89" t="s">
        <v>201</v>
      </c>
      <c r="D89" s="13" t="str">
        <f t="shared" si="36"/>
        <v xml:space="preserve">केदार </v>
      </c>
      <c r="E89" s="13" t="str">
        <f t="shared" si="37"/>
        <v>थापा</v>
      </c>
      <c r="F89" s="13"/>
      <c r="G89" s="13"/>
      <c r="H89" s="13"/>
      <c r="J89" s="5">
        <v>64571</v>
      </c>
      <c r="K89" s="2" t="s">
        <v>2</v>
      </c>
      <c r="L89" s="2">
        <v>5</v>
      </c>
      <c r="M89" s="2"/>
      <c r="N89" s="2"/>
      <c r="P89" t="s">
        <v>242</v>
      </c>
    </row>
    <row r="90" spans="1:16" x14ac:dyDescent="0.3">
      <c r="A90" s="6">
        <v>89</v>
      </c>
      <c r="B90" t="s">
        <v>153</v>
      </c>
      <c r="C90" t="s">
        <v>202</v>
      </c>
      <c r="J90" s="5">
        <v>64532</v>
      </c>
      <c r="K90" s="2" t="s">
        <v>100</v>
      </c>
      <c r="L90" s="2">
        <v>4</v>
      </c>
      <c r="M90" s="2"/>
      <c r="N90" s="2"/>
      <c r="P90" t="s">
        <v>242</v>
      </c>
    </row>
    <row r="91" spans="1:16" ht="17.399999999999999" x14ac:dyDescent="0.3">
      <c r="A91" s="6">
        <v>90</v>
      </c>
      <c r="B91" t="s">
        <v>154</v>
      </c>
      <c r="C91" t="s">
        <v>203</v>
      </c>
      <c r="D91" s="13" t="str">
        <f t="shared" ref="D91:D96" si="38">LEFT(C91,(FIND(" ",C91)))</f>
        <v xml:space="preserve">पुरुषोत्तम </v>
      </c>
      <c r="E91" s="13" t="str">
        <f t="shared" ref="E91:E96" si="39">TRIM(RIGHT(SUBSTITUTE(C91," ",REPT(" ",255)),255))</f>
        <v>खड्का</v>
      </c>
      <c r="F91" s="13"/>
      <c r="G91" s="13"/>
      <c r="H91" s="13"/>
      <c r="J91" s="5">
        <v>64446</v>
      </c>
      <c r="K91" s="2" t="s">
        <v>2</v>
      </c>
      <c r="L91" s="2">
        <v>4</v>
      </c>
      <c r="M91" s="2"/>
      <c r="N91" s="2"/>
      <c r="P91" t="s">
        <v>242</v>
      </c>
    </row>
    <row r="92" spans="1:16" ht="17.399999999999999" x14ac:dyDescent="0.3">
      <c r="A92" s="6">
        <v>91</v>
      </c>
      <c r="B92" t="s">
        <v>155</v>
      </c>
      <c r="C92" t="s">
        <v>204</v>
      </c>
      <c r="D92" s="13" t="str">
        <f t="shared" si="38"/>
        <v xml:space="preserve">च्यामु </v>
      </c>
      <c r="E92" s="13" t="str">
        <f t="shared" si="39"/>
        <v>चौधरी</v>
      </c>
      <c r="F92" s="13"/>
      <c r="G92" s="13"/>
      <c r="H92" s="13"/>
      <c r="J92" s="5">
        <v>64444</v>
      </c>
      <c r="K92" s="2" t="s">
        <v>2</v>
      </c>
      <c r="L92" s="2">
        <v>4</v>
      </c>
      <c r="M92" s="2"/>
      <c r="N92" s="2"/>
      <c r="P92" t="s">
        <v>242</v>
      </c>
    </row>
    <row r="93" spans="1:16" ht="17.399999999999999" x14ac:dyDescent="0.3">
      <c r="A93" s="6">
        <v>92</v>
      </c>
      <c r="B93" t="s">
        <v>156</v>
      </c>
      <c r="C93" t="s">
        <v>205</v>
      </c>
      <c r="D93" s="13" t="str">
        <f t="shared" si="38"/>
        <v xml:space="preserve">डिल्ली </v>
      </c>
      <c r="E93" s="13" t="str">
        <f t="shared" si="39"/>
        <v>श्रेष्ठ</v>
      </c>
      <c r="F93" s="13"/>
      <c r="G93" s="13"/>
      <c r="H93" s="13"/>
      <c r="J93" s="5">
        <v>64424</v>
      </c>
      <c r="K93" s="2" t="s">
        <v>2</v>
      </c>
      <c r="L93" s="2">
        <v>4</v>
      </c>
      <c r="M93" s="2"/>
      <c r="N93" s="2"/>
      <c r="P93" t="s">
        <v>242</v>
      </c>
    </row>
    <row r="94" spans="1:16" ht="17.399999999999999" x14ac:dyDescent="0.3">
      <c r="A94" s="6">
        <v>93</v>
      </c>
      <c r="B94" t="s">
        <v>157</v>
      </c>
      <c r="C94" t="s">
        <v>206</v>
      </c>
      <c r="D94" s="13" t="str">
        <f t="shared" si="38"/>
        <v xml:space="preserve">यज्ञ </v>
      </c>
      <c r="E94" s="13" t="str">
        <f t="shared" si="39"/>
        <v>वराल</v>
      </c>
      <c r="F94" s="13"/>
      <c r="G94" s="13"/>
      <c r="H94" s="13"/>
      <c r="J94" s="5">
        <v>64395</v>
      </c>
      <c r="K94" s="2" t="s">
        <v>2</v>
      </c>
      <c r="L94" s="2">
        <v>2</v>
      </c>
      <c r="M94" s="2"/>
      <c r="N94" s="2"/>
      <c r="P94" t="s">
        <v>242</v>
      </c>
    </row>
    <row r="95" spans="1:16" ht="17.399999999999999" x14ac:dyDescent="0.3">
      <c r="A95" s="6">
        <v>94</v>
      </c>
      <c r="B95" t="s">
        <v>158</v>
      </c>
      <c r="C95" t="s">
        <v>207</v>
      </c>
      <c r="D95" s="13" t="str">
        <f t="shared" si="38"/>
        <v xml:space="preserve">सोम </v>
      </c>
      <c r="E95" s="13" t="str">
        <f t="shared" si="39"/>
        <v>राई</v>
      </c>
      <c r="F95" s="13"/>
      <c r="G95" s="13"/>
      <c r="H95" s="13"/>
      <c r="J95" s="5">
        <v>64320</v>
      </c>
      <c r="K95" s="2" t="s">
        <v>2</v>
      </c>
      <c r="L95" s="2">
        <v>4</v>
      </c>
      <c r="M95" s="2"/>
      <c r="N95" s="2"/>
      <c r="P95" t="s">
        <v>242</v>
      </c>
    </row>
    <row r="96" spans="1:16" ht="17.399999999999999" x14ac:dyDescent="0.3">
      <c r="A96" s="6">
        <v>95</v>
      </c>
      <c r="B96" t="s">
        <v>159</v>
      </c>
      <c r="C96" t="s">
        <v>208</v>
      </c>
      <c r="D96" s="13" t="str">
        <f t="shared" si="38"/>
        <v xml:space="preserve">रामलाल </v>
      </c>
      <c r="E96" s="13" t="str">
        <f t="shared" si="39"/>
        <v>घिमिरे</v>
      </c>
      <c r="F96" s="13"/>
      <c r="G96" s="13"/>
      <c r="H96" s="13"/>
      <c r="J96" s="5">
        <v>64167</v>
      </c>
      <c r="K96" s="2" t="s">
        <v>2</v>
      </c>
      <c r="L96" s="2">
        <v>2</v>
      </c>
      <c r="M96" s="2"/>
      <c r="N96" s="2"/>
      <c r="P96" t="s">
        <v>242</v>
      </c>
    </row>
    <row r="97" spans="1:16" x14ac:dyDescent="0.3">
      <c r="A97" s="6">
        <v>96</v>
      </c>
      <c r="B97" t="s">
        <v>160</v>
      </c>
      <c r="C97" t="s">
        <v>209</v>
      </c>
      <c r="J97" s="5">
        <v>64166</v>
      </c>
      <c r="K97" s="2" t="s">
        <v>100</v>
      </c>
      <c r="L97" s="2">
        <v>5</v>
      </c>
      <c r="M97" s="2"/>
      <c r="N97" s="2"/>
      <c r="P97" t="s">
        <v>242</v>
      </c>
    </row>
    <row r="98" spans="1:16" ht="17.399999999999999" x14ac:dyDescent="0.3">
      <c r="A98" s="6">
        <v>97</v>
      </c>
      <c r="B98" t="s">
        <v>161</v>
      </c>
      <c r="C98" t="s">
        <v>210</v>
      </c>
      <c r="D98" s="13" t="str">
        <f t="shared" ref="D98" si="40">LEFT(C98,(FIND(" ",C98)))</f>
        <v xml:space="preserve">छेत्र </v>
      </c>
      <c r="E98" s="13" t="str">
        <f>TRIM(RIGHT(SUBSTITUTE(C98," ",REPT(" ",255)),255))</f>
        <v>श्रेष्ठ</v>
      </c>
      <c r="F98" s="13"/>
      <c r="G98" s="13"/>
      <c r="H98" s="13"/>
      <c r="J98" s="5">
        <v>64099</v>
      </c>
      <c r="K98" s="2" t="s">
        <v>2</v>
      </c>
      <c r="L98" s="2">
        <v>5</v>
      </c>
      <c r="M98" s="2"/>
      <c r="N98" s="2"/>
      <c r="P98" t="s">
        <v>242</v>
      </c>
    </row>
    <row r="99" spans="1:16" x14ac:dyDescent="0.3">
      <c r="A99" s="6">
        <v>98</v>
      </c>
      <c r="B99" t="s">
        <v>162</v>
      </c>
      <c r="C99" t="s">
        <v>211</v>
      </c>
      <c r="J99" s="5">
        <v>64032</v>
      </c>
      <c r="K99" s="2" t="s">
        <v>100</v>
      </c>
      <c r="L99" s="2">
        <v>5</v>
      </c>
      <c r="M99" s="2"/>
      <c r="N99" s="2"/>
      <c r="P99" t="s">
        <v>242</v>
      </c>
    </row>
    <row r="100" spans="1:16" ht="17.399999999999999" x14ac:dyDescent="0.3">
      <c r="A100" s="6">
        <v>99</v>
      </c>
      <c r="B100" t="s">
        <v>163</v>
      </c>
      <c r="C100" t="s">
        <v>212</v>
      </c>
      <c r="D100" s="13" t="str">
        <f t="shared" ref="D100:D111" si="41">LEFT(C100,(FIND(" ",C100)))</f>
        <v xml:space="preserve">केशव </v>
      </c>
      <c r="E100" s="13" t="str">
        <f t="shared" ref="E100:E111" si="42">TRIM(RIGHT(SUBSTITUTE(C100," ",REPT(" ",255)),255))</f>
        <v>श्रेष्ठ</v>
      </c>
      <c r="F100" s="13"/>
      <c r="G100" s="13"/>
      <c r="H100" s="13"/>
      <c r="J100" s="5">
        <v>63997</v>
      </c>
      <c r="K100" s="2" t="s">
        <v>2</v>
      </c>
      <c r="L100" s="2">
        <v>4</v>
      </c>
      <c r="M100" s="2"/>
      <c r="N100" s="2"/>
      <c r="P100" t="s">
        <v>242</v>
      </c>
    </row>
    <row r="101" spans="1:16" ht="17.399999999999999" x14ac:dyDescent="0.3">
      <c r="A101" s="6">
        <v>100</v>
      </c>
      <c r="B101" t="s">
        <v>164</v>
      </c>
      <c r="C101" t="s">
        <v>213</v>
      </c>
      <c r="D101" s="13" t="str">
        <f t="shared" si="41"/>
        <v xml:space="preserve">गंगाराम </v>
      </c>
      <c r="E101" s="13" t="str">
        <f t="shared" si="42"/>
        <v>डंगोल</v>
      </c>
      <c r="F101" s="13"/>
      <c r="G101" s="13"/>
      <c r="H101" s="13"/>
      <c r="I101" t="s">
        <v>214</v>
      </c>
      <c r="J101" s="5">
        <v>63944</v>
      </c>
      <c r="K101" s="2" t="s">
        <v>2</v>
      </c>
      <c r="L101" s="2">
        <v>2</v>
      </c>
      <c r="M101" s="2"/>
      <c r="N101" s="2"/>
      <c r="P101" t="s">
        <v>242</v>
      </c>
    </row>
    <row r="102" spans="1:16" ht="17.399999999999999" x14ac:dyDescent="0.3">
      <c r="A102" s="6">
        <v>101</v>
      </c>
      <c r="B102" t="s">
        <v>216</v>
      </c>
      <c r="C102" t="s">
        <v>222</v>
      </c>
      <c r="D102" s="13" t="str">
        <f t="shared" si="41"/>
        <v xml:space="preserve">नरध्वज </v>
      </c>
      <c r="E102" s="13" t="str">
        <f t="shared" si="42"/>
        <v>थापा</v>
      </c>
      <c r="F102" s="13"/>
      <c r="G102" s="13"/>
      <c r="H102" s="13"/>
      <c r="I102" t="s">
        <v>230</v>
      </c>
      <c r="J102" s="5">
        <v>63928</v>
      </c>
      <c r="K102" s="2" t="s">
        <v>2</v>
      </c>
      <c r="L102" s="2">
        <v>4</v>
      </c>
      <c r="M102" s="2"/>
      <c r="N102" s="2"/>
      <c r="P102" t="s">
        <v>242</v>
      </c>
    </row>
    <row r="103" spans="1:16" ht="17.399999999999999" x14ac:dyDescent="0.3">
      <c r="A103" s="6">
        <v>102</v>
      </c>
      <c r="B103" t="s">
        <v>145</v>
      </c>
      <c r="C103" t="s">
        <v>193</v>
      </c>
      <c r="D103" s="13" t="str">
        <f t="shared" si="41"/>
        <v xml:space="preserve">कृष्ण </v>
      </c>
      <c r="E103" s="13" t="str">
        <f t="shared" si="42"/>
        <v>चम्लागाई</v>
      </c>
      <c r="F103" s="13"/>
      <c r="G103" s="13"/>
      <c r="H103" s="13"/>
      <c r="J103" s="5">
        <v>63834</v>
      </c>
      <c r="K103" s="2" t="s">
        <v>2</v>
      </c>
      <c r="L103" s="2">
        <v>4</v>
      </c>
      <c r="M103" s="2"/>
      <c r="N103" s="2"/>
      <c r="P103" t="s">
        <v>242</v>
      </c>
    </row>
    <row r="104" spans="1:16" ht="17.399999999999999" x14ac:dyDescent="0.3">
      <c r="A104" s="6">
        <v>103</v>
      </c>
      <c r="B104" t="s">
        <v>217</v>
      </c>
      <c r="C104" t="s">
        <v>223</v>
      </c>
      <c r="D104" s="13" t="str">
        <f t="shared" si="41"/>
        <v xml:space="preserve">राजेन्द्र </v>
      </c>
      <c r="E104" s="13" t="str">
        <f t="shared" si="42"/>
        <v>पोख्रेल</v>
      </c>
      <c r="F104" s="13"/>
      <c r="G104" s="13"/>
      <c r="H104" s="13"/>
      <c r="J104" s="5">
        <v>63817</v>
      </c>
      <c r="K104" s="2" t="s">
        <v>2</v>
      </c>
      <c r="L104" s="2">
        <v>3</v>
      </c>
      <c r="M104" s="2"/>
      <c r="N104" s="2"/>
      <c r="P104" t="s">
        <v>242</v>
      </c>
    </row>
    <row r="105" spans="1:16" ht="17.399999999999999" x14ac:dyDescent="0.3">
      <c r="A105" s="6">
        <v>104</v>
      </c>
      <c r="B105" t="s">
        <v>38</v>
      </c>
      <c r="C105" t="s">
        <v>86</v>
      </c>
      <c r="D105" s="13" t="str">
        <f t="shared" si="41"/>
        <v xml:space="preserve">कपिल </v>
      </c>
      <c r="E105" s="13" t="str">
        <f t="shared" si="42"/>
        <v>पौडेल</v>
      </c>
      <c r="F105" s="13"/>
      <c r="G105" s="13"/>
      <c r="H105" s="13"/>
      <c r="J105" s="5">
        <v>63725</v>
      </c>
      <c r="K105" s="2" t="s">
        <v>2</v>
      </c>
      <c r="L105" s="2">
        <v>5</v>
      </c>
      <c r="M105" s="2"/>
      <c r="N105" s="2"/>
      <c r="P105" t="s">
        <v>242</v>
      </c>
    </row>
    <row r="106" spans="1:16" ht="17.399999999999999" x14ac:dyDescent="0.3">
      <c r="A106" s="6">
        <v>105</v>
      </c>
      <c r="B106" t="s">
        <v>218</v>
      </c>
      <c r="C106" t="s">
        <v>224</v>
      </c>
      <c r="D106" s="13" t="str">
        <f t="shared" si="41"/>
        <v xml:space="preserve">लक्ष्मी </v>
      </c>
      <c r="E106" s="13" t="str">
        <f t="shared" si="42"/>
        <v>तिवारी</v>
      </c>
      <c r="F106" s="13"/>
      <c r="G106" s="13"/>
      <c r="H106" s="13"/>
      <c r="J106" s="5">
        <v>63683</v>
      </c>
      <c r="K106" s="2" t="s">
        <v>2</v>
      </c>
      <c r="L106" s="2">
        <v>3</v>
      </c>
      <c r="M106" s="2"/>
      <c r="N106" s="2"/>
      <c r="P106" t="s">
        <v>242</v>
      </c>
    </row>
    <row r="107" spans="1:16" ht="17.399999999999999" x14ac:dyDescent="0.3">
      <c r="A107" s="6">
        <v>106</v>
      </c>
      <c r="B107" t="s">
        <v>46</v>
      </c>
      <c r="C107" t="s">
        <v>94</v>
      </c>
      <c r="D107" s="13" t="str">
        <f t="shared" si="41"/>
        <v xml:space="preserve">रत्न </v>
      </c>
      <c r="E107" s="13" t="str">
        <f t="shared" si="42"/>
        <v>श्रेष्ठ</v>
      </c>
      <c r="F107" s="13"/>
      <c r="G107" s="13"/>
      <c r="H107" s="13"/>
      <c r="J107" s="5">
        <v>63673</v>
      </c>
      <c r="K107" s="2" t="s">
        <v>2</v>
      </c>
      <c r="L107" s="2">
        <v>5</v>
      </c>
      <c r="M107" s="2"/>
      <c r="N107" s="2"/>
      <c r="P107" t="s">
        <v>242</v>
      </c>
    </row>
    <row r="108" spans="1:16" ht="17.399999999999999" x14ac:dyDescent="0.3">
      <c r="A108" s="6">
        <v>107</v>
      </c>
      <c r="B108" t="s">
        <v>219</v>
      </c>
      <c r="C108" t="s">
        <v>225</v>
      </c>
      <c r="D108" s="13" t="str">
        <f t="shared" si="41"/>
        <v xml:space="preserve">जीब </v>
      </c>
      <c r="E108" s="13" t="str">
        <f t="shared" si="42"/>
        <v>दाहाल</v>
      </c>
      <c r="F108" s="13"/>
      <c r="G108" s="13"/>
      <c r="H108" s="13"/>
      <c r="J108" s="5">
        <v>63649</v>
      </c>
      <c r="K108" s="2" t="s">
        <v>2</v>
      </c>
      <c r="L108" s="2">
        <v>6</v>
      </c>
      <c r="M108" s="2"/>
      <c r="N108" s="2"/>
      <c r="P108" t="s">
        <v>242</v>
      </c>
    </row>
    <row r="109" spans="1:16" ht="17.399999999999999" x14ac:dyDescent="0.3">
      <c r="A109" s="6">
        <v>108</v>
      </c>
      <c r="B109" t="s">
        <v>148</v>
      </c>
      <c r="C109" t="s">
        <v>226</v>
      </c>
      <c r="D109" s="13" t="str">
        <f t="shared" si="41"/>
        <v xml:space="preserve">चन्द्र </v>
      </c>
      <c r="E109" s="13" t="str">
        <f t="shared" si="42"/>
        <v>बस्नेत</v>
      </c>
      <c r="F109" s="13"/>
      <c r="G109" s="13"/>
      <c r="H109" s="13"/>
      <c r="J109" s="5">
        <v>63601</v>
      </c>
      <c r="K109" s="2" t="s">
        <v>2</v>
      </c>
      <c r="L109" s="2">
        <v>4</v>
      </c>
      <c r="M109" s="2"/>
      <c r="N109" s="2"/>
      <c r="P109" t="s">
        <v>242</v>
      </c>
    </row>
    <row r="110" spans="1:16" ht="17.399999999999999" x14ac:dyDescent="0.3">
      <c r="A110" s="6">
        <v>109</v>
      </c>
      <c r="B110" t="s">
        <v>220</v>
      </c>
      <c r="C110" t="s">
        <v>227</v>
      </c>
      <c r="D110" s="13" t="str">
        <f t="shared" si="41"/>
        <v xml:space="preserve">चुडामणी </v>
      </c>
      <c r="E110" s="13" t="str">
        <f t="shared" si="42"/>
        <v>खनाल</v>
      </c>
      <c r="F110" s="13"/>
      <c r="G110" s="13"/>
      <c r="H110" s="13"/>
      <c r="J110" s="5">
        <v>63569</v>
      </c>
      <c r="K110" s="2" t="s">
        <v>2</v>
      </c>
      <c r="L110" s="2">
        <v>3</v>
      </c>
      <c r="M110" s="2"/>
      <c r="N110" s="2"/>
      <c r="P110" t="s">
        <v>242</v>
      </c>
    </row>
    <row r="111" spans="1:16" ht="17.399999999999999" x14ac:dyDescent="0.3">
      <c r="A111" s="6">
        <v>110</v>
      </c>
      <c r="B111" t="s">
        <v>221</v>
      </c>
      <c r="C111" t="s">
        <v>228</v>
      </c>
      <c r="D111" s="13" t="str">
        <f t="shared" si="41"/>
        <v xml:space="preserve">मुरारी </v>
      </c>
      <c r="E111" s="13" t="str">
        <f t="shared" si="42"/>
        <v>सुवेदी</v>
      </c>
      <c r="F111" s="13"/>
      <c r="G111" s="13"/>
      <c r="H111" s="13"/>
      <c r="I111" t="s">
        <v>229</v>
      </c>
      <c r="J111" s="5">
        <v>63566</v>
      </c>
      <c r="K111" s="2" t="s">
        <v>2</v>
      </c>
      <c r="L111" s="2">
        <v>4</v>
      </c>
      <c r="M111" s="2"/>
      <c r="N111" s="2"/>
      <c r="P111" t="s">
        <v>242</v>
      </c>
    </row>
  </sheetData>
  <sortState xmlns:xlrd2="http://schemas.microsoft.com/office/spreadsheetml/2017/richdata2" ref="A2:Q111">
    <sortCondition ref="A2:A111"/>
  </sortState>
  <dataValidations disablePrompts="1" count="1">
    <dataValidation type="list" allowBlank="1" showInputMessage="1" showErrorMessage="1" sqref="K2:K111" xr:uid="{00000000-0002-0000-0200-000000000000}">
      <formula1>$K$4:$K$23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1000000}">
          <x14:formula1>
            <xm:f>Reasons!$A$2:$A$7</xm:f>
          </x14:formula1>
          <xm:sqref>P2:P111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opLeftCell="A11" workbookViewId="0">
      <selection activeCell="A31" sqref="A31"/>
    </sheetView>
  </sheetViews>
  <sheetFormatPr defaultRowHeight="14.4" x14ac:dyDescent="0.3"/>
  <cols>
    <col min="1" max="1" width="18" customWidth="1"/>
    <col min="3" max="3" width="45.77734375" bestFit="1" customWidth="1"/>
  </cols>
  <sheetData>
    <row r="1" spans="1:7" x14ac:dyDescent="0.3">
      <c r="A1" s="8" t="s">
        <v>236</v>
      </c>
    </row>
    <row r="2" spans="1:7" x14ac:dyDescent="0.3">
      <c r="A2" s="9" t="s">
        <v>242</v>
      </c>
      <c r="C2" s="34" t="s">
        <v>949</v>
      </c>
      <c r="G2" s="34" t="s">
        <v>939</v>
      </c>
    </row>
    <row r="3" spans="1:7" x14ac:dyDescent="0.3">
      <c r="A3" s="9" t="s">
        <v>237</v>
      </c>
      <c r="C3" s="34" t="s">
        <v>950</v>
      </c>
      <c r="G3" s="34" t="s">
        <v>940</v>
      </c>
    </row>
    <row r="4" spans="1:7" x14ac:dyDescent="0.3">
      <c r="A4" t="s">
        <v>238</v>
      </c>
      <c r="C4" s="34" t="s">
        <v>951</v>
      </c>
      <c r="G4" s="34" t="s">
        <v>941</v>
      </c>
    </row>
    <row r="5" spans="1:7" x14ac:dyDescent="0.3">
      <c r="A5" t="s">
        <v>239</v>
      </c>
      <c r="C5" s="34" t="s">
        <v>942</v>
      </c>
      <c r="G5" s="34" t="s">
        <v>942</v>
      </c>
    </row>
    <row r="6" spans="1:7" x14ac:dyDescent="0.3">
      <c r="A6" t="s">
        <v>240</v>
      </c>
      <c r="C6" s="34" t="s">
        <v>943</v>
      </c>
      <c r="G6" s="34" t="s">
        <v>943</v>
      </c>
    </row>
    <row r="7" spans="1:7" x14ac:dyDescent="0.3">
      <c r="A7" t="s">
        <v>241</v>
      </c>
      <c r="C7" s="34" t="s">
        <v>944</v>
      </c>
      <c r="G7" s="34" t="s">
        <v>944</v>
      </c>
    </row>
    <row r="8" spans="1:7" x14ac:dyDescent="0.3">
      <c r="A8" t="s">
        <v>251</v>
      </c>
      <c r="C8" s="34" t="s">
        <v>945</v>
      </c>
      <c r="G8" s="34" t="s">
        <v>945</v>
      </c>
    </row>
    <row r="9" spans="1:7" x14ac:dyDescent="0.3">
      <c r="C9" s="34" t="s">
        <v>946</v>
      </c>
      <c r="G9" s="34" t="s">
        <v>946</v>
      </c>
    </row>
    <row r="10" spans="1:7" x14ac:dyDescent="0.3">
      <c r="C10" s="34" t="s">
        <v>947</v>
      </c>
      <c r="G10" s="34" t="s">
        <v>947</v>
      </c>
    </row>
    <row r="11" spans="1:7" x14ac:dyDescent="0.3">
      <c r="C11" s="34" t="s">
        <v>948</v>
      </c>
      <c r="G11" s="34" t="s">
        <v>948</v>
      </c>
    </row>
    <row r="14" spans="1:7" x14ac:dyDescent="0.3">
      <c r="A14" t="s">
        <v>961</v>
      </c>
      <c r="C14" s="43" t="s">
        <v>969</v>
      </c>
    </row>
    <row r="15" spans="1:7" x14ac:dyDescent="0.3">
      <c r="A15" t="s">
        <v>962</v>
      </c>
      <c r="C15" s="43" t="s">
        <v>970</v>
      </c>
    </row>
    <row r="16" spans="1:7" x14ac:dyDescent="0.3">
      <c r="A16" t="s">
        <v>963</v>
      </c>
      <c r="C16" s="43" t="s">
        <v>972</v>
      </c>
    </row>
    <row r="17" spans="1:3" x14ac:dyDescent="0.3">
      <c r="A17" t="s">
        <v>964</v>
      </c>
      <c r="C17" s="43" t="s">
        <v>971</v>
      </c>
    </row>
    <row r="18" spans="1:3" x14ac:dyDescent="0.3">
      <c r="A18" t="s">
        <v>965</v>
      </c>
      <c r="C18" s="43" t="s">
        <v>973</v>
      </c>
    </row>
    <row r="21" spans="1:3" x14ac:dyDescent="0.3">
      <c r="A21" t="s">
        <v>953</v>
      </c>
    </row>
    <row r="22" spans="1:3" x14ac:dyDescent="0.3">
      <c r="A22" t="s">
        <v>954</v>
      </c>
    </row>
    <row r="23" spans="1:3" x14ac:dyDescent="0.3">
      <c r="C23" t="s">
        <v>985</v>
      </c>
    </row>
    <row r="24" spans="1:3" x14ac:dyDescent="0.3">
      <c r="C24" t="s">
        <v>986</v>
      </c>
    </row>
    <row r="25" spans="1:3" x14ac:dyDescent="0.3">
      <c r="A25" t="s">
        <v>998</v>
      </c>
      <c r="C25" t="s">
        <v>987</v>
      </c>
    </row>
    <row r="26" spans="1:3" x14ac:dyDescent="0.3">
      <c r="A26" t="s">
        <v>999</v>
      </c>
      <c r="C26" t="s">
        <v>988</v>
      </c>
    </row>
    <row r="27" spans="1:3" x14ac:dyDescent="0.3">
      <c r="C27" t="s">
        <v>989</v>
      </c>
    </row>
    <row r="28" spans="1:3" x14ac:dyDescent="0.3">
      <c r="C28" t="s">
        <v>990</v>
      </c>
    </row>
    <row r="29" spans="1:3" x14ac:dyDescent="0.3">
      <c r="A29" t="s">
        <v>1000</v>
      </c>
    </row>
    <row r="30" spans="1:3" x14ac:dyDescent="0.3">
      <c r="A30" t="s">
        <v>1001</v>
      </c>
    </row>
    <row r="31" spans="1:3" x14ac:dyDescent="0.3">
      <c r="A31" t="s">
        <v>1003</v>
      </c>
      <c r="C31" s="34" t="s">
        <v>944</v>
      </c>
    </row>
    <row r="32" spans="1:3" x14ac:dyDescent="0.3">
      <c r="C32" s="34" t="s">
        <v>945</v>
      </c>
    </row>
    <row r="33" spans="3:3" x14ac:dyDescent="0.3">
      <c r="C33" s="34" t="s">
        <v>943</v>
      </c>
    </row>
    <row r="34" spans="3:3" x14ac:dyDescent="0.3">
      <c r="C34" s="34" t="s">
        <v>951</v>
      </c>
    </row>
    <row r="35" spans="3:3" x14ac:dyDescent="0.3">
      <c r="C35" s="34" t="s">
        <v>949</v>
      </c>
    </row>
    <row r="36" spans="3:3" x14ac:dyDescent="0.3">
      <c r="C36" s="34" t="s">
        <v>950</v>
      </c>
    </row>
    <row r="37" spans="3:3" x14ac:dyDescent="0.3">
      <c r="C37" t="s">
        <v>942</v>
      </c>
    </row>
    <row r="38" spans="3:3" x14ac:dyDescent="0.3">
      <c r="C38" t="s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49"/>
  <sheetViews>
    <sheetView topLeftCell="D1" zoomScale="120" zoomScaleNormal="120" workbookViewId="0">
      <selection activeCell="R1" sqref="R1:R1048576"/>
    </sheetView>
  </sheetViews>
  <sheetFormatPr defaultRowHeight="14.4" x14ac:dyDescent="0.3"/>
  <cols>
    <col min="1" max="1" width="5.109375" style="4" bestFit="1" customWidth="1"/>
    <col min="2" max="2" width="25.6640625" customWidth="1"/>
    <col min="3" max="3" width="25.33203125" bestFit="1" customWidth="1"/>
    <col min="4" max="4" width="10.5546875" customWidth="1"/>
    <col min="5" max="6" width="9" customWidth="1"/>
    <col min="7" max="7" width="25.44140625" customWidth="1"/>
    <col min="8" max="11" width="10.33203125" customWidth="1"/>
    <col min="12" max="12" width="11.5546875" customWidth="1"/>
    <col min="13" max="15" width="8.5546875" hidden="1" customWidth="1"/>
    <col min="16" max="16" width="6.5546875" hidden="1" customWidth="1"/>
    <col min="17" max="17" width="17.6640625" bestFit="1" customWidth="1"/>
    <col min="18" max="18" width="6.5546875" customWidth="1"/>
    <col min="19" max="19" width="7.109375" customWidth="1"/>
    <col min="20" max="20" width="5.44140625" customWidth="1"/>
    <col min="21" max="21" width="6" customWidth="1"/>
    <col min="22" max="22" width="5.88671875" customWidth="1"/>
    <col min="23" max="24" width="11.5546875" customWidth="1"/>
    <col min="25" max="25" width="18" customWidth="1"/>
    <col min="26" max="26" width="11.5546875" customWidth="1"/>
    <col min="27" max="27" width="17.6640625" style="2" customWidth="1"/>
    <col min="28" max="28" width="5.44140625" style="2" customWidth="1"/>
    <col min="29" max="29" width="5.5546875" style="2" customWidth="1"/>
    <col min="30" max="30" width="7.5546875" style="2" customWidth="1"/>
    <col min="31" max="31" width="14.88671875" customWidth="1"/>
    <col min="32" max="32" width="33.109375" bestFit="1" customWidth="1"/>
    <col min="33" max="33" width="19.5546875" bestFit="1" customWidth="1"/>
  </cols>
  <sheetData>
    <row r="1" spans="1:33" ht="15" customHeight="1" x14ac:dyDescent="0.3">
      <c r="A1" s="56" t="s">
        <v>103</v>
      </c>
      <c r="B1" s="7" t="s">
        <v>102</v>
      </c>
      <c r="C1" s="56" t="s">
        <v>104</v>
      </c>
      <c r="D1" s="56" t="s">
        <v>735</v>
      </c>
      <c r="E1" s="56" t="s">
        <v>736</v>
      </c>
      <c r="F1" s="56" t="s">
        <v>904</v>
      </c>
      <c r="G1" s="52" t="s">
        <v>246</v>
      </c>
      <c r="H1" s="58" t="s">
        <v>755</v>
      </c>
      <c r="I1" s="58" t="s">
        <v>758</v>
      </c>
      <c r="J1" s="58" t="s">
        <v>908</v>
      </c>
      <c r="K1" s="58" t="s">
        <v>909</v>
      </c>
      <c r="L1" s="63" t="s">
        <v>733</v>
      </c>
      <c r="M1" s="63" t="s">
        <v>935</v>
      </c>
      <c r="N1" s="65" t="s">
        <v>936</v>
      </c>
      <c r="O1" s="65" t="s">
        <v>937</v>
      </c>
      <c r="P1" s="63"/>
      <c r="Q1" s="58" t="s">
        <v>966</v>
      </c>
      <c r="R1" s="39"/>
      <c r="S1" s="60" t="s">
        <v>743</v>
      </c>
      <c r="T1" s="61"/>
      <c r="U1" s="61"/>
      <c r="V1" s="62"/>
      <c r="W1" s="63" t="s">
        <v>342</v>
      </c>
      <c r="X1" s="63" t="s">
        <v>732</v>
      </c>
      <c r="Y1" s="56" t="s">
        <v>106</v>
      </c>
      <c r="Z1" s="56" t="s">
        <v>107</v>
      </c>
      <c r="AA1" s="56" t="s">
        <v>101</v>
      </c>
      <c r="AB1" s="48" t="s">
        <v>105</v>
      </c>
      <c r="AC1" s="49"/>
      <c r="AD1" s="50"/>
      <c r="AE1" s="51" t="s">
        <v>236</v>
      </c>
      <c r="AF1" s="53" t="s">
        <v>243</v>
      </c>
      <c r="AG1" s="55" t="s">
        <v>247</v>
      </c>
    </row>
    <row r="2" spans="1:33" x14ac:dyDescent="0.3">
      <c r="A2" s="57"/>
      <c r="B2" s="7"/>
      <c r="C2" s="57"/>
      <c r="D2" s="57"/>
      <c r="E2" s="57"/>
      <c r="F2" s="57"/>
      <c r="G2" s="52"/>
      <c r="H2" s="59"/>
      <c r="I2" s="59"/>
      <c r="J2" s="59"/>
      <c r="K2" s="59"/>
      <c r="L2" s="64"/>
      <c r="M2" s="64"/>
      <c r="N2" s="66"/>
      <c r="O2" s="66"/>
      <c r="P2" s="64"/>
      <c r="Q2" s="59"/>
      <c r="R2" s="38"/>
      <c r="S2" s="18" t="s">
        <v>744</v>
      </c>
      <c r="T2" s="17" t="s">
        <v>745</v>
      </c>
      <c r="U2" s="17" t="s">
        <v>746</v>
      </c>
      <c r="V2" s="17" t="s">
        <v>747</v>
      </c>
      <c r="W2" s="64"/>
      <c r="X2" s="64"/>
      <c r="Y2" s="57"/>
      <c r="Z2" s="57"/>
      <c r="AA2" s="57"/>
      <c r="AB2" s="7" t="s">
        <v>232</v>
      </c>
      <c r="AC2" s="7" t="s">
        <v>233</v>
      </c>
      <c r="AD2" s="7" t="s">
        <v>234</v>
      </c>
      <c r="AE2" s="51"/>
      <c r="AF2" s="53"/>
      <c r="AG2" s="55"/>
    </row>
    <row r="3" spans="1:33" x14ac:dyDescent="0.3">
      <c r="B3" s="4"/>
      <c r="C3" s="4"/>
      <c r="D3" s="4"/>
      <c r="E3" s="4"/>
      <c r="F3" s="4"/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1"/>
      <c r="AB3" s="11"/>
      <c r="AC3" s="11"/>
      <c r="AD3" s="11"/>
      <c r="AE3" s="12"/>
      <c r="AF3" s="10"/>
    </row>
    <row r="4" spans="1:33" ht="18" x14ac:dyDescent="0.35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t="s">
        <v>339</v>
      </c>
      <c r="H4" s="21" t="s">
        <v>756</v>
      </c>
      <c r="I4" s="21" t="s">
        <v>905</v>
      </c>
      <c r="J4" s="21">
        <f t="shared" ref="J4:J33" si="1">IF(L4&gt;=5,(COUNTIFS($I$4:$I$348,I4,$F$4:$F$348,F4)))</f>
        <v>164</v>
      </c>
      <c r="K4" s="21" cm="1">
        <f t="array" ref="K4:K8">_xlfn.UNIQUE($J$4:$J$348)</f>
        <v>164</v>
      </c>
      <c r="L4" s="15">
        <f t="shared" ref="L4:L70" si="2">(X4-W4)/365</f>
        <v>42.989041095890414</v>
      </c>
      <c r="M4" t="s">
        <v>921</v>
      </c>
      <c r="N4" s="15">
        <f>COUNTIFS($L$4:$L$348,"&gt;=0",$L$4:$L$348,"&lt;5",$F$4:$F$348,"Male")</f>
        <v>6</v>
      </c>
      <c r="O4" s="15">
        <f>COUNTIFS($L$4:$L$348,"&gt;=0",$L$4:$L$348,"&lt;5",$F$4:$F$348,"Female")</f>
        <v>4</v>
      </c>
      <c r="P4" s="15">
        <f>COUNTIFS(L4:L348,"&gt;=0",L4:L348,"&lt;5")</f>
        <v>10</v>
      </c>
      <c r="Q4" s="15" t="s">
        <v>962</v>
      </c>
      <c r="R4" s="15"/>
      <c r="S4">
        <v>0</v>
      </c>
      <c r="T4" s="16">
        <f>2+1</f>
        <v>3</v>
      </c>
      <c r="U4" s="16">
        <f>3+3</f>
        <v>6</v>
      </c>
      <c r="V4" s="16">
        <v>1</v>
      </c>
      <c r="W4" s="5">
        <v>51266</v>
      </c>
      <c r="X4" s="5">
        <v>66957</v>
      </c>
      <c r="Y4" t="s">
        <v>1</v>
      </c>
      <c r="Z4" s="5">
        <v>66897</v>
      </c>
      <c r="AA4" s="2" t="s">
        <v>2</v>
      </c>
      <c r="AB4" s="3">
        <v>4</v>
      </c>
      <c r="AC4" s="3">
        <v>3</v>
      </c>
      <c r="AD4" s="3">
        <v>1</v>
      </c>
      <c r="AE4" t="s">
        <v>242</v>
      </c>
      <c r="AF4" t="s">
        <v>245</v>
      </c>
      <c r="AG4" s="13"/>
    </row>
    <row r="5" spans="1:33" ht="18" x14ac:dyDescent="0.35">
      <c r="A5" s="6"/>
      <c r="C5" s="13" t="s">
        <v>343</v>
      </c>
      <c r="D5" s="13" t="str">
        <f t="shared" si="0"/>
        <v xml:space="preserve">ejfgL </v>
      </c>
      <c r="E5" s="13" t="str">
        <f t="shared" ref="E5:E71" si="3">TRIM(RIGHT(SUBSTITUTE(C5," ",REPT(" ",255)),255))</f>
        <v>nfdf</v>
      </c>
      <c r="F5" s="21" t="s">
        <v>234</v>
      </c>
      <c r="H5" s="21" t="s">
        <v>756</v>
      </c>
      <c r="I5" s="21" t="s">
        <v>906</v>
      </c>
      <c r="J5" s="21">
        <f t="shared" si="1"/>
        <v>53</v>
      </c>
      <c r="K5" s="21">
        <v>53</v>
      </c>
      <c r="L5" s="15">
        <f t="shared" si="2"/>
        <v>39.147945205479452</v>
      </c>
      <c r="M5" s="27" t="s">
        <v>922</v>
      </c>
      <c r="N5" s="15">
        <f>COUNTIFS($L$4:$L$348,"&gt;=5",$L$4:$L$348,"&lt;10",$F$4:$F$348,"Male")</f>
        <v>7</v>
      </c>
      <c r="O5" s="15">
        <f>COUNTIFS($L$4:$L$348,"&gt;=5",$L$4:$L$348,"&lt;10",$F$4:$F$348,"Female")</f>
        <v>4</v>
      </c>
      <c r="P5" s="15">
        <f>COUNTIFS(L4:L348,"&gt;=5",L4:L348,"&lt;10")</f>
        <v>11</v>
      </c>
      <c r="Q5" s="15"/>
      <c r="R5" s="15"/>
      <c r="S5" s="16"/>
      <c r="T5" s="16"/>
      <c r="U5" s="16"/>
      <c r="V5" s="16"/>
      <c r="W5" s="5">
        <v>52668</v>
      </c>
      <c r="X5" s="5">
        <v>66957</v>
      </c>
      <c r="Z5" s="5"/>
      <c r="AB5" s="3"/>
      <c r="AC5" s="3"/>
      <c r="AD5" s="3"/>
    </row>
    <row r="6" spans="1:33" ht="18" x14ac:dyDescent="0.35">
      <c r="A6" s="6"/>
      <c r="C6" s="13" t="s">
        <v>344</v>
      </c>
      <c r="D6" s="13" t="str">
        <f t="shared" si="0"/>
        <v xml:space="preserve">k|uNe </v>
      </c>
      <c r="E6" s="13" t="str">
        <f t="shared" si="3"/>
        <v>sfsL{</v>
      </c>
      <c r="F6" s="21" t="s">
        <v>233</v>
      </c>
      <c r="H6" s="21" t="s">
        <v>757</v>
      </c>
      <c r="I6" s="21" t="s">
        <v>905</v>
      </c>
      <c r="J6" s="21">
        <f t="shared" si="1"/>
        <v>164</v>
      </c>
      <c r="K6" s="21" t="b">
        <v>0</v>
      </c>
      <c r="L6" s="15">
        <f t="shared" si="2"/>
        <v>16.443835616438356</v>
      </c>
      <c r="M6" s="27" t="s">
        <v>923</v>
      </c>
      <c r="N6" s="15">
        <f>COUNTIFS($L$4:$L$348,"&gt;=10",$L$4:$L$348,"&lt;15",$F$4:$F$348,"Male")</f>
        <v>14</v>
      </c>
      <c r="O6" s="15">
        <f>COUNTIFS($L$4:$L$348,"&gt;=10",$L$4:$L$348,"&lt;15",$F$4:$F$348,"Female")</f>
        <v>11</v>
      </c>
      <c r="P6" s="15">
        <f>COUNTIFS(L4:L348,"&gt;=10",L4:L348,"&lt;15")</f>
        <v>25</v>
      </c>
      <c r="Q6" s="15"/>
      <c r="R6" s="15"/>
      <c r="S6" s="16"/>
      <c r="T6" s="16"/>
      <c r="U6" s="16"/>
      <c r="V6" s="16"/>
      <c r="W6" s="5">
        <v>60955</v>
      </c>
      <c r="X6" s="5">
        <v>66957</v>
      </c>
      <c r="Z6" s="5"/>
      <c r="AB6" s="3"/>
      <c r="AC6" s="3"/>
      <c r="AD6" s="3"/>
    </row>
    <row r="7" spans="1:33" ht="18" x14ac:dyDescent="0.35">
      <c r="A7" s="6"/>
      <c r="C7" s="13" t="s">
        <v>345</v>
      </c>
      <c r="D7" s="13" t="str">
        <f t="shared" si="0"/>
        <v xml:space="preserve">cEo'bo </v>
      </c>
      <c r="E7" s="13" t="str">
        <f t="shared" si="3"/>
        <v>sfsL{</v>
      </c>
      <c r="F7" s="21" t="s">
        <v>233</v>
      </c>
      <c r="H7" s="21" t="s">
        <v>757</v>
      </c>
      <c r="I7" s="21" t="s">
        <v>748</v>
      </c>
      <c r="J7" s="21" t="b">
        <f t="shared" si="1"/>
        <v>0</v>
      </c>
      <c r="K7" s="21">
        <v>107</v>
      </c>
      <c r="L7" s="15">
        <f t="shared" si="2"/>
        <v>3.0246575342465754</v>
      </c>
      <c r="M7" s="27" t="s">
        <v>924</v>
      </c>
      <c r="N7" s="15">
        <f>COUNTIFS($L$4:$L$348,"&gt;=15",$L$4:$L$348,"&lt;20",$F$4:$F$348,"Male")</f>
        <v>7</v>
      </c>
      <c r="O7" s="15">
        <f>COUNTIFS($L$4:$L$348,"&gt;=15",$L$4:$L$348,"&lt;20",$F$4:$F$348,"Female")</f>
        <v>10</v>
      </c>
      <c r="P7" s="15">
        <f>COUNTIFS(L4:L348,"&gt;=15",L4:L348,"&lt;20")</f>
        <v>17</v>
      </c>
      <c r="Q7" s="15"/>
      <c r="R7" s="15"/>
      <c r="S7" s="16"/>
      <c r="T7" s="16"/>
      <c r="U7" s="16"/>
      <c r="V7" s="16"/>
      <c r="W7" s="5">
        <v>65853</v>
      </c>
      <c r="X7" s="5">
        <v>66957</v>
      </c>
      <c r="Z7" s="5"/>
      <c r="AB7" s="3"/>
      <c r="AC7" s="3"/>
      <c r="AD7" s="3"/>
    </row>
    <row r="8" spans="1:33" ht="18" x14ac:dyDescent="0.35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3"/>
        <v>e§/fO{</v>
      </c>
      <c r="F8" s="21" t="s">
        <v>233</v>
      </c>
      <c r="G8" t="s">
        <v>332</v>
      </c>
      <c r="H8" s="21" t="s">
        <v>756</v>
      </c>
      <c r="I8" s="21" t="s">
        <v>905</v>
      </c>
      <c r="J8" s="21">
        <f t="shared" si="1"/>
        <v>164</v>
      </c>
      <c r="K8" s="21">
        <v>11</v>
      </c>
      <c r="L8" s="15">
        <f t="shared" si="2"/>
        <v>47.167123287671231</v>
      </c>
      <c r="M8" s="27" t="s">
        <v>925</v>
      </c>
      <c r="N8" s="15">
        <f>COUNTIFS($L$4:$L$348,"&gt;=20",$L$4:$L$348,"&lt;25",$F$4:$F$348,"Male")</f>
        <v>20</v>
      </c>
      <c r="O8" s="15">
        <f>COUNTIFS($L$4:$L$348,"&gt;=20",$L$4:$L$348,"&lt;25",$F$4:$F$348,"Female")</f>
        <v>13</v>
      </c>
      <c r="P8" s="15">
        <f>COUNTIFS(L4:L348,"&gt;=20",L4:L348,"&lt;25")</f>
        <v>33</v>
      </c>
      <c r="Q8" s="15" t="s">
        <v>962</v>
      </c>
      <c r="R8" s="15"/>
      <c r="S8" s="16">
        <v>0</v>
      </c>
      <c r="T8" s="16">
        <f>1+3</f>
        <v>4</v>
      </c>
      <c r="U8" s="16">
        <v>0</v>
      </c>
      <c r="V8" s="16">
        <v>0</v>
      </c>
      <c r="W8" s="5">
        <v>49741</v>
      </c>
      <c r="X8" s="5">
        <v>66957</v>
      </c>
      <c r="Y8" t="s">
        <v>4</v>
      </c>
      <c r="Z8" s="5">
        <v>66890</v>
      </c>
      <c r="AA8" s="2" t="s">
        <v>2</v>
      </c>
      <c r="AB8" s="2">
        <v>4</v>
      </c>
      <c r="AC8" s="2">
        <v>2</v>
      </c>
      <c r="AD8" s="2">
        <v>2</v>
      </c>
      <c r="AE8" t="s">
        <v>242</v>
      </c>
      <c r="AF8" t="s">
        <v>245</v>
      </c>
      <c r="AG8" s="13" t="str">
        <f>C8</f>
        <v>lbks axfb'/ e§/fO{</v>
      </c>
    </row>
    <row r="9" spans="1:33" ht="18" x14ac:dyDescent="0.35">
      <c r="A9" s="6"/>
      <c r="C9" s="13" t="s">
        <v>346</v>
      </c>
      <c r="D9" s="13" t="str">
        <f t="shared" si="0"/>
        <v xml:space="preserve">pld{nf </v>
      </c>
      <c r="E9" s="13" t="str">
        <f t="shared" si="3"/>
        <v>j:tL</v>
      </c>
      <c r="F9" s="21" t="s">
        <v>234</v>
      </c>
      <c r="H9" s="21" t="s">
        <v>756</v>
      </c>
      <c r="I9" s="21" t="s">
        <v>906</v>
      </c>
      <c r="J9" s="21">
        <f t="shared" si="1"/>
        <v>53</v>
      </c>
      <c r="K9" s="21"/>
      <c r="L9" s="15">
        <f t="shared" si="2"/>
        <v>40.983561643835614</v>
      </c>
      <c r="M9" s="27" t="s">
        <v>926</v>
      </c>
      <c r="N9" s="15">
        <f>COUNTIFS($L$4:$L$348,"&gt;=25",$L$4:$L$348,"&lt;30",$F$4:$F$348,"Male")</f>
        <v>15</v>
      </c>
      <c r="O9" s="15">
        <f>COUNTIFS($L$4:$L$348,"&gt;=25",$L$4:$L$348,"&lt;30",$F$4:$F$348,"Female")</f>
        <v>15</v>
      </c>
      <c r="P9" s="15">
        <f>COUNTIFS(L4:L348,"&gt;=25",L4:L348,"&lt;30")</f>
        <v>30</v>
      </c>
      <c r="Q9" s="15"/>
      <c r="R9" s="15"/>
      <c r="S9" s="16"/>
      <c r="T9" s="16"/>
      <c r="U9" s="16"/>
      <c r="V9" s="16"/>
      <c r="W9" s="5">
        <v>51998</v>
      </c>
      <c r="X9" s="5">
        <v>66957</v>
      </c>
      <c r="Z9" s="5"/>
      <c r="AB9" s="3"/>
      <c r="AC9" s="3"/>
      <c r="AD9" s="3"/>
    </row>
    <row r="10" spans="1:33" ht="18" x14ac:dyDescent="0.35">
      <c r="A10" s="6"/>
      <c r="C10" s="13" t="s">
        <v>348</v>
      </c>
      <c r="D10" s="13" t="str">
        <f t="shared" si="0"/>
        <v xml:space="preserve">/Ltf </v>
      </c>
      <c r="E10" s="13" t="str">
        <f t="shared" si="3"/>
        <v>e§/fO{</v>
      </c>
      <c r="F10" s="21" t="s">
        <v>234</v>
      </c>
      <c r="H10" s="21" t="s">
        <v>757</v>
      </c>
      <c r="I10" s="21" t="s">
        <v>905</v>
      </c>
      <c r="J10" s="21">
        <f t="shared" si="1"/>
        <v>107</v>
      </c>
      <c r="K10" s="21"/>
      <c r="L10" s="15">
        <f t="shared" si="2"/>
        <v>17.117808219178084</v>
      </c>
      <c r="M10" s="27" t="s">
        <v>927</v>
      </c>
      <c r="N10" s="15">
        <f>COUNTIFS($L$4:$L$348,"&gt;=30",$L$4:$L$348,"&lt;35",$F$4:$F$348,"Male")</f>
        <v>19</v>
      </c>
      <c r="O10" s="15">
        <f>COUNTIFS($L$4:$L$348,"&gt;=30",$L$4:$L$348,"&lt;35",$F$4:$F$348,"Female")</f>
        <v>17</v>
      </c>
      <c r="P10" s="15">
        <f>COUNTIFS(L4:L348,"&gt;=30",L4:L348,"&lt;35")</f>
        <v>36</v>
      </c>
      <c r="Q10" s="15"/>
      <c r="R10" s="15"/>
      <c r="S10" s="16"/>
      <c r="T10" s="16"/>
      <c r="U10" s="16"/>
      <c r="V10" s="16"/>
      <c r="W10" s="5">
        <v>60709</v>
      </c>
      <c r="X10" s="5">
        <v>66957</v>
      </c>
      <c r="Z10" s="5"/>
      <c r="AB10" s="3"/>
      <c r="AC10" s="3"/>
      <c r="AD10" s="3"/>
    </row>
    <row r="11" spans="1:33" ht="18" x14ac:dyDescent="0.35">
      <c r="A11" s="6"/>
      <c r="C11" s="13" t="s">
        <v>345</v>
      </c>
      <c r="D11" s="13" t="str">
        <f t="shared" si="0"/>
        <v xml:space="preserve">cEo'bo </v>
      </c>
      <c r="E11" s="13" t="str">
        <f t="shared" si="3"/>
        <v>sfsL{</v>
      </c>
      <c r="F11" s="21" t="s">
        <v>233</v>
      </c>
      <c r="H11" s="21" t="s">
        <v>757</v>
      </c>
      <c r="I11" s="21" t="s">
        <v>905</v>
      </c>
      <c r="J11" s="21">
        <f t="shared" si="1"/>
        <v>164</v>
      </c>
      <c r="K11" s="21"/>
      <c r="L11" s="15">
        <f t="shared" si="2"/>
        <v>14.632876712328768</v>
      </c>
      <c r="M11" s="27" t="s">
        <v>928</v>
      </c>
      <c r="N11" s="15">
        <f>COUNTIFS($L$4:$L$348,"&gt;=35",$L$4:$L$348,"&lt;40",$F$4:$F$348,"Male")</f>
        <v>12</v>
      </c>
      <c r="O11" s="15">
        <f>COUNTIFS($L$4:$L$348,"&gt;=35",$L$4:$L$348,"&lt;40",$F$4:$F$348,"Female")</f>
        <v>17</v>
      </c>
      <c r="P11" s="15">
        <f>COUNTIFS(L4:L348,"&gt;=35",L4:L348,"&lt;40")</f>
        <v>29</v>
      </c>
      <c r="Q11" s="15"/>
      <c r="R11" s="15"/>
      <c r="S11" s="16"/>
      <c r="T11" s="16"/>
      <c r="U11" s="16"/>
      <c r="V11" s="16"/>
      <c r="W11" s="5">
        <v>61616</v>
      </c>
      <c r="X11" s="5">
        <v>66957</v>
      </c>
      <c r="Z11" s="5"/>
      <c r="AB11" s="3"/>
      <c r="AC11" s="3"/>
      <c r="AD11" s="3"/>
    </row>
    <row r="12" spans="1:33" ht="18" x14ac:dyDescent="0.35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3"/>
        <v>Kofs'/]n</v>
      </c>
      <c r="F12" s="21" t="s">
        <v>233</v>
      </c>
      <c r="G12" t="s">
        <v>338</v>
      </c>
      <c r="H12" s="21" t="s">
        <v>756</v>
      </c>
      <c r="I12" s="21" t="s">
        <v>905</v>
      </c>
      <c r="J12" s="21">
        <f t="shared" si="1"/>
        <v>164</v>
      </c>
      <c r="K12" s="21"/>
      <c r="L12" s="15">
        <f t="shared" si="2"/>
        <v>26.136986301369863</v>
      </c>
      <c r="M12" s="27" t="s">
        <v>929</v>
      </c>
      <c r="N12" s="15">
        <f>COUNTIFS($L$4:$L$348,"&gt;=40",$L$4:$L$348,"&lt;45",$F$4:$F$348,"Male")</f>
        <v>12</v>
      </c>
      <c r="O12" s="15">
        <f>COUNTIFS($L$4:$L$348,"&gt;=40",$L$4:$L$348,"&lt;45",$F$4:$F$348,"Female")</f>
        <v>21</v>
      </c>
      <c r="P12" s="15">
        <f>COUNTIFS(L4:L348,"&gt;=40",L4:L348,"&lt;45")</f>
        <v>33</v>
      </c>
      <c r="Q12" s="15" t="s">
        <v>964</v>
      </c>
      <c r="R12" s="15"/>
      <c r="S12" s="16">
        <v>0</v>
      </c>
      <c r="T12" s="16">
        <v>2</v>
      </c>
      <c r="U12" s="16">
        <v>3</v>
      </c>
      <c r="V12" s="16">
        <v>0</v>
      </c>
      <c r="W12" s="5">
        <v>57417</v>
      </c>
      <c r="X12" s="5">
        <v>66957</v>
      </c>
      <c r="Z12" s="5">
        <v>66876</v>
      </c>
      <c r="AA12" s="2" t="s">
        <v>2</v>
      </c>
      <c r="AB12" s="2">
        <v>5</v>
      </c>
      <c r="AC12" s="2">
        <v>3</v>
      </c>
      <c r="AD12" s="2">
        <v>2</v>
      </c>
      <c r="AE12" t="s">
        <v>242</v>
      </c>
      <c r="AF12" t="s">
        <v>245</v>
      </c>
      <c r="AG12" s="13" t="str">
        <f>C12</f>
        <v>s[i0f k|;fb Kofs'/]n</v>
      </c>
    </row>
    <row r="13" spans="1:33" ht="18" x14ac:dyDescent="0.35">
      <c r="A13" s="6"/>
      <c r="C13" s="13" t="s">
        <v>347</v>
      </c>
      <c r="D13" s="13" t="str">
        <f t="shared" si="0"/>
        <v xml:space="preserve">6'd </v>
      </c>
      <c r="E13" s="13" t="str">
        <f t="shared" si="3"/>
        <v>Kofs'/]n</v>
      </c>
      <c r="F13" s="21" t="s">
        <v>233</v>
      </c>
      <c r="H13" s="21" t="s">
        <v>756</v>
      </c>
      <c r="I13" s="21" t="s">
        <v>905</v>
      </c>
      <c r="J13" s="21">
        <f t="shared" si="1"/>
        <v>164</v>
      </c>
      <c r="K13" s="21"/>
      <c r="L13" s="15">
        <f t="shared" si="2"/>
        <v>68.216438356164389</v>
      </c>
      <c r="M13" s="27" t="s">
        <v>930</v>
      </c>
      <c r="N13" s="15">
        <f>COUNTIFS($L$4:$L$348,"&gt;=45",$L$4:$L$348,"&lt;50",$F$4:$F$348,"Male")</f>
        <v>19</v>
      </c>
      <c r="O13" s="15">
        <f>COUNTIFS($L$4:$L$348,"&gt;=45",$L$4:$L$348,"&lt;50",$F$4:$F$348,"Female")</f>
        <v>8</v>
      </c>
      <c r="P13" s="15">
        <f>COUNTIFS(L4:L348,"&gt;=45",L4:L348,"&lt;50")</f>
        <v>27</v>
      </c>
      <c r="Q13" s="15"/>
      <c r="R13" s="15"/>
      <c r="S13" s="16"/>
      <c r="T13" s="16"/>
      <c r="U13" s="16"/>
      <c r="V13" s="16"/>
      <c r="W13" s="5">
        <v>42058</v>
      </c>
      <c r="X13" s="5">
        <v>66957</v>
      </c>
      <c r="Z13" s="5"/>
      <c r="AB13" s="3"/>
      <c r="AC13" s="3"/>
      <c r="AD13" s="3"/>
    </row>
    <row r="14" spans="1:33" ht="18" x14ac:dyDescent="0.35">
      <c r="A14" s="6"/>
      <c r="C14" s="13" t="s">
        <v>349</v>
      </c>
      <c r="D14" s="13" t="str">
        <f t="shared" si="0"/>
        <v xml:space="preserve">l;h{gf </v>
      </c>
      <c r="E14" s="13" t="str">
        <f t="shared" si="3"/>
        <v>e§/fO{</v>
      </c>
      <c r="F14" s="21" t="s">
        <v>234</v>
      </c>
      <c r="H14" s="21" t="s">
        <v>756</v>
      </c>
      <c r="I14" s="21" t="s">
        <v>905</v>
      </c>
      <c r="J14" s="21">
        <f t="shared" si="1"/>
        <v>107</v>
      </c>
      <c r="K14" s="21"/>
      <c r="L14" s="15">
        <f t="shared" si="2"/>
        <v>26.186301369863013</v>
      </c>
      <c r="M14" s="27" t="s">
        <v>931</v>
      </c>
      <c r="N14" s="15">
        <f>COUNTIFS($L$4:$L$348,"&gt;=50",$L$4:$L$348,"&lt;55",$F$4:$F$348,"Male")</f>
        <v>12</v>
      </c>
      <c r="O14" s="15">
        <f>COUNTIFS($L$4:$L$348,"&gt;=50",$L$4:$L$348,"&lt;55",$F$4:$F$348,"Female")</f>
        <v>18</v>
      </c>
      <c r="P14" s="15">
        <f>COUNTIFS(L4:L348,"&gt;=50",L4:L348,"&lt;55")</f>
        <v>30</v>
      </c>
      <c r="Q14" s="15"/>
      <c r="R14" s="15"/>
      <c r="S14" s="16"/>
      <c r="T14" s="16"/>
      <c r="U14" s="16"/>
      <c r="V14" s="16"/>
      <c r="W14" s="5">
        <v>57399</v>
      </c>
      <c r="X14" s="5">
        <v>66957</v>
      </c>
      <c r="Z14" s="5"/>
      <c r="AB14" s="3"/>
      <c r="AC14" s="3"/>
      <c r="AD14" s="3"/>
    </row>
    <row r="15" spans="1:33" ht="18" x14ac:dyDescent="0.35">
      <c r="A15" s="6"/>
      <c r="C15" s="13" t="s">
        <v>350</v>
      </c>
      <c r="D15" s="13" t="str">
        <f t="shared" si="0"/>
        <v xml:space="preserve">;fljlq </v>
      </c>
      <c r="E15" s="13" t="str">
        <f t="shared" si="3"/>
        <v>Kofs'/]n</v>
      </c>
      <c r="F15" s="21" t="s">
        <v>234</v>
      </c>
      <c r="H15" s="21" t="s">
        <v>757</v>
      </c>
      <c r="I15" s="21" t="s">
        <v>748</v>
      </c>
      <c r="J15" s="21" t="b">
        <f t="shared" si="1"/>
        <v>0</v>
      </c>
      <c r="K15" s="21"/>
      <c r="L15" s="15">
        <f t="shared" si="2"/>
        <v>3.2273972602739724</v>
      </c>
      <c r="M15" s="15" t="s">
        <v>932</v>
      </c>
      <c r="N15" s="15">
        <f>COUNTIFS($L$4:$L$348,"&gt;=55",$L$4:$L$348,"&lt;60",$F$4:$F$348,"Male")</f>
        <v>16</v>
      </c>
      <c r="O15" s="15">
        <f>COUNTIFS($L$4:$L$348,"&gt;=55",$L$4:$L$348,"&lt;60",$F$4:$F$348,"Female")</f>
        <v>12</v>
      </c>
      <c r="P15" s="15">
        <f>COUNTIFS(L4:L348,"&gt;=55",L4:L348,"&lt;60")</f>
        <v>28</v>
      </c>
      <c r="Q15" s="15"/>
      <c r="R15" s="15"/>
      <c r="S15" s="16"/>
      <c r="T15" s="16"/>
      <c r="U15" s="16"/>
      <c r="V15" s="16"/>
      <c r="W15" s="5">
        <v>65779</v>
      </c>
      <c r="X15" s="5">
        <v>66957</v>
      </c>
      <c r="Z15" s="5"/>
      <c r="AB15" s="3"/>
      <c r="AC15" s="3"/>
      <c r="AD15" s="3"/>
    </row>
    <row r="16" spans="1:33" ht="18" x14ac:dyDescent="0.35">
      <c r="A16" s="6"/>
      <c r="C16" s="13" t="s">
        <v>351</v>
      </c>
      <c r="D16" s="13" t="str">
        <f t="shared" si="0"/>
        <v xml:space="preserve">s]zj </v>
      </c>
      <c r="E16" s="13" t="str">
        <f t="shared" si="3"/>
        <v>Kofs'/]n</v>
      </c>
      <c r="F16" s="21" t="s">
        <v>233</v>
      </c>
      <c r="H16" s="21" t="s">
        <v>757</v>
      </c>
      <c r="I16" s="21" t="s">
        <v>748</v>
      </c>
      <c r="J16" s="21" t="b">
        <f t="shared" si="1"/>
        <v>0</v>
      </c>
      <c r="K16" s="21"/>
      <c r="L16" s="15">
        <f t="shared" si="2"/>
        <v>0.34246575342465752</v>
      </c>
      <c r="M16" s="15" t="s">
        <v>933</v>
      </c>
      <c r="N16" s="15">
        <f>COUNTIFS($L$4:$L$348,"&gt;=60",$L$4:$L$348,"&lt;65",$F$4:$F$348,"Male")</f>
        <v>10</v>
      </c>
      <c r="O16" s="15">
        <f>COUNTIFS($L$4:$L$348,"&gt;=60",$L$4:$L$348,"&lt;65",$F$4:$F$348,"Female")</f>
        <v>3</v>
      </c>
      <c r="P16" s="15">
        <f>COUNTIFS(L4:L348,"&gt;=60",L4:L348,"&lt;65")</f>
        <v>13</v>
      </c>
      <c r="Q16" s="15"/>
      <c r="R16" s="15"/>
      <c r="S16" s="16"/>
      <c r="T16" s="16"/>
      <c r="U16" s="16"/>
      <c r="V16" s="16"/>
      <c r="W16" s="5">
        <v>66832</v>
      </c>
      <c r="X16" s="5">
        <v>66957</v>
      </c>
      <c r="Z16" s="5"/>
      <c r="AB16" s="3"/>
      <c r="AC16" s="3"/>
      <c r="AD16" s="3"/>
    </row>
    <row r="17" spans="1:33" ht="18" x14ac:dyDescent="0.35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3"/>
        <v>sfdL</v>
      </c>
      <c r="F17" s="21" t="s">
        <v>233</v>
      </c>
      <c r="G17" t="s">
        <v>337</v>
      </c>
      <c r="H17" s="21" t="s">
        <v>756</v>
      </c>
      <c r="I17" s="21" t="s">
        <v>905</v>
      </c>
      <c r="J17" s="21">
        <f t="shared" si="1"/>
        <v>164</v>
      </c>
      <c r="K17" s="21"/>
      <c r="L17" s="15">
        <f t="shared" si="2"/>
        <v>66.301369863013704</v>
      </c>
      <c r="M17" s="15" t="s">
        <v>934</v>
      </c>
      <c r="N17" s="15">
        <f>COUNTIFS($L$4:$L$348,"&gt;=65",$F$4:$F$348,"Male")</f>
        <v>12</v>
      </c>
      <c r="O17" s="15">
        <f>COUNTIFS($L$4:$L$348,"&gt;=65",$F$4:$F$348,"Female")</f>
        <v>11</v>
      </c>
      <c r="P17" s="15">
        <f>COUNTIFS(L4:L348,"&gt;=65")</f>
        <v>23</v>
      </c>
      <c r="Q17" s="15" t="s">
        <v>962</v>
      </c>
      <c r="R17" s="15"/>
      <c r="S17" s="16">
        <f>1+1+(3)</f>
        <v>5</v>
      </c>
      <c r="T17" s="16">
        <v>3</v>
      </c>
      <c r="U17" s="16">
        <f>2</f>
        <v>2</v>
      </c>
      <c r="V17" s="19">
        <f>3.99</f>
        <v>3.99</v>
      </c>
      <c r="W17" s="5">
        <v>42757</v>
      </c>
      <c r="X17" s="5">
        <v>66957</v>
      </c>
      <c r="Z17" s="5">
        <v>66828</v>
      </c>
      <c r="AA17" s="2" t="s">
        <v>2</v>
      </c>
      <c r="AB17" s="2">
        <v>2</v>
      </c>
      <c r="AC17" s="2">
        <v>1</v>
      </c>
      <c r="AD17" s="2">
        <v>1</v>
      </c>
      <c r="AE17" t="s">
        <v>242</v>
      </c>
      <c r="AF17" t="s">
        <v>245</v>
      </c>
      <c r="AG17" s="13" t="str">
        <f>C17</f>
        <v>7'nf] sfG5f] sfdL</v>
      </c>
    </row>
    <row r="18" spans="1:33" ht="18" x14ac:dyDescent="0.35">
      <c r="A18" s="6"/>
      <c r="C18" s="13" t="s">
        <v>356</v>
      </c>
      <c r="D18" s="13" t="str">
        <f t="shared" si="0"/>
        <v xml:space="preserve">k|d] </v>
      </c>
      <c r="E18" s="13" t="str">
        <f t="shared" si="3"/>
        <v>sldgL</v>
      </c>
      <c r="F18" s="21" t="s">
        <v>234</v>
      </c>
      <c r="H18" s="21" t="s">
        <v>756</v>
      </c>
      <c r="I18" s="21" t="s">
        <v>906</v>
      </c>
      <c r="J18" s="21">
        <f t="shared" si="1"/>
        <v>53</v>
      </c>
      <c r="K18" s="21"/>
      <c r="L18" s="15">
        <f t="shared" si="2"/>
        <v>65.123287671232873</v>
      </c>
      <c r="M18" s="15" t="s">
        <v>232</v>
      </c>
      <c r="N18" s="15">
        <f t="shared" ref="N18:O18" si="4">SUM(N4:N17)</f>
        <v>181</v>
      </c>
      <c r="O18" s="15">
        <f t="shared" si="4"/>
        <v>164</v>
      </c>
      <c r="P18" s="15">
        <f>SUM(P4:P17)</f>
        <v>345</v>
      </c>
      <c r="Q18" s="15"/>
      <c r="R18" s="15"/>
      <c r="S18" s="16"/>
      <c r="T18" s="16"/>
      <c r="U18" s="16"/>
      <c r="V18" s="16"/>
      <c r="W18" s="5">
        <v>43187</v>
      </c>
      <c r="X18" s="5">
        <v>66957</v>
      </c>
      <c r="Z18" s="5"/>
      <c r="AB18" s="3"/>
      <c r="AC18" s="3"/>
      <c r="AD18" s="3"/>
    </row>
    <row r="19" spans="1:33" ht="18" x14ac:dyDescent="0.35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3"/>
        <v>l/;fn</v>
      </c>
      <c r="F19" s="21" t="s">
        <v>234</v>
      </c>
      <c r="G19" t="s">
        <v>336</v>
      </c>
      <c r="H19" s="21" t="s">
        <v>756</v>
      </c>
      <c r="I19" s="21" t="s">
        <v>905</v>
      </c>
      <c r="J19" s="21">
        <f t="shared" si="1"/>
        <v>107</v>
      </c>
      <c r="K19" s="21"/>
      <c r="L19" s="15">
        <f t="shared" si="2"/>
        <v>38.30958904109589</v>
      </c>
      <c r="M19" s="15"/>
      <c r="N19" s="15"/>
      <c r="O19" s="15"/>
      <c r="P19" s="15"/>
      <c r="Q19" s="15" t="s">
        <v>965</v>
      </c>
      <c r="R19" s="15"/>
      <c r="S19" s="16">
        <v>0</v>
      </c>
      <c r="T19" s="16">
        <v>4</v>
      </c>
      <c r="U19" s="16">
        <v>2</v>
      </c>
      <c r="V19" s="16">
        <v>0</v>
      </c>
      <c r="W19" s="5">
        <v>52974</v>
      </c>
      <c r="X19" s="5">
        <v>66957</v>
      </c>
      <c r="Z19" s="5">
        <v>66809</v>
      </c>
      <c r="AA19" s="2" t="s">
        <v>2</v>
      </c>
      <c r="AB19" s="2">
        <v>4</v>
      </c>
      <c r="AC19" s="2">
        <v>3</v>
      </c>
      <c r="AD19" s="2">
        <v>1</v>
      </c>
      <c r="AE19" t="s">
        <v>238</v>
      </c>
      <c r="AF19" t="s">
        <v>245</v>
      </c>
      <c r="AG19" s="13" t="str">
        <f>C19</f>
        <v>dlgtf l/;fn</v>
      </c>
    </row>
    <row r="20" spans="1:33" ht="18" x14ac:dyDescent="0.35">
      <c r="A20" s="6"/>
      <c r="C20" s="13" t="s">
        <v>358</v>
      </c>
      <c r="D20" s="13" t="str">
        <f t="shared" si="0"/>
        <v xml:space="preserve">l8s </v>
      </c>
      <c r="E20" s="13" t="str">
        <f t="shared" si="3"/>
        <v>laZjsdf{</v>
      </c>
      <c r="F20" s="21" t="s">
        <v>233</v>
      </c>
      <c r="H20" s="21" t="s">
        <v>756</v>
      </c>
      <c r="I20" s="21" t="s">
        <v>905</v>
      </c>
      <c r="J20" s="21">
        <f t="shared" si="1"/>
        <v>164</v>
      </c>
      <c r="K20" s="21"/>
      <c r="L20" s="15">
        <f t="shared" si="2"/>
        <v>39.389041095890413</v>
      </c>
      <c r="M20" s="15"/>
      <c r="N20" s="15"/>
      <c r="O20" s="15"/>
      <c r="P20" s="15"/>
      <c r="Q20" s="15"/>
      <c r="R20" s="15"/>
      <c r="S20" s="16"/>
      <c r="T20" s="16"/>
      <c r="U20" s="16"/>
      <c r="V20" s="16"/>
      <c r="W20" s="5">
        <v>52580</v>
      </c>
      <c r="X20" s="5">
        <v>66957</v>
      </c>
      <c r="Z20" s="5"/>
      <c r="AB20" s="3"/>
      <c r="AC20" s="3"/>
      <c r="AD20" s="3"/>
    </row>
    <row r="21" spans="1:33" ht="18" x14ac:dyDescent="0.35">
      <c r="A21" s="6"/>
      <c r="C21" s="13" t="s">
        <v>359</v>
      </c>
      <c r="D21" s="13" t="str">
        <f t="shared" si="0"/>
        <v xml:space="preserve">;+sNk </v>
      </c>
      <c r="E21" s="13" t="str">
        <f t="shared" si="3"/>
        <v>lt?jf</v>
      </c>
      <c r="F21" s="21" t="s">
        <v>233</v>
      </c>
      <c r="H21" s="21" t="s">
        <v>757</v>
      </c>
      <c r="I21" s="21" t="s">
        <v>905</v>
      </c>
      <c r="J21" s="21">
        <f t="shared" si="1"/>
        <v>164</v>
      </c>
      <c r="K21" s="21"/>
      <c r="L21" s="15">
        <f t="shared" si="2"/>
        <v>11.317808219178081</v>
      </c>
      <c r="M21" s="15"/>
      <c r="N21" s="15"/>
      <c r="O21" s="15"/>
      <c r="P21" s="15"/>
      <c r="Q21" s="15"/>
      <c r="R21" s="15"/>
      <c r="S21" s="16"/>
      <c r="T21" s="16"/>
      <c r="U21" s="16"/>
      <c r="V21" s="16"/>
      <c r="W21" s="5">
        <v>62826</v>
      </c>
      <c r="X21" s="5">
        <v>66957</v>
      </c>
      <c r="Z21" s="5"/>
      <c r="AB21" s="3"/>
      <c r="AC21" s="3"/>
      <c r="AD21" s="3"/>
    </row>
    <row r="22" spans="1:33" ht="18" x14ac:dyDescent="0.35">
      <c r="A22" s="6"/>
      <c r="C22" s="13" t="s">
        <v>360</v>
      </c>
      <c r="D22" s="13" t="str">
        <f t="shared" si="0"/>
        <v xml:space="preserve">cfg{e </v>
      </c>
      <c r="E22" s="13" t="str">
        <f t="shared" si="3"/>
        <v>lt?jf</v>
      </c>
      <c r="F22" s="21" t="s">
        <v>233</v>
      </c>
      <c r="H22" s="21" t="s">
        <v>757</v>
      </c>
      <c r="I22" s="21" t="s">
        <v>748</v>
      </c>
      <c r="J22" s="21" t="b">
        <f t="shared" si="1"/>
        <v>0</v>
      </c>
      <c r="K22" s="21"/>
      <c r="L22" s="15">
        <f t="shared" si="2"/>
        <v>4.4986301369863018</v>
      </c>
      <c r="M22" s="15"/>
      <c r="N22" s="15"/>
      <c r="O22" s="15"/>
      <c r="P22" s="15"/>
      <c r="Q22" s="15"/>
      <c r="R22" s="15"/>
      <c r="S22" s="16"/>
      <c r="T22" s="16"/>
      <c r="U22" s="16"/>
      <c r="V22" s="16"/>
      <c r="W22" s="5">
        <v>65315</v>
      </c>
      <c r="X22" s="5">
        <v>66957</v>
      </c>
      <c r="Z22" s="5"/>
      <c r="AB22" s="3"/>
      <c r="AC22" s="3"/>
      <c r="AD22" s="3"/>
    </row>
    <row r="23" spans="1:33" ht="18" x14ac:dyDescent="0.35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3"/>
        <v>bfxfn</v>
      </c>
      <c r="F23" s="21" t="s">
        <v>233</v>
      </c>
      <c r="G23" t="s">
        <v>341</v>
      </c>
      <c r="H23" s="21" t="s">
        <v>756</v>
      </c>
      <c r="I23" s="21" t="s">
        <v>905</v>
      </c>
      <c r="J23" s="21">
        <f t="shared" si="1"/>
        <v>164</v>
      </c>
      <c r="K23" s="21"/>
      <c r="L23" s="15">
        <f t="shared" si="2"/>
        <v>56.008219178082193</v>
      </c>
      <c r="M23" s="15"/>
      <c r="N23" s="15"/>
      <c r="O23" s="15"/>
      <c r="P23" s="15"/>
      <c r="Q23" s="15" t="s">
        <v>961</v>
      </c>
      <c r="R23" s="15"/>
      <c r="S23" s="16">
        <v>0</v>
      </c>
      <c r="T23" s="16">
        <v>5</v>
      </c>
      <c r="U23" s="16">
        <v>0</v>
      </c>
      <c r="V23" s="16">
        <v>2</v>
      </c>
      <c r="W23" s="5">
        <v>46514</v>
      </c>
      <c r="X23" s="5">
        <v>66957</v>
      </c>
      <c r="Z23" s="5">
        <v>66762</v>
      </c>
      <c r="AA23" s="2" t="s">
        <v>2</v>
      </c>
      <c r="AB23" s="2">
        <v>1</v>
      </c>
      <c r="AC23" s="2">
        <v>1</v>
      </c>
      <c r="AE23" t="s">
        <v>242</v>
      </c>
      <c r="AF23" t="s">
        <v>245</v>
      </c>
      <c r="AG23" s="13" t="str">
        <f>C23</f>
        <v>b'uf{ k|;fb bfxfn</v>
      </c>
    </row>
    <row r="24" spans="1:33" ht="18" x14ac:dyDescent="0.35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3"/>
        <v>kl/of/</v>
      </c>
      <c r="F24" s="21" t="s">
        <v>233</v>
      </c>
      <c r="G24" t="s">
        <v>340</v>
      </c>
      <c r="H24" s="21" t="s">
        <v>757</v>
      </c>
      <c r="I24" s="21" t="s">
        <v>905</v>
      </c>
      <c r="J24" s="21">
        <f t="shared" si="1"/>
        <v>164</v>
      </c>
      <c r="K24" s="21"/>
      <c r="L24" s="15">
        <f t="shared" si="2"/>
        <v>18.876712328767123</v>
      </c>
      <c r="M24" s="15"/>
      <c r="N24" s="15"/>
      <c r="O24" s="15"/>
      <c r="P24" s="15"/>
      <c r="Q24" s="15" t="s">
        <v>961</v>
      </c>
      <c r="R24" s="15"/>
      <c r="S24" s="16" t="s">
        <v>748</v>
      </c>
      <c r="T24" s="16" t="s">
        <v>748</v>
      </c>
      <c r="U24" s="16" t="s">
        <v>748</v>
      </c>
      <c r="V24" s="16" t="s">
        <v>748</v>
      </c>
      <c r="W24" s="5">
        <v>60067</v>
      </c>
      <c r="X24" s="5">
        <v>66957</v>
      </c>
      <c r="Z24" s="5">
        <v>66760</v>
      </c>
      <c r="AA24" s="2" t="s">
        <v>2</v>
      </c>
      <c r="AB24" s="2">
        <v>1</v>
      </c>
      <c r="AC24" s="2">
        <v>1</v>
      </c>
      <c r="AE24" t="s">
        <v>242</v>
      </c>
      <c r="AF24" t="s">
        <v>245</v>
      </c>
      <c r="AG24" s="13" t="str">
        <f>C24</f>
        <v>;lGbk kl/of/</v>
      </c>
    </row>
    <row r="25" spans="1:33" ht="18" x14ac:dyDescent="0.35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3"/>
        <v>clwsf/L</v>
      </c>
      <c r="F25" s="21" t="s">
        <v>234</v>
      </c>
      <c r="G25" t="s">
        <v>320</v>
      </c>
      <c r="H25" s="21" t="s">
        <v>756</v>
      </c>
      <c r="I25" s="21" t="s">
        <v>906</v>
      </c>
      <c r="J25" s="21">
        <f t="shared" si="1"/>
        <v>53</v>
      </c>
      <c r="K25" s="21"/>
      <c r="L25" s="15">
        <f t="shared" si="2"/>
        <v>54.92876712328767</v>
      </c>
      <c r="M25" s="15"/>
      <c r="N25" s="15"/>
      <c r="O25" s="15"/>
      <c r="P25" s="15"/>
      <c r="Q25" s="15" t="s">
        <v>962</v>
      </c>
      <c r="R25" s="15"/>
      <c r="S25" s="16">
        <v>0</v>
      </c>
      <c r="T25" s="16">
        <f>2+(1)</f>
        <v>3</v>
      </c>
      <c r="U25" s="16">
        <v>2</v>
      </c>
      <c r="V25" s="16">
        <v>0</v>
      </c>
      <c r="W25" s="5">
        <v>46908</v>
      </c>
      <c r="X25" s="5">
        <v>66957</v>
      </c>
      <c r="Z25" s="5">
        <v>66711</v>
      </c>
      <c r="AA25" s="2" t="s">
        <v>2</v>
      </c>
      <c r="AB25" s="2">
        <v>4</v>
      </c>
      <c r="AC25" s="2">
        <v>2</v>
      </c>
      <c r="AD25" s="2">
        <v>2</v>
      </c>
      <c r="AE25" t="s">
        <v>238</v>
      </c>
      <c r="AF25" t="s">
        <v>245</v>
      </c>
      <c r="AG25" s="13" t="str">
        <f>C25</f>
        <v>l;tf clwsf/L</v>
      </c>
    </row>
    <row r="26" spans="1:33" ht="18" x14ac:dyDescent="0.35">
      <c r="A26" s="6"/>
      <c r="C26" s="13" t="s">
        <v>364</v>
      </c>
      <c r="D26" s="13" t="str">
        <f t="shared" si="0"/>
        <v xml:space="preserve">;'/]z </v>
      </c>
      <c r="E26" s="13" t="str">
        <f t="shared" si="3"/>
        <v>clwsf/L</v>
      </c>
      <c r="F26" s="21" t="s">
        <v>233</v>
      </c>
      <c r="H26" s="21" t="s">
        <v>756</v>
      </c>
      <c r="I26" s="21" t="s">
        <v>905</v>
      </c>
      <c r="J26" s="21">
        <f t="shared" si="1"/>
        <v>164</v>
      </c>
      <c r="K26" s="21"/>
      <c r="L26" s="15">
        <f t="shared" si="2"/>
        <v>34.054794520547944</v>
      </c>
      <c r="M26" s="15"/>
      <c r="N26" s="15"/>
      <c r="O26" s="15"/>
      <c r="P26" s="15"/>
      <c r="Q26" s="15"/>
      <c r="R26" s="15"/>
      <c r="S26" s="16"/>
      <c r="T26" s="16"/>
      <c r="U26" s="16"/>
      <c r="V26" s="16"/>
      <c r="W26" s="5">
        <v>54527</v>
      </c>
      <c r="X26" s="5">
        <v>66957</v>
      </c>
      <c r="Z26" s="5"/>
      <c r="AB26" s="3"/>
      <c r="AC26" s="3"/>
      <c r="AD26" s="3"/>
    </row>
    <row r="27" spans="1:33" ht="18" x14ac:dyDescent="0.35">
      <c r="A27" s="6"/>
      <c r="C27" s="13" t="s">
        <v>365</v>
      </c>
      <c r="D27" s="13" t="str">
        <f t="shared" si="0"/>
        <v xml:space="preserve">/~hgf </v>
      </c>
      <c r="E27" s="13" t="str">
        <f t="shared" si="3"/>
        <v>5Ts'nL</v>
      </c>
      <c r="F27" s="21" t="s">
        <v>234</v>
      </c>
      <c r="H27" s="21" t="s">
        <v>756</v>
      </c>
      <c r="I27" s="21" t="s">
        <v>905</v>
      </c>
      <c r="J27" s="21">
        <f t="shared" si="1"/>
        <v>107</v>
      </c>
      <c r="K27" s="21"/>
      <c r="L27" s="15">
        <f t="shared" si="2"/>
        <v>27.06027397260274</v>
      </c>
      <c r="M27" s="15"/>
      <c r="N27" s="15"/>
      <c r="O27" s="15"/>
      <c r="P27" s="15"/>
      <c r="Q27" s="15"/>
      <c r="R27" s="15"/>
      <c r="S27" s="16"/>
      <c r="T27" s="16"/>
      <c r="U27" s="16"/>
      <c r="V27" s="16"/>
      <c r="W27" s="5">
        <v>57080</v>
      </c>
      <c r="X27" s="5">
        <v>66957</v>
      </c>
      <c r="Z27" s="5"/>
      <c r="AB27" s="3"/>
      <c r="AC27" s="3"/>
      <c r="AD27" s="3"/>
    </row>
    <row r="28" spans="1:33" ht="18" x14ac:dyDescent="0.35">
      <c r="A28" s="6"/>
      <c r="C28" s="13" t="s">
        <v>366</v>
      </c>
      <c r="D28" s="13" t="str">
        <f t="shared" si="0"/>
        <v xml:space="preserve">;'a|t </v>
      </c>
      <c r="E28" s="13" t="str">
        <f t="shared" si="3"/>
        <v>clwsf/L</v>
      </c>
      <c r="F28" s="21" t="s">
        <v>233</v>
      </c>
      <c r="H28" s="21" t="s">
        <v>757</v>
      </c>
      <c r="I28" s="21" t="s">
        <v>748</v>
      </c>
      <c r="J28" s="21" t="b">
        <f t="shared" si="1"/>
        <v>0</v>
      </c>
      <c r="K28" s="21"/>
      <c r="L28" s="15">
        <f t="shared" si="2"/>
        <v>3.5287671232876714</v>
      </c>
      <c r="M28" s="15"/>
      <c r="N28" s="15"/>
      <c r="O28" s="15"/>
      <c r="P28" s="15"/>
      <c r="Q28" s="15"/>
      <c r="R28" s="15"/>
      <c r="S28" s="16"/>
      <c r="T28" s="16"/>
      <c r="U28" s="16"/>
      <c r="V28" s="16"/>
      <c r="W28" s="5">
        <v>65669</v>
      </c>
      <c r="X28" s="5">
        <v>66957</v>
      </c>
      <c r="Z28" s="5"/>
      <c r="AB28" s="3"/>
      <c r="AC28" s="3"/>
      <c r="AD28" s="3"/>
    </row>
    <row r="29" spans="1:33" ht="18" x14ac:dyDescent="0.35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3"/>
        <v>l3ld/]</v>
      </c>
      <c r="F29" s="21" t="s">
        <v>233</v>
      </c>
      <c r="G29" t="s">
        <v>303</v>
      </c>
      <c r="H29" s="21" t="s">
        <v>756</v>
      </c>
      <c r="I29" s="21" t="s">
        <v>905</v>
      </c>
      <c r="J29" s="21">
        <f t="shared" si="1"/>
        <v>164</v>
      </c>
      <c r="K29" s="21"/>
      <c r="L29" s="15">
        <f t="shared" si="2"/>
        <v>48.030136986301372</v>
      </c>
      <c r="M29" s="15"/>
      <c r="N29" s="15"/>
      <c r="O29" s="15"/>
      <c r="P29" s="15"/>
      <c r="Q29" s="15" t="s">
        <v>962</v>
      </c>
      <c r="R29" s="15"/>
      <c r="S29" s="16">
        <v>0</v>
      </c>
      <c r="T29" s="16">
        <v>4</v>
      </c>
      <c r="U29" s="16">
        <v>3</v>
      </c>
      <c r="V29" s="16">
        <v>2</v>
      </c>
      <c r="W29" s="5">
        <v>49426</v>
      </c>
      <c r="X29" s="5">
        <v>66957</v>
      </c>
      <c r="Z29" s="5">
        <v>66689</v>
      </c>
      <c r="AA29" s="2" t="s">
        <v>2</v>
      </c>
      <c r="AB29" s="2">
        <v>4</v>
      </c>
      <c r="AC29" s="2">
        <v>2</v>
      </c>
      <c r="AD29" s="2">
        <v>2</v>
      </c>
      <c r="AE29" t="s">
        <v>242</v>
      </c>
      <c r="AF29" t="s">
        <v>245</v>
      </c>
      <c r="AG29" s="13" t="str">
        <f>C29</f>
        <v>k'0o k|;fb l3ld/]</v>
      </c>
    </row>
    <row r="30" spans="1:33" ht="18" x14ac:dyDescent="0.35">
      <c r="A30" s="6"/>
      <c r="C30" s="13" t="s">
        <v>368</v>
      </c>
      <c r="D30" s="13" t="str">
        <f t="shared" si="0"/>
        <v xml:space="preserve">uf]df </v>
      </c>
      <c r="E30" s="13" t="str">
        <f t="shared" si="3"/>
        <v>l3ld/]</v>
      </c>
      <c r="F30" s="21" t="s">
        <v>234</v>
      </c>
      <c r="H30" s="21" t="s">
        <v>756</v>
      </c>
      <c r="I30" s="21" t="s">
        <v>905</v>
      </c>
      <c r="J30" s="21">
        <f t="shared" si="1"/>
        <v>107</v>
      </c>
      <c r="K30" s="21"/>
      <c r="L30" s="15">
        <f t="shared" si="2"/>
        <v>42.205479452054796</v>
      </c>
      <c r="M30" s="15"/>
      <c r="N30" s="15"/>
      <c r="O30" s="15"/>
      <c r="P30" s="15"/>
      <c r="Q30" s="15"/>
      <c r="R30" s="15"/>
      <c r="S30" s="16"/>
      <c r="T30" s="16"/>
      <c r="U30" s="16"/>
      <c r="V30" s="16"/>
      <c r="W30" s="5">
        <v>51552</v>
      </c>
      <c r="X30" s="5">
        <v>66957</v>
      </c>
      <c r="Z30" s="5"/>
      <c r="AB30" s="3"/>
      <c r="AC30" s="3"/>
      <c r="AD30" s="3"/>
    </row>
    <row r="31" spans="1:33" ht="18" x14ac:dyDescent="0.35">
      <c r="A31" s="6"/>
      <c r="C31" s="13" t="s">
        <v>369</v>
      </c>
      <c r="D31" s="13" t="str">
        <f t="shared" si="0"/>
        <v xml:space="preserve">cfo'iff </v>
      </c>
      <c r="E31" s="13" t="str">
        <f t="shared" si="3"/>
        <v>l3ld/]</v>
      </c>
      <c r="F31" s="21" t="s">
        <v>234</v>
      </c>
      <c r="H31" s="21" t="s">
        <v>757</v>
      </c>
      <c r="I31" s="21" t="s">
        <v>905</v>
      </c>
      <c r="J31" s="21">
        <f t="shared" si="1"/>
        <v>107</v>
      </c>
      <c r="K31" s="21"/>
      <c r="L31" s="15">
        <f t="shared" si="2"/>
        <v>19.709589041095889</v>
      </c>
      <c r="M31" s="15"/>
      <c r="N31" s="15"/>
      <c r="O31" s="15"/>
      <c r="P31" s="15"/>
      <c r="Q31" s="15"/>
      <c r="R31" s="15"/>
      <c r="S31" s="16"/>
      <c r="T31" s="16"/>
      <c r="U31" s="16"/>
      <c r="V31" s="16"/>
      <c r="W31" s="5">
        <v>59763</v>
      </c>
      <c r="X31" s="5">
        <v>66957</v>
      </c>
      <c r="Z31" s="5"/>
      <c r="AB31" s="3"/>
      <c r="AC31" s="3"/>
      <c r="AD31" s="3"/>
    </row>
    <row r="32" spans="1:33" ht="18" x14ac:dyDescent="0.35">
      <c r="A32" s="6"/>
      <c r="C32" s="13" t="s">
        <v>370</v>
      </c>
      <c r="D32" s="13" t="str">
        <f t="shared" si="0"/>
        <v xml:space="preserve">cf/f]Uo </v>
      </c>
      <c r="E32" s="13" t="str">
        <f t="shared" si="3"/>
        <v>l3ld/]</v>
      </c>
      <c r="F32" s="21" t="s">
        <v>233</v>
      </c>
      <c r="H32" s="21" t="s">
        <v>757</v>
      </c>
      <c r="I32" s="21" t="s">
        <v>905</v>
      </c>
      <c r="J32" s="21">
        <f t="shared" si="1"/>
        <v>164</v>
      </c>
      <c r="K32" s="21"/>
      <c r="L32" s="15">
        <f t="shared" si="2"/>
        <v>12.947945205479453</v>
      </c>
      <c r="M32" s="15"/>
      <c r="N32" s="15"/>
      <c r="O32" s="15"/>
      <c r="P32" s="15"/>
      <c r="Q32" s="15"/>
      <c r="R32" s="15"/>
      <c r="S32" s="16"/>
      <c r="T32" s="16"/>
      <c r="U32" s="16"/>
      <c r="V32" s="16"/>
      <c r="W32" s="5">
        <v>62231</v>
      </c>
      <c r="X32" s="5">
        <v>66957</v>
      </c>
      <c r="Z32" s="5"/>
      <c r="AB32" s="3"/>
      <c r="AC32" s="3"/>
      <c r="AD32" s="3"/>
    </row>
    <row r="33" spans="1:33" s="32" customFormat="1" ht="18" x14ac:dyDescent="0.35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3"/>
        <v>lji6</v>
      </c>
      <c r="F33" s="29" t="s">
        <v>233</v>
      </c>
      <c r="H33" s="29" t="s">
        <v>756</v>
      </c>
      <c r="I33" s="29" t="s">
        <v>905</v>
      </c>
      <c r="J33" s="29">
        <f t="shared" si="1"/>
        <v>164</v>
      </c>
      <c r="K33" s="29"/>
      <c r="L33" s="30">
        <f t="shared" si="2"/>
        <v>40.205479452054796</v>
      </c>
      <c r="M33" s="30"/>
      <c r="N33" s="30"/>
      <c r="O33" s="30"/>
      <c r="P33" s="30"/>
      <c r="Q33" s="15" t="s">
        <v>961</v>
      </c>
      <c r="R33" s="30"/>
      <c r="S33" s="33" t="s">
        <v>748</v>
      </c>
      <c r="T33" s="33" t="s">
        <v>748</v>
      </c>
      <c r="U33" s="33" t="s">
        <v>748</v>
      </c>
      <c r="V33" s="33" t="s">
        <v>748</v>
      </c>
      <c r="W33" s="25">
        <v>52282</v>
      </c>
      <c r="X33" s="25">
        <v>66957</v>
      </c>
      <c r="Z33" s="25">
        <v>66687</v>
      </c>
      <c r="AA33" s="24" t="s">
        <v>2</v>
      </c>
      <c r="AB33" s="24">
        <v>4</v>
      </c>
      <c r="AC33" s="24">
        <v>2</v>
      </c>
      <c r="AD33" s="24">
        <v>2</v>
      </c>
      <c r="AE33" s="32" t="s">
        <v>242</v>
      </c>
      <c r="AG33" s="28" t="str">
        <f>C33</f>
        <v>/fh]z s'df/ lji6</v>
      </c>
    </row>
    <row r="34" spans="1:33" s="32" customFormat="1" ht="18" x14ac:dyDescent="0.35">
      <c r="A34" s="31"/>
      <c r="C34" s="28" t="s">
        <v>371</v>
      </c>
      <c r="D34" s="28" t="str">
        <f t="shared" ref="D34:D36" si="5">LEFT(C34,(FIND(" ",C34)))</f>
        <v xml:space="preserve">/fh]z </v>
      </c>
      <c r="E34" s="28" t="str">
        <f t="shared" ref="E34:E36" si="6">TRIM(RIGHT(SUBSTITUTE(C34," ",REPT(" ",255)),255))</f>
        <v>lji6</v>
      </c>
      <c r="F34" s="29" t="s">
        <v>234</v>
      </c>
      <c r="H34" s="29" t="s">
        <v>757</v>
      </c>
      <c r="I34" s="29" t="s">
        <v>905</v>
      </c>
      <c r="J34" s="29">
        <f t="shared" ref="J34:J36" si="7">IF(L34&gt;=5,(COUNTIFS($I$4:$I$348,I34,$F$4:$F$348,F34)))</f>
        <v>107</v>
      </c>
      <c r="K34" s="29"/>
      <c r="L34" s="30">
        <f t="shared" si="2"/>
        <v>39.389041095890413</v>
      </c>
      <c r="M34" s="30"/>
      <c r="N34" s="30"/>
      <c r="O34" s="30"/>
      <c r="P34" s="30"/>
      <c r="Q34" s="15"/>
      <c r="R34" s="30"/>
      <c r="S34" s="33"/>
      <c r="T34" s="33"/>
      <c r="U34" s="33"/>
      <c r="V34" s="33"/>
      <c r="W34" s="25">
        <v>52580</v>
      </c>
      <c r="X34" s="25">
        <v>66957</v>
      </c>
      <c r="Z34" s="25"/>
      <c r="AA34" s="24"/>
      <c r="AB34" s="24"/>
      <c r="AC34" s="24"/>
      <c r="AD34" s="24"/>
      <c r="AG34" s="28"/>
    </row>
    <row r="35" spans="1:33" s="32" customFormat="1" ht="18" x14ac:dyDescent="0.35">
      <c r="A35" s="31"/>
      <c r="C35" s="28" t="s">
        <v>371</v>
      </c>
      <c r="D35" s="28" t="str">
        <f t="shared" si="5"/>
        <v xml:space="preserve">/fh]z </v>
      </c>
      <c r="E35" s="28" t="str">
        <f t="shared" si="6"/>
        <v>lji6</v>
      </c>
      <c r="F35" s="29" t="s">
        <v>234</v>
      </c>
      <c r="H35" s="29" t="s">
        <v>756</v>
      </c>
      <c r="I35" s="29" t="s">
        <v>905</v>
      </c>
      <c r="J35" s="29">
        <f t="shared" si="7"/>
        <v>107</v>
      </c>
      <c r="K35" s="29"/>
      <c r="L35" s="30">
        <f t="shared" si="2"/>
        <v>19.709589041095889</v>
      </c>
      <c r="M35" s="30"/>
      <c r="N35" s="30"/>
      <c r="O35" s="30"/>
      <c r="P35" s="30"/>
      <c r="Q35" s="15"/>
      <c r="R35" s="30"/>
      <c r="S35" s="33"/>
      <c r="T35" s="33"/>
      <c r="U35" s="33"/>
      <c r="V35" s="33"/>
      <c r="W35" s="25">
        <v>59763</v>
      </c>
      <c r="X35" s="25">
        <v>66957</v>
      </c>
      <c r="Z35" s="25"/>
      <c r="AA35" s="24"/>
      <c r="AB35" s="24"/>
      <c r="AC35" s="24"/>
      <c r="AD35" s="24"/>
      <c r="AG35" s="28"/>
    </row>
    <row r="36" spans="1:33" s="32" customFormat="1" ht="18" x14ac:dyDescent="0.35">
      <c r="A36" s="31"/>
      <c r="C36" s="28" t="s">
        <v>371</v>
      </c>
      <c r="D36" s="28" t="str">
        <f t="shared" si="5"/>
        <v xml:space="preserve">/fh]z </v>
      </c>
      <c r="E36" s="28" t="str">
        <f t="shared" si="6"/>
        <v>lji6</v>
      </c>
      <c r="F36" s="29" t="s">
        <v>234</v>
      </c>
      <c r="H36" s="29" t="s">
        <v>757</v>
      </c>
      <c r="I36" s="29" t="s">
        <v>905</v>
      </c>
      <c r="J36" s="29">
        <f t="shared" si="7"/>
        <v>107</v>
      </c>
      <c r="K36" s="29"/>
      <c r="L36" s="30">
        <f t="shared" si="2"/>
        <v>12.947945205479453</v>
      </c>
      <c r="M36" s="30"/>
      <c r="N36" s="30"/>
      <c r="O36" s="30"/>
      <c r="P36" s="30"/>
      <c r="Q36" s="15"/>
      <c r="R36" s="30"/>
      <c r="S36" s="33"/>
      <c r="T36" s="33"/>
      <c r="U36" s="33"/>
      <c r="V36" s="33"/>
      <c r="W36" s="25">
        <v>62231</v>
      </c>
      <c r="X36" s="25">
        <v>66957</v>
      </c>
      <c r="Z36" s="25"/>
      <c r="AA36" s="24"/>
      <c r="AB36" s="24"/>
      <c r="AC36" s="24"/>
      <c r="AD36" s="24"/>
      <c r="AG36" s="28"/>
    </row>
    <row r="37" spans="1:33" ht="18" x14ac:dyDescent="0.35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3"/>
        <v>kl/of/</v>
      </c>
      <c r="F37" s="21" t="s">
        <v>234</v>
      </c>
      <c r="G37" t="s">
        <v>272</v>
      </c>
      <c r="H37" s="21" t="s">
        <v>756</v>
      </c>
      <c r="I37" s="21" t="s">
        <v>906</v>
      </c>
      <c r="J37" s="21">
        <f t="shared" ref="J37:J100" si="8">IF(L37&gt;=5,(COUNTIFS($I$4:$I$348,I37,$F$4:$F$348,F37)))</f>
        <v>53</v>
      </c>
      <c r="K37" s="21"/>
      <c r="L37" s="15">
        <f t="shared" si="2"/>
        <v>55.046575342465751</v>
      </c>
      <c r="M37" s="15"/>
      <c r="N37" s="15"/>
      <c r="O37" s="15"/>
      <c r="P37" s="15"/>
      <c r="Q37" s="15" t="s">
        <v>963</v>
      </c>
      <c r="R37" s="15"/>
      <c r="S37" s="16">
        <v>0</v>
      </c>
      <c r="T37" s="16">
        <v>3</v>
      </c>
      <c r="U37" s="16">
        <v>0</v>
      </c>
      <c r="V37" s="16">
        <v>0</v>
      </c>
      <c r="W37" s="5">
        <v>46865</v>
      </c>
      <c r="X37" s="5">
        <v>66957</v>
      </c>
      <c r="Z37" s="5">
        <v>66674</v>
      </c>
      <c r="AA37" s="2" t="s">
        <v>2</v>
      </c>
      <c r="AB37" s="2">
        <v>8</v>
      </c>
      <c r="AC37" s="2">
        <v>4</v>
      </c>
      <c r="AD37" s="2">
        <v>4</v>
      </c>
      <c r="AE37" t="s">
        <v>242</v>
      </c>
      <c r="AF37" t="s">
        <v>245</v>
      </c>
      <c r="AG37" s="13" t="str">
        <f>C37</f>
        <v>OlGb/f kl/of/</v>
      </c>
    </row>
    <row r="38" spans="1:33" ht="18" x14ac:dyDescent="0.35">
      <c r="A38" s="6"/>
      <c r="C38" s="13" t="s">
        <v>373</v>
      </c>
      <c r="D38" s="13" t="str">
        <f t="shared" si="0"/>
        <v xml:space="preserve">ljs|d </v>
      </c>
      <c r="E38" s="13" t="str">
        <f t="shared" si="3"/>
        <v>kl/of/</v>
      </c>
      <c r="F38" s="21" t="s">
        <v>233</v>
      </c>
      <c r="H38" s="21" t="s">
        <v>756</v>
      </c>
      <c r="I38" s="21" t="s">
        <v>905</v>
      </c>
      <c r="J38" s="21">
        <f t="shared" si="8"/>
        <v>164</v>
      </c>
      <c r="K38" s="21"/>
      <c r="L38" s="15">
        <f t="shared" si="2"/>
        <v>35.701369863013696</v>
      </c>
      <c r="M38" s="15"/>
      <c r="N38" s="15"/>
      <c r="O38" s="15"/>
      <c r="P38" s="15"/>
      <c r="Q38" s="15"/>
      <c r="R38" s="15"/>
      <c r="S38" s="16"/>
      <c r="T38" s="16"/>
      <c r="U38" s="16"/>
      <c r="V38" s="16"/>
      <c r="W38" s="5">
        <v>53926</v>
      </c>
      <c r="X38" s="5">
        <v>66957</v>
      </c>
      <c r="Z38" s="5"/>
      <c r="AB38" s="3"/>
      <c r="AC38" s="3"/>
      <c r="AD38" s="3"/>
    </row>
    <row r="39" spans="1:33" ht="18" x14ac:dyDescent="0.35">
      <c r="A39" s="6"/>
      <c r="C39" s="13" t="s">
        <v>374</v>
      </c>
      <c r="D39" s="13" t="str">
        <f t="shared" si="0"/>
        <v xml:space="preserve">k|ltIff </v>
      </c>
      <c r="E39" s="13" t="str">
        <f t="shared" si="3"/>
        <v>kl/of/</v>
      </c>
      <c r="F39" s="21" t="s">
        <v>234</v>
      </c>
      <c r="H39" s="21" t="s">
        <v>756</v>
      </c>
      <c r="I39" s="21" t="s">
        <v>906</v>
      </c>
      <c r="J39" s="21">
        <f t="shared" si="8"/>
        <v>53</v>
      </c>
      <c r="K39" s="21"/>
      <c r="L39" s="15">
        <f t="shared" si="2"/>
        <v>30.602739726027398</v>
      </c>
      <c r="M39" s="15"/>
      <c r="N39" s="15"/>
      <c r="O39" s="15"/>
      <c r="P39" s="15"/>
      <c r="Q39" s="15"/>
      <c r="R39" s="15"/>
      <c r="S39" s="16"/>
      <c r="T39" s="16"/>
      <c r="U39" s="16"/>
      <c r="V39" s="16"/>
      <c r="W39" s="5">
        <v>55787</v>
      </c>
      <c r="X39" s="5">
        <v>66957</v>
      </c>
      <c r="Z39" s="5"/>
      <c r="AB39" s="3"/>
      <c r="AC39" s="3"/>
      <c r="AD39" s="3"/>
    </row>
    <row r="40" spans="1:33" ht="18" x14ac:dyDescent="0.35">
      <c r="A40" s="6"/>
      <c r="C40" s="13" t="s">
        <v>375</v>
      </c>
      <c r="D40" s="13" t="str">
        <f t="shared" si="0"/>
        <v xml:space="preserve">lji0f' </v>
      </c>
      <c r="E40" s="13" t="str">
        <f t="shared" si="3"/>
        <v>kl/of/</v>
      </c>
      <c r="F40" s="21" t="s">
        <v>233</v>
      </c>
      <c r="H40" s="21" t="s">
        <v>756</v>
      </c>
      <c r="I40" s="21" t="s">
        <v>905</v>
      </c>
      <c r="J40" s="21">
        <f t="shared" si="8"/>
        <v>164</v>
      </c>
      <c r="K40" s="21"/>
      <c r="L40" s="15">
        <f t="shared" si="2"/>
        <v>34.832876712328769</v>
      </c>
      <c r="M40" s="15"/>
      <c r="N40" s="15"/>
      <c r="O40" s="15"/>
      <c r="P40" s="15"/>
      <c r="Q40" s="15"/>
      <c r="R40" s="15"/>
      <c r="S40" s="16"/>
      <c r="T40" s="16"/>
      <c r="U40" s="16"/>
      <c r="V40" s="16"/>
      <c r="W40" s="5">
        <v>54243</v>
      </c>
      <c r="X40" s="5">
        <v>66957</v>
      </c>
      <c r="Z40" s="5"/>
      <c r="AB40" s="3"/>
      <c r="AC40" s="3"/>
      <c r="AD40" s="3"/>
    </row>
    <row r="41" spans="1:33" ht="18" x14ac:dyDescent="0.35">
      <c r="A41" s="6"/>
      <c r="C41" s="13" t="s">
        <v>376</v>
      </c>
      <c r="D41" s="13" t="str">
        <f t="shared" si="0"/>
        <v xml:space="preserve">nIdL </v>
      </c>
      <c r="E41" s="13" t="str">
        <f t="shared" si="3"/>
        <v>du/</v>
      </c>
      <c r="F41" s="21" t="s">
        <v>234</v>
      </c>
      <c r="H41" s="21" t="s">
        <v>756</v>
      </c>
      <c r="I41" s="21" t="s">
        <v>905</v>
      </c>
      <c r="J41" s="21">
        <f t="shared" si="8"/>
        <v>107</v>
      </c>
      <c r="K41" s="21"/>
      <c r="L41" s="15">
        <f t="shared" si="2"/>
        <v>34.57260273972603</v>
      </c>
      <c r="M41" s="15"/>
      <c r="N41" s="15"/>
      <c r="O41" s="15"/>
      <c r="P41" s="15"/>
      <c r="Q41" s="15"/>
      <c r="R41" s="15"/>
      <c r="S41" s="16"/>
      <c r="T41" s="16"/>
      <c r="U41" s="16"/>
      <c r="V41" s="16"/>
      <c r="W41" s="5">
        <v>54338</v>
      </c>
      <c r="X41" s="5">
        <v>66957</v>
      </c>
      <c r="Z41" s="5"/>
      <c r="AB41" s="3"/>
      <c r="AC41" s="3"/>
      <c r="AD41" s="3"/>
    </row>
    <row r="42" spans="1:33" ht="18" x14ac:dyDescent="0.35">
      <c r="A42" s="6"/>
      <c r="C42" s="13" t="s">
        <v>377</v>
      </c>
      <c r="D42" s="13" t="str">
        <f t="shared" si="0"/>
        <v xml:space="preserve">;ld{nf </v>
      </c>
      <c r="E42" s="13" t="str">
        <f t="shared" si="3"/>
        <v>kl/of/</v>
      </c>
      <c r="F42" s="21" t="s">
        <v>234</v>
      </c>
      <c r="H42" s="21" t="s">
        <v>757</v>
      </c>
      <c r="I42" s="21" t="s">
        <v>905</v>
      </c>
      <c r="J42" s="21">
        <f t="shared" si="8"/>
        <v>107</v>
      </c>
      <c r="K42" s="21"/>
      <c r="L42" s="15">
        <f t="shared" si="2"/>
        <v>30.8</v>
      </c>
      <c r="M42" s="15"/>
      <c r="N42" s="15"/>
      <c r="O42" s="15"/>
      <c r="P42" s="15"/>
      <c r="Q42" s="15"/>
      <c r="R42" s="15"/>
      <c r="S42" s="16"/>
      <c r="T42" s="16"/>
      <c r="U42" s="16"/>
      <c r="V42" s="16"/>
      <c r="W42" s="5">
        <v>55715</v>
      </c>
      <c r="X42" s="5">
        <v>66957</v>
      </c>
      <c r="Z42" s="5"/>
      <c r="AB42" s="3"/>
      <c r="AC42" s="3"/>
      <c r="AD42" s="3"/>
    </row>
    <row r="43" spans="1:33" ht="18" x14ac:dyDescent="0.35">
      <c r="A43" s="6"/>
      <c r="C43" s="13" t="s">
        <v>378</v>
      </c>
      <c r="D43" s="13" t="str">
        <f t="shared" si="0"/>
        <v xml:space="preserve">k|lts </v>
      </c>
      <c r="E43" s="13" t="str">
        <f t="shared" si="3"/>
        <v>kl/of/</v>
      </c>
      <c r="F43" s="21" t="s">
        <v>233</v>
      </c>
      <c r="H43" s="21" t="s">
        <v>757</v>
      </c>
      <c r="I43" s="21" t="s">
        <v>905</v>
      </c>
      <c r="J43" s="21">
        <f t="shared" si="8"/>
        <v>164</v>
      </c>
      <c r="K43" s="21"/>
      <c r="L43" s="15">
        <f t="shared" si="2"/>
        <v>14.90958904109589</v>
      </c>
      <c r="M43" s="15"/>
      <c r="N43" s="15"/>
      <c r="O43" s="15"/>
      <c r="P43" s="15"/>
      <c r="Q43" s="15"/>
      <c r="R43" s="15"/>
      <c r="S43" s="16"/>
      <c r="T43" s="16"/>
      <c r="U43" s="16"/>
      <c r="V43" s="16"/>
      <c r="W43" s="5">
        <v>61515</v>
      </c>
      <c r="X43" s="5">
        <v>66957</v>
      </c>
      <c r="Z43" s="5"/>
      <c r="AB43" s="3"/>
      <c r="AC43" s="3"/>
      <c r="AD43" s="3"/>
    </row>
    <row r="44" spans="1:33" ht="18" x14ac:dyDescent="0.35">
      <c r="A44" s="6"/>
      <c r="C44" s="13" t="s">
        <v>379</v>
      </c>
      <c r="D44" s="13" t="str">
        <f t="shared" si="0"/>
        <v xml:space="preserve">s]ljg </v>
      </c>
      <c r="E44" s="13" t="str">
        <f t="shared" si="3"/>
        <v>kl/of/</v>
      </c>
      <c r="F44" s="21" t="s">
        <v>233</v>
      </c>
      <c r="H44" s="21" t="s">
        <v>757</v>
      </c>
      <c r="I44" s="21" t="s">
        <v>748</v>
      </c>
      <c r="J44" s="21" t="b">
        <f t="shared" si="8"/>
        <v>0</v>
      </c>
      <c r="K44" s="21"/>
      <c r="L44" s="15">
        <f t="shared" si="2"/>
        <v>1.0575342465753426</v>
      </c>
      <c r="M44" s="15"/>
      <c r="N44" s="15"/>
      <c r="O44" s="15"/>
      <c r="P44" s="15"/>
      <c r="Q44" s="15"/>
      <c r="R44" s="15"/>
      <c r="S44" s="16"/>
      <c r="T44" s="16"/>
      <c r="U44" s="16"/>
      <c r="V44" s="16"/>
      <c r="W44" s="5">
        <v>66571</v>
      </c>
      <c r="X44" s="5">
        <v>66957</v>
      </c>
      <c r="Z44" s="5"/>
      <c r="AB44" s="3"/>
      <c r="AC44" s="3"/>
      <c r="AD44" s="3"/>
    </row>
    <row r="45" spans="1:33" ht="18" x14ac:dyDescent="0.35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3"/>
        <v>vqL</v>
      </c>
      <c r="F45" s="21" t="s">
        <v>233</v>
      </c>
      <c r="G45" t="s">
        <v>319</v>
      </c>
      <c r="H45" s="21" t="s">
        <v>756</v>
      </c>
      <c r="I45" s="21" t="s">
        <v>905</v>
      </c>
      <c r="J45" s="21">
        <f t="shared" si="8"/>
        <v>164</v>
      </c>
      <c r="K45" s="21"/>
      <c r="L45" s="15">
        <f t="shared" si="2"/>
        <v>47.443835616438356</v>
      </c>
      <c r="M45" s="15"/>
      <c r="N45" s="15"/>
      <c r="O45" s="15"/>
      <c r="P45" s="15"/>
      <c r="Q45" s="15" t="s">
        <v>961</v>
      </c>
      <c r="R45" s="15"/>
      <c r="S45" s="16">
        <f>1+(1)</f>
        <v>2</v>
      </c>
      <c r="T45" s="16">
        <v>3</v>
      </c>
      <c r="U45" s="16">
        <v>2</v>
      </c>
      <c r="V45" s="16">
        <v>1</v>
      </c>
      <c r="W45" s="5">
        <v>49640</v>
      </c>
      <c r="X45" s="5">
        <v>66957</v>
      </c>
      <c r="Z45" s="5">
        <v>66668</v>
      </c>
      <c r="AA45" s="2" t="s">
        <v>2</v>
      </c>
      <c r="AB45" s="2">
        <v>1</v>
      </c>
      <c r="AC45" s="2">
        <v>1</v>
      </c>
      <c r="AE45" t="s">
        <v>242</v>
      </c>
      <c r="AF45" t="s">
        <v>245</v>
      </c>
      <c r="AG45" s="13" t="str">
        <f>C45</f>
        <v>Zofd vqL</v>
      </c>
    </row>
    <row r="46" spans="1:33" ht="18" x14ac:dyDescent="0.35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3"/>
        <v>nfdf</v>
      </c>
      <c r="F46" s="21" t="s">
        <v>234</v>
      </c>
      <c r="G46" t="s">
        <v>327</v>
      </c>
      <c r="H46" s="21" t="s">
        <v>756</v>
      </c>
      <c r="I46" s="21" t="s">
        <v>906</v>
      </c>
      <c r="J46" s="21">
        <f t="shared" si="8"/>
        <v>53</v>
      </c>
      <c r="K46" s="21"/>
      <c r="L46" s="15">
        <f t="shared" si="2"/>
        <v>55.257534246575339</v>
      </c>
      <c r="M46" s="15"/>
      <c r="N46" s="15"/>
      <c r="O46" s="15"/>
      <c r="P46" s="15"/>
      <c r="Q46" s="15" t="s">
        <v>965</v>
      </c>
      <c r="R46" s="15"/>
      <c r="S46" s="16">
        <v>0</v>
      </c>
      <c r="T46" s="16">
        <v>4</v>
      </c>
      <c r="U46" s="16">
        <v>3</v>
      </c>
      <c r="V46" s="16">
        <v>2</v>
      </c>
      <c r="W46" s="5">
        <v>46788</v>
      </c>
      <c r="X46" s="5">
        <v>66957</v>
      </c>
      <c r="Z46" s="5">
        <v>66618</v>
      </c>
      <c r="AA46" s="2" t="s">
        <v>2</v>
      </c>
      <c r="AB46" s="2">
        <v>4</v>
      </c>
      <c r="AC46" s="2">
        <v>3</v>
      </c>
      <c r="AD46" s="2">
        <v>1</v>
      </c>
      <c r="AE46" t="s">
        <v>242</v>
      </c>
      <c r="AF46" t="s">
        <v>245</v>
      </c>
    </row>
    <row r="47" spans="1:33" ht="18" x14ac:dyDescent="0.35">
      <c r="A47" s="6"/>
      <c r="C47" s="13" t="s">
        <v>382</v>
      </c>
      <c r="D47" s="13" t="str">
        <f t="shared" si="0"/>
        <v xml:space="preserve">/fh' </v>
      </c>
      <c r="E47" s="13" t="str">
        <f t="shared" si="3"/>
        <v>dfemL</v>
      </c>
      <c r="F47" s="21" t="s">
        <v>233</v>
      </c>
      <c r="H47" s="21" t="s">
        <v>756</v>
      </c>
      <c r="I47" s="21" t="s">
        <v>906</v>
      </c>
      <c r="J47" s="21">
        <f t="shared" si="8"/>
        <v>11</v>
      </c>
      <c r="K47" s="21"/>
      <c r="L47" s="15">
        <f t="shared" si="2"/>
        <v>52.909589041095892</v>
      </c>
      <c r="M47" s="15"/>
      <c r="N47" s="15"/>
      <c r="O47" s="15"/>
      <c r="P47" s="15"/>
      <c r="Q47" s="15"/>
      <c r="R47" s="15"/>
      <c r="S47" s="16"/>
      <c r="T47" s="16"/>
      <c r="U47" s="16"/>
      <c r="V47" s="16"/>
      <c r="W47" s="5">
        <v>47645</v>
      </c>
      <c r="X47" s="5">
        <v>66957</v>
      </c>
      <c r="Z47" s="5"/>
    </row>
    <row r="48" spans="1:33" ht="18" x14ac:dyDescent="0.35">
      <c r="A48" s="6"/>
      <c r="C48" s="13" t="s">
        <v>383</v>
      </c>
      <c r="D48" s="13" t="str">
        <f t="shared" si="0"/>
        <v xml:space="preserve">;lGbk </v>
      </c>
      <c r="E48" s="13" t="str">
        <f t="shared" si="3"/>
        <v>dfemL</v>
      </c>
      <c r="F48" s="21" t="s">
        <v>233</v>
      </c>
      <c r="H48" s="21" t="s">
        <v>757</v>
      </c>
      <c r="I48" s="21" t="s">
        <v>905</v>
      </c>
      <c r="J48" s="21">
        <f t="shared" si="8"/>
        <v>164</v>
      </c>
      <c r="K48" s="21"/>
      <c r="L48" s="15">
        <f t="shared" si="2"/>
        <v>26.991780821917807</v>
      </c>
      <c r="M48" s="15"/>
      <c r="N48" s="15"/>
      <c r="O48" s="15"/>
      <c r="P48" s="15"/>
      <c r="Q48" s="15"/>
      <c r="R48" s="15"/>
      <c r="S48" s="16"/>
      <c r="T48" s="16"/>
      <c r="U48" s="16"/>
      <c r="V48" s="16"/>
      <c r="W48" s="5">
        <v>57105</v>
      </c>
      <c r="X48" s="5">
        <v>66957</v>
      </c>
      <c r="Z48" s="5"/>
    </row>
    <row r="49" spans="1:32" ht="18" x14ac:dyDescent="0.35">
      <c r="A49" s="6"/>
      <c r="C49" s="13" t="s">
        <v>384</v>
      </c>
      <c r="D49" s="13" t="str">
        <f t="shared" si="0"/>
        <v xml:space="preserve">ljgf]b </v>
      </c>
      <c r="E49" s="13" t="str">
        <f t="shared" si="3"/>
        <v>dfemL</v>
      </c>
      <c r="F49" s="21" t="s">
        <v>233</v>
      </c>
      <c r="H49" s="21" t="s">
        <v>757</v>
      </c>
      <c r="I49" s="21" t="s">
        <v>905</v>
      </c>
      <c r="J49" s="21">
        <f t="shared" si="8"/>
        <v>164</v>
      </c>
      <c r="K49" s="21"/>
      <c r="L49" s="15">
        <f t="shared" si="2"/>
        <v>28.079452054794519</v>
      </c>
      <c r="M49" s="15"/>
      <c r="N49" s="15"/>
      <c r="O49" s="15"/>
      <c r="P49" s="15"/>
      <c r="Q49" s="15"/>
      <c r="R49" s="15"/>
      <c r="S49" s="16"/>
      <c r="T49" s="16"/>
      <c r="U49" s="16"/>
      <c r="V49" s="16"/>
      <c r="W49" s="5">
        <v>56708</v>
      </c>
      <c r="X49" s="5">
        <v>66957</v>
      </c>
      <c r="Z49" s="5"/>
    </row>
    <row r="50" spans="1:32" ht="18" x14ac:dyDescent="0.35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3"/>
        <v>sfsL{</v>
      </c>
      <c r="F50" s="21" t="s">
        <v>234</v>
      </c>
      <c r="G50" t="s">
        <v>312</v>
      </c>
      <c r="H50" s="21" t="s">
        <v>756</v>
      </c>
      <c r="I50" s="21" t="s">
        <v>905</v>
      </c>
      <c r="J50" s="21">
        <f t="shared" si="8"/>
        <v>107</v>
      </c>
      <c r="K50" s="21"/>
      <c r="L50" s="15">
        <f t="shared" si="2"/>
        <v>40.169863013698631</v>
      </c>
      <c r="M50" s="15"/>
      <c r="N50" s="15"/>
      <c r="O50" s="15"/>
      <c r="P50" s="15"/>
      <c r="Q50" s="15" t="s">
        <v>962</v>
      </c>
      <c r="R50" s="15"/>
      <c r="S50" s="16">
        <v>0</v>
      </c>
      <c r="T50" s="16">
        <v>3</v>
      </c>
      <c r="U50" s="16">
        <v>0</v>
      </c>
      <c r="V50" s="16">
        <v>1</v>
      </c>
      <c r="W50" s="5">
        <v>52295</v>
      </c>
      <c r="X50" s="5">
        <v>66957</v>
      </c>
      <c r="Z50" s="5">
        <v>66605</v>
      </c>
      <c r="AA50" s="2" t="s">
        <v>2</v>
      </c>
      <c r="AB50" s="2">
        <v>3</v>
      </c>
      <c r="AC50" s="2">
        <v>2</v>
      </c>
      <c r="AD50" s="2">
        <v>1</v>
      </c>
      <c r="AE50" t="s">
        <v>242</v>
      </c>
      <c r="AF50" t="s">
        <v>245</v>
      </c>
    </row>
    <row r="51" spans="1:32" ht="18" x14ac:dyDescent="0.35">
      <c r="A51" s="6"/>
      <c r="C51" s="13" t="s">
        <v>386</v>
      </c>
      <c r="D51" s="13" t="str">
        <f t="shared" si="0"/>
        <v xml:space="preserve">;'o{ </v>
      </c>
      <c r="E51" s="13" t="str">
        <f t="shared" si="3"/>
        <v>sfsL{</v>
      </c>
      <c r="F51" s="21" t="s">
        <v>233</v>
      </c>
      <c r="H51" s="21" t="s">
        <v>756</v>
      </c>
      <c r="I51" s="21" t="s">
        <v>905</v>
      </c>
      <c r="J51" s="21">
        <f t="shared" si="8"/>
        <v>164</v>
      </c>
      <c r="K51" s="21"/>
      <c r="L51" s="15">
        <f t="shared" si="2"/>
        <v>47.241095890410961</v>
      </c>
      <c r="M51" s="15"/>
      <c r="N51" s="15"/>
      <c r="O51" s="15"/>
      <c r="P51" s="15"/>
      <c r="Q51" s="15"/>
      <c r="R51" s="15"/>
      <c r="S51" s="16"/>
      <c r="T51" s="16"/>
      <c r="U51" s="16"/>
      <c r="V51" s="16"/>
      <c r="W51" s="5">
        <v>49714</v>
      </c>
      <c r="X51" s="5">
        <v>66957</v>
      </c>
      <c r="Z51" s="5"/>
    </row>
    <row r="52" spans="1:32" ht="18" x14ac:dyDescent="0.35">
      <c r="A52" s="6"/>
      <c r="C52" s="14" t="s">
        <v>387</v>
      </c>
      <c r="D52" s="13" t="str">
        <f t="shared" si="0"/>
        <v xml:space="preserve">;'hg </v>
      </c>
      <c r="E52" s="13" t="str">
        <f t="shared" si="3"/>
        <v>sfsL{</v>
      </c>
      <c r="F52" s="21" t="s">
        <v>233</v>
      </c>
      <c r="H52" s="21" t="s">
        <v>757</v>
      </c>
      <c r="I52" s="21" t="s">
        <v>905</v>
      </c>
      <c r="J52" s="21">
        <f t="shared" si="8"/>
        <v>164</v>
      </c>
      <c r="K52" s="21"/>
      <c r="L52" s="15">
        <f t="shared" si="2"/>
        <v>22.493150684931507</v>
      </c>
      <c r="M52" s="15"/>
      <c r="N52" s="15"/>
      <c r="O52" s="15"/>
      <c r="P52" s="15"/>
      <c r="Q52" s="15"/>
      <c r="R52" s="15"/>
      <c r="S52" s="16"/>
      <c r="T52" s="16"/>
      <c r="U52" s="16"/>
      <c r="V52" s="16"/>
      <c r="W52" s="5">
        <v>58747</v>
      </c>
      <c r="X52" s="5">
        <v>66957</v>
      </c>
      <c r="Z52" s="5"/>
    </row>
    <row r="53" spans="1:32" ht="18" x14ac:dyDescent="0.35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3"/>
        <v>dxt</v>
      </c>
      <c r="F53" s="21" t="s">
        <v>233</v>
      </c>
      <c r="G53" t="s">
        <v>285</v>
      </c>
      <c r="H53" s="21" t="s">
        <v>756</v>
      </c>
      <c r="I53" s="21" t="s">
        <v>905</v>
      </c>
      <c r="J53" s="21">
        <f t="shared" si="8"/>
        <v>164</v>
      </c>
      <c r="K53" s="21"/>
      <c r="L53" s="15">
        <f t="shared" si="2"/>
        <v>57.583561643835615</v>
      </c>
      <c r="M53" s="15"/>
      <c r="N53" s="15"/>
      <c r="O53" s="15"/>
      <c r="P53" s="15"/>
      <c r="Q53" s="15" t="s">
        <v>962</v>
      </c>
      <c r="R53" s="15"/>
      <c r="S53" s="16">
        <v>0</v>
      </c>
      <c r="T53" s="16">
        <v>3</v>
      </c>
      <c r="U53" s="16">
        <v>0</v>
      </c>
      <c r="V53" s="16">
        <v>0</v>
      </c>
      <c r="W53" s="5">
        <v>45939</v>
      </c>
      <c r="X53" s="5">
        <v>66957</v>
      </c>
      <c r="Z53" s="5">
        <v>66605</v>
      </c>
      <c r="AA53" s="2" t="s">
        <v>2</v>
      </c>
      <c r="AB53" s="2">
        <v>4</v>
      </c>
      <c r="AC53" s="2">
        <v>2</v>
      </c>
      <c r="AD53" s="2">
        <v>2</v>
      </c>
      <c r="AE53" t="s">
        <v>242</v>
      </c>
      <c r="AF53" t="s">
        <v>245</v>
      </c>
    </row>
    <row r="54" spans="1:32" ht="18" x14ac:dyDescent="0.35">
      <c r="A54" s="6"/>
      <c r="C54" s="14" t="s">
        <v>389</v>
      </c>
      <c r="D54" s="13" t="str">
        <f t="shared" si="0"/>
        <v xml:space="preserve">eujtL </v>
      </c>
      <c r="E54" s="13" t="str">
        <f t="shared" si="3"/>
        <v>dxt</v>
      </c>
      <c r="F54" s="21" t="s">
        <v>234</v>
      </c>
      <c r="H54" s="21" t="s">
        <v>756</v>
      </c>
      <c r="I54" s="21" t="s">
        <v>906</v>
      </c>
      <c r="J54" s="21">
        <f t="shared" si="8"/>
        <v>53</v>
      </c>
      <c r="K54" s="21"/>
      <c r="L54" s="15">
        <f t="shared" si="2"/>
        <v>52.534246575342465</v>
      </c>
      <c r="M54" s="15"/>
      <c r="N54" s="15"/>
      <c r="O54" s="15"/>
      <c r="P54" s="15"/>
      <c r="Q54" s="15"/>
      <c r="R54" s="15"/>
      <c r="S54" s="16"/>
      <c r="T54" s="16"/>
      <c r="U54" s="16"/>
      <c r="V54" s="16"/>
      <c r="W54" s="5">
        <v>47782</v>
      </c>
      <c r="X54" s="5">
        <v>66957</v>
      </c>
      <c r="Z54" s="5"/>
    </row>
    <row r="55" spans="1:32" ht="18" x14ac:dyDescent="0.35">
      <c r="A55" s="6"/>
      <c r="C55" s="14" t="s">
        <v>390</v>
      </c>
      <c r="D55" s="13" t="str">
        <f t="shared" si="0"/>
        <v xml:space="preserve">gj/fh </v>
      </c>
      <c r="E55" s="13" t="str">
        <f t="shared" si="3"/>
        <v>dxt</v>
      </c>
      <c r="F55" s="21" t="s">
        <v>233</v>
      </c>
      <c r="H55" s="21" t="s">
        <v>757</v>
      </c>
      <c r="I55" s="21" t="s">
        <v>905</v>
      </c>
      <c r="J55" s="21">
        <f t="shared" si="8"/>
        <v>164</v>
      </c>
      <c r="K55" s="21"/>
      <c r="L55" s="15">
        <f t="shared" si="2"/>
        <v>28.583561643835615</v>
      </c>
      <c r="M55" s="15"/>
      <c r="N55" s="15"/>
      <c r="O55" s="15"/>
      <c r="P55" s="15"/>
      <c r="Q55" s="15"/>
      <c r="R55" s="15"/>
      <c r="S55" s="16"/>
      <c r="T55" s="16"/>
      <c r="U55" s="16"/>
      <c r="V55" s="16"/>
      <c r="W55" s="5">
        <v>56524</v>
      </c>
      <c r="X55" s="5">
        <v>66957</v>
      </c>
      <c r="Z55" s="5"/>
    </row>
    <row r="56" spans="1:32" ht="18" x14ac:dyDescent="0.35">
      <c r="A56" s="6"/>
      <c r="C56" s="14" t="s">
        <v>391</v>
      </c>
      <c r="D56" s="13" t="str">
        <f t="shared" si="0"/>
        <v xml:space="preserve">gljgf </v>
      </c>
      <c r="E56" s="13" t="str">
        <f t="shared" si="3"/>
        <v>dxt</v>
      </c>
      <c r="F56" s="21" t="s">
        <v>234</v>
      </c>
      <c r="H56" s="21" t="s">
        <v>757</v>
      </c>
      <c r="I56" s="21" t="s">
        <v>905</v>
      </c>
      <c r="J56" s="21">
        <f t="shared" si="8"/>
        <v>107</v>
      </c>
      <c r="K56" s="21"/>
      <c r="L56" s="15">
        <f t="shared" si="2"/>
        <v>24.460273972602739</v>
      </c>
      <c r="M56" s="15"/>
      <c r="N56" s="15"/>
      <c r="O56" s="15"/>
      <c r="P56" s="15"/>
      <c r="Q56" s="15"/>
      <c r="R56" s="15"/>
      <c r="S56" s="16"/>
      <c r="T56" s="16"/>
      <c r="U56" s="16"/>
      <c r="V56" s="16"/>
      <c r="W56" s="5">
        <v>58029</v>
      </c>
      <c r="X56" s="5">
        <v>66957</v>
      </c>
      <c r="Z56" s="5"/>
    </row>
    <row r="57" spans="1:32" ht="18" x14ac:dyDescent="0.35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3"/>
        <v>a:g]t</v>
      </c>
      <c r="F57" s="21" t="s">
        <v>234</v>
      </c>
      <c r="G57" t="s">
        <v>275</v>
      </c>
      <c r="H57" s="21" t="s">
        <v>756</v>
      </c>
      <c r="I57" s="21" t="s">
        <v>906</v>
      </c>
      <c r="J57" s="21">
        <f t="shared" si="8"/>
        <v>53</v>
      </c>
      <c r="K57" s="21"/>
      <c r="L57" s="15">
        <f t="shared" si="2"/>
        <v>52.895890410958906</v>
      </c>
      <c r="M57" s="15"/>
      <c r="N57" s="15"/>
      <c r="O57" s="15"/>
      <c r="P57" s="15"/>
      <c r="Q57" s="15" t="s">
        <v>963</v>
      </c>
      <c r="R57" s="15"/>
      <c r="S57" s="16">
        <v>0</v>
      </c>
      <c r="T57" s="16">
        <v>3</v>
      </c>
      <c r="U57" s="16">
        <v>0</v>
      </c>
      <c r="V57" s="16">
        <v>0</v>
      </c>
      <c r="W57" s="5">
        <v>47650</v>
      </c>
      <c r="X57" s="5">
        <v>66957</v>
      </c>
      <c r="Z57" s="5">
        <v>66594</v>
      </c>
      <c r="AA57" s="2" t="s">
        <v>2</v>
      </c>
      <c r="AB57" s="2">
        <v>3</v>
      </c>
      <c r="AC57" s="2">
        <v>1</v>
      </c>
      <c r="AD57" s="2">
        <v>2</v>
      </c>
      <c r="AE57" t="s">
        <v>242</v>
      </c>
      <c r="AF57" t="s">
        <v>245</v>
      </c>
    </row>
    <row r="58" spans="1:32" ht="18" x14ac:dyDescent="0.35">
      <c r="A58" s="6"/>
      <c r="C58" s="14" t="s">
        <v>393</v>
      </c>
      <c r="D58" s="13" t="str">
        <f t="shared" si="0"/>
        <v xml:space="preserve">;l/tf </v>
      </c>
      <c r="E58" s="13" t="str">
        <f t="shared" si="3"/>
        <v>5]qL</v>
      </c>
      <c r="F58" s="21" t="s">
        <v>234</v>
      </c>
      <c r="H58" s="21" t="s">
        <v>757</v>
      </c>
      <c r="I58" s="21" t="s">
        <v>905</v>
      </c>
      <c r="J58" s="21">
        <f t="shared" si="8"/>
        <v>107</v>
      </c>
      <c r="K58" s="21"/>
      <c r="L58" s="15">
        <f t="shared" si="2"/>
        <v>24.487671232876714</v>
      </c>
      <c r="M58" s="15"/>
      <c r="N58" s="15"/>
      <c r="O58" s="15"/>
      <c r="P58" s="15"/>
      <c r="Q58" s="15"/>
      <c r="R58" s="15"/>
      <c r="S58" s="16"/>
      <c r="T58" s="16"/>
      <c r="U58" s="16"/>
      <c r="V58" s="16"/>
      <c r="W58" s="5">
        <v>58019</v>
      </c>
      <c r="X58" s="5">
        <v>66957</v>
      </c>
      <c r="Z58" s="5"/>
    </row>
    <row r="59" spans="1:32" ht="18" x14ac:dyDescent="0.35">
      <c r="A59" s="6"/>
      <c r="C59" s="14" t="s">
        <v>394</v>
      </c>
      <c r="D59" s="13" t="str">
        <f t="shared" si="0"/>
        <v xml:space="preserve">led </v>
      </c>
      <c r="E59" s="13" t="str">
        <f t="shared" si="3"/>
        <v>a:g]t</v>
      </c>
      <c r="F59" s="21" t="s">
        <v>233</v>
      </c>
      <c r="H59" s="21" t="s">
        <v>757</v>
      </c>
      <c r="I59" s="21" t="s">
        <v>905</v>
      </c>
      <c r="J59" s="21">
        <f t="shared" si="8"/>
        <v>164</v>
      </c>
      <c r="K59" s="21"/>
      <c r="L59" s="15">
        <f t="shared" si="2"/>
        <v>29.567123287671233</v>
      </c>
      <c r="M59" s="15"/>
      <c r="N59" s="15"/>
      <c r="O59" s="15"/>
      <c r="P59" s="15"/>
      <c r="Q59" s="15"/>
      <c r="R59" s="15"/>
      <c r="S59" s="16"/>
      <c r="T59" s="16"/>
      <c r="U59" s="16"/>
      <c r="V59" s="16"/>
      <c r="W59" s="5">
        <v>56165</v>
      </c>
      <c r="X59" s="5">
        <v>66957</v>
      </c>
      <c r="Z59" s="5"/>
    </row>
    <row r="60" spans="1:32" ht="18" x14ac:dyDescent="0.35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3"/>
        <v>9sfn</v>
      </c>
      <c r="F60" s="21" t="s">
        <v>233</v>
      </c>
      <c r="G60" t="s">
        <v>333</v>
      </c>
      <c r="H60" s="21" t="s">
        <v>756</v>
      </c>
      <c r="I60" s="21" t="s">
        <v>905</v>
      </c>
      <c r="J60" s="21">
        <f t="shared" si="8"/>
        <v>164</v>
      </c>
      <c r="K60" s="21"/>
      <c r="L60" s="15">
        <f t="shared" si="2"/>
        <v>30.638356164383563</v>
      </c>
      <c r="M60" s="15"/>
      <c r="N60" s="15"/>
      <c r="O60" s="15"/>
      <c r="P60" s="15"/>
      <c r="Q60" s="15" t="s">
        <v>961</v>
      </c>
      <c r="R60" s="15"/>
      <c r="S60" s="16">
        <v>1</v>
      </c>
      <c r="T60" s="16">
        <v>8</v>
      </c>
      <c r="U60" s="16">
        <v>0</v>
      </c>
      <c r="V60" s="16">
        <v>0</v>
      </c>
      <c r="W60" s="5">
        <v>55774</v>
      </c>
      <c r="X60" s="5">
        <v>66957</v>
      </c>
      <c r="Z60" s="5">
        <v>66589</v>
      </c>
      <c r="AA60" s="2" t="s">
        <v>2</v>
      </c>
      <c r="AB60" s="2">
        <v>6</v>
      </c>
      <c r="AC60" s="2">
        <v>2</v>
      </c>
      <c r="AD60" s="2">
        <v>4</v>
      </c>
      <c r="AE60" t="s">
        <v>242</v>
      </c>
      <c r="AF60" t="s">
        <v>245</v>
      </c>
    </row>
    <row r="61" spans="1:32" ht="18" x14ac:dyDescent="0.35">
      <c r="A61" s="6"/>
      <c r="C61" s="14" t="s">
        <v>396</v>
      </c>
      <c r="D61" s="13" t="str">
        <f t="shared" si="0"/>
        <v xml:space="preserve">;'lhtf </v>
      </c>
      <c r="E61" s="13" t="str">
        <f t="shared" si="3"/>
        <v>rf}nfufO{</v>
      </c>
      <c r="F61" s="21" t="s">
        <v>234</v>
      </c>
      <c r="H61" s="21" t="s">
        <v>756</v>
      </c>
      <c r="I61" s="21" t="s">
        <v>905</v>
      </c>
      <c r="J61" s="21">
        <f t="shared" si="8"/>
        <v>107</v>
      </c>
      <c r="K61" s="21"/>
      <c r="L61" s="15">
        <f t="shared" si="2"/>
        <v>30.860273972602741</v>
      </c>
      <c r="M61" s="15"/>
      <c r="N61" s="15"/>
      <c r="O61" s="15"/>
      <c r="P61" s="15"/>
      <c r="Q61" s="15"/>
      <c r="R61" s="15"/>
      <c r="S61" s="16"/>
      <c r="T61" s="16"/>
      <c r="U61" s="16"/>
      <c r="V61" s="16"/>
      <c r="W61" s="5">
        <v>55693</v>
      </c>
      <c r="X61" s="5">
        <v>66957</v>
      </c>
      <c r="Z61" s="5"/>
    </row>
    <row r="62" spans="1:32" ht="18" x14ac:dyDescent="0.35">
      <c r="A62" s="6"/>
      <c r="C62" s="14" t="s">
        <v>397</v>
      </c>
      <c r="D62" s="13" t="str">
        <f t="shared" si="0"/>
        <v xml:space="preserve">/fh]Gb| </v>
      </c>
      <c r="E62" s="13" t="str">
        <f t="shared" si="3"/>
        <v>9sfn</v>
      </c>
      <c r="F62" s="21" t="s">
        <v>233</v>
      </c>
      <c r="H62" s="21" t="s">
        <v>756</v>
      </c>
      <c r="I62" s="21" t="s">
        <v>905</v>
      </c>
      <c r="J62" s="21">
        <f t="shared" si="8"/>
        <v>164</v>
      </c>
      <c r="K62" s="21"/>
      <c r="L62" s="15">
        <f t="shared" si="2"/>
        <v>56.101369863013701</v>
      </c>
      <c r="M62" s="15"/>
      <c r="N62" s="15"/>
      <c r="O62" s="15"/>
      <c r="P62" s="15"/>
      <c r="Q62" s="15"/>
      <c r="R62" s="15"/>
      <c r="S62" s="16"/>
      <c r="T62" s="16"/>
      <c r="U62" s="16"/>
      <c r="V62" s="16"/>
      <c r="W62" s="5">
        <v>46480</v>
      </c>
      <c r="X62" s="5">
        <v>66957</v>
      </c>
      <c r="Z62" s="5"/>
    </row>
    <row r="63" spans="1:32" ht="18" x14ac:dyDescent="0.35">
      <c r="A63" s="6"/>
      <c r="C63" s="14" t="s">
        <v>398</v>
      </c>
      <c r="D63" s="13" t="str">
        <f t="shared" si="0"/>
        <v xml:space="preserve">uLtf </v>
      </c>
      <c r="E63" s="13" t="str">
        <f t="shared" si="3"/>
        <v>9sfn</v>
      </c>
      <c r="F63" s="21" t="s">
        <v>234</v>
      </c>
      <c r="H63" s="21" t="s">
        <v>756</v>
      </c>
      <c r="I63" s="21" t="s">
        <v>905</v>
      </c>
      <c r="J63" s="21">
        <f t="shared" si="8"/>
        <v>107</v>
      </c>
      <c r="K63" s="21"/>
      <c r="L63" s="15">
        <f t="shared" si="2"/>
        <v>50.805479452054797</v>
      </c>
      <c r="M63" s="15"/>
      <c r="N63" s="15"/>
      <c r="O63" s="15"/>
      <c r="P63" s="15"/>
      <c r="Q63" s="15"/>
      <c r="R63" s="15"/>
      <c r="S63" s="16"/>
      <c r="T63" s="16"/>
      <c r="U63" s="16"/>
      <c r="V63" s="16"/>
      <c r="W63" s="5">
        <v>48413</v>
      </c>
      <c r="X63" s="5">
        <v>66957</v>
      </c>
      <c r="Z63" s="5"/>
    </row>
    <row r="64" spans="1:32" ht="18" x14ac:dyDescent="0.35">
      <c r="A64" s="6"/>
      <c r="C64" s="14" t="s">
        <v>399</v>
      </c>
      <c r="D64" s="13" t="str">
        <f t="shared" si="0"/>
        <v xml:space="preserve">:jl:tsf </v>
      </c>
      <c r="E64" s="13" t="str">
        <f t="shared" si="3"/>
        <v>9sfn</v>
      </c>
      <c r="F64" s="21" t="s">
        <v>234</v>
      </c>
      <c r="H64" s="21" t="s">
        <v>757</v>
      </c>
      <c r="I64" s="21" t="s">
        <v>905</v>
      </c>
      <c r="J64" s="21">
        <f t="shared" si="8"/>
        <v>107</v>
      </c>
      <c r="K64" s="21"/>
      <c r="L64" s="15">
        <f t="shared" si="2"/>
        <v>27.432876712328767</v>
      </c>
      <c r="M64" s="15"/>
      <c r="N64" s="15"/>
      <c r="O64" s="15"/>
      <c r="P64" s="15"/>
      <c r="Q64" s="15"/>
      <c r="R64" s="15"/>
      <c r="S64" s="16"/>
      <c r="T64" s="16"/>
      <c r="U64" s="16"/>
      <c r="V64" s="16"/>
      <c r="W64" s="5">
        <v>56944</v>
      </c>
      <c r="X64" s="5">
        <v>66957</v>
      </c>
      <c r="Z64" s="5"/>
    </row>
    <row r="65" spans="1:32" ht="18" x14ac:dyDescent="0.35">
      <c r="A65" s="6"/>
      <c r="C65" s="14" t="s">
        <v>400</v>
      </c>
      <c r="D65" s="13" t="str">
        <f t="shared" si="0"/>
        <v xml:space="preserve">l&gt;l4sf </v>
      </c>
      <c r="E65" s="13" t="str">
        <f t="shared" si="3"/>
        <v>9sfn</v>
      </c>
      <c r="F65" s="21" t="s">
        <v>234</v>
      </c>
      <c r="H65" s="21" t="s">
        <v>757</v>
      </c>
      <c r="I65" s="21" t="s">
        <v>748</v>
      </c>
      <c r="J65" s="21" t="b">
        <f t="shared" si="8"/>
        <v>0</v>
      </c>
      <c r="K65" s="21"/>
      <c r="L65" s="15">
        <f t="shared" si="2"/>
        <v>4.4000000000000004</v>
      </c>
      <c r="M65" s="15"/>
      <c r="N65" s="15"/>
      <c r="O65" s="15"/>
      <c r="P65" s="15"/>
      <c r="Q65" s="15"/>
      <c r="R65" s="15"/>
      <c r="S65" s="16"/>
      <c r="T65" s="16"/>
      <c r="U65" s="16"/>
      <c r="V65" s="16"/>
      <c r="W65" s="5">
        <v>65351</v>
      </c>
      <c r="X65" s="5">
        <v>66957</v>
      </c>
      <c r="Z65" s="5"/>
    </row>
    <row r="66" spans="1:32" ht="18" x14ac:dyDescent="0.35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3"/>
        <v>vltj8f</v>
      </c>
      <c r="F66" s="21" t="s">
        <v>233</v>
      </c>
      <c r="G66" t="s">
        <v>252</v>
      </c>
      <c r="H66" s="21" t="s">
        <v>756</v>
      </c>
      <c r="I66" s="21" t="s">
        <v>905</v>
      </c>
      <c r="J66" s="21">
        <f t="shared" si="8"/>
        <v>164</v>
      </c>
      <c r="K66" s="21"/>
      <c r="L66" s="15">
        <f t="shared" si="2"/>
        <v>46.276712328767125</v>
      </c>
      <c r="M66" s="15"/>
      <c r="N66" s="15"/>
      <c r="O66" s="15"/>
      <c r="P66" s="15"/>
      <c r="Q66" s="15" t="s">
        <v>965</v>
      </c>
      <c r="R66" s="15"/>
      <c r="S66" s="16" t="s">
        <v>748</v>
      </c>
      <c r="T66" s="16" t="s">
        <v>748</v>
      </c>
      <c r="U66" s="16" t="s">
        <v>748</v>
      </c>
      <c r="V66" s="16" t="s">
        <v>748</v>
      </c>
      <c r="W66" s="5">
        <v>50066</v>
      </c>
      <c r="X66" s="5">
        <v>66957</v>
      </c>
      <c r="Z66" s="5">
        <v>66587</v>
      </c>
      <c r="AA66" s="2" t="s">
        <v>2</v>
      </c>
      <c r="AB66" s="2">
        <v>4</v>
      </c>
      <c r="AC66" s="2">
        <v>2</v>
      </c>
      <c r="AD66" s="2">
        <v>2</v>
      </c>
      <c r="AE66" t="s">
        <v>242</v>
      </c>
      <c r="AF66" t="s">
        <v>245</v>
      </c>
    </row>
    <row r="67" spans="1:32" ht="18" x14ac:dyDescent="0.35">
      <c r="A67" s="6"/>
      <c r="C67" s="14" t="s">
        <v>402</v>
      </c>
      <c r="D67" s="13" t="str">
        <f t="shared" si="0"/>
        <v xml:space="preserve">hgs </v>
      </c>
      <c r="E67" s="13" t="str">
        <f t="shared" si="3"/>
        <v>vltj8f</v>
      </c>
      <c r="F67" s="21" t="s">
        <v>233</v>
      </c>
      <c r="H67" s="21" t="s">
        <v>756</v>
      </c>
      <c r="I67" s="21" t="s">
        <v>906</v>
      </c>
      <c r="J67" s="21">
        <f t="shared" si="8"/>
        <v>11</v>
      </c>
      <c r="K67" s="21"/>
      <c r="L67" s="15">
        <f t="shared" si="2"/>
        <v>57.515068493150686</v>
      </c>
      <c r="M67" s="15"/>
      <c r="N67" s="15"/>
      <c r="O67" s="15"/>
      <c r="P67" s="15"/>
      <c r="Q67" s="15"/>
      <c r="R67" s="15"/>
      <c r="S67" s="16"/>
      <c r="T67" s="16"/>
      <c r="U67" s="16"/>
      <c r="V67" s="16"/>
      <c r="W67" s="5">
        <v>45964</v>
      </c>
      <c r="X67" s="5">
        <v>66957</v>
      </c>
      <c r="Z67" s="5"/>
    </row>
    <row r="68" spans="1:32" ht="18" x14ac:dyDescent="0.35">
      <c r="A68" s="6"/>
      <c r="C68" s="14" t="s">
        <v>403</v>
      </c>
      <c r="D68" s="13" t="str">
        <f t="shared" si="0"/>
        <v xml:space="preserve">dGh' </v>
      </c>
      <c r="E68" s="13" t="str">
        <f t="shared" si="3"/>
        <v>vltj8f</v>
      </c>
      <c r="F68" s="21" t="s">
        <v>234</v>
      </c>
      <c r="H68" s="21" t="s">
        <v>756</v>
      </c>
      <c r="I68" s="21" t="s">
        <v>906</v>
      </c>
      <c r="J68" s="21">
        <f t="shared" si="8"/>
        <v>53</v>
      </c>
      <c r="K68" s="21"/>
      <c r="L68" s="15">
        <f t="shared" si="2"/>
        <v>47.282191780821918</v>
      </c>
      <c r="M68" s="15"/>
      <c r="N68" s="15"/>
      <c r="O68" s="15"/>
      <c r="P68" s="15"/>
      <c r="Q68" s="15"/>
      <c r="R68" s="15"/>
      <c r="S68" s="16"/>
      <c r="T68" s="16"/>
      <c r="U68" s="16"/>
      <c r="V68" s="16"/>
      <c r="W68" s="5">
        <v>49699</v>
      </c>
      <c r="X68" s="5">
        <v>66957</v>
      </c>
      <c r="Z68" s="5"/>
    </row>
    <row r="69" spans="1:32" ht="18" x14ac:dyDescent="0.35">
      <c r="A69" s="6"/>
      <c r="C69" s="14" t="s">
        <v>404</v>
      </c>
      <c r="D69" s="13" t="str">
        <f t="shared" si="0"/>
        <v xml:space="preserve">s';'d </v>
      </c>
      <c r="E69" s="13" t="str">
        <f t="shared" si="3"/>
        <v>lg/f}nf</v>
      </c>
      <c r="F69" s="21" t="s">
        <v>234</v>
      </c>
      <c r="H69" s="21" t="s">
        <v>756</v>
      </c>
      <c r="I69" s="21" t="s">
        <v>905</v>
      </c>
      <c r="J69" s="21">
        <f t="shared" si="8"/>
        <v>107</v>
      </c>
      <c r="K69" s="21"/>
      <c r="L69" s="15">
        <f t="shared" si="2"/>
        <v>34.778082191780825</v>
      </c>
      <c r="M69" s="15"/>
      <c r="N69" s="15"/>
      <c r="O69" s="15"/>
      <c r="P69" s="15"/>
      <c r="Q69" s="15"/>
      <c r="R69" s="15"/>
      <c r="S69" s="16"/>
      <c r="T69" s="16"/>
      <c r="U69" s="16"/>
      <c r="V69" s="16"/>
      <c r="W69" s="5">
        <v>54263</v>
      </c>
      <c r="X69" s="5">
        <v>66957</v>
      </c>
      <c r="Z69" s="5"/>
    </row>
    <row r="70" spans="1:32" ht="18" x14ac:dyDescent="0.35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3"/>
        <v>af:sf]6f</v>
      </c>
      <c r="F70" s="21" t="s">
        <v>234</v>
      </c>
      <c r="G70" t="s">
        <v>256</v>
      </c>
      <c r="H70" s="21" t="s">
        <v>756</v>
      </c>
      <c r="I70" s="21" t="s">
        <v>906</v>
      </c>
      <c r="J70" s="21">
        <f t="shared" si="8"/>
        <v>53</v>
      </c>
      <c r="K70" s="21"/>
      <c r="L70" s="15">
        <f t="shared" si="2"/>
        <v>51.975342465753428</v>
      </c>
      <c r="M70" s="15"/>
      <c r="N70" s="15"/>
      <c r="O70" s="15"/>
      <c r="P70" s="15"/>
      <c r="Q70" s="15" t="s">
        <v>965</v>
      </c>
      <c r="R70" s="15"/>
      <c r="S70" s="16">
        <v>0</v>
      </c>
      <c r="T70" s="16">
        <v>6</v>
      </c>
      <c r="U70" s="16">
        <v>0</v>
      </c>
      <c r="V70" s="16">
        <v>2</v>
      </c>
      <c r="W70" s="5">
        <v>47986</v>
      </c>
      <c r="X70" s="5">
        <v>66957</v>
      </c>
      <c r="Z70" s="5">
        <v>66573</v>
      </c>
      <c r="AA70" s="2" t="s">
        <v>2</v>
      </c>
      <c r="AB70" s="2">
        <v>4</v>
      </c>
      <c r="AC70" s="2">
        <v>2</v>
      </c>
      <c r="AD70" s="2">
        <v>2</v>
      </c>
      <c r="AE70" t="s">
        <v>242</v>
      </c>
      <c r="AF70" t="s">
        <v>245</v>
      </c>
    </row>
    <row r="71" spans="1:32" ht="18" x14ac:dyDescent="0.35">
      <c r="A71" s="6"/>
      <c r="C71" s="14" t="s">
        <v>406</v>
      </c>
      <c r="D71" s="13" t="str">
        <f t="shared" ref="D71:D117" si="9">LEFT(C71,(FIND(" ",C71)))</f>
        <v xml:space="preserve">ofbj </v>
      </c>
      <c r="E71" s="13" t="str">
        <f t="shared" si="3"/>
        <v>af:sf]6f</v>
      </c>
      <c r="F71" s="21" t="s">
        <v>233</v>
      </c>
      <c r="H71" s="21" t="s">
        <v>756</v>
      </c>
      <c r="I71" s="21" t="s">
        <v>905</v>
      </c>
      <c r="J71" s="21">
        <f t="shared" si="8"/>
        <v>164</v>
      </c>
      <c r="K71" s="21"/>
      <c r="L71" s="15">
        <f t="shared" ref="L71:L134" si="10">(X71-W71)/365</f>
        <v>63.441095890410956</v>
      </c>
      <c r="M71" s="15"/>
      <c r="N71" s="15"/>
      <c r="O71" s="15"/>
      <c r="P71" s="15"/>
      <c r="Q71" s="15"/>
      <c r="R71" s="15"/>
      <c r="S71" s="16"/>
      <c r="T71" s="16"/>
      <c r="U71" s="16"/>
      <c r="V71" s="16"/>
      <c r="W71" s="5">
        <v>43801</v>
      </c>
      <c r="X71" s="5">
        <v>66957</v>
      </c>
      <c r="Z71" s="5"/>
    </row>
    <row r="72" spans="1:32" ht="18" x14ac:dyDescent="0.35">
      <c r="A72" s="6"/>
      <c r="C72" s="14" t="s">
        <v>407</v>
      </c>
      <c r="D72" s="13" t="str">
        <f t="shared" si="9"/>
        <v xml:space="preserve">cg' </v>
      </c>
      <c r="E72" s="13" t="str">
        <f t="shared" ref="E72:E118" si="11">TRIM(RIGHT(SUBSTITUTE(C72," ",REPT(" ",255)),255))</f>
        <v>af:sf]6f</v>
      </c>
      <c r="F72" s="21" t="s">
        <v>234</v>
      </c>
      <c r="H72" s="21" t="s">
        <v>757</v>
      </c>
      <c r="I72" s="21" t="s">
        <v>905</v>
      </c>
      <c r="J72" s="21">
        <f t="shared" si="8"/>
        <v>107</v>
      </c>
      <c r="K72" s="21"/>
      <c r="L72" s="15">
        <f t="shared" si="10"/>
        <v>32.728767123287675</v>
      </c>
      <c r="M72" s="15"/>
      <c r="N72" s="15"/>
      <c r="O72" s="15"/>
      <c r="P72" s="15"/>
      <c r="Q72" s="15"/>
      <c r="R72" s="15"/>
      <c r="S72" s="16"/>
      <c r="T72" s="16"/>
      <c r="U72" s="16"/>
      <c r="V72" s="16"/>
      <c r="W72" s="5">
        <v>55011</v>
      </c>
      <c r="X72" s="5">
        <v>66957</v>
      </c>
      <c r="Z72" s="5"/>
    </row>
    <row r="73" spans="1:32" ht="18" x14ac:dyDescent="0.35">
      <c r="A73" s="6"/>
      <c r="C73" s="14" t="s">
        <v>408</v>
      </c>
      <c r="D73" s="13" t="str">
        <f t="shared" si="9"/>
        <v xml:space="preserve">cg'k </v>
      </c>
      <c r="E73" s="13" t="str">
        <f t="shared" si="11"/>
        <v>af:sf]6f</v>
      </c>
      <c r="F73" s="21" t="s">
        <v>233</v>
      </c>
      <c r="H73" s="21" t="s">
        <v>757</v>
      </c>
      <c r="I73" s="21" t="s">
        <v>905</v>
      </c>
      <c r="J73" s="21">
        <f t="shared" si="8"/>
        <v>164</v>
      </c>
      <c r="K73" s="21"/>
      <c r="L73" s="15">
        <f t="shared" si="10"/>
        <v>31.257534246575343</v>
      </c>
      <c r="M73" s="15"/>
      <c r="N73" s="15"/>
      <c r="O73" s="15"/>
      <c r="P73" s="15"/>
      <c r="Q73" s="15"/>
      <c r="R73" s="15"/>
      <c r="S73" s="16"/>
      <c r="T73" s="16"/>
      <c r="U73" s="16"/>
      <c r="V73" s="16"/>
      <c r="W73" s="5">
        <v>55548</v>
      </c>
      <c r="X73" s="5">
        <v>66957</v>
      </c>
      <c r="Z73" s="5"/>
    </row>
    <row r="74" spans="1:32" ht="18" x14ac:dyDescent="0.35">
      <c r="A74" s="6">
        <v>22</v>
      </c>
      <c r="B74" t="s">
        <v>24</v>
      </c>
      <c r="C74" s="14" t="s">
        <v>415</v>
      </c>
      <c r="D74" s="13" t="str">
        <f t="shared" si="9"/>
        <v xml:space="preserve">hLjg </v>
      </c>
      <c r="E74" s="13" t="str">
        <f t="shared" si="11"/>
        <v>sfsL{</v>
      </c>
      <c r="F74" s="21" t="s">
        <v>233</v>
      </c>
      <c r="G74" t="s">
        <v>276</v>
      </c>
      <c r="H74" s="21" t="s">
        <v>756</v>
      </c>
      <c r="I74" s="21" t="s">
        <v>905</v>
      </c>
      <c r="J74" s="21">
        <f t="shared" si="8"/>
        <v>164</v>
      </c>
      <c r="K74" s="21"/>
      <c r="L74" s="15">
        <f t="shared" si="10"/>
        <v>39.871232876712327</v>
      </c>
      <c r="M74" s="15"/>
      <c r="N74" s="15"/>
      <c r="O74" s="15"/>
      <c r="P74" s="15"/>
      <c r="Q74" s="15" t="s">
        <v>964</v>
      </c>
      <c r="R74" s="15"/>
      <c r="S74" s="16">
        <f>0</f>
        <v>0</v>
      </c>
      <c r="T74" s="16">
        <f>2+(1)</f>
        <v>3</v>
      </c>
      <c r="U74" s="16">
        <v>0</v>
      </c>
      <c r="V74" s="16">
        <v>0</v>
      </c>
      <c r="W74" s="5">
        <v>52404</v>
      </c>
      <c r="X74" s="5">
        <v>66957</v>
      </c>
      <c r="Z74" s="5">
        <v>66408</v>
      </c>
      <c r="AA74" s="2" t="s">
        <v>2</v>
      </c>
      <c r="AB74" s="2">
        <v>5</v>
      </c>
      <c r="AC74" s="2">
        <v>2</v>
      </c>
      <c r="AD74" s="2">
        <v>3</v>
      </c>
      <c r="AE74" t="s">
        <v>242</v>
      </c>
      <c r="AF74" t="s">
        <v>245</v>
      </c>
    </row>
    <row r="75" spans="1:32" ht="18" x14ac:dyDescent="0.35">
      <c r="A75" s="6"/>
      <c r="C75" s="14" t="s">
        <v>416</v>
      </c>
      <c r="D75" s="13" t="str">
        <f t="shared" si="9"/>
        <v xml:space="preserve">s'zn </v>
      </c>
      <c r="E75" s="13" t="str">
        <f t="shared" si="11"/>
        <v>sfsL{</v>
      </c>
      <c r="F75" s="21" t="s">
        <v>233</v>
      </c>
      <c r="H75" s="21" t="s">
        <v>757</v>
      </c>
      <c r="I75" s="21" t="s">
        <v>905</v>
      </c>
      <c r="J75" s="21">
        <f t="shared" si="8"/>
        <v>164</v>
      </c>
      <c r="K75" s="21"/>
      <c r="L75" s="15">
        <f t="shared" si="10"/>
        <v>7.2520547945205482</v>
      </c>
      <c r="M75" s="15"/>
      <c r="N75" s="15"/>
      <c r="O75" s="15"/>
      <c r="P75" s="15"/>
      <c r="Q75" s="15"/>
      <c r="R75" s="15"/>
      <c r="S75" s="16"/>
      <c r="T75" s="16"/>
      <c r="U75" s="16"/>
      <c r="V75" s="16"/>
      <c r="W75" s="5">
        <v>64310</v>
      </c>
      <c r="X75" s="5">
        <v>66957</v>
      </c>
      <c r="Z75" s="5"/>
    </row>
    <row r="76" spans="1:32" ht="18" x14ac:dyDescent="0.35">
      <c r="A76" s="6"/>
      <c r="C76" s="14" t="s">
        <v>417</v>
      </c>
      <c r="D76" s="13" t="str">
        <f t="shared" si="9"/>
        <v xml:space="preserve">nIdL </v>
      </c>
      <c r="E76" s="13" t="str">
        <f t="shared" si="11"/>
        <v>a:g]t</v>
      </c>
      <c r="F76" s="21" t="s">
        <v>234</v>
      </c>
      <c r="H76" s="21" t="s">
        <v>756</v>
      </c>
      <c r="I76" s="21" t="s">
        <v>905</v>
      </c>
      <c r="J76" s="21">
        <f t="shared" si="8"/>
        <v>107</v>
      </c>
      <c r="K76" s="21"/>
      <c r="L76" s="15">
        <f t="shared" si="10"/>
        <v>36.482191780821921</v>
      </c>
      <c r="M76" s="15"/>
      <c r="N76" s="15"/>
      <c r="O76" s="15"/>
      <c r="P76" s="15"/>
      <c r="Q76" s="15"/>
      <c r="R76" s="15"/>
      <c r="S76" s="16"/>
      <c r="T76" s="16"/>
      <c r="U76" s="16"/>
      <c r="V76" s="16"/>
      <c r="W76" s="5">
        <v>53641</v>
      </c>
      <c r="X76" s="5">
        <v>66957</v>
      </c>
      <c r="Z76" s="5"/>
    </row>
    <row r="77" spans="1:32" ht="18" x14ac:dyDescent="0.35">
      <c r="A77" s="6"/>
      <c r="C77" s="14" t="s">
        <v>418</v>
      </c>
      <c r="D77" s="13" t="str">
        <f t="shared" si="9"/>
        <v xml:space="preserve">sNkgf </v>
      </c>
      <c r="E77" s="13" t="str">
        <f t="shared" si="11"/>
        <v>sfsL{</v>
      </c>
      <c r="F77" s="21" t="s">
        <v>234</v>
      </c>
      <c r="H77" s="21" t="s">
        <v>757</v>
      </c>
      <c r="I77" s="21" t="s">
        <v>905</v>
      </c>
      <c r="J77" s="21">
        <f t="shared" si="8"/>
        <v>107</v>
      </c>
      <c r="K77" s="21"/>
      <c r="L77" s="15">
        <f t="shared" si="10"/>
        <v>9.7479452054794518</v>
      </c>
      <c r="M77" s="15"/>
      <c r="N77" s="15"/>
      <c r="O77" s="15"/>
      <c r="P77" s="15"/>
      <c r="Q77" s="15"/>
      <c r="R77" s="15"/>
      <c r="S77" s="16"/>
      <c r="T77" s="16"/>
      <c r="U77" s="16"/>
      <c r="V77" s="16"/>
      <c r="W77" s="5">
        <v>63399</v>
      </c>
      <c r="X77" s="5">
        <v>66957</v>
      </c>
      <c r="Z77" s="5"/>
    </row>
    <row r="78" spans="1:32" ht="18" x14ac:dyDescent="0.35">
      <c r="A78" s="6"/>
      <c r="C78" s="14" t="s">
        <v>419</v>
      </c>
      <c r="D78" s="13" t="str">
        <f t="shared" si="9"/>
        <v xml:space="preserve">sljtf </v>
      </c>
      <c r="E78" s="13" t="str">
        <f t="shared" si="11"/>
        <v>sfsL{</v>
      </c>
      <c r="F78" s="21" t="s">
        <v>234</v>
      </c>
      <c r="H78" s="21" t="s">
        <v>757</v>
      </c>
      <c r="I78" s="21" t="s">
        <v>905</v>
      </c>
      <c r="J78" s="21">
        <f t="shared" si="8"/>
        <v>107</v>
      </c>
      <c r="K78" s="21"/>
      <c r="L78" s="15">
        <f t="shared" si="10"/>
        <v>11.764383561643836</v>
      </c>
      <c r="M78" s="15"/>
      <c r="N78" s="15"/>
      <c r="O78" s="15"/>
      <c r="P78" s="15"/>
      <c r="Q78" s="15"/>
      <c r="R78" s="15"/>
      <c r="S78" s="16"/>
      <c r="T78" s="16"/>
      <c r="U78" s="16"/>
      <c r="V78" s="16"/>
      <c r="W78" s="5">
        <v>62663</v>
      </c>
      <c r="X78" s="5">
        <v>66957</v>
      </c>
      <c r="Z78" s="5"/>
    </row>
    <row r="79" spans="1:32" ht="18" x14ac:dyDescent="0.35">
      <c r="A79" s="6">
        <v>23</v>
      </c>
      <c r="B79" t="s">
        <v>25</v>
      </c>
      <c r="C79" s="14" t="s">
        <v>420</v>
      </c>
      <c r="D79" s="13" t="str">
        <f t="shared" si="9"/>
        <v xml:space="preserve">jh| </v>
      </c>
      <c r="E79" s="13" t="str">
        <f t="shared" si="11"/>
        <v>vltj8f</v>
      </c>
      <c r="F79" s="21" t="s">
        <v>233</v>
      </c>
      <c r="G79" t="s">
        <v>253</v>
      </c>
      <c r="H79" s="21" t="s">
        <v>756</v>
      </c>
      <c r="I79" s="21" t="s">
        <v>905</v>
      </c>
      <c r="J79" s="21">
        <f t="shared" si="8"/>
        <v>164</v>
      </c>
      <c r="K79" s="21"/>
      <c r="L79" s="15">
        <f t="shared" si="10"/>
        <v>49.923287671232877</v>
      </c>
      <c r="M79" s="15"/>
      <c r="N79" s="15"/>
      <c r="O79" s="15"/>
      <c r="P79" s="15"/>
      <c r="Q79" s="15" t="s">
        <v>962</v>
      </c>
      <c r="R79" s="15"/>
      <c r="S79" s="16">
        <v>0</v>
      </c>
      <c r="T79" s="16">
        <v>4</v>
      </c>
      <c r="U79" s="16">
        <v>0</v>
      </c>
      <c r="V79" s="16">
        <v>0</v>
      </c>
      <c r="W79" s="5">
        <v>48735</v>
      </c>
      <c r="X79" s="5">
        <v>66957</v>
      </c>
      <c r="Z79" s="5">
        <v>66392</v>
      </c>
      <c r="AA79" s="2" t="s">
        <v>2</v>
      </c>
      <c r="AB79" s="2">
        <v>4</v>
      </c>
      <c r="AC79" s="2">
        <v>2</v>
      </c>
      <c r="AD79" s="2">
        <v>2</v>
      </c>
      <c r="AE79" t="s">
        <v>238</v>
      </c>
      <c r="AF79" t="s">
        <v>245</v>
      </c>
    </row>
    <row r="80" spans="1:32" ht="18" x14ac:dyDescent="0.35">
      <c r="A80" s="6"/>
      <c r="C80" s="14" t="s">
        <v>421</v>
      </c>
      <c r="D80" s="13" t="str">
        <f t="shared" si="9"/>
        <v xml:space="preserve">aGbgf </v>
      </c>
      <c r="E80" s="13" t="str">
        <f t="shared" si="11"/>
        <v>vltj8f</v>
      </c>
      <c r="F80" s="21" t="s">
        <v>234</v>
      </c>
      <c r="H80" s="21" t="s">
        <v>756</v>
      </c>
      <c r="I80" s="21" t="s">
        <v>906</v>
      </c>
      <c r="J80" s="21">
        <f t="shared" si="8"/>
        <v>53</v>
      </c>
      <c r="K80" s="21"/>
      <c r="L80" s="15">
        <f t="shared" si="10"/>
        <v>45.063013698630137</v>
      </c>
      <c r="M80" s="15"/>
      <c r="N80" s="15"/>
      <c r="O80" s="15"/>
      <c r="P80" s="15"/>
      <c r="Q80" s="15"/>
      <c r="R80" s="15"/>
      <c r="S80" s="16"/>
      <c r="T80" s="16"/>
      <c r="U80" s="16"/>
      <c r="V80" s="16"/>
      <c r="W80" s="5">
        <v>50509</v>
      </c>
      <c r="X80" s="5">
        <v>66957</v>
      </c>
      <c r="Z80" s="5"/>
    </row>
    <row r="81" spans="1:32" ht="18" x14ac:dyDescent="0.35">
      <c r="A81" s="6"/>
      <c r="C81" s="14" t="s">
        <v>422</v>
      </c>
      <c r="D81" s="13" t="str">
        <f t="shared" si="9"/>
        <v xml:space="preserve">lalgtf </v>
      </c>
      <c r="E81" s="13" t="str">
        <f t="shared" si="11"/>
        <v>vltj8f</v>
      </c>
      <c r="F81" s="21" t="s">
        <v>234</v>
      </c>
      <c r="H81" s="21" t="s">
        <v>757</v>
      </c>
      <c r="I81" s="21" t="s">
        <v>905</v>
      </c>
      <c r="J81" s="21">
        <f t="shared" si="8"/>
        <v>107</v>
      </c>
      <c r="K81" s="21"/>
      <c r="L81" s="15">
        <f t="shared" si="10"/>
        <v>25.657534246575342</v>
      </c>
      <c r="M81" s="15"/>
      <c r="N81" s="15"/>
      <c r="O81" s="15"/>
      <c r="P81" s="15"/>
      <c r="Q81" s="15"/>
      <c r="R81" s="15"/>
      <c r="S81" s="16"/>
      <c r="T81" s="16"/>
      <c r="U81" s="16"/>
      <c r="V81" s="16"/>
      <c r="W81" s="5">
        <v>57592</v>
      </c>
      <c r="X81" s="5">
        <v>66957</v>
      </c>
      <c r="Z81" s="5"/>
    </row>
    <row r="82" spans="1:32" ht="18" x14ac:dyDescent="0.35">
      <c r="A82" s="6"/>
      <c r="C82" s="14" t="s">
        <v>423</v>
      </c>
      <c r="D82" s="13" t="str">
        <f t="shared" si="9"/>
        <v xml:space="preserve">ljh]z </v>
      </c>
      <c r="E82" s="13" t="str">
        <f t="shared" si="11"/>
        <v>vltj8f</v>
      </c>
      <c r="F82" s="21" t="s">
        <v>233</v>
      </c>
      <c r="H82" s="21" t="s">
        <v>757</v>
      </c>
      <c r="I82" s="21" t="s">
        <v>905</v>
      </c>
      <c r="J82" s="21">
        <f t="shared" si="8"/>
        <v>164</v>
      </c>
      <c r="K82" s="21"/>
      <c r="L82" s="15">
        <f t="shared" si="10"/>
        <v>21.101369863013698</v>
      </c>
      <c r="M82" s="15"/>
      <c r="N82" s="15"/>
      <c r="O82" s="15"/>
      <c r="P82" s="15"/>
      <c r="Q82" s="15"/>
      <c r="R82" s="15"/>
      <c r="S82" s="16"/>
      <c r="T82" s="16"/>
      <c r="U82" s="16"/>
      <c r="V82" s="16"/>
      <c r="W82" s="5">
        <v>59255</v>
      </c>
      <c r="X82" s="5">
        <v>66957</v>
      </c>
      <c r="Z82" s="5"/>
    </row>
    <row r="83" spans="1:32" ht="18" x14ac:dyDescent="0.35">
      <c r="A83" s="6">
        <v>24</v>
      </c>
      <c r="B83" t="s">
        <v>26</v>
      </c>
      <c r="C83" s="14" t="s">
        <v>424</v>
      </c>
      <c r="D83" s="13" t="str">
        <f t="shared" si="9"/>
        <v xml:space="preserve">l6sf </v>
      </c>
      <c r="E83" s="13" t="str">
        <f t="shared" si="11"/>
        <v>sfsL{</v>
      </c>
      <c r="F83" s="21" t="s">
        <v>233</v>
      </c>
      <c r="G83" t="s">
        <v>330</v>
      </c>
      <c r="H83" s="21" t="s">
        <v>756</v>
      </c>
      <c r="I83" s="21" t="s">
        <v>906</v>
      </c>
      <c r="J83" s="21">
        <f t="shared" si="8"/>
        <v>11</v>
      </c>
      <c r="K83" s="21"/>
      <c r="L83" s="15">
        <f t="shared" si="10"/>
        <v>73.079452054794515</v>
      </c>
      <c r="M83" s="15"/>
      <c r="N83" s="15"/>
      <c r="O83" s="15"/>
      <c r="P83" s="15"/>
      <c r="Q83" s="15" t="s">
        <v>963</v>
      </c>
      <c r="R83" s="15"/>
      <c r="S83" s="16">
        <v>1</v>
      </c>
      <c r="T83" s="16">
        <v>1</v>
      </c>
      <c r="U83" s="16">
        <v>0</v>
      </c>
      <c r="V83" s="16">
        <v>0</v>
      </c>
      <c r="W83" s="5">
        <v>40283</v>
      </c>
      <c r="X83" s="5">
        <v>66957</v>
      </c>
      <c r="Z83" s="5">
        <v>66262</v>
      </c>
      <c r="AA83" s="2" t="s">
        <v>2</v>
      </c>
      <c r="AB83" s="2">
        <v>8</v>
      </c>
      <c r="AC83" s="2">
        <v>5</v>
      </c>
      <c r="AD83" s="2">
        <v>3</v>
      </c>
      <c r="AE83" t="s">
        <v>242</v>
      </c>
      <c r="AF83" t="s">
        <v>245</v>
      </c>
    </row>
    <row r="84" spans="1:32" ht="18" x14ac:dyDescent="0.35">
      <c r="A84" s="6"/>
      <c r="C84" s="14" t="s">
        <v>425</v>
      </c>
      <c r="D84" s="13" t="str">
        <f t="shared" si="9"/>
        <v xml:space="preserve">gf/fo0fL </v>
      </c>
      <c r="E84" s="13" t="str">
        <f t="shared" si="11"/>
        <v>sfsL{</v>
      </c>
      <c r="F84" s="21" t="s">
        <v>234</v>
      </c>
      <c r="H84" s="21" t="s">
        <v>756</v>
      </c>
      <c r="I84" s="21" t="s">
        <v>906</v>
      </c>
      <c r="J84" s="21">
        <f t="shared" si="8"/>
        <v>53</v>
      </c>
      <c r="K84" s="21"/>
      <c r="L84" s="15">
        <f t="shared" si="10"/>
        <v>61.734246575342468</v>
      </c>
      <c r="M84" s="15"/>
      <c r="N84" s="15"/>
      <c r="O84" s="15"/>
      <c r="P84" s="15"/>
      <c r="Q84" s="15"/>
      <c r="R84" s="15"/>
      <c r="S84" s="16"/>
      <c r="T84" s="16"/>
      <c r="U84" s="16"/>
      <c r="V84" s="16"/>
      <c r="W84" s="5">
        <v>44424</v>
      </c>
      <c r="X84" s="5">
        <v>66957</v>
      </c>
      <c r="Z84" s="5"/>
    </row>
    <row r="85" spans="1:32" ht="18" x14ac:dyDescent="0.35">
      <c r="A85" s="6"/>
      <c r="C85" s="14" t="s">
        <v>426</v>
      </c>
      <c r="D85" s="13" t="str">
        <f t="shared" si="9"/>
        <v xml:space="preserve">e'k]Gb| </v>
      </c>
      <c r="E85" s="13" t="str">
        <f t="shared" si="11"/>
        <v>sfsL{</v>
      </c>
      <c r="F85" s="21" t="s">
        <v>233</v>
      </c>
      <c r="H85" s="21" t="s">
        <v>756</v>
      </c>
      <c r="I85" s="21" t="s">
        <v>905</v>
      </c>
      <c r="J85" s="21">
        <f t="shared" si="8"/>
        <v>164</v>
      </c>
      <c r="K85" s="21"/>
      <c r="L85" s="15">
        <f t="shared" si="10"/>
        <v>45.024657534246572</v>
      </c>
      <c r="M85" s="15"/>
      <c r="N85" s="15"/>
      <c r="O85" s="15"/>
      <c r="P85" s="15"/>
      <c r="Q85" s="15"/>
      <c r="R85" s="15"/>
      <c r="S85" s="16"/>
      <c r="T85" s="16"/>
      <c r="U85" s="16"/>
      <c r="V85" s="16"/>
      <c r="W85" s="5">
        <v>50523</v>
      </c>
      <c r="X85" s="5">
        <v>66957</v>
      </c>
      <c r="Z85" s="5"/>
    </row>
    <row r="86" spans="1:32" ht="18" x14ac:dyDescent="0.35">
      <c r="A86" s="6"/>
      <c r="C86" s="14" t="s">
        <v>742</v>
      </c>
      <c r="D86" s="13" t="str">
        <f t="shared" si="9"/>
        <v xml:space="preserve">sNkgf </v>
      </c>
      <c r="E86" s="13" t="str">
        <f t="shared" si="11"/>
        <v>s]=;L</v>
      </c>
      <c r="F86" s="21" t="s">
        <v>234</v>
      </c>
      <c r="H86" s="21" t="s">
        <v>756</v>
      </c>
      <c r="I86" s="21" t="s">
        <v>905</v>
      </c>
      <c r="J86" s="21">
        <f t="shared" si="8"/>
        <v>107</v>
      </c>
      <c r="K86" s="21"/>
      <c r="L86" s="15">
        <f t="shared" si="10"/>
        <v>37.610958904109587</v>
      </c>
      <c r="M86" s="15"/>
      <c r="N86" s="15"/>
      <c r="O86" s="15"/>
      <c r="P86" s="15"/>
      <c r="Q86" s="15"/>
      <c r="R86" s="15"/>
      <c r="S86" s="16"/>
      <c r="T86" s="16"/>
      <c r="U86" s="16"/>
      <c r="V86" s="16"/>
      <c r="W86" s="5">
        <v>53229</v>
      </c>
      <c r="X86" s="5">
        <v>66957</v>
      </c>
      <c r="Z86" s="5"/>
    </row>
    <row r="87" spans="1:32" ht="18" x14ac:dyDescent="0.35">
      <c r="A87" s="6"/>
      <c r="C87" s="14" t="s">
        <v>427</v>
      </c>
      <c r="D87" s="13" t="str">
        <f t="shared" si="9"/>
        <v xml:space="preserve">cf]d </v>
      </c>
      <c r="E87" s="13" t="str">
        <f t="shared" si="11"/>
        <v>sfsL{</v>
      </c>
      <c r="F87" s="21" t="s">
        <v>233</v>
      </c>
      <c r="H87" s="21" t="s">
        <v>757</v>
      </c>
      <c r="I87" s="21" t="s">
        <v>905</v>
      </c>
      <c r="J87" s="21">
        <f t="shared" si="8"/>
        <v>164</v>
      </c>
      <c r="K87" s="21"/>
      <c r="L87" s="15">
        <f t="shared" si="10"/>
        <v>12.134246575342466</v>
      </c>
      <c r="M87" s="15"/>
      <c r="N87" s="15"/>
      <c r="O87" s="15"/>
      <c r="P87" s="15"/>
      <c r="Q87" s="15"/>
      <c r="R87" s="15"/>
      <c r="S87" s="16"/>
      <c r="T87" s="16"/>
      <c r="U87" s="16"/>
      <c r="V87" s="16"/>
      <c r="W87" s="5">
        <v>62528</v>
      </c>
      <c r="X87" s="5">
        <v>66957</v>
      </c>
      <c r="Z87" s="5"/>
    </row>
    <row r="88" spans="1:32" ht="18" x14ac:dyDescent="0.35">
      <c r="A88" s="6"/>
      <c r="C88" s="14" t="s">
        <v>428</v>
      </c>
      <c r="D88" s="13" t="str">
        <f t="shared" si="9"/>
        <v xml:space="preserve">n]v </v>
      </c>
      <c r="E88" s="13" t="str">
        <f t="shared" si="11"/>
        <v>sfsL{</v>
      </c>
      <c r="F88" s="21" t="s">
        <v>233</v>
      </c>
      <c r="H88" s="21" t="s">
        <v>756</v>
      </c>
      <c r="I88" s="21" t="s">
        <v>905</v>
      </c>
      <c r="J88" s="21">
        <f t="shared" si="8"/>
        <v>164</v>
      </c>
      <c r="K88" s="21"/>
      <c r="L88" s="15">
        <f t="shared" si="10"/>
        <v>43.578082191780823</v>
      </c>
      <c r="M88" s="15"/>
      <c r="N88" s="15"/>
      <c r="O88" s="15"/>
      <c r="P88" s="15"/>
      <c r="Q88" s="15"/>
      <c r="R88" s="15"/>
      <c r="S88" s="16"/>
      <c r="T88" s="16"/>
      <c r="U88" s="16"/>
      <c r="V88" s="16"/>
      <c r="W88" s="5">
        <v>51051</v>
      </c>
      <c r="X88" s="5">
        <v>66957</v>
      </c>
      <c r="Z88" s="5"/>
    </row>
    <row r="89" spans="1:32" ht="18" x14ac:dyDescent="0.35">
      <c r="A89" s="6"/>
      <c r="C89" s="14" t="s">
        <v>429</v>
      </c>
      <c r="D89" s="13" t="str">
        <f t="shared" si="9"/>
        <v xml:space="preserve">Plnhf </v>
      </c>
      <c r="E89" s="13" t="str">
        <f t="shared" si="11"/>
        <v>s]=;L</v>
      </c>
      <c r="F89" s="21" t="s">
        <v>234</v>
      </c>
      <c r="H89" s="21" t="s">
        <v>756</v>
      </c>
      <c r="I89" s="21" t="s">
        <v>905</v>
      </c>
      <c r="J89" s="21">
        <f t="shared" si="8"/>
        <v>107</v>
      </c>
      <c r="K89" s="21"/>
      <c r="L89" s="15">
        <f t="shared" si="10"/>
        <v>37.180821917808217</v>
      </c>
      <c r="M89" s="15"/>
      <c r="N89" s="15"/>
      <c r="O89" s="15"/>
      <c r="P89" s="15"/>
      <c r="Q89" s="15"/>
      <c r="R89" s="15"/>
      <c r="S89" s="16"/>
      <c r="T89" s="16"/>
      <c r="U89" s="16"/>
      <c r="V89" s="16"/>
      <c r="W89" s="5">
        <v>53386</v>
      </c>
      <c r="X89" s="5">
        <v>66957</v>
      </c>
      <c r="Z89" s="5"/>
    </row>
    <row r="90" spans="1:32" ht="18" x14ac:dyDescent="0.35">
      <c r="A90" s="6"/>
      <c r="C90" s="14" t="s">
        <v>430</v>
      </c>
      <c r="D90" s="13" t="str">
        <f t="shared" si="9"/>
        <v xml:space="preserve">cf/f]Uo </v>
      </c>
      <c r="E90" s="13" t="str">
        <f t="shared" si="11"/>
        <v>sfsL{</v>
      </c>
      <c r="F90" s="21" t="s">
        <v>233</v>
      </c>
      <c r="H90" s="21" t="s">
        <v>757</v>
      </c>
      <c r="I90" s="21" t="s">
        <v>905</v>
      </c>
      <c r="J90" s="21">
        <f t="shared" si="8"/>
        <v>164</v>
      </c>
      <c r="K90" s="21"/>
      <c r="L90" s="15">
        <f t="shared" si="10"/>
        <v>12.608219178082193</v>
      </c>
      <c r="M90" s="15"/>
      <c r="N90" s="15"/>
      <c r="O90" s="15"/>
      <c r="P90" s="15"/>
      <c r="Q90" s="15"/>
      <c r="R90" s="15"/>
      <c r="S90" s="16"/>
      <c r="T90" s="16"/>
      <c r="U90" s="16"/>
      <c r="V90" s="16"/>
      <c r="W90" s="5">
        <v>62355</v>
      </c>
      <c r="X90" s="5">
        <v>66957</v>
      </c>
      <c r="Z90" s="5"/>
    </row>
    <row r="91" spans="1:32" ht="18" x14ac:dyDescent="0.35">
      <c r="A91" s="6">
        <v>26</v>
      </c>
      <c r="B91" t="s">
        <v>27</v>
      </c>
      <c r="C91" s="13" t="s">
        <v>707</v>
      </c>
      <c r="D91" s="13" t="str">
        <f t="shared" si="9"/>
        <v xml:space="preserve">6]s </v>
      </c>
      <c r="E91" s="13" t="str">
        <f t="shared" si="11"/>
        <v>jnDkfsL</v>
      </c>
      <c r="F91" s="21" t="s">
        <v>233</v>
      </c>
      <c r="G91" t="s">
        <v>329</v>
      </c>
      <c r="H91" s="21" t="s">
        <v>756</v>
      </c>
      <c r="I91" s="21" t="s">
        <v>905</v>
      </c>
      <c r="J91" s="21">
        <f t="shared" si="8"/>
        <v>164</v>
      </c>
      <c r="K91" s="21"/>
      <c r="L91" s="15">
        <f t="shared" si="10"/>
        <v>61.846575342465755</v>
      </c>
      <c r="M91" s="15"/>
      <c r="N91" s="15"/>
      <c r="O91" s="15"/>
      <c r="P91" s="15"/>
      <c r="Q91" s="15" t="s">
        <v>962</v>
      </c>
      <c r="R91" s="15"/>
      <c r="S91" s="16">
        <v>0</v>
      </c>
      <c r="T91" s="16">
        <v>4</v>
      </c>
      <c r="U91" s="16">
        <v>2</v>
      </c>
      <c r="V91" s="16">
        <v>0</v>
      </c>
      <c r="W91" s="5">
        <v>44383</v>
      </c>
      <c r="X91" s="5">
        <v>66957</v>
      </c>
      <c r="Z91" s="5">
        <v>66240</v>
      </c>
      <c r="AA91" s="2" t="s">
        <v>2</v>
      </c>
      <c r="AB91" s="2">
        <v>5</v>
      </c>
      <c r="AC91" s="2">
        <v>3</v>
      </c>
      <c r="AD91" s="2">
        <v>2</v>
      </c>
      <c r="AE91" t="s">
        <v>242</v>
      </c>
      <c r="AF91" t="s">
        <v>245</v>
      </c>
    </row>
    <row r="92" spans="1:32" ht="18" x14ac:dyDescent="0.35">
      <c r="A92" s="6"/>
      <c r="C92" s="13" t="s">
        <v>708</v>
      </c>
      <c r="D92" s="13" t="str">
        <f t="shared" si="9"/>
        <v xml:space="preserve">lnnf </v>
      </c>
      <c r="E92" s="13" t="str">
        <f t="shared" si="11"/>
        <v>du/</v>
      </c>
      <c r="F92" s="21" t="s">
        <v>234</v>
      </c>
      <c r="H92" s="21" t="s">
        <v>756</v>
      </c>
      <c r="I92" s="21" t="s">
        <v>906</v>
      </c>
      <c r="J92" s="21">
        <f t="shared" si="8"/>
        <v>53</v>
      </c>
      <c r="K92" s="21"/>
      <c r="L92" s="15">
        <f t="shared" si="10"/>
        <v>52.5013698630137</v>
      </c>
      <c r="M92" s="15"/>
      <c r="N92" s="15"/>
      <c r="O92" s="15"/>
      <c r="P92" s="15"/>
      <c r="Q92" s="15"/>
      <c r="R92" s="15"/>
      <c r="S92" s="16"/>
      <c r="T92" s="16"/>
      <c r="U92" s="16"/>
      <c r="V92" s="16"/>
      <c r="W92" s="5">
        <v>47794</v>
      </c>
      <c r="X92" s="5">
        <v>66957</v>
      </c>
      <c r="Z92" s="5"/>
    </row>
    <row r="93" spans="1:32" ht="18" x14ac:dyDescent="0.35">
      <c r="A93" s="6"/>
      <c r="C93" s="13" t="s">
        <v>709</v>
      </c>
      <c r="D93" s="13" t="str">
        <f t="shared" si="9"/>
        <v xml:space="preserve">;Gtf]if </v>
      </c>
      <c r="E93" s="13" t="s">
        <v>734</v>
      </c>
      <c r="F93" s="21" t="s">
        <v>233</v>
      </c>
      <c r="H93" s="21" t="s">
        <v>757</v>
      </c>
      <c r="I93" s="21" t="s">
        <v>905</v>
      </c>
      <c r="J93" s="21">
        <f t="shared" si="8"/>
        <v>164</v>
      </c>
      <c r="K93" s="21"/>
      <c r="L93" s="15">
        <f t="shared" si="10"/>
        <v>33.898630136986299</v>
      </c>
      <c r="M93" s="15"/>
      <c r="N93" s="15"/>
      <c r="O93" s="15"/>
      <c r="P93" s="15"/>
      <c r="Q93" s="15"/>
      <c r="R93" s="15"/>
      <c r="S93" s="16"/>
      <c r="T93" s="16"/>
      <c r="U93" s="16"/>
      <c r="V93" s="16"/>
      <c r="W93" s="5">
        <v>54584</v>
      </c>
      <c r="X93" s="5">
        <v>66957</v>
      </c>
      <c r="Z93" s="5"/>
    </row>
    <row r="94" spans="1:32" ht="18" x14ac:dyDescent="0.35">
      <c r="A94" s="6"/>
      <c r="C94" s="13" t="s">
        <v>710</v>
      </c>
      <c r="D94" s="13" t="str">
        <f t="shared" si="9"/>
        <v xml:space="preserve">ladnf </v>
      </c>
      <c r="E94" s="13" t="str">
        <f t="shared" si="11"/>
        <v>du/</v>
      </c>
      <c r="F94" s="21" t="s">
        <v>234</v>
      </c>
      <c r="H94" s="21" t="s">
        <v>757</v>
      </c>
      <c r="I94" s="21" t="s">
        <v>906</v>
      </c>
      <c r="J94" s="21">
        <f t="shared" si="8"/>
        <v>53</v>
      </c>
      <c r="K94" s="21"/>
      <c r="L94" s="15">
        <f t="shared" si="10"/>
        <v>31.731506849315068</v>
      </c>
      <c r="M94" s="15"/>
      <c r="N94" s="15"/>
      <c r="O94" s="15"/>
      <c r="P94" s="15"/>
      <c r="Q94" s="15"/>
      <c r="R94" s="15"/>
      <c r="S94" s="16"/>
      <c r="T94" s="16"/>
      <c r="U94" s="16"/>
      <c r="V94" s="16"/>
      <c r="W94" s="5">
        <v>55375</v>
      </c>
      <c r="X94" s="5">
        <v>66957</v>
      </c>
      <c r="Z94" s="5"/>
    </row>
    <row r="95" spans="1:32" ht="18" x14ac:dyDescent="0.35">
      <c r="A95" s="6"/>
      <c r="C95" s="13" t="s">
        <v>711</v>
      </c>
      <c r="D95" s="13" t="str">
        <f t="shared" si="9"/>
        <v xml:space="preserve">/]zd </v>
      </c>
      <c r="E95" s="13" t="s">
        <v>734</v>
      </c>
      <c r="F95" s="21" t="s">
        <v>233</v>
      </c>
      <c r="H95" s="21" t="s">
        <v>757</v>
      </c>
      <c r="I95" s="21" t="s">
        <v>905</v>
      </c>
      <c r="J95" s="21">
        <f t="shared" si="8"/>
        <v>164</v>
      </c>
      <c r="K95" s="21"/>
      <c r="L95" s="15">
        <f t="shared" si="10"/>
        <v>26.764383561643836</v>
      </c>
      <c r="M95" s="15"/>
      <c r="N95" s="15"/>
      <c r="O95" s="15"/>
      <c r="P95" s="15"/>
      <c r="Q95" s="15"/>
      <c r="R95" s="15"/>
      <c r="S95" s="16"/>
      <c r="T95" s="16"/>
      <c r="U95" s="16"/>
      <c r="V95" s="16"/>
      <c r="W95" s="5">
        <v>57188</v>
      </c>
      <c r="X95" s="5">
        <v>66957</v>
      </c>
      <c r="Z95" s="5"/>
    </row>
    <row r="96" spans="1:32" ht="18" x14ac:dyDescent="0.35">
      <c r="A96" s="6">
        <v>27</v>
      </c>
      <c r="B96" t="s">
        <v>28</v>
      </c>
      <c r="C96" s="13" t="s">
        <v>712</v>
      </c>
      <c r="D96" s="13" t="str">
        <f t="shared" si="9"/>
        <v xml:space="preserve">;Gtf]sL </v>
      </c>
      <c r="E96" s="13" t="str">
        <f t="shared" si="11"/>
        <v>vqL</v>
      </c>
      <c r="F96" s="21" t="s">
        <v>234</v>
      </c>
      <c r="G96" t="s">
        <v>314</v>
      </c>
      <c r="H96" s="21" t="s">
        <v>756</v>
      </c>
      <c r="I96" s="21" t="s">
        <v>905</v>
      </c>
      <c r="J96" s="21">
        <f t="shared" si="8"/>
        <v>107</v>
      </c>
      <c r="K96" s="21"/>
      <c r="L96" s="15">
        <f t="shared" si="10"/>
        <v>66.169863013698631</v>
      </c>
      <c r="M96" s="15"/>
      <c r="N96" s="15"/>
      <c r="O96" s="15"/>
      <c r="P96" s="15"/>
      <c r="Q96" s="15" t="s">
        <v>961</v>
      </c>
      <c r="R96" s="15"/>
      <c r="S96" s="16">
        <v>3</v>
      </c>
      <c r="T96" s="16">
        <v>7</v>
      </c>
      <c r="U96" s="16">
        <v>2</v>
      </c>
      <c r="V96" s="16">
        <v>0</v>
      </c>
      <c r="W96" s="5">
        <v>42805</v>
      </c>
      <c r="X96" s="5">
        <v>66957</v>
      </c>
      <c r="Z96" s="5">
        <v>66231</v>
      </c>
      <c r="AA96" s="2" t="s">
        <v>2</v>
      </c>
      <c r="AB96" s="2">
        <v>1</v>
      </c>
      <c r="AC96" s="2">
        <v>1</v>
      </c>
      <c r="AE96" t="s">
        <v>242</v>
      </c>
      <c r="AF96" t="s">
        <v>245</v>
      </c>
    </row>
    <row r="97" spans="1:32" ht="18" x14ac:dyDescent="0.35">
      <c r="A97" s="6">
        <v>29</v>
      </c>
      <c r="B97" t="s">
        <v>30</v>
      </c>
      <c r="C97" s="13" t="s">
        <v>432</v>
      </c>
      <c r="D97" s="13" t="str">
        <f t="shared" si="9"/>
        <v xml:space="preserve">bof </v>
      </c>
      <c r="E97" s="13" t="str">
        <f t="shared" si="11"/>
        <v>vqL</v>
      </c>
      <c r="F97" s="21" t="s">
        <v>233</v>
      </c>
      <c r="G97" t="s">
        <v>254</v>
      </c>
      <c r="H97" s="21" t="s">
        <v>756</v>
      </c>
      <c r="I97" s="21" t="s">
        <v>905</v>
      </c>
      <c r="J97" s="21">
        <f t="shared" si="8"/>
        <v>164</v>
      </c>
      <c r="K97" s="21"/>
      <c r="L97" s="15">
        <f t="shared" si="10"/>
        <v>58.81095890410959</v>
      </c>
      <c r="M97" s="15"/>
      <c r="N97" s="15"/>
      <c r="O97" s="15"/>
      <c r="P97" s="15"/>
      <c r="Q97" s="15" t="s">
        <v>963</v>
      </c>
      <c r="R97" s="15"/>
      <c r="S97" s="16">
        <v>0</v>
      </c>
      <c r="T97" s="16">
        <v>4</v>
      </c>
      <c r="U97" s="16">
        <v>0</v>
      </c>
      <c r="V97" s="16">
        <v>0</v>
      </c>
      <c r="W97" s="5">
        <v>45491</v>
      </c>
      <c r="X97" s="5">
        <v>66957</v>
      </c>
      <c r="Z97" s="5">
        <v>66188</v>
      </c>
      <c r="AA97" s="2" t="s">
        <v>2</v>
      </c>
      <c r="AB97" s="2">
        <v>7</v>
      </c>
      <c r="AC97" s="2">
        <v>3</v>
      </c>
      <c r="AD97" s="2">
        <v>4</v>
      </c>
      <c r="AE97" t="s">
        <v>242</v>
      </c>
      <c r="AF97" t="s">
        <v>245</v>
      </c>
    </row>
    <row r="98" spans="1:32" ht="18" x14ac:dyDescent="0.35">
      <c r="A98" s="6"/>
      <c r="C98" s="13" t="s">
        <v>433</v>
      </c>
      <c r="D98" s="13" t="str">
        <f t="shared" si="9"/>
        <v xml:space="preserve">z'e]R5f </v>
      </c>
      <c r="E98" s="13" t="str">
        <f t="shared" si="11"/>
        <v>lai6</v>
      </c>
      <c r="F98" s="21" t="s">
        <v>234</v>
      </c>
      <c r="H98" s="21" t="s">
        <v>756</v>
      </c>
      <c r="I98" s="21" t="s">
        <v>905</v>
      </c>
      <c r="J98" s="21">
        <f t="shared" si="8"/>
        <v>107</v>
      </c>
      <c r="K98" s="21"/>
      <c r="L98" s="15">
        <f t="shared" si="10"/>
        <v>29.986301369863014</v>
      </c>
      <c r="M98" s="15"/>
      <c r="N98" s="15"/>
      <c r="O98" s="15"/>
      <c r="P98" s="15"/>
      <c r="Q98" s="15"/>
      <c r="R98" s="15"/>
      <c r="S98" s="16"/>
      <c r="T98" s="16"/>
      <c r="U98" s="16"/>
      <c r="V98" s="16"/>
      <c r="W98" s="5">
        <v>56012</v>
      </c>
      <c r="X98" s="5">
        <v>66957</v>
      </c>
      <c r="Z98" s="5"/>
    </row>
    <row r="99" spans="1:32" ht="18" x14ac:dyDescent="0.35">
      <c r="A99" s="6"/>
      <c r="C99" s="13" t="s">
        <v>434</v>
      </c>
      <c r="D99" s="13" t="str">
        <f t="shared" si="9"/>
        <v xml:space="preserve">;fgeL </v>
      </c>
      <c r="E99" s="13" t="str">
        <f t="shared" si="11"/>
        <v>s]=;L</v>
      </c>
      <c r="F99" s="21" t="s">
        <v>234</v>
      </c>
      <c r="H99" s="21" t="s">
        <v>757</v>
      </c>
      <c r="I99" s="21" t="s">
        <v>748</v>
      </c>
      <c r="J99" s="21" t="b">
        <f t="shared" si="8"/>
        <v>0</v>
      </c>
      <c r="K99" s="21"/>
      <c r="L99" s="15">
        <f t="shared" si="10"/>
        <v>3.4164383561643836</v>
      </c>
      <c r="M99" s="15"/>
      <c r="N99" s="15"/>
      <c r="O99" s="15"/>
      <c r="P99" s="15"/>
      <c r="Q99" s="15"/>
      <c r="R99" s="15"/>
      <c r="S99" s="16"/>
      <c r="T99" s="16"/>
      <c r="U99" s="16"/>
      <c r="V99" s="16"/>
      <c r="W99" s="5">
        <v>65710</v>
      </c>
      <c r="X99" s="5">
        <v>66957</v>
      </c>
      <c r="Z99" s="5"/>
    </row>
    <row r="100" spans="1:32" ht="18" x14ac:dyDescent="0.35">
      <c r="A100" s="6"/>
      <c r="C100" s="13" t="s">
        <v>435</v>
      </c>
      <c r="D100" s="13" t="str">
        <f t="shared" si="9"/>
        <v xml:space="preserve">;Gtf]if </v>
      </c>
      <c r="E100" s="13" t="str">
        <f t="shared" si="11"/>
        <v>s]=;L</v>
      </c>
      <c r="F100" s="21" t="s">
        <v>233</v>
      </c>
      <c r="H100" s="21" t="s">
        <v>756</v>
      </c>
      <c r="I100" s="21" t="s">
        <v>905</v>
      </c>
      <c r="J100" s="21">
        <f t="shared" si="8"/>
        <v>164</v>
      </c>
      <c r="K100" s="21"/>
      <c r="L100" s="15">
        <f t="shared" si="10"/>
        <v>36.063013698630137</v>
      </c>
      <c r="M100" s="15"/>
      <c r="N100" s="15"/>
      <c r="O100" s="15"/>
      <c r="P100" s="15"/>
      <c r="Q100" s="15"/>
      <c r="R100" s="15"/>
      <c r="S100" s="16"/>
      <c r="T100" s="16"/>
      <c r="U100" s="16"/>
      <c r="V100" s="16"/>
      <c r="W100" s="5">
        <v>53794</v>
      </c>
      <c r="X100" s="5">
        <v>66957</v>
      </c>
      <c r="Z100" s="5"/>
    </row>
    <row r="101" spans="1:32" ht="18" x14ac:dyDescent="0.35">
      <c r="A101" s="6"/>
      <c r="C101" s="13" t="s">
        <v>436</v>
      </c>
      <c r="D101" s="13" t="str">
        <f t="shared" si="9"/>
        <v xml:space="preserve">;Gd]3 </v>
      </c>
      <c r="E101" s="13" t="str">
        <f t="shared" si="11"/>
        <v>s]=;L</v>
      </c>
      <c r="F101" s="21" t="s">
        <v>233</v>
      </c>
      <c r="H101" s="21" t="s">
        <v>757</v>
      </c>
      <c r="I101" s="21" t="s">
        <v>905</v>
      </c>
      <c r="J101" s="21">
        <f t="shared" ref="J101:J164" si="12">IF(L101&gt;=5,(COUNTIFS($I$4:$I$348,I101,$F$4:$F$348,F101)))</f>
        <v>164</v>
      </c>
      <c r="K101" s="21"/>
      <c r="L101" s="15">
        <f t="shared" si="10"/>
        <v>7.1698630136986301</v>
      </c>
      <c r="M101" s="15"/>
      <c r="N101" s="15"/>
      <c r="O101" s="15"/>
      <c r="P101" s="15"/>
      <c r="Q101" s="15"/>
      <c r="R101" s="15"/>
      <c r="S101" s="16"/>
      <c r="T101" s="16"/>
      <c r="U101" s="16"/>
      <c r="V101" s="16"/>
      <c r="W101" s="5">
        <v>64340</v>
      </c>
      <c r="X101" s="5">
        <v>66957</v>
      </c>
      <c r="Z101" s="5"/>
    </row>
    <row r="102" spans="1:32" ht="18" x14ac:dyDescent="0.35">
      <c r="A102" s="6"/>
      <c r="C102" s="13" t="s">
        <v>437</v>
      </c>
      <c r="D102" s="13" t="str">
        <f t="shared" si="9"/>
        <v xml:space="preserve">uf]df </v>
      </c>
      <c r="E102" s="13" t="str">
        <f t="shared" si="11"/>
        <v>vqL</v>
      </c>
      <c r="F102" s="21" t="s">
        <v>234</v>
      </c>
      <c r="H102" s="21" t="s">
        <v>756</v>
      </c>
      <c r="I102" s="21" t="s">
        <v>906</v>
      </c>
      <c r="J102" s="21">
        <f t="shared" si="12"/>
        <v>53</v>
      </c>
      <c r="K102" s="21"/>
      <c r="L102" s="15">
        <f t="shared" si="10"/>
        <v>92.460273972602735</v>
      </c>
      <c r="M102" s="15"/>
      <c r="N102" s="15"/>
      <c r="O102" s="15"/>
      <c r="P102" s="15"/>
      <c r="Q102" s="15"/>
      <c r="R102" s="15"/>
      <c r="S102" s="16"/>
      <c r="T102" s="16"/>
      <c r="U102" s="16"/>
      <c r="V102" s="16"/>
      <c r="W102" s="5">
        <v>33209</v>
      </c>
      <c r="X102" s="5">
        <v>66957</v>
      </c>
      <c r="Z102" s="5"/>
    </row>
    <row r="103" spans="1:32" ht="18" x14ac:dyDescent="0.35">
      <c r="A103" s="6"/>
      <c r="C103" s="13" t="s">
        <v>438</v>
      </c>
      <c r="D103" s="13" t="str">
        <f t="shared" si="9"/>
        <v xml:space="preserve">lgd{nf </v>
      </c>
      <c r="E103" s="13" t="str">
        <f t="shared" si="11"/>
        <v>vqL</v>
      </c>
      <c r="F103" s="21" t="s">
        <v>234</v>
      </c>
      <c r="H103" s="21" t="s">
        <v>756</v>
      </c>
      <c r="I103" s="21" t="s">
        <v>906</v>
      </c>
      <c r="J103" s="21">
        <f t="shared" si="12"/>
        <v>53</v>
      </c>
      <c r="K103" s="21"/>
      <c r="L103" s="15">
        <f t="shared" si="10"/>
        <v>59.246575342465754</v>
      </c>
      <c r="M103" s="15"/>
      <c r="N103" s="15"/>
      <c r="O103" s="15"/>
      <c r="P103" s="15"/>
      <c r="Q103" s="15"/>
      <c r="R103" s="15"/>
      <c r="S103" s="16"/>
      <c r="T103" s="16"/>
      <c r="U103" s="16"/>
      <c r="V103" s="16"/>
      <c r="W103" s="5">
        <v>45332</v>
      </c>
      <c r="X103" s="5">
        <v>66957</v>
      </c>
      <c r="Z103" s="5"/>
    </row>
    <row r="104" spans="1:32" ht="18" x14ac:dyDescent="0.35">
      <c r="A104" s="6">
        <v>31</v>
      </c>
      <c r="B104" t="s">
        <v>32</v>
      </c>
      <c r="C104" s="13" t="s">
        <v>714</v>
      </c>
      <c r="D104" s="13" t="str">
        <f t="shared" si="9"/>
        <v xml:space="preserve">bNnL </v>
      </c>
      <c r="E104" s="13" t="str">
        <f t="shared" si="11"/>
        <v>ljZjsdf{</v>
      </c>
      <c r="F104" s="21" t="s">
        <v>234</v>
      </c>
      <c r="G104" t="s">
        <v>264</v>
      </c>
      <c r="H104" s="21" t="s">
        <v>756</v>
      </c>
      <c r="I104" s="21" t="s">
        <v>906</v>
      </c>
      <c r="J104" s="21">
        <f t="shared" si="12"/>
        <v>53</v>
      </c>
      <c r="K104" s="21"/>
      <c r="L104" s="15">
        <f t="shared" si="10"/>
        <v>55.175342465753424</v>
      </c>
      <c r="M104" s="15"/>
      <c r="N104" s="15"/>
      <c r="O104" s="15"/>
      <c r="P104" s="15"/>
      <c r="Q104" s="15" t="s">
        <v>965</v>
      </c>
      <c r="R104" s="15"/>
      <c r="S104" s="16">
        <v>0</v>
      </c>
      <c r="T104" s="16">
        <v>3</v>
      </c>
      <c r="U104" s="16">
        <v>2</v>
      </c>
      <c r="V104" s="16">
        <v>0</v>
      </c>
      <c r="W104" s="5">
        <v>46818</v>
      </c>
      <c r="X104" s="5">
        <v>66957</v>
      </c>
      <c r="Z104" s="5">
        <v>66182</v>
      </c>
      <c r="AA104" s="2" t="s">
        <v>2</v>
      </c>
      <c r="AB104" s="2">
        <v>9</v>
      </c>
      <c r="AC104" s="2">
        <v>5</v>
      </c>
      <c r="AD104" s="2">
        <v>4</v>
      </c>
      <c r="AE104" t="s">
        <v>241</v>
      </c>
      <c r="AF104" t="s">
        <v>245</v>
      </c>
    </row>
    <row r="105" spans="1:32" ht="18" x14ac:dyDescent="0.35">
      <c r="A105" s="6"/>
      <c r="C105" s="13" t="s">
        <v>715</v>
      </c>
      <c r="D105" s="13" t="str">
        <f t="shared" si="9"/>
        <v xml:space="preserve">1fg </v>
      </c>
      <c r="E105" s="13" t="str">
        <f t="shared" si="11"/>
        <v>ljZjsdf{</v>
      </c>
      <c r="F105" s="21" t="s">
        <v>233</v>
      </c>
      <c r="H105" s="21" t="s">
        <v>756</v>
      </c>
      <c r="I105" s="21" t="s">
        <v>905</v>
      </c>
      <c r="J105" s="21">
        <f t="shared" si="12"/>
        <v>164</v>
      </c>
      <c r="K105" s="21"/>
      <c r="L105" s="15">
        <f t="shared" si="10"/>
        <v>56.594520547945208</v>
      </c>
      <c r="M105" s="15"/>
      <c r="N105" s="15"/>
      <c r="O105" s="15"/>
      <c r="P105" s="15"/>
      <c r="Q105" s="15"/>
      <c r="R105" s="15"/>
      <c r="S105" s="16"/>
      <c r="T105" s="16"/>
      <c r="U105" s="16"/>
      <c r="V105" s="16"/>
      <c r="W105" s="5">
        <v>46300</v>
      </c>
      <c r="X105" s="5">
        <v>66957</v>
      </c>
      <c r="Z105" s="5"/>
    </row>
    <row r="106" spans="1:32" ht="18" x14ac:dyDescent="0.35">
      <c r="A106" s="6"/>
      <c r="C106" s="13" t="s">
        <v>716</v>
      </c>
      <c r="D106" s="13" t="str">
        <f t="shared" si="9"/>
        <v xml:space="preserve">kq'; </v>
      </c>
      <c r="E106" s="13" t="str">
        <f t="shared" si="11"/>
        <v>j/fOnL</v>
      </c>
      <c r="F106" s="21" t="s">
        <v>233</v>
      </c>
      <c r="H106" s="21" t="s">
        <v>756</v>
      </c>
      <c r="I106" s="21" t="s">
        <v>905</v>
      </c>
      <c r="J106" s="21">
        <f t="shared" si="12"/>
        <v>164</v>
      </c>
      <c r="K106" s="21"/>
      <c r="L106" s="15">
        <f t="shared" si="10"/>
        <v>33.473972602739728</v>
      </c>
      <c r="M106" s="15"/>
      <c r="N106" s="15"/>
      <c r="O106" s="15"/>
      <c r="P106" s="15"/>
      <c r="Q106" s="15"/>
      <c r="R106" s="15"/>
      <c r="S106" s="16"/>
      <c r="T106" s="16"/>
      <c r="U106" s="16"/>
      <c r="V106" s="16"/>
      <c r="W106" s="5">
        <v>54739</v>
      </c>
      <c r="X106" s="5">
        <v>66957</v>
      </c>
      <c r="Z106" s="5"/>
    </row>
    <row r="107" spans="1:32" ht="18" x14ac:dyDescent="0.35">
      <c r="A107" s="6"/>
      <c r="C107" s="13" t="s">
        <v>717</v>
      </c>
      <c r="D107" s="13" t="str">
        <f t="shared" si="9"/>
        <v xml:space="preserve">lagf </v>
      </c>
      <c r="E107" s="13" t="str">
        <f t="shared" si="11"/>
        <v>sfdL</v>
      </c>
      <c r="F107" s="21" t="s">
        <v>234</v>
      </c>
      <c r="H107" s="21" t="s">
        <v>756</v>
      </c>
      <c r="I107" s="21" t="s">
        <v>905</v>
      </c>
      <c r="J107" s="21">
        <f t="shared" si="12"/>
        <v>107</v>
      </c>
      <c r="K107" s="21"/>
      <c r="L107" s="15">
        <f t="shared" si="10"/>
        <v>27.989041095890411</v>
      </c>
      <c r="M107" s="15"/>
      <c r="N107" s="15"/>
      <c r="O107" s="15"/>
      <c r="P107" s="15"/>
      <c r="Q107" s="15"/>
      <c r="R107" s="15"/>
      <c r="S107" s="16"/>
      <c r="T107" s="16"/>
      <c r="U107" s="16"/>
      <c r="V107" s="16"/>
      <c r="W107" s="5">
        <v>56741</v>
      </c>
      <c r="X107" s="5">
        <v>66957</v>
      </c>
      <c r="Z107" s="5"/>
    </row>
    <row r="108" spans="1:32" ht="18" x14ac:dyDescent="0.35">
      <c r="A108" s="6"/>
      <c r="C108" s="13" t="s">
        <v>718</v>
      </c>
      <c r="D108" s="13" t="str">
        <f t="shared" si="9"/>
        <v xml:space="preserve">o1 </v>
      </c>
      <c r="E108" s="13" t="str">
        <f t="shared" si="11"/>
        <v>ljZjsdf{</v>
      </c>
      <c r="F108" s="21" t="s">
        <v>233</v>
      </c>
      <c r="H108" s="21" t="s">
        <v>756</v>
      </c>
      <c r="I108" s="21" t="s">
        <v>905</v>
      </c>
      <c r="J108" s="21">
        <f t="shared" si="12"/>
        <v>164</v>
      </c>
      <c r="K108" s="21"/>
      <c r="L108" s="15">
        <f t="shared" si="10"/>
        <v>34.876712328767127</v>
      </c>
      <c r="M108" s="15"/>
      <c r="N108" s="15"/>
      <c r="O108" s="15"/>
      <c r="P108" s="15"/>
      <c r="Q108" s="15"/>
      <c r="R108" s="15"/>
      <c r="S108" s="16"/>
      <c r="T108" s="16"/>
      <c r="U108" s="16"/>
      <c r="V108" s="16"/>
      <c r="W108" s="5">
        <v>54227</v>
      </c>
      <c r="X108" s="5">
        <v>66957</v>
      </c>
      <c r="Z108" s="5"/>
    </row>
    <row r="109" spans="1:32" ht="18" x14ac:dyDescent="0.35">
      <c r="A109" s="6"/>
      <c r="C109" s="13" t="s">
        <v>719</v>
      </c>
      <c r="D109" s="13" t="str">
        <f t="shared" si="9"/>
        <v xml:space="preserve">uf]df </v>
      </c>
      <c r="E109" s="13" t="str">
        <f t="shared" si="11"/>
        <v>ljZjsdf{</v>
      </c>
      <c r="F109" s="21" t="s">
        <v>234</v>
      </c>
      <c r="H109" s="21" t="s">
        <v>756</v>
      </c>
      <c r="I109" s="21" t="s">
        <v>905</v>
      </c>
      <c r="J109" s="21">
        <f t="shared" si="12"/>
        <v>107</v>
      </c>
      <c r="K109" s="21"/>
      <c r="L109" s="15">
        <f t="shared" si="10"/>
        <v>29.575342465753426</v>
      </c>
      <c r="M109" s="15"/>
      <c r="N109" s="15"/>
      <c r="O109" s="15"/>
      <c r="P109" s="15"/>
      <c r="Q109" s="15"/>
      <c r="R109" s="15"/>
      <c r="S109" s="16"/>
      <c r="T109" s="16"/>
      <c r="U109" s="16"/>
      <c r="V109" s="16"/>
      <c r="W109" s="5">
        <v>56162</v>
      </c>
      <c r="X109" s="5">
        <v>66957</v>
      </c>
      <c r="Z109" s="5"/>
    </row>
    <row r="110" spans="1:32" ht="18" x14ac:dyDescent="0.35">
      <c r="A110" s="6"/>
      <c r="C110" s="13" t="s">
        <v>720</v>
      </c>
      <c r="D110" s="13" t="str">
        <f t="shared" si="9"/>
        <v xml:space="preserve">ld/f </v>
      </c>
      <c r="E110" s="13" t="str">
        <f t="shared" si="11"/>
        <v>j/fOnL</v>
      </c>
      <c r="F110" s="21" t="s">
        <v>234</v>
      </c>
      <c r="H110" s="21" t="s">
        <v>757</v>
      </c>
      <c r="I110" s="21" t="s">
        <v>905</v>
      </c>
      <c r="J110" s="21">
        <f t="shared" si="12"/>
        <v>107</v>
      </c>
      <c r="K110" s="21"/>
      <c r="L110" s="15">
        <f t="shared" si="10"/>
        <v>24.243835616438357</v>
      </c>
      <c r="M110" s="15"/>
      <c r="N110" s="15"/>
      <c r="O110" s="15"/>
      <c r="P110" s="15"/>
      <c r="Q110" s="15"/>
      <c r="R110" s="15"/>
      <c r="S110" s="16"/>
      <c r="T110" s="16"/>
      <c r="U110" s="16"/>
      <c r="V110" s="16"/>
      <c r="W110" s="5">
        <v>58108</v>
      </c>
      <c r="X110" s="5">
        <v>66957</v>
      </c>
      <c r="Z110" s="5"/>
    </row>
    <row r="111" spans="1:32" ht="18" x14ac:dyDescent="0.35">
      <c r="A111" s="6"/>
      <c r="C111" s="13" t="s">
        <v>721</v>
      </c>
      <c r="D111" s="13" t="str">
        <f t="shared" si="9"/>
        <v xml:space="preserve">Oefg </v>
      </c>
      <c r="E111" s="13" t="str">
        <f t="shared" si="11"/>
        <v>j/fOnL</v>
      </c>
      <c r="F111" s="21" t="s">
        <v>233</v>
      </c>
      <c r="H111" s="21" t="s">
        <v>757</v>
      </c>
      <c r="I111" s="21" t="s">
        <v>748</v>
      </c>
      <c r="J111" s="21" t="b">
        <f t="shared" si="12"/>
        <v>0</v>
      </c>
      <c r="K111" s="21"/>
      <c r="L111" s="15">
        <f t="shared" si="10"/>
        <v>4.8904109589041092</v>
      </c>
      <c r="M111" s="15"/>
      <c r="N111" s="15"/>
      <c r="O111" s="15"/>
      <c r="P111" s="15"/>
      <c r="Q111" s="15"/>
      <c r="R111" s="15"/>
      <c r="S111" s="16"/>
      <c r="T111" s="16"/>
      <c r="U111" s="16"/>
      <c r="V111" s="16"/>
      <c r="W111" s="5">
        <v>65172</v>
      </c>
      <c r="X111" s="5">
        <v>66957</v>
      </c>
      <c r="Z111" s="5"/>
    </row>
    <row r="112" spans="1:32" ht="18" x14ac:dyDescent="0.35">
      <c r="A112" s="6"/>
      <c r="C112" s="13" t="s">
        <v>722</v>
      </c>
      <c r="D112" s="13" t="str">
        <f t="shared" si="9"/>
        <v xml:space="preserve">O;fs </v>
      </c>
      <c r="E112" s="13" t="str">
        <f t="shared" si="11"/>
        <v>j/fOnL</v>
      </c>
      <c r="F112" s="21" t="s">
        <v>233</v>
      </c>
      <c r="H112" s="21" t="s">
        <v>757</v>
      </c>
      <c r="I112" s="21" t="s">
        <v>905</v>
      </c>
      <c r="J112" s="21">
        <f t="shared" si="12"/>
        <v>164</v>
      </c>
      <c r="K112" s="21"/>
      <c r="L112" s="15">
        <f t="shared" si="10"/>
        <v>12.575342465753424</v>
      </c>
      <c r="M112" s="15"/>
      <c r="N112" s="15"/>
      <c r="O112" s="15"/>
      <c r="P112" s="15"/>
      <c r="Q112" s="15"/>
      <c r="R112" s="15"/>
      <c r="S112" s="16"/>
      <c r="T112" s="16"/>
      <c r="U112" s="16"/>
      <c r="V112" s="16"/>
      <c r="W112" s="5">
        <v>62367</v>
      </c>
      <c r="X112" s="5">
        <v>66957</v>
      </c>
      <c r="Z112" s="5"/>
    </row>
    <row r="113" spans="1:32" ht="18" x14ac:dyDescent="0.35">
      <c r="A113" s="6">
        <v>33</v>
      </c>
      <c r="B113" t="s">
        <v>34</v>
      </c>
      <c r="C113" s="13" t="s">
        <v>723</v>
      </c>
      <c r="D113" s="13" t="str">
        <f t="shared" si="9"/>
        <v xml:space="preserve">bf]rL{ </v>
      </c>
      <c r="E113" s="13" t="str">
        <f t="shared" si="11"/>
        <v>z]kf{</v>
      </c>
      <c r="F113" s="21" t="s">
        <v>234</v>
      </c>
      <c r="G113" t="s">
        <v>266</v>
      </c>
      <c r="H113" s="21" t="s">
        <v>756</v>
      </c>
      <c r="I113" s="21" t="s">
        <v>905</v>
      </c>
      <c r="J113" s="21">
        <f t="shared" si="12"/>
        <v>107</v>
      </c>
      <c r="K113" s="21"/>
      <c r="L113" s="15">
        <f t="shared" si="10"/>
        <v>55.578082191780823</v>
      </c>
      <c r="M113" s="15"/>
      <c r="N113" s="15"/>
      <c r="O113" s="15"/>
      <c r="P113" s="15"/>
      <c r="Q113" s="15" t="s">
        <v>963</v>
      </c>
      <c r="R113" s="15"/>
      <c r="S113" s="16">
        <v>0</v>
      </c>
      <c r="T113" s="16">
        <v>4</v>
      </c>
      <c r="U113" s="16">
        <v>0</v>
      </c>
      <c r="V113" s="16">
        <v>0</v>
      </c>
      <c r="W113" s="5">
        <v>46671</v>
      </c>
      <c r="X113" s="5">
        <v>66957</v>
      </c>
      <c r="Z113" s="5">
        <v>66138</v>
      </c>
      <c r="AA113" s="2" t="s">
        <v>2</v>
      </c>
      <c r="AB113" s="2">
        <v>4</v>
      </c>
      <c r="AC113" s="2">
        <v>2</v>
      </c>
      <c r="AD113" s="2">
        <v>2</v>
      </c>
      <c r="AE113" t="s">
        <v>242</v>
      </c>
      <c r="AF113" t="s">
        <v>245</v>
      </c>
    </row>
    <row r="114" spans="1:32" ht="18" x14ac:dyDescent="0.35">
      <c r="A114" s="6"/>
      <c r="C114" s="13" t="s">
        <v>724</v>
      </c>
      <c r="D114" s="13" t="str">
        <f t="shared" si="9"/>
        <v xml:space="preserve">ldªdf </v>
      </c>
      <c r="E114" s="13" t="str">
        <f t="shared" si="11"/>
        <v>z]kf{</v>
      </c>
      <c r="F114" s="21" t="s">
        <v>233</v>
      </c>
      <c r="H114" s="21" t="s">
        <v>756</v>
      </c>
      <c r="I114" s="21" t="s">
        <v>905</v>
      </c>
      <c r="J114" s="21">
        <f t="shared" si="12"/>
        <v>164</v>
      </c>
      <c r="K114" s="21"/>
      <c r="L114" s="15">
        <f t="shared" si="10"/>
        <v>51.553424657534244</v>
      </c>
      <c r="M114" s="15"/>
      <c r="N114" s="15"/>
      <c r="O114" s="15"/>
      <c r="P114" s="15"/>
      <c r="Q114" s="15"/>
      <c r="R114" s="15"/>
      <c r="S114" s="16"/>
      <c r="T114" s="16"/>
      <c r="U114" s="16"/>
      <c r="V114" s="16"/>
      <c r="W114" s="5">
        <v>48140</v>
      </c>
      <c r="X114" s="5">
        <v>66957</v>
      </c>
      <c r="Z114" s="5"/>
    </row>
    <row r="115" spans="1:32" ht="18" x14ac:dyDescent="0.35">
      <c r="A115" s="6"/>
      <c r="C115" s="13" t="s">
        <v>725</v>
      </c>
      <c r="D115" s="13" t="str">
        <f t="shared" si="9"/>
        <v xml:space="preserve">k]Daf </v>
      </c>
      <c r="E115" s="13" t="str">
        <f t="shared" si="11"/>
        <v>z]kf{</v>
      </c>
      <c r="F115" s="21" t="s">
        <v>233</v>
      </c>
      <c r="H115" s="21" t="s">
        <v>757</v>
      </c>
      <c r="I115" s="21" t="s">
        <v>905</v>
      </c>
      <c r="J115" s="21">
        <f t="shared" si="12"/>
        <v>164</v>
      </c>
      <c r="K115" s="21"/>
      <c r="L115" s="15">
        <f t="shared" si="10"/>
        <v>26.268493150684932</v>
      </c>
      <c r="M115" s="15"/>
      <c r="N115" s="15"/>
      <c r="O115" s="15"/>
      <c r="P115" s="15"/>
      <c r="Q115" s="15"/>
      <c r="R115" s="15"/>
      <c r="S115" s="16"/>
      <c r="T115" s="16"/>
      <c r="U115" s="16"/>
      <c r="V115" s="16"/>
      <c r="W115" s="5">
        <v>57369</v>
      </c>
      <c r="X115" s="5">
        <v>66957</v>
      </c>
      <c r="Z115" s="5"/>
    </row>
    <row r="116" spans="1:32" ht="18" x14ac:dyDescent="0.35">
      <c r="A116" s="6"/>
      <c r="C116" s="13" t="s">
        <v>726</v>
      </c>
      <c r="D116" s="13" t="str">
        <f t="shared" si="9"/>
        <v xml:space="preserve">kf;fª </v>
      </c>
      <c r="E116" s="13" t="str">
        <f t="shared" si="11"/>
        <v>z]kf{</v>
      </c>
      <c r="F116" s="21" t="s">
        <v>234</v>
      </c>
      <c r="H116" s="21" t="s">
        <v>757</v>
      </c>
      <c r="I116" s="21" t="s">
        <v>905</v>
      </c>
      <c r="J116" s="21">
        <f t="shared" si="12"/>
        <v>107</v>
      </c>
      <c r="K116" s="21"/>
      <c r="L116" s="15">
        <f t="shared" si="10"/>
        <v>22.457534246575342</v>
      </c>
      <c r="M116" s="15"/>
      <c r="N116" s="15"/>
      <c r="O116" s="15"/>
      <c r="P116" s="15"/>
      <c r="Q116" s="15"/>
      <c r="R116" s="15"/>
      <c r="S116" s="16"/>
      <c r="T116" s="16"/>
      <c r="U116" s="16"/>
      <c r="V116" s="16"/>
      <c r="W116" s="5">
        <v>58760</v>
      </c>
      <c r="X116" s="5">
        <v>66957</v>
      </c>
      <c r="Z116" s="5"/>
    </row>
    <row r="117" spans="1:32" ht="18" x14ac:dyDescent="0.35">
      <c r="A117" s="6">
        <v>34</v>
      </c>
      <c r="B117" t="s">
        <v>35</v>
      </c>
      <c r="C117" s="13" t="s">
        <v>445</v>
      </c>
      <c r="D117" s="13" t="str">
        <f t="shared" si="9"/>
        <v xml:space="preserve">lszg </v>
      </c>
      <c r="E117" s="13" t="str">
        <f t="shared" si="11"/>
        <v>wfdL</v>
      </c>
      <c r="F117" s="21" t="s">
        <v>233</v>
      </c>
      <c r="G117" t="s">
        <v>287</v>
      </c>
      <c r="H117" s="21" t="s">
        <v>756</v>
      </c>
      <c r="I117" s="21" t="s">
        <v>905</v>
      </c>
      <c r="J117" s="21">
        <f t="shared" si="12"/>
        <v>164</v>
      </c>
      <c r="K117" s="21"/>
      <c r="L117" s="15">
        <f t="shared" si="10"/>
        <v>42.975342465753428</v>
      </c>
      <c r="M117" s="15"/>
      <c r="N117" s="15"/>
      <c r="O117" s="15"/>
      <c r="P117" s="15"/>
      <c r="Q117" s="15" t="s">
        <v>964</v>
      </c>
      <c r="R117" s="15"/>
      <c r="S117" s="16">
        <v>0</v>
      </c>
      <c r="T117" s="16">
        <v>3</v>
      </c>
      <c r="U117" s="16">
        <v>0</v>
      </c>
      <c r="V117" s="16">
        <v>0</v>
      </c>
      <c r="W117" s="5">
        <v>51271</v>
      </c>
      <c r="X117" s="5">
        <v>66957</v>
      </c>
      <c r="Z117" s="5">
        <v>66132</v>
      </c>
      <c r="AA117" s="2" t="s">
        <v>2</v>
      </c>
      <c r="AB117" s="2">
        <v>4</v>
      </c>
      <c r="AC117" s="2">
        <v>2</v>
      </c>
      <c r="AD117" s="2">
        <v>2</v>
      </c>
      <c r="AE117" t="s">
        <v>242</v>
      </c>
      <c r="AF117" t="s">
        <v>245</v>
      </c>
    </row>
    <row r="118" spans="1:32" ht="18" x14ac:dyDescent="0.35">
      <c r="A118" s="6"/>
      <c r="C118" s="13" t="s">
        <v>446</v>
      </c>
      <c r="D118" s="13" t="str">
        <f t="shared" ref="D118:D164" si="13">LEFT(C118,(FIND(" ",C118)))</f>
        <v xml:space="preserve">hd'gf </v>
      </c>
      <c r="E118" s="13" t="str">
        <f t="shared" si="11"/>
        <v>wfdL</v>
      </c>
      <c r="F118" s="21" t="s">
        <v>234</v>
      </c>
      <c r="H118" s="21" t="s">
        <v>756</v>
      </c>
      <c r="I118" s="21" t="s">
        <v>905</v>
      </c>
      <c r="J118" s="21">
        <f t="shared" si="12"/>
        <v>107</v>
      </c>
      <c r="K118" s="21"/>
      <c r="L118" s="15">
        <f t="shared" si="10"/>
        <v>40.178082191780824</v>
      </c>
      <c r="M118" s="15"/>
      <c r="N118" s="15"/>
      <c r="O118" s="15"/>
      <c r="P118" s="15"/>
      <c r="Q118" s="15"/>
      <c r="R118" s="15"/>
      <c r="S118" s="16"/>
      <c r="T118" s="16"/>
      <c r="U118" s="16"/>
      <c r="V118" s="16"/>
      <c r="W118" s="5">
        <v>52292</v>
      </c>
      <c r="X118" s="5">
        <v>66957</v>
      </c>
      <c r="Z118" s="5"/>
    </row>
    <row r="119" spans="1:32" ht="18" x14ac:dyDescent="0.35">
      <c r="A119" s="6"/>
      <c r="C119" s="13" t="s">
        <v>447</v>
      </c>
      <c r="D119" s="13" t="str">
        <f t="shared" si="13"/>
        <v xml:space="preserve">s[:6Lgf </v>
      </c>
      <c r="E119" s="13" t="str">
        <f t="shared" ref="E119:E165" si="14">TRIM(RIGHT(SUBSTITUTE(C119," ",REPT(" ",255)),255))</f>
        <v>wfdL</v>
      </c>
      <c r="F119" s="21" t="s">
        <v>234</v>
      </c>
      <c r="H119" s="21" t="s">
        <v>757</v>
      </c>
      <c r="I119" s="21" t="s">
        <v>905</v>
      </c>
      <c r="J119" s="21">
        <f t="shared" si="12"/>
        <v>107</v>
      </c>
      <c r="K119" s="21"/>
      <c r="L119" s="15">
        <f t="shared" si="10"/>
        <v>18.315068493150687</v>
      </c>
      <c r="M119" s="15"/>
      <c r="N119" s="15"/>
      <c r="O119" s="15"/>
      <c r="P119" s="15"/>
      <c r="Q119" s="15"/>
      <c r="R119" s="15"/>
      <c r="S119" s="16"/>
      <c r="T119" s="16"/>
      <c r="U119" s="16"/>
      <c r="V119" s="16"/>
      <c r="W119" s="5">
        <v>60272</v>
      </c>
      <c r="X119" s="5">
        <v>66957</v>
      </c>
      <c r="Z119" s="5"/>
    </row>
    <row r="120" spans="1:32" ht="18" x14ac:dyDescent="0.35">
      <c r="A120" s="6"/>
      <c r="C120" s="13" t="s">
        <v>448</v>
      </c>
      <c r="D120" s="13" t="str">
        <f t="shared" si="13"/>
        <v xml:space="preserve">s|Lhg </v>
      </c>
      <c r="E120" s="13" t="str">
        <f t="shared" si="14"/>
        <v>wfdL</v>
      </c>
      <c r="F120" s="21" t="s">
        <v>233</v>
      </c>
      <c r="H120" s="21" t="s">
        <v>757</v>
      </c>
      <c r="I120" s="21" t="s">
        <v>905</v>
      </c>
      <c r="J120" s="21">
        <f t="shared" si="12"/>
        <v>164</v>
      </c>
      <c r="K120" s="21"/>
      <c r="L120" s="15">
        <f t="shared" si="10"/>
        <v>14.224657534246575</v>
      </c>
      <c r="M120" s="15"/>
      <c r="N120" s="15"/>
      <c r="O120" s="15"/>
      <c r="P120" s="15"/>
      <c r="Q120" s="15"/>
      <c r="R120" s="15"/>
      <c r="S120" s="16"/>
      <c r="T120" s="16"/>
      <c r="U120" s="16"/>
      <c r="V120" s="16"/>
      <c r="W120" s="5">
        <v>61765</v>
      </c>
      <c r="X120" s="5">
        <v>66957</v>
      </c>
      <c r="Z120" s="5"/>
    </row>
    <row r="121" spans="1:32" ht="18" x14ac:dyDescent="0.35">
      <c r="A121" s="6">
        <v>35</v>
      </c>
      <c r="B121" t="s">
        <v>36</v>
      </c>
      <c r="C121" s="13" t="s">
        <v>449</v>
      </c>
      <c r="D121" s="13" t="str">
        <f t="shared" si="13"/>
        <v xml:space="preserve">lhjg </v>
      </c>
      <c r="E121" s="13" t="str">
        <f t="shared" si="14"/>
        <v>v8\sf</v>
      </c>
      <c r="F121" s="21" t="s">
        <v>233</v>
      </c>
      <c r="G121" t="s">
        <v>275</v>
      </c>
      <c r="H121" s="21" t="s">
        <v>756</v>
      </c>
      <c r="I121" s="21" t="s">
        <v>905</v>
      </c>
      <c r="J121" s="21">
        <f t="shared" si="12"/>
        <v>164</v>
      </c>
      <c r="K121" s="21"/>
      <c r="L121" s="15">
        <f t="shared" si="10"/>
        <v>36.038356164383565</v>
      </c>
      <c r="M121" s="15"/>
      <c r="N121" s="15"/>
      <c r="O121" s="15"/>
      <c r="P121" s="15"/>
      <c r="Q121" s="15" t="s">
        <v>963</v>
      </c>
      <c r="R121" s="15"/>
      <c r="S121" s="16">
        <v>0</v>
      </c>
      <c r="T121" s="16">
        <v>8</v>
      </c>
      <c r="U121" s="16">
        <v>4</v>
      </c>
      <c r="V121" s="16">
        <v>3</v>
      </c>
      <c r="W121" s="5">
        <v>53803</v>
      </c>
      <c r="X121" s="5">
        <v>66957</v>
      </c>
      <c r="Z121" s="5">
        <v>66127</v>
      </c>
      <c r="AA121" s="2" t="s">
        <v>2</v>
      </c>
      <c r="AB121" s="2">
        <v>4</v>
      </c>
      <c r="AC121" s="2">
        <v>2</v>
      </c>
      <c r="AD121" s="2">
        <v>2</v>
      </c>
      <c r="AE121" t="s">
        <v>242</v>
      </c>
      <c r="AF121" t="s">
        <v>245</v>
      </c>
    </row>
    <row r="122" spans="1:32" ht="18" x14ac:dyDescent="0.35">
      <c r="A122" s="6"/>
      <c r="C122" s="13" t="s">
        <v>450</v>
      </c>
      <c r="D122" s="13" t="str">
        <f t="shared" si="13"/>
        <v xml:space="preserve">nIdL </v>
      </c>
      <c r="E122" s="13" t="str">
        <f t="shared" si="14"/>
        <v>a/fn</v>
      </c>
      <c r="F122" s="21" t="s">
        <v>234</v>
      </c>
      <c r="H122" s="21" t="s">
        <v>756</v>
      </c>
      <c r="I122" s="21" t="s">
        <v>905</v>
      </c>
      <c r="J122" s="21">
        <f t="shared" si="12"/>
        <v>107</v>
      </c>
      <c r="K122" s="21"/>
      <c r="L122" s="15">
        <f t="shared" si="10"/>
        <v>37.769863013698632</v>
      </c>
      <c r="M122" s="15"/>
      <c r="N122" s="15"/>
      <c r="O122" s="15"/>
      <c r="P122" s="15"/>
      <c r="Q122" s="15"/>
      <c r="R122" s="15"/>
      <c r="S122" s="16"/>
      <c r="T122" s="16"/>
      <c r="U122" s="16"/>
      <c r="V122" s="16"/>
      <c r="W122" s="5">
        <v>53171</v>
      </c>
      <c r="X122" s="5">
        <v>66957</v>
      </c>
      <c r="Z122" s="5"/>
    </row>
    <row r="123" spans="1:32" ht="18" x14ac:dyDescent="0.35">
      <c r="A123" s="6"/>
      <c r="C123" s="13" t="s">
        <v>451</v>
      </c>
      <c r="D123" s="13" t="str">
        <f t="shared" si="13"/>
        <v xml:space="preserve">cfo"w </v>
      </c>
      <c r="E123" s="13" t="str">
        <f t="shared" si="14"/>
        <v>v8\sf</v>
      </c>
      <c r="F123" s="21" t="s">
        <v>233</v>
      </c>
      <c r="H123" s="21" t="s">
        <v>757</v>
      </c>
      <c r="I123" s="21" t="s">
        <v>905</v>
      </c>
      <c r="J123" s="21">
        <f t="shared" si="12"/>
        <v>164</v>
      </c>
      <c r="K123" s="21"/>
      <c r="L123" s="15">
        <f t="shared" si="10"/>
        <v>11.473972602739726</v>
      </c>
      <c r="M123" s="15"/>
      <c r="N123" s="15"/>
      <c r="O123" s="15"/>
      <c r="P123" s="15"/>
      <c r="Q123" s="15"/>
      <c r="R123" s="15"/>
      <c r="S123" s="16"/>
      <c r="T123" s="16"/>
      <c r="U123" s="16"/>
      <c r="V123" s="16"/>
      <c r="W123" s="5">
        <v>62769</v>
      </c>
      <c r="X123" s="5">
        <v>66957</v>
      </c>
      <c r="Z123" s="5"/>
    </row>
    <row r="124" spans="1:32" ht="18" x14ac:dyDescent="0.35">
      <c r="A124" s="6"/>
      <c r="C124" s="13" t="s">
        <v>452</v>
      </c>
      <c r="D124" s="13" t="str">
        <f t="shared" si="13"/>
        <v xml:space="preserve">cdfo/f </v>
      </c>
      <c r="E124" s="13" t="str">
        <f t="shared" si="14"/>
        <v>v8\sf</v>
      </c>
      <c r="F124" s="21" t="s">
        <v>234</v>
      </c>
      <c r="H124" s="21" t="s">
        <v>757</v>
      </c>
      <c r="I124" s="21" t="s">
        <v>905</v>
      </c>
      <c r="J124" s="21">
        <f t="shared" si="12"/>
        <v>107</v>
      </c>
      <c r="K124" s="21"/>
      <c r="L124" s="15">
        <f t="shared" si="10"/>
        <v>6.558904109589041</v>
      </c>
      <c r="M124" s="15"/>
      <c r="N124" s="15"/>
      <c r="O124" s="15"/>
      <c r="P124" s="15"/>
      <c r="Q124" s="15"/>
      <c r="R124" s="15"/>
      <c r="S124" s="16"/>
      <c r="T124" s="16"/>
      <c r="U124" s="16"/>
      <c r="V124" s="16"/>
      <c r="W124" s="5">
        <v>64563</v>
      </c>
      <c r="X124" s="5">
        <v>66957</v>
      </c>
      <c r="Z124" s="5"/>
    </row>
    <row r="125" spans="1:32" ht="18" x14ac:dyDescent="0.35">
      <c r="A125" s="6">
        <v>36</v>
      </c>
      <c r="B125" t="s">
        <v>37</v>
      </c>
      <c r="C125" s="13" t="s">
        <v>453</v>
      </c>
      <c r="D125" s="13" t="str">
        <f t="shared" si="13"/>
        <v xml:space="preserve">s'df/ </v>
      </c>
      <c r="E125" s="13" t="str">
        <f t="shared" si="14"/>
        <v>sF'j/</v>
      </c>
      <c r="F125" s="21" t="s">
        <v>233</v>
      </c>
      <c r="G125" t="s">
        <v>290</v>
      </c>
      <c r="H125" s="21" t="s">
        <v>756</v>
      </c>
      <c r="I125" s="21" t="s">
        <v>905</v>
      </c>
      <c r="J125" s="21">
        <f t="shared" si="12"/>
        <v>164</v>
      </c>
      <c r="K125" s="21"/>
      <c r="L125" s="15">
        <f t="shared" si="10"/>
        <v>45.336986301369862</v>
      </c>
      <c r="M125" s="15"/>
      <c r="N125" s="15"/>
      <c r="O125" s="15"/>
      <c r="P125" s="15"/>
      <c r="Q125" s="15" t="s">
        <v>964</v>
      </c>
      <c r="R125" s="15"/>
      <c r="S125" s="16" t="s">
        <v>748</v>
      </c>
      <c r="T125" s="16" t="s">
        <v>748</v>
      </c>
      <c r="U125" s="16" t="s">
        <v>748</v>
      </c>
      <c r="V125" s="16" t="s">
        <v>748</v>
      </c>
      <c r="W125" s="5">
        <v>50409</v>
      </c>
      <c r="X125" s="5">
        <v>66957</v>
      </c>
      <c r="Z125" s="5">
        <v>66121</v>
      </c>
      <c r="AA125" s="2" t="s">
        <v>2</v>
      </c>
      <c r="AB125" s="2">
        <v>4</v>
      </c>
      <c r="AC125" s="2">
        <v>1</v>
      </c>
      <c r="AD125" s="2">
        <v>3</v>
      </c>
      <c r="AE125" t="s">
        <v>242</v>
      </c>
      <c r="AF125" t="s">
        <v>245</v>
      </c>
    </row>
    <row r="126" spans="1:32" ht="18" x14ac:dyDescent="0.35">
      <c r="A126" s="6"/>
      <c r="C126" s="13" t="s">
        <v>454</v>
      </c>
      <c r="D126" s="13" t="str">
        <f t="shared" si="13"/>
        <v xml:space="preserve">:j:tLsf </v>
      </c>
      <c r="E126" s="13" t="str">
        <f t="shared" si="14"/>
        <v>sF'j/</v>
      </c>
      <c r="F126" s="21" t="s">
        <v>234</v>
      </c>
      <c r="H126" s="21" t="s">
        <v>757</v>
      </c>
      <c r="I126" s="21" t="s">
        <v>905</v>
      </c>
      <c r="J126" s="21">
        <f t="shared" si="12"/>
        <v>107</v>
      </c>
      <c r="K126" s="21"/>
      <c r="L126" s="15">
        <f t="shared" si="10"/>
        <v>19.098630136986301</v>
      </c>
      <c r="M126" s="15"/>
      <c r="N126" s="15"/>
      <c r="O126" s="15"/>
      <c r="P126" s="15"/>
      <c r="Q126" s="15"/>
      <c r="R126" s="15"/>
      <c r="S126" s="16"/>
      <c r="T126" s="16"/>
      <c r="U126" s="16"/>
      <c r="V126" s="16"/>
      <c r="W126" s="5">
        <v>59986</v>
      </c>
      <c r="X126" s="5">
        <v>66957</v>
      </c>
      <c r="Z126" s="5"/>
    </row>
    <row r="127" spans="1:32" ht="18" x14ac:dyDescent="0.35">
      <c r="A127" s="6"/>
      <c r="C127" s="13" t="s">
        <v>455</v>
      </c>
      <c r="D127" s="13" t="str">
        <f t="shared" si="13"/>
        <v xml:space="preserve">;/:jtL </v>
      </c>
      <c r="E127" s="13" t="str">
        <f t="shared" si="14"/>
        <v>sF'j/</v>
      </c>
      <c r="F127" s="21" t="s">
        <v>234</v>
      </c>
      <c r="H127" s="21" t="s">
        <v>756</v>
      </c>
      <c r="I127" s="21" t="s">
        <v>906</v>
      </c>
      <c r="J127" s="21">
        <f t="shared" si="12"/>
        <v>53</v>
      </c>
      <c r="K127" s="21"/>
      <c r="L127" s="15">
        <f t="shared" si="10"/>
        <v>40.090410958904108</v>
      </c>
      <c r="M127" s="15"/>
      <c r="N127" s="15"/>
      <c r="O127" s="15"/>
      <c r="P127" s="15"/>
      <c r="Q127" s="15"/>
      <c r="R127" s="15"/>
      <c r="S127" s="16"/>
      <c r="T127" s="16"/>
      <c r="U127" s="16"/>
      <c r="V127" s="16"/>
      <c r="W127" s="5">
        <v>52324</v>
      </c>
      <c r="X127" s="5">
        <v>66957</v>
      </c>
      <c r="Z127" s="5"/>
    </row>
    <row r="128" spans="1:32" ht="18" x14ac:dyDescent="0.35">
      <c r="A128" s="6"/>
      <c r="C128" s="13" t="s">
        <v>456</v>
      </c>
      <c r="D128" s="13" t="str">
        <f t="shared" si="13"/>
        <v xml:space="preserve">;'eb|f </v>
      </c>
      <c r="E128" s="13" t="str">
        <f t="shared" si="14"/>
        <v>sF'j/</v>
      </c>
      <c r="F128" s="21" t="s">
        <v>234</v>
      </c>
      <c r="H128" s="21" t="s">
        <v>757</v>
      </c>
      <c r="I128" s="21" t="s">
        <v>905</v>
      </c>
      <c r="J128" s="21">
        <f t="shared" si="12"/>
        <v>107</v>
      </c>
      <c r="K128" s="21"/>
      <c r="L128" s="15">
        <f t="shared" si="10"/>
        <v>22.065753424657533</v>
      </c>
      <c r="M128" s="15"/>
      <c r="N128" s="15"/>
      <c r="O128" s="15"/>
      <c r="P128" s="15"/>
      <c r="Q128" s="15"/>
      <c r="R128" s="15"/>
      <c r="S128" s="16"/>
      <c r="T128" s="16"/>
      <c r="U128" s="16"/>
      <c r="V128" s="16"/>
      <c r="W128" s="5">
        <v>58903</v>
      </c>
      <c r="X128" s="5">
        <v>66957</v>
      </c>
      <c r="Z128" s="5"/>
    </row>
    <row r="129" spans="1:32" ht="18" x14ac:dyDescent="0.35">
      <c r="A129" s="6">
        <v>38</v>
      </c>
      <c r="B129" t="s">
        <v>39</v>
      </c>
      <c r="C129" s="13" t="s">
        <v>461</v>
      </c>
      <c r="D129" s="13" t="str">
        <f t="shared" si="13"/>
        <v xml:space="preserve">a]b </v>
      </c>
      <c r="E129" s="13" t="str">
        <f t="shared" si="14"/>
        <v>&gt;]i7</v>
      </c>
      <c r="F129" s="21" t="s">
        <v>233</v>
      </c>
      <c r="G129" t="s">
        <v>255</v>
      </c>
      <c r="H129" s="21" t="s">
        <v>756</v>
      </c>
      <c r="I129" s="21" t="s">
        <v>905</v>
      </c>
      <c r="J129" s="21">
        <f t="shared" si="12"/>
        <v>164</v>
      </c>
      <c r="K129" s="21"/>
      <c r="L129" s="15">
        <f t="shared" si="10"/>
        <v>43.81095890410959</v>
      </c>
      <c r="M129" s="15"/>
      <c r="N129" s="15"/>
      <c r="O129" s="15"/>
      <c r="P129" s="15"/>
      <c r="Q129" s="15" t="s">
        <v>962</v>
      </c>
      <c r="R129" s="15"/>
      <c r="S129" s="16">
        <v>0</v>
      </c>
      <c r="T129" s="16">
        <v>3</v>
      </c>
      <c r="U129" s="16">
        <v>1</v>
      </c>
      <c r="V129" s="16">
        <v>0</v>
      </c>
      <c r="W129" s="5">
        <v>50966</v>
      </c>
      <c r="X129" s="5">
        <v>66957</v>
      </c>
      <c r="Z129" s="5">
        <v>66029</v>
      </c>
      <c r="AA129" s="2" t="s">
        <v>2</v>
      </c>
      <c r="AB129" s="2">
        <v>3</v>
      </c>
      <c r="AC129" s="2">
        <v>1</v>
      </c>
      <c r="AD129" s="2">
        <v>2</v>
      </c>
      <c r="AE129" t="s">
        <v>242</v>
      </c>
      <c r="AF129" t="s">
        <v>245</v>
      </c>
    </row>
    <row r="130" spans="1:32" ht="18" x14ac:dyDescent="0.35">
      <c r="A130" s="6"/>
      <c r="C130" s="13" t="s">
        <v>462</v>
      </c>
      <c r="D130" s="13" t="str">
        <f t="shared" si="13"/>
        <v xml:space="preserve">l/tf </v>
      </c>
      <c r="E130" s="13" t="str">
        <f t="shared" si="14"/>
        <v>clwsf/L</v>
      </c>
      <c r="F130" s="21" t="s">
        <v>234</v>
      </c>
      <c r="H130" s="21" t="s">
        <v>756</v>
      </c>
      <c r="I130" s="21" t="s">
        <v>905</v>
      </c>
      <c r="J130" s="21">
        <f t="shared" si="12"/>
        <v>107</v>
      </c>
      <c r="K130" s="21"/>
      <c r="L130" s="15">
        <f t="shared" si="10"/>
        <v>41.961643835616435</v>
      </c>
      <c r="M130" s="15"/>
      <c r="N130" s="15"/>
      <c r="O130" s="15"/>
      <c r="P130" s="15"/>
      <c r="Q130" s="15"/>
      <c r="R130" s="15"/>
      <c r="S130" s="16"/>
      <c r="T130" s="16"/>
      <c r="U130" s="16"/>
      <c r="V130" s="16"/>
      <c r="W130" s="5">
        <v>51641</v>
      </c>
      <c r="X130" s="5">
        <v>66957</v>
      </c>
      <c r="Z130" s="5"/>
    </row>
    <row r="131" spans="1:32" ht="18" x14ac:dyDescent="0.35">
      <c r="A131" s="6"/>
      <c r="C131" s="13" t="s">
        <v>463</v>
      </c>
      <c r="D131" s="13" t="str">
        <f t="shared" si="13"/>
        <v xml:space="preserve">k|;+zf </v>
      </c>
      <c r="E131" s="13" t="str">
        <f t="shared" si="14"/>
        <v>&gt;]i7</v>
      </c>
      <c r="F131" s="21" t="s">
        <v>234</v>
      </c>
      <c r="H131" s="21" t="s">
        <v>757</v>
      </c>
      <c r="I131" s="21" t="s">
        <v>905</v>
      </c>
      <c r="J131" s="21">
        <f t="shared" si="12"/>
        <v>107</v>
      </c>
      <c r="K131" s="21"/>
      <c r="L131" s="15">
        <f t="shared" si="10"/>
        <v>10.443835616438356</v>
      </c>
      <c r="M131" s="15"/>
      <c r="N131" s="15"/>
      <c r="O131" s="15"/>
      <c r="P131" s="15"/>
      <c r="Q131" s="15"/>
      <c r="R131" s="15"/>
      <c r="S131" s="16"/>
      <c r="T131" s="16"/>
      <c r="U131" s="16"/>
      <c r="V131" s="16"/>
      <c r="W131" s="5">
        <v>63145</v>
      </c>
      <c r="X131" s="5">
        <v>66957</v>
      </c>
      <c r="Z131" s="5"/>
    </row>
    <row r="132" spans="1:32" ht="18" x14ac:dyDescent="0.35">
      <c r="A132" s="6">
        <v>39</v>
      </c>
      <c r="B132" t="s">
        <v>40</v>
      </c>
      <c r="C132" s="13" t="s">
        <v>464</v>
      </c>
      <c r="D132" s="13" t="str">
        <f t="shared" si="13"/>
        <v xml:space="preserve">k|frL </v>
      </c>
      <c r="E132" s="13" t="str">
        <f t="shared" si="14"/>
        <v>clwsf/L</v>
      </c>
      <c r="F132" s="21" t="s">
        <v>234</v>
      </c>
      <c r="G132" t="s">
        <v>302</v>
      </c>
      <c r="H132" s="21" t="s">
        <v>757</v>
      </c>
      <c r="I132" s="21" t="s">
        <v>905</v>
      </c>
      <c r="J132" s="21">
        <f t="shared" si="12"/>
        <v>107</v>
      </c>
      <c r="K132" s="21"/>
      <c r="L132" s="15">
        <f t="shared" si="10"/>
        <v>22.517808219178082</v>
      </c>
      <c r="M132" s="15"/>
      <c r="N132" s="15"/>
      <c r="O132" s="15"/>
      <c r="P132" s="15"/>
      <c r="Q132" s="15" t="s">
        <v>961</v>
      </c>
      <c r="R132" s="15"/>
      <c r="S132" s="16" t="s">
        <v>748</v>
      </c>
      <c r="T132" s="16" t="s">
        <v>748</v>
      </c>
      <c r="U132" s="16" t="s">
        <v>748</v>
      </c>
      <c r="V132" s="16" t="s">
        <v>748</v>
      </c>
      <c r="W132" s="5">
        <v>58738</v>
      </c>
      <c r="X132" s="5">
        <v>66957</v>
      </c>
      <c r="Z132" s="5">
        <v>66029</v>
      </c>
      <c r="AA132" s="2" t="s">
        <v>2</v>
      </c>
      <c r="AB132" s="2">
        <v>2</v>
      </c>
      <c r="AD132" s="2">
        <v>2</v>
      </c>
      <c r="AE132" t="s">
        <v>242</v>
      </c>
      <c r="AF132" t="s">
        <v>245</v>
      </c>
    </row>
    <row r="133" spans="1:32" ht="18" x14ac:dyDescent="0.35">
      <c r="A133" s="6"/>
      <c r="C133" s="13" t="s">
        <v>465</v>
      </c>
      <c r="D133" s="13" t="str">
        <f t="shared" si="13"/>
        <v xml:space="preserve">k|Zgf </v>
      </c>
      <c r="E133" s="13" t="str">
        <f t="shared" si="14"/>
        <v>clwsf/L</v>
      </c>
      <c r="F133" s="21" t="s">
        <v>234</v>
      </c>
      <c r="H133" s="21" t="s">
        <v>757</v>
      </c>
      <c r="I133" s="21" t="s">
        <v>905</v>
      </c>
      <c r="J133" s="21">
        <f t="shared" si="12"/>
        <v>107</v>
      </c>
      <c r="K133" s="21"/>
      <c r="L133" s="15">
        <f t="shared" si="10"/>
        <v>19.884931506849316</v>
      </c>
      <c r="M133" s="15"/>
      <c r="N133" s="15"/>
      <c r="O133" s="15"/>
      <c r="P133" s="15"/>
      <c r="Q133" s="15"/>
      <c r="R133" s="15"/>
      <c r="S133" s="16"/>
      <c r="T133" s="16"/>
      <c r="U133" s="16"/>
      <c r="V133" s="16"/>
      <c r="W133" s="5">
        <v>59699</v>
      </c>
      <c r="X133" s="5">
        <v>66957</v>
      </c>
      <c r="Z133" s="5"/>
    </row>
    <row r="134" spans="1:32" ht="18" x14ac:dyDescent="0.35">
      <c r="A134" s="6">
        <v>40</v>
      </c>
      <c r="B134" t="s">
        <v>41</v>
      </c>
      <c r="C134" s="13" t="s">
        <v>466</v>
      </c>
      <c r="D134" s="13" t="str">
        <f t="shared" si="13"/>
        <v xml:space="preserve">b'uf{ </v>
      </c>
      <c r="E134" s="13" t="str">
        <f t="shared" si="14"/>
        <v>IfqL</v>
      </c>
      <c r="F134" s="21" t="s">
        <v>233</v>
      </c>
      <c r="G134" t="s">
        <v>267</v>
      </c>
      <c r="H134" s="21" t="s">
        <v>756</v>
      </c>
      <c r="I134" s="21" t="s">
        <v>906</v>
      </c>
      <c r="J134" s="21">
        <f t="shared" si="12"/>
        <v>11</v>
      </c>
      <c r="K134" s="21"/>
      <c r="L134" s="15">
        <f t="shared" si="10"/>
        <v>75.904109589041099</v>
      </c>
      <c r="M134" s="15"/>
      <c r="N134" s="15"/>
      <c r="O134" s="15"/>
      <c r="P134" s="15"/>
      <c r="Q134" s="15" t="s">
        <v>963</v>
      </c>
      <c r="R134" s="15"/>
      <c r="S134" s="16" t="s">
        <v>748</v>
      </c>
      <c r="T134" s="16" t="s">
        <v>748</v>
      </c>
      <c r="U134" s="16" t="s">
        <v>748</v>
      </c>
      <c r="V134" s="16" t="s">
        <v>748</v>
      </c>
      <c r="W134" s="5">
        <v>39252</v>
      </c>
      <c r="X134" s="5">
        <v>66957</v>
      </c>
      <c r="Z134" s="5">
        <v>66021</v>
      </c>
      <c r="AA134" s="2" t="s">
        <v>2</v>
      </c>
      <c r="AB134" s="2">
        <v>4</v>
      </c>
      <c r="AC134" s="2">
        <v>2</v>
      </c>
      <c r="AD134" s="2">
        <v>2</v>
      </c>
      <c r="AE134" t="s">
        <v>242</v>
      </c>
      <c r="AF134" t="s">
        <v>245</v>
      </c>
    </row>
    <row r="135" spans="1:32" ht="18" x14ac:dyDescent="0.35">
      <c r="A135" s="6"/>
      <c r="C135" s="13" t="s">
        <v>467</v>
      </c>
      <c r="D135" s="13" t="str">
        <f t="shared" si="13"/>
        <v xml:space="preserve">cf;f </v>
      </c>
      <c r="E135" s="13" t="str">
        <f t="shared" si="14"/>
        <v>IfqL</v>
      </c>
      <c r="F135" s="21" t="s">
        <v>234</v>
      </c>
      <c r="H135" s="21" t="s">
        <v>756</v>
      </c>
      <c r="I135" s="21" t="s">
        <v>906</v>
      </c>
      <c r="J135" s="21">
        <f t="shared" si="12"/>
        <v>53</v>
      </c>
      <c r="K135" s="21"/>
      <c r="L135" s="15">
        <f t="shared" ref="L135:L198" si="15">(X135-W135)/365</f>
        <v>59.041095890410958</v>
      </c>
      <c r="M135" s="15"/>
      <c r="N135" s="15"/>
      <c r="O135" s="15"/>
      <c r="P135" s="15"/>
      <c r="Q135" s="15"/>
      <c r="R135" s="15"/>
      <c r="S135" s="16"/>
      <c r="T135" s="16"/>
      <c r="U135" s="16"/>
      <c r="V135" s="16"/>
      <c r="W135" s="5">
        <v>45407</v>
      </c>
      <c r="X135" s="5">
        <v>66957</v>
      </c>
      <c r="Z135" s="5"/>
    </row>
    <row r="136" spans="1:32" ht="18" x14ac:dyDescent="0.35">
      <c r="A136" s="6"/>
      <c r="C136" s="13" t="s">
        <v>468</v>
      </c>
      <c r="D136" s="13" t="str">
        <f t="shared" si="13"/>
        <v xml:space="preserve">/fx'n </v>
      </c>
      <c r="E136" s="13" t="str">
        <f t="shared" si="14"/>
        <v>IfqL</v>
      </c>
      <c r="F136" s="21" t="s">
        <v>233</v>
      </c>
      <c r="H136" s="21" t="s">
        <v>756</v>
      </c>
      <c r="I136" s="21" t="s">
        <v>905</v>
      </c>
      <c r="J136" s="21">
        <f t="shared" si="12"/>
        <v>164</v>
      </c>
      <c r="K136" s="21"/>
      <c r="L136" s="15">
        <f t="shared" si="15"/>
        <v>42.38356164383562</v>
      </c>
      <c r="M136" s="15"/>
      <c r="N136" s="15"/>
      <c r="O136" s="15"/>
      <c r="P136" s="15"/>
      <c r="Q136" s="15"/>
      <c r="R136" s="15"/>
      <c r="S136" s="16"/>
      <c r="T136" s="16"/>
      <c r="U136" s="16"/>
      <c r="V136" s="16"/>
      <c r="W136" s="5">
        <v>51487</v>
      </c>
      <c r="X136" s="5">
        <v>66957</v>
      </c>
      <c r="Z136" s="5"/>
    </row>
    <row r="137" spans="1:32" ht="18" x14ac:dyDescent="0.35">
      <c r="A137" s="6"/>
      <c r="C137" s="13" t="s">
        <v>469</v>
      </c>
      <c r="D137" s="13" t="str">
        <f t="shared" si="13"/>
        <v xml:space="preserve">b]asL </v>
      </c>
      <c r="E137" s="13" t="str">
        <f t="shared" si="14"/>
        <v>s]=;L</v>
      </c>
      <c r="F137" s="21" t="s">
        <v>234</v>
      </c>
      <c r="H137" s="21" t="s">
        <v>756</v>
      </c>
      <c r="I137" s="21" t="s">
        <v>905</v>
      </c>
      <c r="J137" s="21">
        <f t="shared" si="12"/>
        <v>107</v>
      </c>
      <c r="K137" s="21"/>
      <c r="L137" s="15">
        <f t="shared" si="15"/>
        <v>42.158904109589038</v>
      </c>
      <c r="M137" s="15"/>
      <c r="N137" s="15"/>
      <c r="O137" s="15"/>
      <c r="P137" s="15"/>
      <c r="Q137" s="15"/>
      <c r="R137" s="15"/>
      <c r="S137" s="16"/>
      <c r="T137" s="16"/>
      <c r="U137" s="16"/>
      <c r="V137" s="16"/>
      <c r="W137" s="5">
        <v>51569</v>
      </c>
      <c r="X137" s="5">
        <v>66957</v>
      </c>
      <c r="Z137" s="5"/>
    </row>
    <row r="138" spans="1:32" ht="18" x14ac:dyDescent="0.35">
      <c r="A138" s="6">
        <v>42</v>
      </c>
      <c r="B138" t="s">
        <v>43</v>
      </c>
      <c r="C138" s="14" t="s">
        <v>739</v>
      </c>
      <c r="D138" s="13" t="str">
        <f t="shared" si="13"/>
        <v xml:space="preserve">&gt;LdtL </v>
      </c>
      <c r="E138" s="13" t="str">
        <f t="shared" si="14"/>
        <v>lh;L</v>
      </c>
      <c r="F138" s="21" t="s">
        <v>234</v>
      </c>
      <c r="G138" t="s">
        <v>322</v>
      </c>
      <c r="H138" s="21" t="s">
        <v>756</v>
      </c>
      <c r="I138" s="21" t="s">
        <v>906</v>
      </c>
      <c r="J138" s="21">
        <f t="shared" si="12"/>
        <v>53</v>
      </c>
      <c r="K138" s="21"/>
      <c r="L138" s="15">
        <f t="shared" si="15"/>
        <v>55.052054794520551</v>
      </c>
      <c r="M138" s="15"/>
      <c r="N138" s="15"/>
      <c r="O138" s="15"/>
      <c r="P138" s="15"/>
      <c r="Q138" s="15" t="s">
        <v>964</v>
      </c>
      <c r="R138" s="15"/>
      <c r="S138" s="16" t="s">
        <v>748</v>
      </c>
      <c r="T138" s="16" t="s">
        <v>748</v>
      </c>
      <c r="U138" s="16" t="s">
        <v>748</v>
      </c>
      <c r="V138" s="16" t="s">
        <v>748</v>
      </c>
      <c r="W138" s="5">
        <v>46863</v>
      </c>
      <c r="X138" s="5">
        <v>66957</v>
      </c>
      <c r="Z138" s="5">
        <v>65972</v>
      </c>
      <c r="AA138" s="2" t="s">
        <v>2</v>
      </c>
      <c r="AB138" s="2">
        <v>3</v>
      </c>
      <c r="AC138" s="2">
        <v>2</v>
      </c>
      <c r="AD138" s="2">
        <v>1</v>
      </c>
      <c r="AE138" t="s">
        <v>242</v>
      </c>
      <c r="AF138" t="s">
        <v>245</v>
      </c>
    </row>
    <row r="139" spans="1:32" ht="18" x14ac:dyDescent="0.35">
      <c r="A139" s="6"/>
      <c r="C139" s="14" t="s">
        <v>740</v>
      </c>
      <c r="D139" s="13" t="str">
        <f t="shared" si="13"/>
        <v xml:space="preserve">a'4L </v>
      </c>
      <c r="E139" s="13" t="str">
        <f t="shared" si="14"/>
        <v>lh;L</v>
      </c>
      <c r="F139" s="21" t="s">
        <v>233</v>
      </c>
      <c r="H139" s="21" t="s">
        <v>756</v>
      </c>
      <c r="I139" s="21" t="s">
        <v>906</v>
      </c>
      <c r="J139" s="21">
        <f t="shared" si="12"/>
        <v>11</v>
      </c>
      <c r="K139" s="21"/>
      <c r="L139" s="15">
        <f t="shared" si="15"/>
        <v>60.556164383561644</v>
      </c>
      <c r="M139" s="15"/>
      <c r="N139" s="15"/>
      <c r="O139" s="15"/>
      <c r="P139" s="15"/>
      <c r="Q139" s="15"/>
      <c r="R139" s="15"/>
      <c r="S139" s="16"/>
      <c r="T139" s="16"/>
      <c r="U139" s="16"/>
      <c r="V139" s="16"/>
      <c r="W139" s="5">
        <v>44854</v>
      </c>
      <c r="X139" s="5">
        <v>66957</v>
      </c>
      <c r="Z139" s="5"/>
    </row>
    <row r="140" spans="1:32" ht="18" x14ac:dyDescent="0.35">
      <c r="A140" s="6"/>
      <c r="C140" s="14" t="s">
        <v>741</v>
      </c>
      <c r="D140" s="13" t="str">
        <f t="shared" si="13"/>
        <v xml:space="preserve">ldng </v>
      </c>
      <c r="E140" s="13" t="str">
        <f t="shared" si="14"/>
        <v>lh;L</v>
      </c>
      <c r="F140" s="21" t="s">
        <v>233</v>
      </c>
      <c r="H140" s="21" t="s">
        <v>756</v>
      </c>
      <c r="I140" s="21" t="s">
        <v>905</v>
      </c>
      <c r="J140" s="21">
        <f t="shared" si="12"/>
        <v>164</v>
      </c>
      <c r="K140" s="21"/>
      <c r="L140" s="15">
        <f t="shared" si="15"/>
        <v>37.128767123287673</v>
      </c>
      <c r="M140" s="15"/>
      <c r="N140" s="15"/>
      <c r="O140" s="15"/>
      <c r="P140" s="15"/>
      <c r="Q140" s="15"/>
      <c r="R140" s="15"/>
      <c r="S140" s="16"/>
      <c r="T140" s="16"/>
      <c r="U140" s="16"/>
      <c r="V140" s="16"/>
      <c r="W140" s="5">
        <v>53405</v>
      </c>
      <c r="X140" s="5">
        <v>66957</v>
      </c>
      <c r="Z140" s="5"/>
    </row>
    <row r="141" spans="1:32" ht="18" x14ac:dyDescent="0.35">
      <c r="A141" s="6">
        <v>43</v>
      </c>
      <c r="B141" t="s">
        <v>44</v>
      </c>
      <c r="C141" s="14" t="s">
        <v>473</v>
      </c>
      <c r="D141" s="13" t="str">
        <f t="shared" si="13"/>
        <v xml:space="preserve">;+ho </v>
      </c>
      <c r="E141" s="13" t="str">
        <f t="shared" si="14"/>
        <v>nfdf</v>
      </c>
      <c r="F141" s="21" t="s">
        <v>233</v>
      </c>
      <c r="G141" t="s">
        <v>313</v>
      </c>
      <c r="H141" s="21" t="s">
        <v>756</v>
      </c>
      <c r="I141" s="21" t="s">
        <v>905</v>
      </c>
      <c r="J141" s="21">
        <f t="shared" si="12"/>
        <v>164</v>
      </c>
      <c r="K141" s="21"/>
      <c r="L141" s="15">
        <f t="shared" si="15"/>
        <v>52.079452054794523</v>
      </c>
      <c r="M141" s="15"/>
      <c r="N141" s="15"/>
      <c r="O141" s="15"/>
      <c r="P141" s="15"/>
      <c r="Q141" s="15" t="s">
        <v>965</v>
      </c>
      <c r="R141" s="15"/>
      <c r="S141" s="16" t="s">
        <v>748</v>
      </c>
      <c r="T141" s="16" t="s">
        <v>748</v>
      </c>
      <c r="U141" s="16" t="s">
        <v>748</v>
      </c>
      <c r="V141" s="16" t="s">
        <v>748</v>
      </c>
      <c r="W141" s="5">
        <v>47948</v>
      </c>
      <c r="X141" s="5">
        <v>66957</v>
      </c>
      <c r="Y141" t="s">
        <v>115</v>
      </c>
      <c r="Z141" s="5">
        <v>65949</v>
      </c>
      <c r="AA141" s="2" t="s">
        <v>2</v>
      </c>
      <c r="AB141" s="2">
        <v>4</v>
      </c>
      <c r="AC141" s="2">
        <v>2</v>
      </c>
      <c r="AD141" s="2">
        <v>2</v>
      </c>
      <c r="AE141" t="s">
        <v>242</v>
      </c>
      <c r="AF141" t="s">
        <v>245</v>
      </c>
    </row>
    <row r="142" spans="1:32" ht="18" x14ac:dyDescent="0.35">
      <c r="A142" s="6"/>
      <c r="C142" s="14" t="s">
        <v>474</v>
      </c>
      <c r="D142" s="13" t="str">
        <f t="shared" si="13"/>
        <v xml:space="preserve">;l/tf </v>
      </c>
      <c r="E142" s="13" t="str">
        <f t="shared" si="14"/>
        <v>nfdf</v>
      </c>
      <c r="F142" s="21" t="s">
        <v>234</v>
      </c>
      <c r="H142" s="21" t="s">
        <v>756</v>
      </c>
      <c r="I142" s="21" t="s">
        <v>906</v>
      </c>
      <c r="J142" s="21">
        <f t="shared" si="12"/>
        <v>53</v>
      </c>
      <c r="K142" s="21"/>
      <c r="L142" s="15">
        <f t="shared" si="15"/>
        <v>35.594520547945208</v>
      </c>
      <c r="M142" s="15"/>
      <c r="N142" s="15"/>
      <c r="O142" s="15"/>
      <c r="P142" s="15"/>
      <c r="Q142" s="15"/>
      <c r="R142" s="15"/>
      <c r="S142" s="16"/>
      <c r="T142" s="16"/>
      <c r="U142" s="16"/>
      <c r="V142" s="16"/>
      <c r="W142" s="5">
        <v>53965</v>
      </c>
      <c r="X142" s="5">
        <v>66957</v>
      </c>
      <c r="Z142" s="5"/>
    </row>
    <row r="143" spans="1:32" ht="18" x14ac:dyDescent="0.35">
      <c r="A143" s="6"/>
      <c r="C143" s="14" t="s">
        <v>475</v>
      </c>
      <c r="D143" s="13" t="str">
        <f t="shared" si="13"/>
        <v xml:space="preserve">;f]gn </v>
      </c>
      <c r="E143" s="13" t="str">
        <f t="shared" si="14"/>
        <v>nfdf</v>
      </c>
      <c r="F143" s="21" t="s">
        <v>234</v>
      </c>
      <c r="H143" s="21" t="s">
        <v>757</v>
      </c>
      <c r="I143" s="21" t="s">
        <v>905</v>
      </c>
      <c r="J143" s="21">
        <f t="shared" si="12"/>
        <v>107</v>
      </c>
      <c r="K143" s="21"/>
      <c r="L143" s="15">
        <f t="shared" si="15"/>
        <v>14.854794520547944</v>
      </c>
      <c r="M143" s="15"/>
      <c r="N143" s="15"/>
      <c r="O143" s="15"/>
      <c r="P143" s="15"/>
      <c r="Q143" s="15"/>
      <c r="R143" s="15"/>
      <c r="S143" s="16"/>
      <c r="T143" s="16"/>
      <c r="U143" s="16"/>
      <c r="V143" s="16"/>
      <c r="W143" s="5">
        <v>61535</v>
      </c>
      <c r="X143" s="5">
        <v>66957</v>
      </c>
      <c r="Z143" s="5"/>
    </row>
    <row r="144" spans="1:32" ht="18" x14ac:dyDescent="0.35">
      <c r="A144" s="6"/>
      <c r="C144" s="14" t="s">
        <v>476</v>
      </c>
      <c r="D144" s="13" t="str">
        <f t="shared" si="13"/>
        <v xml:space="preserve">;fof]g </v>
      </c>
      <c r="E144" s="13" t="str">
        <f t="shared" si="14"/>
        <v>nfdf</v>
      </c>
      <c r="F144" s="21" t="s">
        <v>233</v>
      </c>
      <c r="H144" s="21" t="s">
        <v>757</v>
      </c>
      <c r="I144" s="21" t="s">
        <v>905</v>
      </c>
      <c r="J144" s="21">
        <f t="shared" si="12"/>
        <v>164</v>
      </c>
      <c r="K144" s="21"/>
      <c r="L144" s="15">
        <f t="shared" si="15"/>
        <v>10.413698630136986</v>
      </c>
      <c r="M144" s="15"/>
      <c r="N144" s="15"/>
      <c r="O144" s="15"/>
      <c r="P144" s="15"/>
      <c r="Q144" s="15"/>
      <c r="R144" s="15"/>
      <c r="S144" s="16"/>
      <c r="T144" s="16"/>
      <c r="U144" s="16"/>
      <c r="V144" s="16"/>
      <c r="W144" s="5">
        <v>63156</v>
      </c>
      <c r="X144" s="5">
        <v>66957</v>
      </c>
      <c r="Z144" s="5"/>
    </row>
    <row r="145" spans="1:32" ht="18" x14ac:dyDescent="0.35">
      <c r="A145" s="6">
        <v>45</v>
      </c>
      <c r="B145" t="s">
        <v>46</v>
      </c>
      <c r="C145" s="13" t="s">
        <v>687</v>
      </c>
      <c r="D145" s="13" t="str">
        <f t="shared" si="13"/>
        <v xml:space="preserve">/Tg </v>
      </c>
      <c r="E145" s="13" t="str">
        <f t="shared" si="14"/>
        <v>&gt;]i7</v>
      </c>
      <c r="F145" s="21" t="s">
        <v>234</v>
      </c>
      <c r="G145" t="s">
        <v>308</v>
      </c>
      <c r="H145" s="21" t="s">
        <v>756</v>
      </c>
      <c r="I145" s="21" t="s">
        <v>906</v>
      </c>
      <c r="J145" s="21">
        <f t="shared" si="12"/>
        <v>53</v>
      </c>
      <c r="K145" s="21"/>
      <c r="L145" s="15">
        <f t="shared" si="15"/>
        <v>57.30958904109589</v>
      </c>
      <c r="M145" s="15"/>
      <c r="N145" s="15"/>
      <c r="O145" s="15"/>
      <c r="P145" s="15"/>
      <c r="Q145" s="15" t="s">
        <v>963</v>
      </c>
      <c r="R145" s="15"/>
      <c r="S145" s="16">
        <v>0</v>
      </c>
      <c r="T145" s="16">
        <v>4</v>
      </c>
      <c r="U145" s="16">
        <v>0</v>
      </c>
      <c r="V145" s="16">
        <v>0</v>
      </c>
      <c r="W145" s="5">
        <v>46039</v>
      </c>
      <c r="X145" s="5">
        <v>66957</v>
      </c>
      <c r="Y145" t="s">
        <v>113</v>
      </c>
      <c r="Z145" s="5">
        <v>65858</v>
      </c>
      <c r="AA145" s="2" t="s">
        <v>2</v>
      </c>
      <c r="AB145" s="2">
        <v>5</v>
      </c>
      <c r="AC145" s="2">
        <v>2</v>
      </c>
      <c r="AD145" s="2">
        <v>3</v>
      </c>
      <c r="AE145" t="s">
        <v>242</v>
      </c>
      <c r="AF145" t="s">
        <v>245</v>
      </c>
    </row>
    <row r="146" spans="1:32" ht="18" x14ac:dyDescent="0.35">
      <c r="A146" s="6"/>
      <c r="C146" s="13" t="s">
        <v>728</v>
      </c>
      <c r="D146" s="13" t="str">
        <f t="shared" si="13"/>
        <v xml:space="preserve">led </v>
      </c>
      <c r="E146" s="13" t="str">
        <f t="shared" si="14"/>
        <v>&gt;]i7</v>
      </c>
      <c r="F146" s="21" t="s">
        <v>233</v>
      </c>
      <c r="H146" s="21" t="s">
        <v>756</v>
      </c>
      <c r="I146" s="21" t="s">
        <v>905</v>
      </c>
      <c r="J146" s="21">
        <f t="shared" si="12"/>
        <v>164</v>
      </c>
      <c r="K146" s="21"/>
      <c r="L146" s="15">
        <f t="shared" si="15"/>
        <v>36.136986301369866</v>
      </c>
      <c r="M146" s="15"/>
      <c r="N146" s="15"/>
      <c r="O146" s="15"/>
      <c r="P146" s="15"/>
      <c r="Q146" s="15"/>
      <c r="R146" s="15"/>
      <c r="S146" s="16"/>
      <c r="T146" s="16"/>
      <c r="U146" s="16"/>
      <c r="V146" s="16"/>
      <c r="W146" s="5">
        <v>53767</v>
      </c>
      <c r="X146" s="5">
        <v>66957</v>
      </c>
      <c r="Z146" s="5"/>
    </row>
    <row r="147" spans="1:32" ht="18" x14ac:dyDescent="0.35">
      <c r="A147" s="6"/>
      <c r="C147" s="13" t="s">
        <v>729</v>
      </c>
      <c r="D147" s="13" t="str">
        <f t="shared" si="13"/>
        <v xml:space="preserve">ladnf </v>
      </c>
      <c r="E147" s="13" t="str">
        <f t="shared" si="14"/>
        <v>&gt;]i7</v>
      </c>
      <c r="F147" s="21" t="s">
        <v>234</v>
      </c>
      <c r="H147" s="21" t="s">
        <v>756</v>
      </c>
      <c r="I147" s="21" t="s">
        <v>905</v>
      </c>
      <c r="J147" s="21">
        <f t="shared" si="12"/>
        <v>107</v>
      </c>
      <c r="K147" s="21"/>
      <c r="L147" s="15">
        <f t="shared" si="15"/>
        <v>34.665753424657531</v>
      </c>
      <c r="M147" s="15"/>
      <c r="N147" s="15"/>
      <c r="O147" s="15"/>
      <c r="P147" s="15"/>
      <c r="Q147" s="15"/>
      <c r="R147" s="15"/>
      <c r="S147" s="16"/>
      <c r="T147" s="16"/>
      <c r="U147" s="16"/>
      <c r="V147" s="16"/>
      <c r="W147" s="5">
        <v>54304</v>
      </c>
      <c r="X147" s="5">
        <v>66957</v>
      </c>
      <c r="Z147" s="5"/>
    </row>
    <row r="148" spans="1:32" ht="18" x14ac:dyDescent="0.35">
      <c r="A148" s="6"/>
      <c r="C148" s="13" t="s">
        <v>730</v>
      </c>
      <c r="D148" s="13" t="str">
        <f t="shared" si="13"/>
        <v xml:space="preserve">cle </v>
      </c>
      <c r="E148" s="13" t="str">
        <f t="shared" si="14"/>
        <v>&gt;]i7</v>
      </c>
      <c r="F148" s="21" t="s">
        <v>233</v>
      </c>
      <c r="H148" s="21" t="s">
        <v>757</v>
      </c>
      <c r="I148" s="21" t="s">
        <v>905</v>
      </c>
      <c r="J148" s="21">
        <f t="shared" si="12"/>
        <v>164</v>
      </c>
      <c r="K148" s="21"/>
      <c r="L148" s="15">
        <f t="shared" si="15"/>
        <v>7.7479452054794518</v>
      </c>
      <c r="M148" s="15"/>
      <c r="N148" s="15"/>
      <c r="O148" s="15"/>
      <c r="P148" s="15"/>
      <c r="Q148" s="15"/>
      <c r="R148" s="15"/>
      <c r="S148" s="16"/>
      <c r="T148" s="16"/>
      <c r="U148" s="16"/>
      <c r="V148" s="16"/>
      <c r="W148" s="5">
        <v>64129</v>
      </c>
      <c r="X148" s="5">
        <v>66957</v>
      </c>
      <c r="Z148" s="5"/>
    </row>
    <row r="149" spans="1:32" ht="18" x14ac:dyDescent="0.35">
      <c r="A149" s="6"/>
      <c r="C149" s="13" t="s">
        <v>731</v>
      </c>
      <c r="D149" s="13" t="str">
        <f t="shared" si="13"/>
        <v xml:space="preserve">cfef </v>
      </c>
      <c r="E149" s="13" t="str">
        <f t="shared" si="14"/>
        <v>&gt;]i7</v>
      </c>
      <c r="F149" s="21" t="s">
        <v>234</v>
      </c>
      <c r="H149" s="21" t="s">
        <v>757</v>
      </c>
      <c r="I149" s="21" t="s">
        <v>748</v>
      </c>
      <c r="J149" s="21" t="b">
        <f t="shared" si="12"/>
        <v>0</v>
      </c>
      <c r="K149" s="21"/>
      <c r="L149" s="15">
        <f t="shared" si="15"/>
        <v>3.7863013698630139</v>
      </c>
      <c r="M149" s="15"/>
      <c r="N149" s="15"/>
      <c r="O149" s="15"/>
      <c r="P149" s="15"/>
      <c r="Q149" s="15"/>
      <c r="R149" s="15"/>
      <c r="S149" s="16"/>
      <c r="T149" s="16"/>
      <c r="U149" s="16"/>
      <c r="V149" s="16"/>
      <c r="W149" s="5">
        <v>65575</v>
      </c>
      <c r="X149" s="5">
        <v>66957</v>
      </c>
      <c r="Z149" s="5"/>
    </row>
    <row r="150" spans="1:32" ht="18" x14ac:dyDescent="0.35">
      <c r="A150" s="6">
        <v>46</v>
      </c>
      <c r="B150" t="s">
        <v>47</v>
      </c>
      <c r="C150" s="13" t="s">
        <v>477</v>
      </c>
      <c r="D150" s="13" t="str">
        <f t="shared" si="13"/>
        <v xml:space="preserve">u0f]z </v>
      </c>
      <c r="E150" s="13" t="str">
        <f t="shared" si="14"/>
        <v>&gt;]i7</v>
      </c>
      <c r="F150" s="21" t="s">
        <v>233</v>
      </c>
      <c r="G150" t="s">
        <v>268</v>
      </c>
      <c r="H150" s="21" t="s">
        <v>756</v>
      </c>
      <c r="I150" s="21" t="s">
        <v>905</v>
      </c>
      <c r="J150" s="21">
        <f t="shared" si="12"/>
        <v>164</v>
      </c>
      <c r="K150" s="21"/>
      <c r="L150" s="15">
        <f t="shared" si="15"/>
        <v>48.841095890410962</v>
      </c>
      <c r="M150" s="15"/>
      <c r="N150" s="15"/>
      <c r="O150" s="15"/>
      <c r="P150" s="15"/>
      <c r="Q150" s="15" t="s">
        <v>963</v>
      </c>
      <c r="R150" s="15"/>
      <c r="S150" s="16">
        <v>0</v>
      </c>
      <c r="T150" s="16">
        <v>3</v>
      </c>
      <c r="U150" s="16">
        <v>1</v>
      </c>
      <c r="V150" s="16">
        <v>0</v>
      </c>
      <c r="W150" s="5">
        <v>49130</v>
      </c>
      <c r="X150" s="5">
        <v>66957</v>
      </c>
      <c r="Y150" t="s">
        <v>112</v>
      </c>
      <c r="Z150" s="5">
        <v>65840</v>
      </c>
      <c r="AA150" s="2" t="s">
        <v>2</v>
      </c>
      <c r="AB150" s="2">
        <v>4</v>
      </c>
      <c r="AC150" s="2">
        <v>3</v>
      </c>
      <c r="AD150" s="2">
        <v>1</v>
      </c>
      <c r="AE150" t="s">
        <v>242</v>
      </c>
      <c r="AF150" t="s">
        <v>245</v>
      </c>
    </row>
    <row r="151" spans="1:32" ht="18" x14ac:dyDescent="0.35">
      <c r="A151" s="6"/>
      <c r="C151" s="13" t="s">
        <v>478</v>
      </c>
      <c r="D151" s="13" t="str">
        <f t="shared" si="13"/>
        <v xml:space="preserve">/fh </v>
      </c>
      <c r="E151" s="13" t="str">
        <f t="shared" si="14"/>
        <v>&gt;]i7</v>
      </c>
      <c r="F151" s="21" t="s">
        <v>233</v>
      </c>
      <c r="H151" s="21" t="s">
        <v>757</v>
      </c>
      <c r="I151" s="21" t="s">
        <v>905</v>
      </c>
      <c r="J151" s="21">
        <f t="shared" si="12"/>
        <v>164</v>
      </c>
      <c r="K151" s="21"/>
      <c r="L151" s="15">
        <f t="shared" si="15"/>
        <v>20.12054794520548</v>
      </c>
      <c r="M151" s="15"/>
      <c r="N151" s="15"/>
      <c r="O151" s="15"/>
      <c r="P151" s="15"/>
      <c r="Q151" s="15"/>
      <c r="R151" s="15"/>
      <c r="S151" s="16"/>
      <c r="T151" s="16"/>
      <c r="U151" s="16"/>
      <c r="V151" s="16"/>
      <c r="W151" s="5">
        <v>59613</v>
      </c>
      <c r="X151" s="5">
        <v>66957</v>
      </c>
      <c r="Z151" s="5"/>
    </row>
    <row r="152" spans="1:32" ht="18" x14ac:dyDescent="0.35">
      <c r="A152" s="6"/>
      <c r="C152" s="13" t="s">
        <v>479</v>
      </c>
      <c r="D152" s="13" t="str">
        <f t="shared" si="13"/>
        <v xml:space="preserve">lbn </v>
      </c>
      <c r="E152" s="13" t="str">
        <f t="shared" si="14"/>
        <v>&gt;]i7</v>
      </c>
      <c r="F152" s="21" t="s">
        <v>234</v>
      </c>
      <c r="H152" s="21" t="s">
        <v>756</v>
      </c>
      <c r="I152" s="21" t="s">
        <v>906</v>
      </c>
      <c r="J152" s="21">
        <f t="shared" si="12"/>
        <v>53</v>
      </c>
      <c r="K152" s="21"/>
      <c r="L152" s="15">
        <f t="shared" si="15"/>
        <v>51.076712328767123</v>
      </c>
      <c r="M152" s="15"/>
      <c r="N152" s="15"/>
      <c r="O152" s="15"/>
      <c r="P152" s="15"/>
      <c r="Q152" s="15"/>
      <c r="R152" s="15"/>
      <c r="S152" s="16"/>
      <c r="T152" s="16"/>
      <c r="U152" s="16"/>
      <c r="V152" s="16"/>
      <c r="W152" s="5">
        <v>48314</v>
      </c>
      <c r="X152" s="5">
        <v>66957</v>
      </c>
      <c r="Z152" s="5"/>
    </row>
    <row r="153" spans="1:32" ht="18" x14ac:dyDescent="0.35">
      <c r="A153" s="6"/>
      <c r="C153" s="13" t="s">
        <v>480</v>
      </c>
      <c r="D153" s="13" t="str">
        <f t="shared" si="13"/>
        <v xml:space="preserve">;Gtf]if </v>
      </c>
      <c r="E153" s="13" t="str">
        <f t="shared" si="14"/>
        <v>&gt;]i7</v>
      </c>
      <c r="F153" s="21" t="s">
        <v>233</v>
      </c>
      <c r="H153" s="21" t="s">
        <v>757</v>
      </c>
      <c r="I153" s="21" t="s">
        <v>905</v>
      </c>
      <c r="J153" s="21">
        <f t="shared" si="12"/>
        <v>164</v>
      </c>
      <c r="K153" s="21"/>
      <c r="L153" s="15">
        <f t="shared" si="15"/>
        <v>21.520547945205479</v>
      </c>
      <c r="M153" s="15"/>
      <c r="N153" s="15"/>
      <c r="O153" s="15"/>
      <c r="P153" s="15"/>
      <c r="Q153" s="15"/>
      <c r="R153" s="15"/>
      <c r="S153" s="16"/>
      <c r="T153" s="16"/>
      <c r="U153" s="16"/>
      <c r="V153" s="16"/>
      <c r="W153" s="5">
        <v>59102</v>
      </c>
      <c r="X153" s="5">
        <v>66957</v>
      </c>
      <c r="Z153" s="5"/>
    </row>
    <row r="154" spans="1:32" ht="18" x14ac:dyDescent="0.35">
      <c r="A154" s="6">
        <v>48</v>
      </c>
      <c r="B154" t="s">
        <v>49</v>
      </c>
      <c r="C154" s="13" t="s">
        <v>484</v>
      </c>
      <c r="D154" s="13" t="str">
        <f t="shared" si="13"/>
        <v xml:space="preserve">zf]ef </v>
      </c>
      <c r="E154" s="13" t="str">
        <f t="shared" si="14"/>
        <v>vqL</v>
      </c>
      <c r="F154" s="21" t="s">
        <v>234</v>
      </c>
      <c r="G154" t="s">
        <v>317</v>
      </c>
      <c r="H154" s="21" t="s">
        <v>756</v>
      </c>
      <c r="I154" s="21" t="s">
        <v>905</v>
      </c>
      <c r="J154" s="21">
        <f t="shared" si="12"/>
        <v>107</v>
      </c>
      <c r="K154" s="21"/>
      <c r="L154" s="15">
        <f t="shared" si="15"/>
        <v>47.624657534246573</v>
      </c>
      <c r="M154" s="15"/>
      <c r="N154" s="15"/>
      <c r="O154" s="15"/>
      <c r="P154" s="15"/>
      <c r="Q154" s="15" t="s">
        <v>962</v>
      </c>
      <c r="R154" s="15"/>
      <c r="S154" s="16" t="s">
        <v>748</v>
      </c>
      <c r="T154" s="16" t="s">
        <v>748</v>
      </c>
      <c r="U154" s="16" t="s">
        <v>748</v>
      </c>
      <c r="V154" s="16" t="s">
        <v>748</v>
      </c>
      <c r="W154" s="5">
        <v>49574</v>
      </c>
      <c r="X154" s="5">
        <v>66957</v>
      </c>
      <c r="Y154" t="s">
        <v>110</v>
      </c>
      <c r="Z154" s="5">
        <v>65825</v>
      </c>
      <c r="AA154" s="2" t="s">
        <v>2</v>
      </c>
      <c r="AB154" s="2">
        <v>4</v>
      </c>
      <c r="AC154" s="2">
        <v>3</v>
      </c>
      <c r="AD154" s="2">
        <v>1</v>
      </c>
      <c r="AE154" t="s">
        <v>242</v>
      </c>
      <c r="AF154" t="s">
        <v>245</v>
      </c>
    </row>
    <row r="155" spans="1:32" ht="18" x14ac:dyDescent="0.35">
      <c r="A155" s="6"/>
      <c r="C155" s="13" t="s">
        <v>485</v>
      </c>
      <c r="D155" s="13" t="str">
        <f t="shared" si="13"/>
        <v xml:space="preserve">dg </v>
      </c>
      <c r="E155" s="13" t="str">
        <f t="shared" si="14"/>
        <v>vqL</v>
      </c>
      <c r="F155" s="21" t="s">
        <v>233</v>
      </c>
      <c r="H155" s="21" t="s">
        <v>756</v>
      </c>
      <c r="I155" s="21" t="s">
        <v>907</v>
      </c>
      <c r="J155" s="21">
        <f t="shared" si="12"/>
        <v>164</v>
      </c>
      <c r="K155" s="21"/>
      <c r="L155" s="15">
        <f t="shared" si="15"/>
        <v>52.397260273972606</v>
      </c>
      <c r="M155" s="15"/>
      <c r="N155" s="15"/>
      <c r="O155" s="15"/>
      <c r="P155" s="15"/>
      <c r="Q155" s="15"/>
      <c r="R155" s="15"/>
      <c r="S155" s="16"/>
      <c r="T155" s="16"/>
      <c r="U155" s="16"/>
      <c r="V155" s="16"/>
      <c r="W155" s="5">
        <v>47832</v>
      </c>
      <c r="X155" s="5">
        <v>66957</v>
      </c>
      <c r="Z155" s="5"/>
    </row>
    <row r="156" spans="1:32" ht="18" x14ac:dyDescent="0.35">
      <c r="A156" s="6"/>
      <c r="C156" s="13" t="s">
        <v>486</v>
      </c>
      <c r="D156" s="13" t="str">
        <f t="shared" si="13"/>
        <v xml:space="preserve">l8s </v>
      </c>
      <c r="E156" s="13" t="str">
        <f t="shared" si="14"/>
        <v>vqL</v>
      </c>
      <c r="F156" s="21" t="s">
        <v>233</v>
      </c>
      <c r="H156" s="21" t="s">
        <v>757</v>
      </c>
      <c r="I156" s="21" t="s">
        <v>905</v>
      </c>
      <c r="J156" s="21">
        <f t="shared" si="12"/>
        <v>164</v>
      </c>
      <c r="K156" s="21"/>
      <c r="L156" s="15">
        <f t="shared" si="15"/>
        <v>27.742465753424657</v>
      </c>
      <c r="M156" s="15"/>
      <c r="N156" s="15"/>
      <c r="O156" s="15"/>
      <c r="P156" s="15"/>
      <c r="Q156" s="15"/>
      <c r="R156" s="15"/>
      <c r="S156" s="16"/>
      <c r="T156" s="16"/>
      <c r="U156" s="16"/>
      <c r="V156" s="16"/>
      <c r="W156" s="5">
        <v>56831</v>
      </c>
      <c r="X156" s="5">
        <v>66957</v>
      </c>
      <c r="Z156" s="5"/>
    </row>
    <row r="157" spans="1:32" ht="18" x14ac:dyDescent="0.35">
      <c r="A157" s="6"/>
      <c r="C157" s="13" t="s">
        <v>487</v>
      </c>
      <c r="D157" s="13" t="str">
        <f t="shared" si="13"/>
        <v xml:space="preserve">ljzfn </v>
      </c>
      <c r="E157" s="13" t="str">
        <f t="shared" si="14"/>
        <v>vqL</v>
      </c>
      <c r="F157" s="21" t="s">
        <v>233</v>
      </c>
      <c r="H157" s="21" t="s">
        <v>757</v>
      </c>
      <c r="I157" s="21" t="s">
        <v>905</v>
      </c>
      <c r="J157" s="21">
        <f t="shared" si="12"/>
        <v>164</v>
      </c>
      <c r="K157" s="21"/>
      <c r="L157" s="15">
        <f t="shared" si="15"/>
        <v>23.55890410958904</v>
      </c>
      <c r="M157" s="15"/>
      <c r="N157" s="15"/>
      <c r="O157" s="15"/>
      <c r="P157" s="15"/>
      <c r="Q157" s="15"/>
      <c r="R157" s="15"/>
      <c r="S157" s="16"/>
      <c r="T157" s="16"/>
      <c r="U157" s="16"/>
      <c r="V157" s="16"/>
      <c r="W157" s="5">
        <v>58358</v>
      </c>
      <c r="X157" s="5">
        <v>66957</v>
      </c>
      <c r="Z157" s="5"/>
    </row>
    <row r="158" spans="1:32" ht="18" x14ac:dyDescent="0.35">
      <c r="A158" s="6">
        <v>50</v>
      </c>
      <c r="B158" t="s">
        <v>51</v>
      </c>
      <c r="C158" s="13" t="s">
        <v>491</v>
      </c>
      <c r="D158" s="13" t="str">
        <f t="shared" si="13"/>
        <v xml:space="preserve">;Ltf/fd </v>
      </c>
      <c r="E158" s="13" t="str">
        <f t="shared" si="14"/>
        <v>&gt;]i7</v>
      </c>
      <c r="F158" s="21" t="s">
        <v>233</v>
      </c>
      <c r="G158" t="s">
        <v>321</v>
      </c>
      <c r="H158" s="21" t="s">
        <v>756</v>
      </c>
      <c r="I158" s="21" t="s">
        <v>905</v>
      </c>
      <c r="J158" s="21">
        <f t="shared" si="12"/>
        <v>164</v>
      </c>
      <c r="K158" s="21"/>
      <c r="L158" s="15">
        <f t="shared" si="15"/>
        <v>69.06575342465753</v>
      </c>
      <c r="M158" s="15"/>
      <c r="N158" s="15"/>
      <c r="O158" s="15"/>
      <c r="P158" s="15"/>
      <c r="Q158" s="15" t="s">
        <v>964</v>
      </c>
      <c r="R158" s="15"/>
      <c r="S158" s="16">
        <v>0</v>
      </c>
      <c r="T158" s="16">
        <v>4</v>
      </c>
      <c r="U158" s="16">
        <v>0</v>
      </c>
      <c r="V158" s="16">
        <v>0</v>
      </c>
      <c r="W158" s="5">
        <v>41748</v>
      </c>
      <c r="X158" s="5">
        <v>66957</v>
      </c>
      <c r="Y158" t="s">
        <v>108</v>
      </c>
      <c r="Z158" s="5">
        <v>65762</v>
      </c>
      <c r="AA158" s="2" t="s">
        <v>2</v>
      </c>
      <c r="AB158" s="2">
        <v>2</v>
      </c>
      <c r="AC158" s="2">
        <v>1</v>
      </c>
      <c r="AD158" s="2">
        <v>1</v>
      </c>
      <c r="AE158" t="s">
        <v>242</v>
      </c>
      <c r="AF158" t="s">
        <v>245</v>
      </c>
    </row>
    <row r="159" spans="1:32" ht="18" x14ac:dyDescent="0.35">
      <c r="A159" s="6"/>
      <c r="C159" s="13" t="s">
        <v>492</v>
      </c>
      <c r="D159" s="13" t="str">
        <f t="shared" si="13"/>
        <v xml:space="preserve">s[i0f </v>
      </c>
      <c r="E159" s="13" t="str">
        <f t="shared" si="14"/>
        <v>&gt;]i7</v>
      </c>
      <c r="F159" s="21" t="s">
        <v>234</v>
      </c>
      <c r="H159" s="21" t="s">
        <v>756</v>
      </c>
      <c r="I159" s="21" t="s">
        <v>906</v>
      </c>
      <c r="J159" s="21">
        <f t="shared" si="12"/>
        <v>53</v>
      </c>
      <c r="K159" s="21"/>
      <c r="L159" s="15">
        <f t="shared" si="15"/>
        <v>65.991780821917814</v>
      </c>
      <c r="M159" s="15"/>
      <c r="N159" s="15"/>
      <c r="O159" s="15"/>
      <c r="P159" s="15"/>
      <c r="Q159" s="15"/>
      <c r="R159" s="15"/>
      <c r="S159" s="16"/>
      <c r="T159" s="16"/>
      <c r="U159" s="16"/>
      <c r="V159" s="16"/>
      <c r="W159" s="5">
        <v>42870</v>
      </c>
      <c r="X159" s="5">
        <v>66957</v>
      </c>
      <c r="Z159" s="5"/>
    </row>
    <row r="160" spans="1:32" ht="18" x14ac:dyDescent="0.35">
      <c r="A160" s="6">
        <v>51</v>
      </c>
      <c r="B160" t="s">
        <v>116</v>
      </c>
      <c r="C160" s="13" t="s">
        <v>493</v>
      </c>
      <c r="D160" s="13" t="str">
        <f t="shared" si="13"/>
        <v xml:space="preserve">/d]z </v>
      </c>
      <c r="E160" s="13" t="str">
        <f t="shared" si="14"/>
        <v>l;+v8f</v>
      </c>
      <c r="F160" s="21" t="s">
        <v>233</v>
      </c>
      <c r="G160" t="s">
        <v>305</v>
      </c>
      <c r="H160" s="21" t="s">
        <v>756</v>
      </c>
      <c r="I160" s="21" t="s">
        <v>905</v>
      </c>
      <c r="J160" s="21">
        <f t="shared" si="12"/>
        <v>164</v>
      </c>
      <c r="K160" s="21"/>
      <c r="L160" s="15">
        <f t="shared" si="15"/>
        <v>59.336986301369862</v>
      </c>
      <c r="M160" s="15"/>
      <c r="N160" s="15"/>
      <c r="O160" s="15"/>
      <c r="P160" s="15"/>
      <c r="Q160" s="15" t="s">
        <v>964</v>
      </c>
      <c r="R160" s="15"/>
      <c r="S160" s="16" t="s">
        <v>748</v>
      </c>
      <c r="T160" s="16" t="s">
        <v>748</v>
      </c>
      <c r="U160" s="16" t="s">
        <v>748</v>
      </c>
      <c r="V160" s="16" t="s">
        <v>748</v>
      </c>
      <c r="W160" s="5">
        <v>45299</v>
      </c>
      <c r="X160" s="5">
        <v>66957</v>
      </c>
      <c r="Y160" t="s">
        <v>215</v>
      </c>
      <c r="Z160" s="5">
        <v>65736</v>
      </c>
      <c r="AA160" s="2" t="s">
        <v>2</v>
      </c>
      <c r="AB160" s="2">
        <v>3</v>
      </c>
      <c r="AC160" s="2">
        <v>2</v>
      </c>
      <c r="AD160" s="2">
        <v>1</v>
      </c>
      <c r="AE160" t="s">
        <v>242</v>
      </c>
      <c r="AF160" t="s">
        <v>245</v>
      </c>
    </row>
    <row r="161" spans="1:32" ht="18" x14ac:dyDescent="0.35">
      <c r="A161" s="6"/>
      <c r="C161" s="13" t="s">
        <v>494</v>
      </c>
      <c r="D161" s="13" t="str">
        <f t="shared" si="13"/>
        <v xml:space="preserve">;Ltf </v>
      </c>
      <c r="E161" s="13" t="str">
        <f t="shared" si="14"/>
        <v>l;+v8f</v>
      </c>
      <c r="F161" s="21" t="s">
        <v>234</v>
      </c>
      <c r="H161" s="21" t="s">
        <v>756</v>
      </c>
      <c r="I161" s="21" t="s">
        <v>906</v>
      </c>
      <c r="J161" s="21">
        <f t="shared" si="12"/>
        <v>53</v>
      </c>
      <c r="K161" s="21"/>
      <c r="L161" s="15">
        <f t="shared" si="15"/>
        <v>51.509589041095893</v>
      </c>
      <c r="M161" s="15"/>
      <c r="N161" s="15"/>
      <c r="O161" s="15"/>
      <c r="P161" s="15"/>
      <c r="Q161" s="15"/>
      <c r="R161" s="15"/>
      <c r="S161" s="16"/>
      <c r="T161" s="16"/>
      <c r="U161" s="16"/>
      <c r="V161" s="16"/>
      <c r="W161" s="5">
        <v>48156</v>
      </c>
      <c r="X161" s="5">
        <v>66957</v>
      </c>
      <c r="Z161" s="5"/>
    </row>
    <row r="162" spans="1:32" ht="18" x14ac:dyDescent="0.35">
      <c r="A162" s="6"/>
      <c r="C162" s="13" t="s">
        <v>495</v>
      </c>
      <c r="D162" s="13" t="str">
        <f t="shared" si="13"/>
        <v xml:space="preserve">lbk]z </v>
      </c>
      <c r="E162" s="13" t="str">
        <f t="shared" si="14"/>
        <v>l;+v8f</v>
      </c>
      <c r="F162" s="21" t="s">
        <v>233</v>
      </c>
      <c r="H162" s="21" t="s">
        <v>757</v>
      </c>
      <c r="I162" s="21" t="s">
        <v>905</v>
      </c>
      <c r="J162" s="21">
        <f t="shared" si="12"/>
        <v>164</v>
      </c>
      <c r="K162" s="21"/>
      <c r="L162" s="15">
        <f t="shared" si="15"/>
        <v>30.578082191780823</v>
      </c>
      <c r="M162" s="15"/>
      <c r="N162" s="15"/>
      <c r="O162" s="15"/>
      <c r="P162" s="15"/>
      <c r="Q162" s="15"/>
      <c r="R162" s="15"/>
      <c r="S162" s="16"/>
      <c r="T162" s="16"/>
      <c r="U162" s="16"/>
      <c r="V162" s="16"/>
      <c r="W162" s="5">
        <v>55796</v>
      </c>
      <c r="X162" s="5">
        <v>66957</v>
      </c>
      <c r="Z162" s="5"/>
    </row>
    <row r="163" spans="1:32" ht="18" x14ac:dyDescent="0.35">
      <c r="A163" s="6">
        <v>52</v>
      </c>
      <c r="B163" t="s">
        <v>117</v>
      </c>
      <c r="C163" s="13" t="s">
        <v>496</v>
      </c>
      <c r="D163" s="13" t="str">
        <f t="shared" si="13"/>
        <v xml:space="preserve">l/g' </v>
      </c>
      <c r="E163" s="13" t="str">
        <f t="shared" si="14"/>
        <v>u'?ª</v>
      </c>
      <c r="F163" s="21" t="s">
        <v>234</v>
      </c>
      <c r="G163" t="s">
        <v>309</v>
      </c>
      <c r="H163" s="21" t="s">
        <v>756</v>
      </c>
      <c r="I163" s="21" t="s">
        <v>905</v>
      </c>
      <c r="J163" s="21">
        <f t="shared" si="12"/>
        <v>107</v>
      </c>
      <c r="K163" s="21"/>
      <c r="L163" s="15">
        <f t="shared" si="15"/>
        <v>44.967123287671235</v>
      </c>
      <c r="M163" s="15"/>
      <c r="N163" s="15"/>
      <c r="O163" s="15"/>
      <c r="P163" s="15"/>
      <c r="Q163" s="15" t="s">
        <v>965</v>
      </c>
      <c r="R163" s="15"/>
      <c r="S163" s="16" t="s">
        <v>748</v>
      </c>
      <c r="T163" s="16" t="s">
        <v>748</v>
      </c>
      <c r="U163" s="16" t="s">
        <v>748</v>
      </c>
      <c r="V163" s="16" t="s">
        <v>748</v>
      </c>
      <c r="W163" s="5">
        <v>50544</v>
      </c>
      <c r="X163" s="5">
        <v>66957</v>
      </c>
      <c r="Z163" s="5">
        <v>65695</v>
      </c>
      <c r="AA163" s="2" t="s">
        <v>2</v>
      </c>
      <c r="AB163" s="2">
        <v>4</v>
      </c>
      <c r="AC163" s="2">
        <v>2</v>
      </c>
      <c r="AD163" s="2">
        <v>2</v>
      </c>
      <c r="AE163" t="s">
        <v>242</v>
      </c>
      <c r="AF163" t="s">
        <v>245</v>
      </c>
    </row>
    <row r="164" spans="1:32" ht="18" x14ac:dyDescent="0.35">
      <c r="A164" s="6"/>
      <c r="C164" s="13" t="s">
        <v>497</v>
      </c>
      <c r="D164" s="13" t="str">
        <f t="shared" si="13"/>
        <v xml:space="preserve">k|sfz </v>
      </c>
      <c r="E164" s="13" t="str">
        <f t="shared" si="14"/>
        <v>u'?ª</v>
      </c>
      <c r="F164" s="21" t="s">
        <v>233</v>
      </c>
      <c r="H164" s="21" t="s">
        <v>756</v>
      </c>
      <c r="I164" s="21" t="s">
        <v>905</v>
      </c>
      <c r="J164" s="21">
        <f t="shared" si="12"/>
        <v>164</v>
      </c>
      <c r="K164" s="21"/>
      <c r="L164" s="15">
        <f t="shared" si="15"/>
        <v>48.254794520547946</v>
      </c>
      <c r="M164" s="15"/>
      <c r="N164" s="15"/>
      <c r="O164" s="15"/>
      <c r="P164" s="15"/>
      <c r="Q164" s="15"/>
      <c r="R164" s="15"/>
      <c r="S164" s="16"/>
      <c r="T164" s="16"/>
      <c r="U164" s="16"/>
      <c r="V164" s="16"/>
      <c r="W164" s="5">
        <v>49344</v>
      </c>
      <c r="X164" s="5">
        <v>66957</v>
      </c>
      <c r="Z164" s="5"/>
    </row>
    <row r="165" spans="1:32" ht="18" x14ac:dyDescent="0.35">
      <c r="A165" s="6"/>
      <c r="C165" s="13" t="s">
        <v>498</v>
      </c>
      <c r="D165" s="13" t="str">
        <f t="shared" ref="D165:D226" si="16">LEFT(C165,(FIND(" ",C165)))</f>
        <v xml:space="preserve">k|lgz </v>
      </c>
      <c r="E165" s="13" t="str">
        <f t="shared" si="14"/>
        <v>u'?ª</v>
      </c>
      <c r="F165" s="21" t="s">
        <v>233</v>
      </c>
      <c r="H165" s="21" t="s">
        <v>757</v>
      </c>
      <c r="I165" s="21" t="s">
        <v>905</v>
      </c>
      <c r="J165" s="21">
        <f t="shared" ref="J165:J228" si="17">IF(L165&gt;=5,(COUNTIFS($I$4:$I$348,I165,$F$4:$F$348,F165)))</f>
        <v>164</v>
      </c>
      <c r="K165" s="21"/>
      <c r="L165" s="15">
        <f t="shared" si="15"/>
        <v>20.778082191780822</v>
      </c>
      <c r="M165" s="15"/>
      <c r="N165" s="15"/>
      <c r="O165" s="15"/>
      <c r="P165" s="15"/>
      <c r="Q165" s="15"/>
      <c r="R165" s="15"/>
      <c r="S165" s="16"/>
      <c r="T165" s="16"/>
      <c r="U165" s="16"/>
      <c r="V165" s="16"/>
      <c r="W165" s="5">
        <v>59373</v>
      </c>
      <c r="X165" s="5">
        <v>66957</v>
      </c>
      <c r="Z165" s="5"/>
    </row>
    <row r="166" spans="1:32" ht="18" x14ac:dyDescent="0.35">
      <c r="A166" s="6"/>
      <c r="C166" s="13" t="s">
        <v>499</v>
      </c>
      <c r="D166" s="13" t="str">
        <f t="shared" si="16"/>
        <v xml:space="preserve">l/D;f </v>
      </c>
      <c r="E166" s="13" t="str">
        <f t="shared" ref="E166:E227" si="18">TRIM(RIGHT(SUBSTITUTE(C166," ",REPT(" ",255)),255))</f>
        <v>u'?ª</v>
      </c>
      <c r="F166" s="21" t="s">
        <v>234</v>
      </c>
      <c r="H166" s="21" t="s">
        <v>757</v>
      </c>
      <c r="I166" s="21" t="s">
        <v>905</v>
      </c>
      <c r="J166" s="21">
        <f t="shared" si="17"/>
        <v>107</v>
      </c>
      <c r="K166" s="21"/>
      <c r="L166" s="15">
        <f t="shared" si="15"/>
        <v>10.375342465753425</v>
      </c>
      <c r="M166" s="15"/>
      <c r="N166" s="15"/>
      <c r="O166" s="15"/>
      <c r="P166" s="15"/>
      <c r="Q166" s="15"/>
      <c r="R166" s="15"/>
      <c r="S166" s="16"/>
      <c r="T166" s="16"/>
      <c r="U166" s="16"/>
      <c r="V166" s="16"/>
      <c r="W166" s="5">
        <v>63170</v>
      </c>
      <c r="X166" s="5">
        <v>66957</v>
      </c>
      <c r="Z166" s="5"/>
    </row>
    <row r="167" spans="1:32" ht="18" x14ac:dyDescent="0.35">
      <c r="A167" s="6">
        <v>53</v>
      </c>
      <c r="B167" t="s">
        <v>118</v>
      </c>
      <c r="C167" s="13" t="s">
        <v>500</v>
      </c>
      <c r="D167" s="13" t="str">
        <f t="shared" si="16"/>
        <v xml:space="preserve">/Ltf </v>
      </c>
      <c r="E167" s="13" t="str">
        <f t="shared" si="18"/>
        <v>bdfO{</v>
      </c>
      <c r="F167" s="21" t="s">
        <v>234</v>
      </c>
      <c r="G167" t="s">
        <v>310</v>
      </c>
      <c r="H167" s="21" t="s">
        <v>757</v>
      </c>
      <c r="I167" s="21" t="s">
        <v>905</v>
      </c>
      <c r="J167" s="21">
        <f t="shared" si="17"/>
        <v>107</v>
      </c>
      <c r="K167" s="21"/>
      <c r="L167" s="15">
        <f t="shared" si="15"/>
        <v>29.583561643835615</v>
      </c>
      <c r="M167" s="15"/>
      <c r="N167" s="15"/>
      <c r="O167" s="15"/>
      <c r="P167" s="15"/>
      <c r="Q167" s="15" t="s">
        <v>963</v>
      </c>
      <c r="R167" s="15"/>
      <c r="S167" s="16">
        <v>0</v>
      </c>
      <c r="T167" s="16">
        <v>6</v>
      </c>
      <c r="U167" s="16">
        <v>0</v>
      </c>
      <c r="V167" s="16">
        <v>0</v>
      </c>
      <c r="W167" s="5">
        <v>56159</v>
      </c>
      <c r="X167" s="5">
        <v>66957</v>
      </c>
      <c r="Z167" s="5">
        <v>65644</v>
      </c>
      <c r="AA167" s="2" t="s">
        <v>2</v>
      </c>
      <c r="AB167" s="2">
        <v>3</v>
      </c>
      <c r="AC167" s="2">
        <v>1</v>
      </c>
      <c r="AD167" s="2">
        <v>2</v>
      </c>
      <c r="AE167" t="s">
        <v>242</v>
      </c>
      <c r="AF167" t="s">
        <v>245</v>
      </c>
    </row>
    <row r="168" spans="1:32" ht="18" x14ac:dyDescent="0.35">
      <c r="A168" s="6"/>
      <c r="C168" s="13" t="s">
        <v>501</v>
      </c>
      <c r="D168" s="13" t="str">
        <f t="shared" si="16"/>
        <v xml:space="preserve">l;tf </v>
      </c>
      <c r="E168" s="13" t="str">
        <f t="shared" si="18"/>
        <v>bdfO{</v>
      </c>
      <c r="F168" s="21" t="s">
        <v>234</v>
      </c>
      <c r="H168" s="21" t="s">
        <v>756</v>
      </c>
      <c r="I168" s="21" t="s">
        <v>906</v>
      </c>
      <c r="J168" s="21">
        <f t="shared" si="17"/>
        <v>53</v>
      </c>
      <c r="K168" s="21"/>
      <c r="L168" s="15">
        <f t="shared" si="15"/>
        <v>52.983561643835614</v>
      </c>
      <c r="M168" s="15"/>
      <c r="N168" s="15"/>
      <c r="O168" s="15"/>
      <c r="P168" s="15"/>
      <c r="Q168" s="15"/>
      <c r="R168" s="15"/>
      <c r="S168" s="16"/>
      <c r="T168" s="16"/>
      <c r="U168" s="16"/>
      <c r="V168" s="16"/>
      <c r="W168" s="5">
        <v>47618</v>
      </c>
      <c r="X168" s="5">
        <v>66957</v>
      </c>
      <c r="Z168" s="5"/>
    </row>
    <row r="169" spans="1:32" ht="18" x14ac:dyDescent="0.35">
      <c r="A169" s="6"/>
      <c r="C169" s="13" t="s">
        <v>502</v>
      </c>
      <c r="D169" s="13" t="str">
        <f t="shared" si="16"/>
        <v xml:space="preserve">l/hg </v>
      </c>
      <c r="E169" s="13" t="str">
        <f t="shared" si="18"/>
        <v>bdfO{</v>
      </c>
      <c r="F169" s="21" t="s">
        <v>233</v>
      </c>
      <c r="H169" s="21" t="s">
        <v>757</v>
      </c>
      <c r="I169" s="21" t="s">
        <v>905</v>
      </c>
      <c r="J169" s="21">
        <f t="shared" si="17"/>
        <v>164</v>
      </c>
      <c r="K169" s="21"/>
      <c r="L169" s="15">
        <f t="shared" si="15"/>
        <v>25.016438356164382</v>
      </c>
      <c r="M169" s="15"/>
      <c r="N169" s="15"/>
      <c r="O169" s="15"/>
      <c r="P169" s="15"/>
      <c r="Q169" s="15"/>
      <c r="R169" s="15"/>
      <c r="S169" s="16"/>
      <c r="T169" s="16"/>
      <c r="U169" s="16"/>
      <c r="V169" s="16"/>
      <c r="W169" s="5">
        <v>57826</v>
      </c>
      <c r="X169" s="5">
        <v>66957</v>
      </c>
      <c r="Z169" s="5"/>
    </row>
    <row r="170" spans="1:32" ht="18" x14ac:dyDescent="0.35">
      <c r="A170" s="6">
        <v>54</v>
      </c>
      <c r="B170" t="s">
        <v>119</v>
      </c>
      <c r="C170" s="13" t="s">
        <v>503</v>
      </c>
      <c r="D170" s="13" t="str">
        <f t="shared" si="16"/>
        <v xml:space="preserve">;'af; </v>
      </c>
      <c r="E170" s="13" t="str">
        <f t="shared" si="18"/>
        <v>lnDj'</v>
      </c>
      <c r="F170" s="21" t="s">
        <v>233</v>
      </c>
      <c r="G170" t="s">
        <v>324</v>
      </c>
      <c r="H170" s="21" t="s">
        <v>756</v>
      </c>
      <c r="I170" s="21" t="s">
        <v>905</v>
      </c>
      <c r="J170" s="21">
        <f t="shared" si="17"/>
        <v>164</v>
      </c>
      <c r="K170" s="21"/>
      <c r="L170" s="15">
        <f t="shared" si="15"/>
        <v>58.18904109589041</v>
      </c>
      <c r="M170" s="15"/>
      <c r="N170" s="15"/>
      <c r="O170" s="15"/>
      <c r="P170" s="15"/>
      <c r="Q170" s="15" t="s">
        <v>962</v>
      </c>
      <c r="R170" s="15"/>
      <c r="S170" s="16">
        <v>0</v>
      </c>
      <c r="T170" s="16">
        <v>7</v>
      </c>
      <c r="U170" s="16">
        <v>0</v>
      </c>
      <c r="V170" s="16">
        <v>0</v>
      </c>
      <c r="W170" s="5">
        <v>45718</v>
      </c>
      <c r="X170" s="5">
        <v>66957</v>
      </c>
      <c r="Z170" s="5">
        <v>65631</v>
      </c>
      <c r="AA170" s="2" t="s">
        <v>2</v>
      </c>
      <c r="AB170" s="2">
        <v>4</v>
      </c>
      <c r="AC170" s="2">
        <v>3</v>
      </c>
      <c r="AD170" s="2">
        <v>1</v>
      </c>
      <c r="AE170" t="s">
        <v>242</v>
      </c>
      <c r="AF170" t="s">
        <v>245</v>
      </c>
    </row>
    <row r="171" spans="1:32" ht="18" x14ac:dyDescent="0.35">
      <c r="A171" s="6"/>
      <c r="C171" s="13" t="s">
        <v>504</v>
      </c>
      <c r="D171" s="13" t="str">
        <f t="shared" si="16"/>
        <v xml:space="preserve">/f]hg </v>
      </c>
      <c r="E171" s="13" t="str">
        <f t="shared" si="18"/>
        <v>dfb]g</v>
      </c>
      <c r="F171" s="21" t="s">
        <v>233</v>
      </c>
      <c r="H171" s="21" t="s">
        <v>757</v>
      </c>
      <c r="I171" s="21" t="s">
        <v>905</v>
      </c>
      <c r="J171" s="21">
        <f t="shared" si="17"/>
        <v>164</v>
      </c>
      <c r="K171" s="21"/>
      <c r="L171" s="15">
        <f t="shared" si="15"/>
        <v>23.556164383561644</v>
      </c>
      <c r="M171" s="15"/>
      <c r="N171" s="15"/>
      <c r="O171" s="15"/>
      <c r="P171" s="15"/>
      <c r="Q171" s="15"/>
      <c r="R171" s="15"/>
      <c r="S171" s="16"/>
      <c r="T171" s="16"/>
      <c r="U171" s="16"/>
      <c r="V171" s="16"/>
      <c r="W171" s="5">
        <v>58359</v>
      </c>
      <c r="X171" s="5">
        <v>66957</v>
      </c>
      <c r="Z171" s="5"/>
    </row>
    <row r="172" spans="1:32" ht="18" x14ac:dyDescent="0.35">
      <c r="A172" s="6"/>
      <c r="C172" s="13" t="s">
        <v>505</v>
      </c>
      <c r="D172" s="13" t="str">
        <f t="shared" si="16"/>
        <v xml:space="preserve">/]xg </v>
      </c>
      <c r="E172" s="13" t="str">
        <f t="shared" si="18"/>
        <v>dfb]g</v>
      </c>
      <c r="F172" s="21" t="s">
        <v>233</v>
      </c>
      <c r="H172" s="21" t="s">
        <v>757</v>
      </c>
      <c r="I172" s="21" t="s">
        <v>905</v>
      </c>
      <c r="J172" s="21">
        <f t="shared" si="17"/>
        <v>164</v>
      </c>
      <c r="K172" s="21"/>
      <c r="L172" s="15">
        <f t="shared" si="15"/>
        <v>18.597260273972601</v>
      </c>
      <c r="M172" s="15"/>
      <c r="N172" s="15"/>
      <c r="O172" s="15"/>
      <c r="P172" s="15"/>
      <c r="Q172" s="15"/>
      <c r="R172" s="15"/>
      <c r="S172" s="16"/>
      <c r="T172" s="16"/>
      <c r="U172" s="16"/>
      <c r="V172" s="16"/>
      <c r="W172" s="5">
        <v>60169</v>
      </c>
      <c r="X172" s="5">
        <v>66957</v>
      </c>
      <c r="Z172" s="5"/>
    </row>
    <row r="173" spans="1:32" ht="18" x14ac:dyDescent="0.35">
      <c r="A173" s="6"/>
      <c r="C173" s="13" t="s">
        <v>506</v>
      </c>
      <c r="D173" s="13" t="str">
        <f t="shared" si="16"/>
        <v xml:space="preserve">k'ikf </v>
      </c>
      <c r="E173" s="13" t="str">
        <f t="shared" si="18"/>
        <v>hj]u'</v>
      </c>
      <c r="F173" s="21" t="s">
        <v>234</v>
      </c>
      <c r="H173" s="21" t="s">
        <v>756</v>
      </c>
      <c r="I173" s="21" t="s">
        <v>905</v>
      </c>
      <c r="J173" s="21">
        <f t="shared" si="17"/>
        <v>107</v>
      </c>
      <c r="K173" s="21"/>
      <c r="L173" s="15">
        <f t="shared" si="15"/>
        <v>45.701369863013696</v>
      </c>
      <c r="M173" s="15"/>
      <c r="N173" s="15"/>
      <c r="O173" s="15"/>
      <c r="P173" s="15"/>
      <c r="Q173" s="15"/>
      <c r="R173" s="15"/>
      <c r="S173" s="16"/>
      <c r="T173" s="16"/>
      <c r="U173" s="16"/>
      <c r="V173" s="16"/>
      <c r="W173" s="5">
        <v>50276</v>
      </c>
      <c r="X173" s="5">
        <v>66957</v>
      </c>
      <c r="Z173" s="5"/>
    </row>
    <row r="174" spans="1:32" ht="18" x14ac:dyDescent="0.35">
      <c r="A174" s="6">
        <v>55</v>
      </c>
      <c r="B174" t="s">
        <v>120</v>
      </c>
      <c r="C174" s="13" t="s">
        <v>507</v>
      </c>
      <c r="D174" s="13" t="str">
        <f t="shared" si="16"/>
        <v xml:space="preserve">;'bz{g </v>
      </c>
      <c r="E174" s="13" t="str">
        <f t="shared" si="18"/>
        <v>;fksf]6f</v>
      </c>
      <c r="F174" s="21" t="s">
        <v>233</v>
      </c>
      <c r="G174" t="s">
        <v>326</v>
      </c>
      <c r="H174" s="21" t="s">
        <v>756</v>
      </c>
      <c r="I174" s="21" t="s">
        <v>905</v>
      </c>
      <c r="J174" s="21">
        <f t="shared" si="17"/>
        <v>164</v>
      </c>
      <c r="K174" s="21"/>
      <c r="L174" s="15">
        <f t="shared" si="15"/>
        <v>51.778082191780825</v>
      </c>
      <c r="M174" s="15"/>
      <c r="N174" s="15"/>
      <c r="O174" s="15"/>
      <c r="P174" s="15"/>
      <c r="Q174" s="15" t="s">
        <v>965</v>
      </c>
      <c r="R174" s="15"/>
      <c r="S174" s="16">
        <v>0</v>
      </c>
      <c r="T174" s="16">
        <v>3</v>
      </c>
      <c r="U174" s="16">
        <v>0</v>
      </c>
      <c r="V174" s="16">
        <v>0</v>
      </c>
      <c r="W174" s="5">
        <v>48058</v>
      </c>
      <c r="X174" s="5">
        <v>66957</v>
      </c>
      <c r="Z174" s="5">
        <v>65631</v>
      </c>
      <c r="AA174" s="2" t="s">
        <v>2</v>
      </c>
      <c r="AB174" s="2">
        <v>7</v>
      </c>
      <c r="AC174" s="2">
        <v>5</v>
      </c>
      <c r="AD174" s="2">
        <v>2</v>
      </c>
      <c r="AE174" t="s">
        <v>242</v>
      </c>
      <c r="AF174" t="s">
        <v>245</v>
      </c>
    </row>
    <row r="175" spans="1:32" ht="18" x14ac:dyDescent="0.35">
      <c r="A175" s="6"/>
      <c r="C175" s="13" t="s">
        <v>508</v>
      </c>
      <c r="D175" s="13" t="str">
        <f t="shared" si="16"/>
        <v xml:space="preserve">;"o{axfb'/ </v>
      </c>
      <c r="E175" s="13" t="str">
        <f t="shared" si="18"/>
        <v>;fksf]6f</v>
      </c>
      <c r="F175" s="21" t="s">
        <v>233</v>
      </c>
      <c r="H175" s="21" t="s">
        <v>756</v>
      </c>
      <c r="I175" s="21" t="s">
        <v>906</v>
      </c>
      <c r="J175" s="21">
        <f t="shared" si="17"/>
        <v>11</v>
      </c>
      <c r="K175" s="21"/>
      <c r="L175" s="15">
        <f t="shared" si="15"/>
        <v>76.271232876712332</v>
      </c>
      <c r="M175" s="15"/>
      <c r="N175" s="15"/>
      <c r="O175" s="15"/>
      <c r="P175" s="15"/>
      <c r="Q175" s="15"/>
      <c r="R175" s="15"/>
      <c r="S175" s="16"/>
      <c r="T175" s="16"/>
      <c r="U175" s="16"/>
      <c r="V175" s="16"/>
      <c r="W175" s="5">
        <v>39118</v>
      </c>
      <c r="X175" s="5">
        <v>66957</v>
      </c>
      <c r="Z175" s="5"/>
    </row>
    <row r="176" spans="1:32" ht="18" x14ac:dyDescent="0.35">
      <c r="A176" s="6"/>
      <c r="C176" s="13" t="s">
        <v>509</v>
      </c>
      <c r="D176" s="13" t="str">
        <f t="shared" si="16"/>
        <v xml:space="preserve">u+uf </v>
      </c>
      <c r="E176" s="13" t="str">
        <f t="shared" si="18"/>
        <v>;fksf]6f</v>
      </c>
      <c r="F176" s="21" t="s">
        <v>234</v>
      </c>
      <c r="H176" s="21" t="s">
        <v>756</v>
      </c>
      <c r="I176" s="21" t="s">
        <v>906</v>
      </c>
      <c r="J176" s="21">
        <f t="shared" si="17"/>
        <v>53</v>
      </c>
      <c r="K176" s="21"/>
      <c r="L176" s="15">
        <f t="shared" si="15"/>
        <v>73.084931506849315</v>
      </c>
      <c r="M176" s="15"/>
      <c r="N176" s="15"/>
      <c r="O176" s="15"/>
      <c r="P176" s="15"/>
      <c r="Q176" s="15"/>
      <c r="R176" s="15"/>
      <c r="S176" s="16"/>
      <c r="T176" s="16"/>
      <c r="U176" s="16"/>
      <c r="V176" s="16"/>
      <c r="W176" s="5">
        <v>40281</v>
      </c>
      <c r="X176" s="5">
        <v>66957</v>
      </c>
      <c r="Z176" s="5"/>
    </row>
    <row r="177" spans="1:32" ht="18" x14ac:dyDescent="0.35">
      <c r="A177" s="6"/>
      <c r="C177" s="13" t="s">
        <v>510</v>
      </c>
      <c r="D177" s="13" t="str">
        <f t="shared" si="16"/>
        <v xml:space="preserve">v]ds'df/L </v>
      </c>
      <c r="E177" s="13" t="str">
        <f t="shared" si="18"/>
        <v>-aflgof_</v>
      </c>
      <c r="F177" s="21" t="s">
        <v>234</v>
      </c>
      <c r="H177" s="21" t="s">
        <v>756</v>
      </c>
      <c r="I177" s="21" t="s">
        <v>905</v>
      </c>
      <c r="J177" s="21">
        <f t="shared" si="17"/>
        <v>107</v>
      </c>
      <c r="K177" s="21"/>
      <c r="L177" s="15">
        <f t="shared" si="15"/>
        <v>42.794520547945204</v>
      </c>
      <c r="M177" s="15"/>
      <c r="N177" s="15"/>
      <c r="O177" s="15"/>
      <c r="P177" s="15"/>
      <c r="Q177" s="15"/>
      <c r="R177" s="15"/>
      <c r="S177" s="16"/>
      <c r="T177" s="16"/>
      <c r="U177" s="16"/>
      <c r="V177" s="16"/>
      <c r="W177" s="5">
        <v>51337</v>
      </c>
      <c r="X177" s="5">
        <v>66957</v>
      </c>
      <c r="Z177" s="5"/>
    </row>
    <row r="178" spans="1:32" ht="18" x14ac:dyDescent="0.35">
      <c r="A178" s="6"/>
      <c r="C178" s="13" t="s">
        <v>511</v>
      </c>
      <c r="D178" s="13" t="str">
        <f t="shared" si="16"/>
        <v xml:space="preserve">;'lbk </v>
      </c>
      <c r="E178" s="13" t="str">
        <f t="shared" si="18"/>
        <v>;fksf]6f</v>
      </c>
      <c r="F178" s="21" t="s">
        <v>233</v>
      </c>
      <c r="H178" s="21" t="s">
        <v>756</v>
      </c>
      <c r="I178" s="21" t="s">
        <v>906</v>
      </c>
      <c r="J178" s="21">
        <f t="shared" si="17"/>
        <v>11</v>
      </c>
      <c r="K178" s="21"/>
      <c r="L178" s="15">
        <f t="shared" si="15"/>
        <v>50.731506849315068</v>
      </c>
      <c r="M178" s="15"/>
      <c r="N178" s="15"/>
      <c r="O178" s="15"/>
      <c r="P178" s="15"/>
      <c r="Q178" s="15"/>
      <c r="R178" s="15"/>
      <c r="S178" s="16"/>
      <c r="T178" s="16"/>
      <c r="U178" s="16"/>
      <c r="V178" s="16"/>
      <c r="W178" s="5">
        <v>48440</v>
      </c>
      <c r="X178" s="5">
        <v>66957</v>
      </c>
      <c r="Z178" s="5"/>
    </row>
    <row r="179" spans="1:32" ht="18" x14ac:dyDescent="0.35">
      <c r="A179" s="6"/>
      <c r="C179" s="13" t="s">
        <v>512</v>
      </c>
      <c r="D179" s="13" t="str">
        <f t="shared" si="16"/>
        <v xml:space="preserve">cfo'if </v>
      </c>
      <c r="E179" s="13" t="str">
        <f t="shared" si="18"/>
        <v>;fksf]6f</v>
      </c>
      <c r="F179" s="21" t="s">
        <v>233</v>
      </c>
      <c r="H179" s="21" t="s">
        <v>757</v>
      </c>
      <c r="I179" s="21" t="s">
        <v>905</v>
      </c>
      <c r="J179" s="21">
        <f t="shared" si="17"/>
        <v>164</v>
      </c>
      <c r="K179" s="21"/>
      <c r="L179" s="15">
        <f t="shared" si="15"/>
        <v>15.358904109589041</v>
      </c>
      <c r="M179" s="15"/>
      <c r="N179" s="15"/>
      <c r="O179" s="15"/>
      <c r="P179" s="15"/>
      <c r="Q179" s="15"/>
      <c r="R179" s="15"/>
      <c r="S179" s="16"/>
      <c r="T179" s="16"/>
      <c r="U179" s="16"/>
      <c r="V179" s="16"/>
      <c r="W179" s="5">
        <v>61351</v>
      </c>
      <c r="X179" s="5">
        <v>66957</v>
      </c>
      <c r="Z179" s="5"/>
    </row>
    <row r="180" spans="1:32" ht="18" x14ac:dyDescent="0.35">
      <c r="A180" s="6"/>
      <c r="C180" s="13" t="s">
        <v>513</v>
      </c>
      <c r="D180" s="13" t="str">
        <f t="shared" si="16"/>
        <v xml:space="preserve">cleif]s </v>
      </c>
      <c r="E180" s="13" t="str">
        <f t="shared" si="18"/>
        <v>;fksf]6f</v>
      </c>
      <c r="F180" s="21" t="s">
        <v>233</v>
      </c>
      <c r="H180" s="21" t="s">
        <v>757</v>
      </c>
      <c r="I180" s="21" t="s">
        <v>906</v>
      </c>
      <c r="J180" s="21">
        <f t="shared" si="17"/>
        <v>11</v>
      </c>
      <c r="K180" s="21"/>
      <c r="L180" s="15">
        <f t="shared" si="15"/>
        <v>5.3452054794520549</v>
      </c>
      <c r="M180" s="15"/>
      <c r="N180" s="15"/>
      <c r="O180" s="15"/>
      <c r="P180" s="15"/>
      <c r="Q180" s="15"/>
      <c r="R180" s="15"/>
      <c r="S180" s="16"/>
      <c r="T180" s="16"/>
      <c r="U180" s="16"/>
      <c r="V180" s="16"/>
      <c r="W180" s="5">
        <v>65006</v>
      </c>
      <c r="X180" s="5">
        <v>66957</v>
      </c>
      <c r="Z180" s="5"/>
    </row>
    <row r="181" spans="1:32" ht="18" x14ac:dyDescent="0.35">
      <c r="A181" s="6">
        <v>56</v>
      </c>
      <c r="B181" t="s">
        <v>121</v>
      </c>
      <c r="C181" s="13" t="s">
        <v>514</v>
      </c>
      <c r="D181" s="13" t="str">
        <f t="shared" si="16"/>
        <v xml:space="preserve">d]g'sf </v>
      </c>
      <c r="E181" s="13" t="str">
        <f t="shared" si="18"/>
        <v>&gt;]i7</v>
      </c>
      <c r="F181" s="21" t="s">
        <v>234</v>
      </c>
      <c r="G181" t="s">
        <v>293</v>
      </c>
      <c r="H181" s="21" t="s">
        <v>756</v>
      </c>
      <c r="I181" s="21" t="s">
        <v>906</v>
      </c>
      <c r="J181" s="21">
        <f t="shared" si="17"/>
        <v>53</v>
      </c>
      <c r="K181" s="21"/>
      <c r="L181" s="15">
        <f t="shared" si="15"/>
        <v>41.136986301369866</v>
      </c>
      <c r="M181" s="15"/>
      <c r="N181" s="15"/>
      <c r="O181" s="15"/>
      <c r="P181" s="15"/>
      <c r="Q181" s="15" t="s">
        <v>963</v>
      </c>
      <c r="R181" s="15"/>
      <c r="S181" s="16">
        <v>0</v>
      </c>
      <c r="T181" s="16">
        <v>3</v>
      </c>
      <c r="U181" s="16">
        <v>2</v>
      </c>
      <c r="V181" s="16">
        <v>0</v>
      </c>
      <c r="W181" s="5">
        <v>51942</v>
      </c>
      <c r="X181" s="5">
        <v>66957</v>
      </c>
      <c r="Z181" s="5">
        <v>65582</v>
      </c>
      <c r="AA181" s="2" t="s">
        <v>2</v>
      </c>
      <c r="AB181" s="2">
        <v>3</v>
      </c>
      <c r="AC181" s="2">
        <v>1</v>
      </c>
      <c r="AD181" s="2">
        <v>2</v>
      </c>
      <c r="AE181" t="s">
        <v>242</v>
      </c>
      <c r="AF181" t="s">
        <v>245</v>
      </c>
    </row>
    <row r="182" spans="1:32" ht="18" x14ac:dyDescent="0.35">
      <c r="A182" s="6"/>
      <c r="C182" s="13" t="s">
        <v>515</v>
      </c>
      <c r="D182" s="13" t="str">
        <f t="shared" si="16"/>
        <v xml:space="preserve">hfd'g </v>
      </c>
      <c r="E182" s="13" t="str">
        <f t="shared" si="18"/>
        <v>&gt;]i7</v>
      </c>
      <c r="F182" s="21" t="s">
        <v>233</v>
      </c>
      <c r="H182" s="21" t="s">
        <v>757</v>
      </c>
      <c r="I182" s="21" t="s">
        <v>905</v>
      </c>
      <c r="J182" s="21">
        <f t="shared" si="17"/>
        <v>164</v>
      </c>
      <c r="K182" s="21"/>
      <c r="L182" s="15">
        <f t="shared" si="15"/>
        <v>21.142465753424659</v>
      </c>
      <c r="M182" s="15"/>
      <c r="N182" s="15"/>
      <c r="O182" s="15"/>
      <c r="P182" s="15"/>
      <c r="Q182" s="15"/>
      <c r="R182" s="15"/>
      <c r="S182" s="16"/>
      <c r="T182" s="16"/>
      <c r="U182" s="16"/>
      <c r="V182" s="16"/>
      <c r="W182" s="5">
        <v>59240</v>
      </c>
      <c r="X182" s="5">
        <v>66957</v>
      </c>
      <c r="Z182" s="5"/>
    </row>
    <row r="183" spans="1:32" ht="18" x14ac:dyDescent="0.35">
      <c r="A183" s="6"/>
      <c r="C183" s="13" t="s">
        <v>516</v>
      </c>
      <c r="D183" s="13" t="str">
        <f t="shared" si="16"/>
        <v xml:space="preserve">h]l;sf </v>
      </c>
      <c r="E183" s="13" t="str">
        <f t="shared" si="18"/>
        <v>&gt;]i7</v>
      </c>
      <c r="F183" s="21" t="s">
        <v>234</v>
      </c>
      <c r="H183" s="21" t="s">
        <v>757</v>
      </c>
      <c r="I183" s="21" t="s">
        <v>905</v>
      </c>
      <c r="J183" s="21">
        <f t="shared" si="17"/>
        <v>107</v>
      </c>
      <c r="K183" s="21"/>
      <c r="L183" s="15">
        <f t="shared" si="15"/>
        <v>16.435616438356163</v>
      </c>
      <c r="M183" s="15"/>
      <c r="N183" s="15"/>
      <c r="O183" s="15"/>
      <c r="P183" s="15"/>
      <c r="Q183" s="15"/>
      <c r="R183" s="15"/>
      <c r="S183" s="16"/>
      <c r="T183" s="16"/>
      <c r="U183" s="16"/>
      <c r="V183" s="16"/>
      <c r="W183" s="5">
        <v>60958</v>
      </c>
      <c r="X183" s="5">
        <v>66957</v>
      </c>
      <c r="Z183" s="5"/>
    </row>
    <row r="184" spans="1:32" ht="18" x14ac:dyDescent="0.35">
      <c r="A184" s="6">
        <v>57</v>
      </c>
      <c r="B184" t="s">
        <v>122</v>
      </c>
      <c r="C184" s="13" t="s">
        <v>517</v>
      </c>
      <c r="D184" s="13" t="str">
        <f t="shared" si="16"/>
        <v xml:space="preserve">a;Gt </v>
      </c>
      <c r="E184" s="13" t="str">
        <f t="shared" si="18"/>
        <v>s]=;L</v>
      </c>
      <c r="F184" s="21" t="s">
        <v>233</v>
      </c>
      <c r="G184" t="s">
        <v>254</v>
      </c>
      <c r="H184" s="21" t="s">
        <v>756</v>
      </c>
      <c r="I184" s="21" t="s">
        <v>905</v>
      </c>
      <c r="J184" s="21">
        <f t="shared" si="17"/>
        <v>164</v>
      </c>
      <c r="K184" s="21"/>
      <c r="L184" s="15">
        <f t="shared" si="15"/>
        <v>30.402739726027399</v>
      </c>
      <c r="M184" s="15"/>
      <c r="N184" s="15"/>
      <c r="O184" s="15"/>
      <c r="P184" s="15"/>
      <c r="Q184" s="15" t="s">
        <v>964</v>
      </c>
      <c r="R184" s="15"/>
      <c r="S184" s="16">
        <v>0</v>
      </c>
      <c r="T184" s="16">
        <v>12</v>
      </c>
      <c r="U184" s="16">
        <v>2</v>
      </c>
      <c r="V184" s="16">
        <v>0</v>
      </c>
      <c r="W184" s="5">
        <v>55860</v>
      </c>
      <c r="X184" s="5">
        <v>66957</v>
      </c>
      <c r="Z184" s="5">
        <v>65533</v>
      </c>
      <c r="AA184" s="2" t="s">
        <v>2</v>
      </c>
      <c r="AB184" s="2">
        <v>5</v>
      </c>
      <c r="AC184" s="2">
        <v>2</v>
      </c>
      <c r="AD184" s="2">
        <v>3</v>
      </c>
      <c r="AE184" t="s">
        <v>242</v>
      </c>
      <c r="AF184" t="s">
        <v>245</v>
      </c>
    </row>
    <row r="185" spans="1:32" ht="18" x14ac:dyDescent="0.35">
      <c r="A185" s="6"/>
      <c r="C185" s="13" t="s">
        <v>518</v>
      </c>
      <c r="D185" s="13" t="str">
        <f t="shared" si="16"/>
        <v xml:space="preserve">lzj </v>
      </c>
      <c r="E185" s="13" t="str">
        <f t="shared" si="18"/>
        <v>s]=;L</v>
      </c>
      <c r="F185" s="21" t="s">
        <v>233</v>
      </c>
      <c r="H185" s="21" t="s">
        <v>756</v>
      </c>
      <c r="I185" s="21" t="s">
        <v>905</v>
      </c>
      <c r="J185" s="21">
        <f t="shared" si="17"/>
        <v>164</v>
      </c>
      <c r="K185" s="21"/>
      <c r="L185" s="15">
        <f t="shared" si="15"/>
        <v>53.024657534246572</v>
      </c>
      <c r="M185" s="15"/>
      <c r="N185" s="15"/>
      <c r="O185" s="15"/>
      <c r="P185" s="15"/>
      <c r="Q185" s="15"/>
      <c r="R185" s="15"/>
      <c r="S185" s="16"/>
      <c r="T185" s="16"/>
      <c r="U185" s="16"/>
      <c r="V185" s="16"/>
      <c r="W185" s="5">
        <v>47603</v>
      </c>
      <c r="X185" s="5">
        <v>66957</v>
      </c>
      <c r="Z185" s="5"/>
    </row>
    <row r="186" spans="1:32" ht="18" x14ac:dyDescent="0.35">
      <c r="A186" s="6"/>
      <c r="C186" s="13" t="s">
        <v>519</v>
      </c>
      <c r="D186" s="13" t="str">
        <f t="shared" si="16"/>
        <v xml:space="preserve">cK;/f </v>
      </c>
      <c r="E186" s="13" t="str">
        <f t="shared" si="18"/>
        <v>s]=;L</v>
      </c>
      <c r="F186" s="21" t="s">
        <v>234</v>
      </c>
      <c r="H186" s="21" t="s">
        <v>756</v>
      </c>
      <c r="I186" s="21" t="s">
        <v>906</v>
      </c>
      <c r="J186" s="21">
        <f t="shared" si="17"/>
        <v>53</v>
      </c>
      <c r="K186" s="21"/>
      <c r="L186" s="15">
        <f t="shared" si="15"/>
        <v>53.30684931506849</v>
      </c>
      <c r="M186" s="15"/>
      <c r="N186" s="15"/>
      <c r="O186" s="15"/>
      <c r="P186" s="15"/>
      <c r="Q186" s="15"/>
      <c r="R186" s="15"/>
      <c r="S186" s="16"/>
      <c r="T186" s="16"/>
      <c r="U186" s="16"/>
      <c r="V186" s="16"/>
      <c r="W186" s="5">
        <v>47500</v>
      </c>
      <c r="X186" s="5">
        <v>66957</v>
      </c>
      <c r="Z186" s="5"/>
    </row>
    <row r="187" spans="1:32" ht="18" x14ac:dyDescent="0.35">
      <c r="A187" s="6"/>
      <c r="C187" s="13" t="s">
        <v>520</v>
      </c>
      <c r="D187" s="13" t="str">
        <f t="shared" si="16"/>
        <v xml:space="preserve">gljgf </v>
      </c>
      <c r="E187" s="13" t="str">
        <f t="shared" si="18"/>
        <v>kf08]</v>
      </c>
      <c r="F187" s="21" t="s">
        <v>234</v>
      </c>
      <c r="H187" s="21" t="s">
        <v>756</v>
      </c>
      <c r="I187" s="21" t="s">
        <v>905</v>
      </c>
      <c r="J187" s="21">
        <f t="shared" si="17"/>
        <v>107</v>
      </c>
      <c r="K187" s="21"/>
      <c r="L187" s="15">
        <f t="shared" si="15"/>
        <v>31.4986301369863</v>
      </c>
      <c r="M187" s="15"/>
      <c r="N187" s="15"/>
      <c r="O187" s="15"/>
      <c r="P187" s="15"/>
      <c r="Q187" s="15"/>
      <c r="R187" s="15"/>
      <c r="S187" s="16"/>
      <c r="T187" s="16"/>
      <c r="U187" s="16"/>
      <c r="V187" s="16"/>
      <c r="W187" s="5">
        <v>55460</v>
      </c>
      <c r="X187" s="5">
        <v>66957</v>
      </c>
      <c r="Z187" s="5"/>
    </row>
    <row r="188" spans="1:32" ht="18" x14ac:dyDescent="0.35">
      <c r="A188" s="6"/>
      <c r="C188" s="13" t="s">
        <v>521</v>
      </c>
      <c r="D188" s="13" t="str">
        <f t="shared" si="16"/>
        <v xml:space="preserve">aiff{ </v>
      </c>
      <c r="E188" s="13" t="str">
        <f t="shared" si="18"/>
        <v>s]=;L</v>
      </c>
      <c r="F188" s="21" t="s">
        <v>234</v>
      </c>
      <c r="H188" s="21" t="s">
        <v>757</v>
      </c>
      <c r="I188" s="21" t="s">
        <v>905</v>
      </c>
      <c r="J188" s="21">
        <f t="shared" si="17"/>
        <v>107</v>
      </c>
      <c r="K188" s="21"/>
      <c r="L188" s="15">
        <f t="shared" si="15"/>
        <v>29.197260273972603</v>
      </c>
      <c r="M188" s="15"/>
      <c r="N188" s="15"/>
      <c r="O188" s="15"/>
      <c r="P188" s="15"/>
      <c r="Q188" s="15"/>
      <c r="R188" s="15"/>
      <c r="S188" s="16"/>
      <c r="T188" s="16"/>
      <c r="U188" s="16"/>
      <c r="V188" s="16"/>
      <c r="W188" s="5">
        <v>56300</v>
      </c>
      <c r="X188" s="5">
        <v>66957</v>
      </c>
      <c r="Z188" s="5"/>
    </row>
    <row r="189" spans="1:32" ht="18" x14ac:dyDescent="0.35">
      <c r="A189" s="6">
        <v>58</v>
      </c>
      <c r="B189" t="s">
        <v>123</v>
      </c>
      <c r="C189" s="13" t="s">
        <v>522</v>
      </c>
      <c r="D189" s="13" t="str">
        <f t="shared" si="16"/>
        <v xml:space="preserve">gf/fo0f </v>
      </c>
      <c r="E189" s="13" t="str">
        <f t="shared" si="18"/>
        <v>s]=;L</v>
      </c>
      <c r="F189" s="21" t="s">
        <v>233</v>
      </c>
      <c r="G189" t="s">
        <v>254</v>
      </c>
      <c r="H189" s="21" t="s">
        <v>756</v>
      </c>
      <c r="I189" s="21" t="s">
        <v>905</v>
      </c>
      <c r="J189" s="21">
        <f t="shared" si="17"/>
        <v>164</v>
      </c>
      <c r="K189" s="21"/>
      <c r="L189" s="15">
        <f t="shared" si="15"/>
        <v>49.183561643835617</v>
      </c>
      <c r="M189" s="15"/>
      <c r="N189" s="15"/>
      <c r="O189" s="15"/>
      <c r="P189" s="15"/>
      <c r="Q189" s="15" t="s">
        <v>965</v>
      </c>
      <c r="R189" s="15"/>
      <c r="S189" s="16">
        <v>0</v>
      </c>
      <c r="T189" s="16">
        <v>5</v>
      </c>
      <c r="U189" s="16">
        <v>1</v>
      </c>
      <c r="V189" s="16">
        <v>0</v>
      </c>
      <c r="W189" s="5">
        <v>49005</v>
      </c>
      <c r="X189" s="5">
        <v>66957</v>
      </c>
      <c r="Z189" s="5">
        <v>65527</v>
      </c>
      <c r="AA189" s="2" t="s">
        <v>2</v>
      </c>
      <c r="AB189" s="2">
        <v>5</v>
      </c>
      <c r="AC189" s="2">
        <v>3</v>
      </c>
      <c r="AD189" s="2">
        <v>2</v>
      </c>
      <c r="AE189" t="s">
        <v>242</v>
      </c>
      <c r="AF189" t="s">
        <v>245</v>
      </c>
    </row>
    <row r="190" spans="1:32" ht="18" x14ac:dyDescent="0.35">
      <c r="A190" s="6"/>
      <c r="C190" s="13" t="s">
        <v>523</v>
      </c>
      <c r="D190" s="13" t="str">
        <f t="shared" si="16"/>
        <v xml:space="preserve">lalgtf </v>
      </c>
      <c r="E190" s="13" t="str">
        <f t="shared" si="18"/>
        <v>v8\sf</v>
      </c>
      <c r="F190" s="21" t="s">
        <v>234</v>
      </c>
      <c r="H190" s="21" t="s">
        <v>756</v>
      </c>
      <c r="I190" s="21" t="s">
        <v>905</v>
      </c>
      <c r="J190" s="21">
        <f t="shared" si="17"/>
        <v>107</v>
      </c>
      <c r="K190" s="21"/>
      <c r="L190" s="15">
        <f t="shared" si="15"/>
        <v>35.868493150684934</v>
      </c>
      <c r="M190" s="15"/>
      <c r="N190" s="15"/>
      <c r="O190" s="15"/>
      <c r="P190" s="15"/>
      <c r="Q190" s="15"/>
      <c r="R190" s="15"/>
      <c r="S190" s="16"/>
      <c r="T190" s="16"/>
      <c r="U190" s="16"/>
      <c r="V190" s="16"/>
      <c r="W190" s="5">
        <v>53865</v>
      </c>
      <c r="X190" s="5">
        <v>66957</v>
      </c>
      <c r="Z190" s="5"/>
    </row>
    <row r="191" spans="1:32" ht="18" x14ac:dyDescent="0.35">
      <c r="A191" s="6"/>
      <c r="C191" s="13" t="s">
        <v>524</v>
      </c>
      <c r="D191" s="13" t="str">
        <f t="shared" si="16"/>
        <v xml:space="preserve">c?0f </v>
      </c>
      <c r="E191" s="13" t="str">
        <f t="shared" si="18"/>
        <v>s]=;L</v>
      </c>
      <c r="F191" s="21" t="s">
        <v>233</v>
      </c>
      <c r="H191" s="21" t="s">
        <v>757</v>
      </c>
      <c r="I191" s="21" t="s">
        <v>905</v>
      </c>
      <c r="J191" s="21">
        <f t="shared" si="17"/>
        <v>164</v>
      </c>
      <c r="K191" s="21"/>
      <c r="L191" s="15">
        <f t="shared" si="15"/>
        <v>30.602739726027398</v>
      </c>
      <c r="M191" s="15"/>
      <c r="N191" s="15"/>
      <c r="O191" s="15"/>
      <c r="P191" s="15"/>
      <c r="Q191" s="15"/>
      <c r="R191" s="15"/>
      <c r="S191" s="16"/>
      <c r="T191" s="16"/>
      <c r="U191" s="16"/>
      <c r="V191" s="16"/>
      <c r="W191" s="5">
        <v>55787</v>
      </c>
      <c r="X191" s="5">
        <v>66957</v>
      </c>
      <c r="Z191" s="5"/>
    </row>
    <row r="192" spans="1:32" ht="18" x14ac:dyDescent="0.35">
      <c r="A192" s="6"/>
      <c r="C192" s="13" t="s">
        <v>525</v>
      </c>
      <c r="D192" s="13" t="str">
        <f t="shared" si="16"/>
        <v xml:space="preserve">c?0ff </v>
      </c>
      <c r="E192" s="13" t="str">
        <f t="shared" si="18"/>
        <v>s]=;L</v>
      </c>
      <c r="F192" s="21" t="s">
        <v>234</v>
      </c>
      <c r="H192" s="21" t="s">
        <v>757</v>
      </c>
      <c r="I192" s="21" t="s">
        <v>905</v>
      </c>
      <c r="J192" s="21">
        <f t="shared" si="17"/>
        <v>107</v>
      </c>
      <c r="K192" s="21"/>
      <c r="L192" s="15">
        <f t="shared" si="15"/>
        <v>21.139726027397259</v>
      </c>
      <c r="M192" s="15"/>
      <c r="N192" s="15"/>
      <c r="O192" s="15"/>
      <c r="P192" s="15"/>
      <c r="Q192" s="15"/>
      <c r="R192" s="15"/>
      <c r="S192" s="16"/>
      <c r="T192" s="16"/>
      <c r="U192" s="16"/>
      <c r="V192" s="16"/>
      <c r="W192" s="5">
        <v>59241</v>
      </c>
      <c r="X192" s="5">
        <v>66957</v>
      </c>
      <c r="Z192" s="5"/>
    </row>
    <row r="193" spans="1:32" ht="18" x14ac:dyDescent="0.35">
      <c r="A193" s="6"/>
      <c r="C193" s="13" t="s">
        <v>526</v>
      </c>
      <c r="D193" s="13" t="str">
        <f t="shared" si="16"/>
        <v xml:space="preserve">ljefg </v>
      </c>
      <c r="E193" s="13" t="str">
        <f t="shared" si="18"/>
        <v>s]=;L</v>
      </c>
      <c r="F193" s="21" t="s">
        <v>233</v>
      </c>
      <c r="H193" s="21" t="s">
        <v>757</v>
      </c>
      <c r="I193" s="21" t="s">
        <v>905</v>
      </c>
      <c r="J193" s="21">
        <f t="shared" si="17"/>
        <v>164</v>
      </c>
      <c r="K193" s="21"/>
      <c r="L193" s="15">
        <f t="shared" si="15"/>
        <v>6.7260273972602738</v>
      </c>
      <c r="M193" s="15"/>
      <c r="N193" s="15"/>
      <c r="O193" s="15"/>
      <c r="P193" s="15"/>
      <c r="Q193" s="15"/>
      <c r="R193" s="15"/>
      <c r="S193" s="16"/>
      <c r="T193" s="16"/>
      <c r="U193" s="16"/>
      <c r="V193" s="16"/>
      <c r="W193" s="5">
        <v>64502</v>
      </c>
      <c r="X193" s="5">
        <v>66957</v>
      </c>
      <c r="Z193" s="5"/>
    </row>
    <row r="194" spans="1:32" ht="18" x14ac:dyDescent="0.35">
      <c r="A194" s="6">
        <v>60</v>
      </c>
      <c r="B194" t="s">
        <v>125</v>
      </c>
      <c r="C194" s="13" t="s">
        <v>529</v>
      </c>
      <c r="D194" s="13" t="str">
        <f t="shared" si="16"/>
        <v xml:space="preserve">gGb </v>
      </c>
      <c r="E194" s="13" t="str">
        <f t="shared" si="18"/>
        <v>k|;fb</v>
      </c>
      <c r="F194" s="21" t="s">
        <v>233</v>
      </c>
      <c r="G194" t="s">
        <v>296</v>
      </c>
      <c r="H194" s="21" t="s">
        <v>756</v>
      </c>
      <c r="I194" s="21" t="s">
        <v>906</v>
      </c>
      <c r="J194" s="21">
        <f t="shared" si="17"/>
        <v>11</v>
      </c>
      <c r="K194" s="21"/>
      <c r="L194" s="15">
        <f t="shared" si="15"/>
        <v>64.68767123287671</v>
      </c>
      <c r="M194" s="15"/>
      <c r="N194" s="15"/>
      <c r="O194" s="15"/>
      <c r="P194" s="15"/>
      <c r="Q194" s="15" t="s">
        <v>964</v>
      </c>
      <c r="R194" s="15"/>
      <c r="S194" s="16">
        <v>0</v>
      </c>
      <c r="T194" s="16">
        <v>8</v>
      </c>
      <c r="U194" s="16">
        <v>0</v>
      </c>
      <c r="V194" s="16">
        <v>3</v>
      </c>
      <c r="W194" s="5">
        <v>43346</v>
      </c>
      <c r="X194" s="5">
        <v>66957</v>
      </c>
      <c r="Z194" s="5">
        <v>65490</v>
      </c>
      <c r="AA194" s="2" t="s">
        <v>2</v>
      </c>
      <c r="AB194" s="2">
        <v>4</v>
      </c>
      <c r="AC194" s="2">
        <v>3</v>
      </c>
      <c r="AD194" s="2">
        <v>1</v>
      </c>
      <c r="AE194" t="s">
        <v>242</v>
      </c>
      <c r="AF194" t="s">
        <v>245</v>
      </c>
    </row>
    <row r="195" spans="1:32" ht="18" x14ac:dyDescent="0.35">
      <c r="A195" s="6"/>
      <c r="C195" s="13" t="s">
        <v>530</v>
      </c>
      <c r="D195" s="13" t="str">
        <f t="shared" si="16"/>
        <v xml:space="preserve">;ltif </v>
      </c>
      <c r="E195" s="13" t="str">
        <f t="shared" si="18"/>
        <v>k|;fb</v>
      </c>
      <c r="F195" s="21" t="s">
        <v>233</v>
      </c>
      <c r="H195" s="21" t="s">
        <v>756</v>
      </c>
      <c r="I195" s="21" t="s">
        <v>905</v>
      </c>
      <c r="J195" s="21">
        <f t="shared" si="17"/>
        <v>164</v>
      </c>
      <c r="K195" s="21"/>
      <c r="L195" s="15">
        <f t="shared" si="15"/>
        <v>45.564383561643837</v>
      </c>
      <c r="M195" s="15"/>
      <c r="N195" s="15"/>
      <c r="O195" s="15"/>
      <c r="P195" s="15"/>
      <c r="Q195" s="15"/>
      <c r="R195" s="15"/>
      <c r="S195" s="16"/>
      <c r="T195" s="16"/>
      <c r="U195" s="16"/>
      <c r="V195" s="16"/>
      <c r="W195" s="5">
        <v>50326</v>
      </c>
      <c r="X195" s="5">
        <v>66957</v>
      </c>
      <c r="Z195" s="5"/>
    </row>
    <row r="196" spans="1:32" ht="18" x14ac:dyDescent="0.35">
      <c r="A196" s="6"/>
      <c r="C196" s="13" t="s">
        <v>531</v>
      </c>
      <c r="D196" s="13" t="str">
        <f t="shared" si="16"/>
        <v xml:space="preserve">cflzif </v>
      </c>
      <c r="E196" s="13" t="str">
        <f t="shared" si="18"/>
        <v>u'Ktf</v>
      </c>
      <c r="F196" s="21" t="s">
        <v>233</v>
      </c>
      <c r="H196" s="21" t="s">
        <v>757</v>
      </c>
      <c r="I196" s="21" t="s">
        <v>905</v>
      </c>
      <c r="J196" s="21">
        <f t="shared" si="17"/>
        <v>164</v>
      </c>
      <c r="K196" s="21"/>
      <c r="L196" s="15">
        <f t="shared" si="15"/>
        <v>34.087671232876716</v>
      </c>
      <c r="M196" s="15"/>
      <c r="N196" s="15"/>
      <c r="O196" s="15"/>
      <c r="P196" s="15"/>
      <c r="Q196" s="15"/>
      <c r="R196" s="15"/>
      <c r="S196" s="16"/>
      <c r="T196" s="16"/>
      <c r="U196" s="16"/>
      <c r="V196" s="16"/>
      <c r="W196" s="5">
        <v>54515</v>
      </c>
      <c r="X196" s="5">
        <v>66957</v>
      </c>
      <c r="Z196" s="5"/>
    </row>
    <row r="197" spans="1:32" ht="18" x14ac:dyDescent="0.35">
      <c r="A197" s="6"/>
      <c r="C197" s="13" t="s">
        <v>532</v>
      </c>
      <c r="D197" s="13" t="str">
        <f t="shared" si="16"/>
        <v xml:space="preserve">k|ltdf </v>
      </c>
      <c r="E197" s="13" t="str">
        <f t="shared" si="18"/>
        <v>tfdf+u</v>
      </c>
      <c r="F197" s="21" t="s">
        <v>234</v>
      </c>
      <c r="H197" s="21" t="s">
        <v>756</v>
      </c>
      <c r="I197" s="21" t="s">
        <v>905</v>
      </c>
      <c r="J197" s="21">
        <f t="shared" si="17"/>
        <v>107</v>
      </c>
      <c r="K197" s="21"/>
      <c r="L197" s="15">
        <f t="shared" si="15"/>
        <v>32.646575342465752</v>
      </c>
      <c r="M197" s="15"/>
      <c r="N197" s="15"/>
      <c r="O197" s="15"/>
      <c r="P197" s="15"/>
      <c r="Q197" s="15"/>
      <c r="R197" s="15"/>
      <c r="S197" s="16"/>
      <c r="T197" s="16"/>
      <c r="U197" s="16"/>
      <c r="V197" s="16"/>
      <c r="W197" s="5">
        <v>55041</v>
      </c>
      <c r="X197" s="5">
        <v>66957</v>
      </c>
      <c r="Z197" s="5"/>
    </row>
    <row r="198" spans="1:32" ht="18" x14ac:dyDescent="0.35">
      <c r="A198" s="6">
        <v>61</v>
      </c>
      <c r="B198" t="s">
        <v>126</v>
      </c>
      <c r="C198" s="13" t="s">
        <v>533</v>
      </c>
      <c r="D198" s="13" t="str">
        <f t="shared" si="16"/>
        <v xml:space="preserve">ld¶f/fd </v>
      </c>
      <c r="E198" s="13" t="str">
        <f t="shared" si="18"/>
        <v>v8\sf</v>
      </c>
      <c r="F198" s="21" t="s">
        <v>233</v>
      </c>
      <c r="G198" t="s">
        <v>294</v>
      </c>
      <c r="H198" s="21" t="s">
        <v>756</v>
      </c>
      <c r="I198" s="21" t="s">
        <v>905</v>
      </c>
      <c r="J198" s="21">
        <f t="shared" si="17"/>
        <v>164</v>
      </c>
      <c r="K198" s="21"/>
      <c r="L198" s="15">
        <f t="shared" si="15"/>
        <v>44.005479452054793</v>
      </c>
      <c r="M198" s="15"/>
      <c r="N198" s="15"/>
      <c r="O198" s="15"/>
      <c r="P198" s="15"/>
      <c r="Q198" s="15" t="s">
        <v>963</v>
      </c>
      <c r="R198" s="15"/>
      <c r="S198" s="16">
        <v>1</v>
      </c>
      <c r="T198" s="16">
        <v>4</v>
      </c>
      <c r="U198" s="16">
        <v>0</v>
      </c>
      <c r="V198" s="16">
        <v>0</v>
      </c>
      <c r="W198" s="5">
        <v>50895</v>
      </c>
      <c r="X198" s="5">
        <v>66957</v>
      </c>
      <c r="Z198" s="5">
        <v>65479</v>
      </c>
      <c r="AA198" s="2" t="s">
        <v>2</v>
      </c>
      <c r="AB198" s="2">
        <v>4</v>
      </c>
      <c r="AC198" s="2">
        <v>3</v>
      </c>
      <c r="AD198" s="2">
        <v>1</v>
      </c>
      <c r="AE198" t="s">
        <v>242</v>
      </c>
      <c r="AF198" t="s">
        <v>245</v>
      </c>
    </row>
    <row r="199" spans="1:32" ht="18" x14ac:dyDescent="0.35">
      <c r="A199" s="6"/>
      <c r="C199" s="13" t="s">
        <v>534</v>
      </c>
      <c r="D199" s="13" t="str">
        <f t="shared" si="16"/>
        <v xml:space="preserve">cg' </v>
      </c>
      <c r="E199" s="13" t="str">
        <f t="shared" si="18"/>
        <v>/f]Ssf</v>
      </c>
      <c r="F199" s="21" t="s">
        <v>234</v>
      </c>
      <c r="H199" s="21" t="s">
        <v>757</v>
      </c>
      <c r="I199" s="21" t="s">
        <v>905</v>
      </c>
      <c r="J199" s="21">
        <f t="shared" si="17"/>
        <v>107</v>
      </c>
      <c r="K199" s="21"/>
      <c r="L199" s="15">
        <f t="shared" ref="L199:L262" si="19">(X199-W199)/365</f>
        <v>22.80821917808219</v>
      </c>
      <c r="M199" s="15"/>
      <c r="N199" s="15"/>
      <c r="O199" s="15"/>
      <c r="P199" s="15"/>
      <c r="Q199" s="15"/>
      <c r="R199" s="15"/>
      <c r="S199" s="16"/>
      <c r="T199" s="16"/>
      <c r="U199" s="16"/>
      <c r="V199" s="16"/>
      <c r="W199" s="5">
        <v>58632</v>
      </c>
      <c r="X199" s="5">
        <v>66957</v>
      </c>
      <c r="Z199" s="5"/>
    </row>
    <row r="200" spans="1:32" ht="18" x14ac:dyDescent="0.35">
      <c r="A200" s="6"/>
      <c r="C200" s="13" t="s">
        <v>535</v>
      </c>
      <c r="D200" s="13" t="str">
        <f t="shared" si="16"/>
        <v xml:space="preserve">slkn </v>
      </c>
      <c r="E200" s="13" t="str">
        <f t="shared" si="18"/>
        <v>v8\sf</v>
      </c>
      <c r="F200" s="21" t="s">
        <v>233</v>
      </c>
      <c r="H200" s="21" t="s">
        <v>757</v>
      </c>
      <c r="I200" s="21" t="s">
        <v>905</v>
      </c>
      <c r="J200" s="21">
        <f t="shared" si="17"/>
        <v>164</v>
      </c>
      <c r="K200" s="21"/>
      <c r="L200" s="15">
        <f t="shared" si="19"/>
        <v>20.6</v>
      </c>
      <c r="M200" s="15"/>
      <c r="N200" s="15"/>
      <c r="O200" s="15"/>
      <c r="P200" s="15"/>
      <c r="Q200" s="15"/>
      <c r="R200" s="15"/>
      <c r="S200" s="16"/>
      <c r="T200" s="16"/>
      <c r="U200" s="16"/>
      <c r="V200" s="16"/>
      <c r="W200" s="5">
        <v>59438</v>
      </c>
      <c r="X200" s="5">
        <v>66957</v>
      </c>
      <c r="Z200" s="5"/>
    </row>
    <row r="201" spans="1:32" ht="18" x14ac:dyDescent="0.35">
      <c r="A201" s="6"/>
      <c r="C201" s="13" t="s">
        <v>536</v>
      </c>
      <c r="D201" s="13" t="str">
        <f t="shared" si="16"/>
        <v xml:space="preserve">;'hn </v>
      </c>
      <c r="E201" s="13" t="str">
        <f t="shared" si="18"/>
        <v>v8\sf</v>
      </c>
      <c r="F201" s="21" t="s">
        <v>233</v>
      </c>
      <c r="H201" s="21" t="s">
        <v>756</v>
      </c>
      <c r="I201" s="21" t="s">
        <v>905</v>
      </c>
      <c r="J201" s="21">
        <f t="shared" si="17"/>
        <v>164</v>
      </c>
      <c r="K201" s="21"/>
      <c r="L201" s="15">
        <f t="shared" si="19"/>
        <v>46.893150684931506</v>
      </c>
      <c r="M201" s="15"/>
      <c r="N201" s="15"/>
      <c r="O201" s="15"/>
      <c r="P201" s="15"/>
      <c r="Q201" s="15"/>
      <c r="R201" s="15"/>
      <c r="S201" s="16"/>
      <c r="T201" s="16"/>
      <c r="U201" s="16"/>
      <c r="V201" s="16"/>
      <c r="W201" s="5">
        <v>49841</v>
      </c>
      <c r="X201" s="5">
        <v>66957</v>
      </c>
      <c r="Z201" s="5"/>
    </row>
    <row r="202" spans="1:32" ht="18" x14ac:dyDescent="0.35">
      <c r="A202" s="6">
        <v>62</v>
      </c>
      <c r="B202" t="s">
        <v>127</v>
      </c>
      <c r="C202" s="13" t="s">
        <v>537</v>
      </c>
      <c r="D202" s="13" t="str">
        <f t="shared" si="16"/>
        <v xml:space="preserve">gf/fo0f </v>
      </c>
      <c r="E202" s="13" t="str">
        <f t="shared" si="18"/>
        <v>v8\sf</v>
      </c>
      <c r="F202" s="21" t="s">
        <v>233</v>
      </c>
      <c r="G202" t="s">
        <v>294</v>
      </c>
      <c r="H202" s="21" t="s">
        <v>756</v>
      </c>
      <c r="I202" s="21" t="s">
        <v>905</v>
      </c>
      <c r="J202" s="21">
        <f t="shared" si="17"/>
        <v>164</v>
      </c>
      <c r="K202" s="21"/>
      <c r="L202" s="15">
        <f t="shared" si="19"/>
        <v>44.205479452054796</v>
      </c>
      <c r="M202" s="15"/>
      <c r="N202" s="15"/>
      <c r="O202" s="15"/>
      <c r="P202" s="15"/>
      <c r="Q202" s="15" t="s">
        <v>961</v>
      </c>
      <c r="R202" s="15"/>
      <c r="S202" s="16">
        <v>1</v>
      </c>
      <c r="T202" s="16">
        <v>13</v>
      </c>
      <c r="U202" s="16">
        <v>0</v>
      </c>
      <c r="V202" s="16">
        <v>0</v>
      </c>
      <c r="W202" s="5">
        <v>50822</v>
      </c>
      <c r="X202" s="5">
        <v>66957</v>
      </c>
      <c r="Z202" s="5">
        <v>65478</v>
      </c>
      <c r="AA202" s="2" t="s">
        <v>2</v>
      </c>
      <c r="AB202" s="2">
        <v>4</v>
      </c>
      <c r="AC202" s="2">
        <v>3</v>
      </c>
      <c r="AD202" s="2">
        <v>1</v>
      </c>
      <c r="AE202" t="s">
        <v>242</v>
      </c>
      <c r="AF202" t="s">
        <v>245</v>
      </c>
    </row>
    <row r="203" spans="1:32" ht="18" x14ac:dyDescent="0.35">
      <c r="A203" s="6"/>
      <c r="C203" s="13" t="s">
        <v>538</v>
      </c>
      <c r="D203" s="13" t="str">
        <f t="shared" si="16"/>
        <v xml:space="preserve">;fg' </v>
      </c>
      <c r="E203" s="13" t="str">
        <f t="shared" si="18"/>
        <v>v8\sf</v>
      </c>
      <c r="F203" s="21" t="s">
        <v>234</v>
      </c>
      <c r="H203" s="21" t="s">
        <v>756</v>
      </c>
      <c r="I203" s="21" t="s">
        <v>905</v>
      </c>
      <c r="J203" s="21">
        <f t="shared" si="17"/>
        <v>107</v>
      </c>
      <c r="K203" s="21"/>
      <c r="L203" s="15">
        <f t="shared" si="19"/>
        <v>48.18904109589041</v>
      </c>
      <c r="M203" s="15"/>
      <c r="N203" s="15"/>
      <c r="O203" s="15"/>
      <c r="P203" s="15"/>
      <c r="Q203" s="15"/>
      <c r="R203" s="15"/>
      <c r="S203" s="16"/>
      <c r="T203" s="16"/>
      <c r="U203" s="16"/>
      <c r="V203" s="16"/>
      <c r="W203" s="5">
        <v>49368</v>
      </c>
      <c r="X203" s="5">
        <v>66957</v>
      </c>
      <c r="Z203" s="5"/>
    </row>
    <row r="204" spans="1:32" ht="18" x14ac:dyDescent="0.35">
      <c r="A204" s="6"/>
      <c r="C204" s="13" t="s">
        <v>539</v>
      </c>
      <c r="D204" s="13" t="str">
        <f t="shared" si="16"/>
        <v xml:space="preserve">;fu/ </v>
      </c>
      <c r="E204" s="13" t="str">
        <f t="shared" si="18"/>
        <v>v8\sf</v>
      </c>
      <c r="F204" s="21" t="s">
        <v>233</v>
      </c>
      <c r="H204" s="21" t="s">
        <v>757</v>
      </c>
      <c r="I204" s="21" t="s">
        <v>905</v>
      </c>
      <c r="J204" s="21">
        <f t="shared" si="17"/>
        <v>164</v>
      </c>
      <c r="K204" s="21"/>
      <c r="L204" s="15">
        <f t="shared" si="19"/>
        <v>27.627397260273973</v>
      </c>
      <c r="M204" s="15"/>
      <c r="N204" s="15"/>
      <c r="O204" s="15"/>
      <c r="P204" s="15"/>
      <c r="Q204" s="15"/>
      <c r="R204" s="15"/>
      <c r="S204" s="16"/>
      <c r="T204" s="16"/>
      <c r="U204" s="16"/>
      <c r="V204" s="16"/>
      <c r="W204" s="5">
        <v>56873</v>
      </c>
      <c r="X204" s="5">
        <v>66957</v>
      </c>
      <c r="Z204" s="5"/>
    </row>
    <row r="205" spans="1:32" ht="18" x14ac:dyDescent="0.35">
      <c r="A205" s="6"/>
      <c r="C205" s="13" t="s">
        <v>540</v>
      </c>
      <c r="D205" s="13" t="str">
        <f t="shared" si="16"/>
        <v xml:space="preserve">;fhg </v>
      </c>
      <c r="E205" s="13" t="str">
        <f t="shared" si="18"/>
        <v>v8\sf</v>
      </c>
      <c r="F205" s="21" t="s">
        <v>233</v>
      </c>
      <c r="H205" s="21" t="s">
        <v>757</v>
      </c>
      <c r="I205" s="21" t="s">
        <v>907</v>
      </c>
      <c r="J205" s="21">
        <f t="shared" si="17"/>
        <v>164</v>
      </c>
      <c r="K205" s="21"/>
      <c r="L205" s="15">
        <f t="shared" si="19"/>
        <v>21.238356164383561</v>
      </c>
      <c r="M205" s="15"/>
      <c r="N205" s="15"/>
      <c r="O205" s="15"/>
      <c r="P205" s="15"/>
      <c r="Q205" s="15"/>
      <c r="R205" s="15"/>
      <c r="S205" s="16"/>
      <c r="T205" s="16"/>
      <c r="U205" s="16"/>
      <c r="V205" s="16"/>
      <c r="W205" s="5">
        <v>59205</v>
      </c>
      <c r="X205" s="5">
        <v>66957</v>
      </c>
      <c r="Z205" s="5"/>
    </row>
    <row r="206" spans="1:32" ht="18" x14ac:dyDescent="0.35">
      <c r="A206" s="6">
        <v>63</v>
      </c>
      <c r="B206" t="s">
        <v>128</v>
      </c>
      <c r="C206" s="13" t="s">
        <v>541</v>
      </c>
      <c r="D206" s="13" t="str">
        <f t="shared" si="16"/>
        <v xml:space="preserve">?b| </v>
      </c>
      <c r="E206" s="13" t="str">
        <f t="shared" si="18"/>
        <v>sfsL{</v>
      </c>
      <c r="F206" s="21" t="s">
        <v>233</v>
      </c>
      <c r="G206" t="s">
        <v>311</v>
      </c>
      <c r="H206" s="21" t="s">
        <v>756</v>
      </c>
      <c r="I206" s="21" t="s">
        <v>906</v>
      </c>
      <c r="J206" s="21">
        <f t="shared" si="17"/>
        <v>11</v>
      </c>
      <c r="K206" s="21"/>
      <c r="L206" s="15">
        <f t="shared" si="19"/>
        <v>57.484931506849314</v>
      </c>
      <c r="M206" s="15"/>
      <c r="N206" s="15"/>
      <c r="O206" s="15"/>
      <c r="P206" s="15"/>
      <c r="Q206" s="15" t="s">
        <v>962</v>
      </c>
      <c r="R206" s="15"/>
      <c r="S206" s="16">
        <v>6</v>
      </c>
      <c r="T206" s="16">
        <v>12</v>
      </c>
      <c r="U206" s="16">
        <v>3</v>
      </c>
      <c r="V206" s="16">
        <v>2</v>
      </c>
      <c r="W206" s="5">
        <v>45975</v>
      </c>
      <c r="X206" s="5">
        <v>66957</v>
      </c>
      <c r="Z206" s="5">
        <v>65466</v>
      </c>
      <c r="AA206" s="2" t="s">
        <v>2</v>
      </c>
      <c r="AB206" s="2">
        <v>4</v>
      </c>
      <c r="AC206" s="2">
        <v>1</v>
      </c>
      <c r="AD206" s="2">
        <v>3</v>
      </c>
      <c r="AE206" t="s">
        <v>242</v>
      </c>
      <c r="AF206" t="s">
        <v>245</v>
      </c>
    </row>
    <row r="207" spans="1:32" ht="18" x14ac:dyDescent="0.35">
      <c r="A207" s="6"/>
      <c r="C207" s="13" t="s">
        <v>542</v>
      </c>
      <c r="D207" s="13" t="str">
        <f t="shared" si="16"/>
        <v xml:space="preserve">rGb| </v>
      </c>
      <c r="E207" s="13" t="str">
        <f t="shared" si="18"/>
        <v>sfsL{</v>
      </c>
      <c r="F207" s="21" t="s">
        <v>234</v>
      </c>
      <c r="H207" s="21" t="s">
        <v>756</v>
      </c>
      <c r="I207" s="21" t="s">
        <v>905</v>
      </c>
      <c r="J207" s="21">
        <f t="shared" si="17"/>
        <v>107</v>
      </c>
      <c r="K207" s="21"/>
      <c r="L207" s="15">
        <f t="shared" si="19"/>
        <v>42.726027397260275</v>
      </c>
      <c r="M207" s="15"/>
      <c r="N207" s="15"/>
      <c r="O207" s="15"/>
      <c r="P207" s="15"/>
      <c r="Q207" s="15"/>
      <c r="R207" s="15"/>
      <c r="S207" s="16"/>
      <c r="T207" s="16"/>
      <c r="U207" s="16"/>
      <c r="V207" s="16"/>
      <c r="W207" s="5">
        <v>51362</v>
      </c>
      <c r="X207" s="5">
        <v>66957</v>
      </c>
      <c r="Z207" s="5"/>
    </row>
    <row r="208" spans="1:32" ht="18" x14ac:dyDescent="0.35">
      <c r="A208" s="6"/>
      <c r="C208" s="13" t="s">
        <v>543</v>
      </c>
      <c r="D208" s="13" t="str">
        <f t="shared" si="16"/>
        <v xml:space="preserve">d]; </v>
      </c>
      <c r="E208" s="13" t="str">
        <f t="shared" si="18"/>
        <v>sfsL{</v>
      </c>
      <c r="F208" s="21" t="s">
        <v>234</v>
      </c>
      <c r="H208" s="21" t="s">
        <v>757</v>
      </c>
      <c r="I208" s="21" t="s">
        <v>905</v>
      </c>
      <c r="J208" s="21">
        <f t="shared" si="17"/>
        <v>107</v>
      </c>
      <c r="K208" s="21"/>
      <c r="L208" s="15">
        <f t="shared" si="19"/>
        <v>21.92876712328767</v>
      </c>
      <c r="M208" s="15"/>
      <c r="N208" s="15"/>
      <c r="O208" s="15"/>
      <c r="P208" s="15"/>
      <c r="Q208" s="15"/>
      <c r="R208" s="15"/>
      <c r="S208" s="16"/>
      <c r="T208" s="16"/>
      <c r="U208" s="16"/>
      <c r="V208" s="16"/>
      <c r="W208" s="5">
        <v>58953</v>
      </c>
      <c r="X208" s="5">
        <v>66957</v>
      </c>
      <c r="Z208" s="5"/>
    </row>
    <row r="209" spans="1:32" ht="18" x14ac:dyDescent="0.35">
      <c r="A209" s="6"/>
      <c r="C209" s="13" t="s">
        <v>544</v>
      </c>
      <c r="D209" s="13" t="str">
        <f t="shared" si="16"/>
        <v xml:space="preserve">l6sf </v>
      </c>
      <c r="E209" s="13" t="str">
        <f t="shared" si="18"/>
        <v>sfsL{</v>
      </c>
      <c r="F209" s="21" t="s">
        <v>234</v>
      </c>
      <c r="H209" s="21" t="s">
        <v>757</v>
      </c>
      <c r="I209" s="21" t="s">
        <v>905</v>
      </c>
      <c r="J209" s="21">
        <f t="shared" si="17"/>
        <v>107</v>
      </c>
      <c r="K209" s="21"/>
      <c r="L209" s="15">
        <f t="shared" si="19"/>
        <v>19.073972602739726</v>
      </c>
      <c r="M209" s="15"/>
      <c r="N209" s="15"/>
      <c r="O209" s="15"/>
      <c r="P209" s="15"/>
      <c r="Q209" s="15"/>
      <c r="R209" s="15"/>
      <c r="S209" s="16"/>
      <c r="T209" s="16"/>
      <c r="U209" s="16"/>
      <c r="V209" s="16"/>
      <c r="W209" s="5">
        <v>59995</v>
      </c>
      <c r="X209" s="5">
        <v>66957</v>
      </c>
      <c r="Z209" s="5"/>
    </row>
    <row r="210" spans="1:32" ht="18" x14ac:dyDescent="0.35">
      <c r="A210" s="6">
        <v>64</v>
      </c>
      <c r="B210" t="s">
        <v>129</v>
      </c>
      <c r="C210" s="13" t="s">
        <v>545</v>
      </c>
      <c r="D210" s="13" t="str">
        <f t="shared" si="16"/>
        <v xml:space="preserve">cf]d </v>
      </c>
      <c r="E210" s="13" t="str">
        <f t="shared" si="18"/>
        <v>e08f/L</v>
      </c>
      <c r="F210" s="21" t="s">
        <v>233</v>
      </c>
      <c r="G210" t="s">
        <v>300</v>
      </c>
      <c r="H210" s="21" t="s">
        <v>756</v>
      </c>
      <c r="I210" s="21" t="s">
        <v>905</v>
      </c>
      <c r="J210" s="21">
        <f t="shared" si="17"/>
        <v>164</v>
      </c>
      <c r="K210" s="21"/>
      <c r="L210" s="15">
        <f t="shared" si="19"/>
        <v>62.42739726027397</v>
      </c>
      <c r="M210" s="15"/>
      <c r="N210" s="15"/>
      <c r="O210" s="15"/>
      <c r="P210" s="15"/>
      <c r="Q210" s="15" t="s">
        <v>965</v>
      </c>
      <c r="R210" s="15"/>
      <c r="S210" s="16">
        <v>0</v>
      </c>
      <c r="T210" s="16">
        <v>4</v>
      </c>
      <c r="U210" s="16">
        <v>1</v>
      </c>
      <c r="V210" s="16">
        <v>0</v>
      </c>
      <c r="W210" s="5">
        <v>44171</v>
      </c>
      <c r="X210" s="5">
        <v>66957</v>
      </c>
      <c r="Z210" s="5">
        <v>65447</v>
      </c>
      <c r="AA210" s="2" t="s">
        <v>2</v>
      </c>
      <c r="AB210" s="2">
        <v>5</v>
      </c>
      <c r="AC210" s="2">
        <v>3</v>
      </c>
      <c r="AD210" s="2">
        <v>2</v>
      </c>
      <c r="AE210" t="s">
        <v>239</v>
      </c>
      <c r="AF210" t="s">
        <v>245</v>
      </c>
    </row>
    <row r="211" spans="1:32" ht="18" x14ac:dyDescent="0.35">
      <c r="A211" s="6"/>
      <c r="C211" s="13" t="s">
        <v>546</v>
      </c>
      <c r="D211" s="13" t="str">
        <f t="shared" si="16"/>
        <v xml:space="preserve">nLnf </v>
      </c>
      <c r="E211" s="13" t="str">
        <f t="shared" si="18"/>
        <v>e08f/L</v>
      </c>
      <c r="F211" s="21" t="s">
        <v>234</v>
      </c>
      <c r="H211" s="21" t="s">
        <v>756</v>
      </c>
      <c r="I211" s="21" t="s">
        <v>906</v>
      </c>
      <c r="J211" s="21">
        <f t="shared" si="17"/>
        <v>53</v>
      </c>
      <c r="K211" s="21"/>
      <c r="L211" s="15">
        <f t="shared" si="19"/>
        <v>53.361643835616441</v>
      </c>
      <c r="M211" s="15"/>
      <c r="N211" s="15"/>
      <c r="O211" s="15"/>
      <c r="P211" s="15"/>
      <c r="Q211" s="15"/>
      <c r="R211" s="15"/>
      <c r="S211" s="16"/>
      <c r="T211" s="16"/>
      <c r="U211" s="16"/>
      <c r="V211" s="16"/>
      <c r="W211" s="5">
        <v>47480</v>
      </c>
      <c r="X211" s="5">
        <v>66957</v>
      </c>
      <c r="Z211" s="5"/>
    </row>
    <row r="212" spans="1:32" ht="18" x14ac:dyDescent="0.35">
      <c r="A212" s="6"/>
      <c r="C212" s="13" t="s">
        <v>547</v>
      </c>
      <c r="D212" s="13" t="str">
        <f t="shared" si="16"/>
        <v xml:space="preserve">s]zj </v>
      </c>
      <c r="E212" s="13" t="str">
        <f t="shared" si="18"/>
        <v>e08f/L</v>
      </c>
      <c r="F212" s="21" t="s">
        <v>233</v>
      </c>
      <c r="H212" s="21" t="s">
        <v>756</v>
      </c>
      <c r="I212" s="21" t="s">
        <v>905</v>
      </c>
      <c r="J212" s="21">
        <f t="shared" si="17"/>
        <v>164</v>
      </c>
      <c r="K212" s="21"/>
      <c r="L212" s="15">
        <f t="shared" si="19"/>
        <v>35.005479452054793</v>
      </c>
      <c r="M212" s="15"/>
      <c r="N212" s="15"/>
      <c r="O212" s="15"/>
      <c r="P212" s="15"/>
      <c r="Q212" s="15"/>
      <c r="R212" s="15"/>
      <c r="S212" s="16"/>
      <c r="T212" s="16"/>
      <c r="U212" s="16"/>
      <c r="V212" s="16"/>
      <c r="W212" s="5">
        <v>54180</v>
      </c>
      <c r="X212" s="5">
        <v>66957</v>
      </c>
      <c r="Z212" s="5"/>
    </row>
    <row r="213" spans="1:32" ht="18" x14ac:dyDescent="0.35">
      <c r="A213" s="6"/>
      <c r="C213" s="13" t="s">
        <v>548</v>
      </c>
      <c r="D213" s="13" t="str">
        <f t="shared" si="16"/>
        <v xml:space="preserve">cflzif </v>
      </c>
      <c r="E213" s="13" t="str">
        <f t="shared" si="18"/>
        <v>e08f/L</v>
      </c>
      <c r="F213" s="21" t="s">
        <v>233</v>
      </c>
      <c r="H213" s="21" t="s">
        <v>757</v>
      </c>
      <c r="I213" s="21" t="s">
        <v>905</v>
      </c>
      <c r="J213" s="21">
        <f t="shared" si="17"/>
        <v>164</v>
      </c>
      <c r="K213" s="21"/>
      <c r="L213" s="15">
        <f t="shared" si="19"/>
        <v>28.906849315068492</v>
      </c>
      <c r="M213" s="15"/>
      <c r="N213" s="15"/>
      <c r="O213" s="15"/>
      <c r="P213" s="15"/>
      <c r="Q213" s="15"/>
      <c r="R213" s="15"/>
      <c r="S213" s="16"/>
      <c r="T213" s="16"/>
      <c r="U213" s="16"/>
      <c r="V213" s="16"/>
      <c r="W213" s="5">
        <v>56406</v>
      </c>
      <c r="X213" s="5">
        <v>66957</v>
      </c>
      <c r="Z213" s="5"/>
    </row>
    <row r="214" spans="1:32" ht="18" x14ac:dyDescent="0.35">
      <c r="A214" s="6"/>
      <c r="C214" s="13" t="s">
        <v>549</v>
      </c>
      <c r="D214" s="13" t="str">
        <f t="shared" si="16"/>
        <v xml:space="preserve">dlgiff </v>
      </c>
      <c r="E214" s="13" t="str">
        <f t="shared" si="18"/>
        <v>s]=;L</v>
      </c>
      <c r="F214" s="21" t="s">
        <v>234</v>
      </c>
      <c r="H214" s="21" t="s">
        <v>756</v>
      </c>
      <c r="I214" s="21" t="s">
        <v>905</v>
      </c>
      <c r="J214" s="21">
        <f t="shared" si="17"/>
        <v>107</v>
      </c>
      <c r="K214" s="21"/>
      <c r="L214" s="15">
        <f t="shared" si="19"/>
        <v>34.463013698630135</v>
      </c>
      <c r="M214" s="15"/>
      <c r="N214" s="15"/>
      <c r="O214" s="15"/>
      <c r="P214" s="15"/>
      <c r="Q214" s="15"/>
      <c r="R214" s="15"/>
      <c r="S214" s="16"/>
      <c r="T214" s="16"/>
      <c r="U214" s="16"/>
      <c r="V214" s="16"/>
      <c r="W214" s="5">
        <v>54378</v>
      </c>
      <c r="X214" s="5">
        <v>66957</v>
      </c>
      <c r="Z214" s="5"/>
    </row>
    <row r="215" spans="1:32" ht="18" x14ac:dyDescent="0.35">
      <c r="A215" s="6">
        <v>65</v>
      </c>
      <c r="B215" t="s">
        <v>130</v>
      </c>
      <c r="C215" s="13" t="s">
        <v>550</v>
      </c>
      <c r="D215" s="13" t="str">
        <f t="shared" si="16"/>
        <v xml:space="preserve">Zofd </v>
      </c>
      <c r="E215" s="13" t="str">
        <f t="shared" si="18"/>
        <v>du/</v>
      </c>
      <c r="F215" s="21" t="s">
        <v>233</v>
      </c>
      <c r="G215" t="s">
        <v>252</v>
      </c>
      <c r="H215" s="21" t="s">
        <v>756</v>
      </c>
      <c r="I215" s="21" t="s">
        <v>905</v>
      </c>
      <c r="J215" s="21">
        <f t="shared" si="17"/>
        <v>164</v>
      </c>
      <c r="K215" s="21"/>
      <c r="L215" s="15">
        <f t="shared" si="19"/>
        <v>47.742465753424661</v>
      </c>
      <c r="M215" s="15"/>
      <c r="N215" s="15"/>
      <c r="O215" s="15"/>
      <c r="P215" s="15"/>
      <c r="Q215" s="15" t="s">
        <v>964</v>
      </c>
      <c r="R215" s="15"/>
      <c r="S215" s="16">
        <v>0</v>
      </c>
      <c r="T215" s="16">
        <v>8</v>
      </c>
      <c r="U215" s="16">
        <v>0</v>
      </c>
      <c r="V215" s="16">
        <v>0</v>
      </c>
      <c r="W215" s="5">
        <v>49531</v>
      </c>
      <c r="X215" s="5">
        <v>66957</v>
      </c>
      <c r="Z215" s="5">
        <v>65440</v>
      </c>
      <c r="AA215" s="2" t="s">
        <v>2</v>
      </c>
      <c r="AB215" s="2">
        <v>6</v>
      </c>
      <c r="AC215" s="2">
        <v>2</v>
      </c>
      <c r="AD215" s="2">
        <v>4</v>
      </c>
      <c r="AE215" t="s">
        <v>242</v>
      </c>
      <c r="AF215" t="s">
        <v>245</v>
      </c>
    </row>
    <row r="216" spans="1:32" ht="18" x14ac:dyDescent="0.35">
      <c r="A216" s="6"/>
      <c r="C216" s="13" t="s">
        <v>551</v>
      </c>
      <c r="D216" s="13" t="str">
        <f t="shared" si="16"/>
        <v xml:space="preserve">sNkgf </v>
      </c>
      <c r="E216" s="13" t="str">
        <f t="shared" si="18"/>
        <v>du/</v>
      </c>
      <c r="F216" s="21" t="s">
        <v>234</v>
      </c>
      <c r="H216" s="21" t="s">
        <v>756</v>
      </c>
      <c r="I216" s="21" t="s">
        <v>906</v>
      </c>
      <c r="J216" s="21">
        <f t="shared" si="17"/>
        <v>53</v>
      </c>
      <c r="K216" s="21"/>
      <c r="L216" s="15">
        <f t="shared" si="19"/>
        <v>44.021917808219179</v>
      </c>
      <c r="M216" s="15"/>
      <c r="N216" s="15"/>
      <c r="O216" s="15"/>
      <c r="P216" s="15"/>
      <c r="Q216" s="15"/>
      <c r="R216" s="15"/>
      <c r="S216" s="16"/>
      <c r="T216" s="16"/>
      <c r="U216" s="16"/>
      <c r="V216" s="16"/>
      <c r="W216" s="5">
        <v>50889</v>
      </c>
      <c r="X216" s="5">
        <v>66957</v>
      </c>
      <c r="Z216" s="5"/>
    </row>
    <row r="217" spans="1:32" ht="18" x14ac:dyDescent="0.35">
      <c r="A217" s="6"/>
      <c r="C217" s="13" t="s">
        <v>552</v>
      </c>
      <c r="D217" s="13" t="str">
        <f t="shared" si="16"/>
        <v xml:space="preserve">;+ho </v>
      </c>
      <c r="E217" s="13" t="str">
        <f t="shared" si="18"/>
        <v>du/</v>
      </c>
      <c r="F217" s="21" t="s">
        <v>233</v>
      </c>
      <c r="H217" s="21" t="s">
        <v>756</v>
      </c>
      <c r="I217" s="21" t="s">
        <v>905</v>
      </c>
      <c r="J217" s="21">
        <f t="shared" si="17"/>
        <v>164</v>
      </c>
      <c r="K217" s="21"/>
      <c r="L217" s="15">
        <f t="shared" si="19"/>
        <v>32.131506849315066</v>
      </c>
      <c r="M217" s="15"/>
      <c r="N217" s="15"/>
      <c r="O217" s="15"/>
      <c r="P217" s="15"/>
      <c r="Q217" s="15"/>
      <c r="R217" s="15"/>
      <c r="S217" s="16"/>
      <c r="T217" s="16"/>
      <c r="U217" s="16"/>
      <c r="V217" s="16"/>
      <c r="W217" s="5">
        <v>55229</v>
      </c>
      <c r="X217" s="5">
        <v>66957</v>
      </c>
      <c r="Z217" s="5"/>
    </row>
    <row r="218" spans="1:32" ht="18" x14ac:dyDescent="0.35">
      <c r="A218" s="6"/>
      <c r="C218" s="13" t="s">
        <v>553</v>
      </c>
      <c r="D218" s="13" t="str">
        <f t="shared" si="16"/>
        <v xml:space="preserve">k'ikf </v>
      </c>
      <c r="E218" s="13" t="str">
        <f t="shared" si="18"/>
        <v>kf7s</v>
      </c>
      <c r="F218" s="21" t="s">
        <v>234</v>
      </c>
      <c r="H218" s="21" t="s">
        <v>756</v>
      </c>
      <c r="I218" s="21" t="s">
        <v>905</v>
      </c>
      <c r="J218" s="21">
        <f t="shared" si="17"/>
        <v>107</v>
      </c>
      <c r="K218" s="21"/>
      <c r="L218" s="15">
        <f t="shared" si="19"/>
        <v>33.635616438356166</v>
      </c>
      <c r="M218" s="15"/>
      <c r="N218" s="15"/>
      <c r="O218" s="15"/>
      <c r="P218" s="15"/>
      <c r="Q218" s="15"/>
      <c r="R218" s="15"/>
      <c r="S218" s="16"/>
      <c r="T218" s="16"/>
      <c r="U218" s="16"/>
      <c r="V218" s="16"/>
      <c r="W218" s="5">
        <v>54680</v>
      </c>
      <c r="X218" s="5">
        <v>66957</v>
      </c>
      <c r="Z218" s="5"/>
    </row>
    <row r="219" spans="1:32" ht="18" x14ac:dyDescent="0.35">
      <c r="A219" s="6"/>
      <c r="C219" s="13" t="s">
        <v>554</v>
      </c>
      <c r="D219" s="13" t="str">
        <f t="shared" si="16"/>
        <v xml:space="preserve">;ofg </v>
      </c>
      <c r="E219" s="13" t="str">
        <f t="shared" si="18"/>
        <v>du/</v>
      </c>
      <c r="F219" s="21" t="s">
        <v>234</v>
      </c>
      <c r="H219" s="21" t="s">
        <v>757</v>
      </c>
      <c r="I219" s="21" t="s">
        <v>905</v>
      </c>
      <c r="J219" s="21">
        <f t="shared" si="17"/>
        <v>107</v>
      </c>
      <c r="K219" s="21"/>
      <c r="L219" s="15">
        <f t="shared" si="19"/>
        <v>11.112328767123287</v>
      </c>
      <c r="M219" s="15"/>
      <c r="N219" s="15"/>
      <c r="O219" s="15"/>
      <c r="P219" s="15"/>
      <c r="Q219" s="15"/>
      <c r="R219" s="15"/>
      <c r="S219" s="16"/>
      <c r="T219" s="16"/>
      <c r="U219" s="16"/>
      <c r="V219" s="16"/>
      <c r="W219" s="5">
        <v>62901</v>
      </c>
      <c r="X219" s="5">
        <v>66957</v>
      </c>
      <c r="Z219" s="5"/>
    </row>
    <row r="220" spans="1:32" ht="18" x14ac:dyDescent="0.35">
      <c r="A220" s="6"/>
      <c r="C220" s="13" t="s">
        <v>555</v>
      </c>
      <c r="D220" s="13" t="str">
        <f t="shared" si="16"/>
        <v xml:space="preserve">;fOdf]g </v>
      </c>
      <c r="E220" s="13" t="str">
        <f t="shared" si="18"/>
        <v>du/</v>
      </c>
      <c r="F220" s="21" t="s">
        <v>234</v>
      </c>
      <c r="H220" s="21" t="s">
        <v>757</v>
      </c>
      <c r="I220" s="21" t="s">
        <v>905</v>
      </c>
      <c r="J220" s="21">
        <f t="shared" si="17"/>
        <v>107</v>
      </c>
      <c r="K220" s="21"/>
      <c r="L220" s="15">
        <f t="shared" si="19"/>
        <v>6.6986301369863011</v>
      </c>
      <c r="M220" s="15"/>
      <c r="N220" s="15"/>
      <c r="O220" s="15"/>
      <c r="P220" s="15"/>
      <c r="Q220" s="15"/>
      <c r="R220" s="15"/>
      <c r="S220" s="16"/>
      <c r="T220" s="16"/>
      <c r="U220" s="16"/>
      <c r="V220" s="16"/>
      <c r="W220" s="5">
        <v>64512</v>
      </c>
      <c r="X220" s="5">
        <v>66957</v>
      </c>
      <c r="Z220" s="5"/>
    </row>
    <row r="221" spans="1:32" ht="18" x14ac:dyDescent="0.35">
      <c r="A221" s="6">
        <v>66</v>
      </c>
      <c r="B221" t="s">
        <v>131</v>
      </c>
      <c r="C221" s="13" t="s">
        <v>556</v>
      </c>
      <c r="D221" s="13" t="str">
        <f t="shared" si="16"/>
        <v xml:space="preserve">nfn </v>
      </c>
      <c r="E221" s="13" t="str">
        <f t="shared" si="18"/>
        <v>s8]n</v>
      </c>
      <c r="F221" s="21" t="s">
        <v>233</v>
      </c>
      <c r="G221" t="s">
        <v>292</v>
      </c>
      <c r="H221" s="21" t="s">
        <v>756</v>
      </c>
      <c r="I221" s="21" t="s">
        <v>905</v>
      </c>
      <c r="J221" s="21">
        <f t="shared" si="17"/>
        <v>164</v>
      </c>
      <c r="K221" s="21"/>
      <c r="L221" s="15">
        <f t="shared" si="19"/>
        <v>61.276712328767125</v>
      </c>
      <c r="M221" s="15"/>
      <c r="N221" s="15"/>
      <c r="O221" s="15"/>
      <c r="P221" s="15"/>
      <c r="Q221" s="15" t="s">
        <v>963</v>
      </c>
      <c r="R221" s="15"/>
      <c r="S221" s="16" t="s">
        <v>748</v>
      </c>
      <c r="T221" s="16" t="s">
        <v>748</v>
      </c>
      <c r="U221" s="16" t="s">
        <v>748</v>
      </c>
      <c r="V221" s="16" t="s">
        <v>748</v>
      </c>
      <c r="W221" s="5">
        <v>44591</v>
      </c>
      <c r="X221" s="5">
        <v>66957</v>
      </c>
      <c r="Z221" s="5">
        <v>65369</v>
      </c>
      <c r="AA221" s="2" t="s">
        <v>2</v>
      </c>
      <c r="AB221" s="2">
        <v>3</v>
      </c>
      <c r="AC221" s="2">
        <v>2</v>
      </c>
      <c r="AD221" s="2">
        <v>1</v>
      </c>
      <c r="AE221" t="s">
        <v>242</v>
      </c>
      <c r="AF221" t="s">
        <v>245</v>
      </c>
    </row>
    <row r="222" spans="1:32" ht="18" x14ac:dyDescent="0.35">
      <c r="A222" s="6"/>
      <c r="C222" s="13" t="s">
        <v>557</v>
      </c>
      <c r="D222" s="13" t="str">
        <f t="shared" si="16"/>
        <v xml:space="preserve">1fgs'df/L </v>
      </c>
      <c r="E222" s="13" t="str">
        <f t="shared" si="18"/>
        <v>s8]n</v>
      </c>
      <c r="F222" s="21" t="s">
        <v>234</v>
      </c>
      <c r="H222" s="21" t="s">
        <v>756</v>
      </c>
      <c r="I222" s="21" t="s">
        <v>906</v>
      </c>
      <c r="J222" s="21">
        <f t="shared" si="17"/>
        <v>53</v>
      </c>
      <c r="K222" s="21"/>
      <c r="L222" s="15">
        <f t="shared" si="19"/>
        <v>56.18904109589041</v>
      </c>
      <c r="M222" s="15"/>
      <c r="N222" s="15"/>
      <c r="O222" s="15"/>
      <c r="P222" s="15"/>
      <c r="Q222" s="15"/>
      <c r="R222" s="15"/>
      <c r="S222" s="16"/>
      <c r="T222" s="16"/>
      <c r="U222" s="16"/>
      <c r="V222" s="16"/>
      <c r="W222" s="5">
        <v>46448</v>
      </c>
      <c r="X222" s="5">
        <v>66957</v>
      </c>
      <c r="Z222" s="5"/>
    </row>
    <row r="223" spans="1:32" ht="18" x14ac:dyDescent="0.35">
      <c r="A223" s="6"/>
      <c r="C223" s="13" t="s">
        <v>558</v>
      </c>
      <c r="D223" s="13" t="str">
        <f t="shared" si="16"/>
        <v xml:space="preserve">?xg </v>
      </c>
      <c r="E223" s="13" t="str">
        <f t="shared" si="18"/>
        <v>s8]n</v>
      </c>
      <c r="F223" s="21" t="s">
        <v>233</v>
      </c>
      <c r="H223" s="21" t="s">
        <v>757</v>
      </c>
      <c r="I223" s="21" t="s">
        <v>905</v>
      </c>
      <c r="J223" s="21">
        <f t="shared" si="17"/>
        <v>164</v>
      </c>
      <c r="K223" s="21"/>
      <c r="L223" s="15">
        <f t="shared" si="19"/>
        <v>35.832876712328769</v>
      </c>
      <c r="M223" s="15"/>
      <c r="N223" s="15"/>
      <c r="O223" s="15"/>
      <c r="P223" s="15"/>
      <c r="Q223" s="15"/>
      <c r="R223" s="15"/>
      <c r="S223" s="16"/>
      <c r="T223" s="16"/>
      <c r="U223" s="16"/>
      <c r="V223" s="16"/>
      <c r="W223" s="5">
        <v>53878</v>
      </c>
      <c r="X223" s="5">
        <v>66957</v>
      </c>
      <c r="Z223" s="5"/>
    </row>
    <row r="224" spans="1:32" ht="18" x14ac:dyDescent="0.35">
      <c r="A224" s="6">
        <v>67</v>
      </c>
      <c r="B224" t="s">
        <v>132</v>
      </c>
      <c r="C224" s="13" t="s">
        <v>559</v>
      </c>
      <c r="D224" s="13" t="str">
        <f t="shared" si="16"/>
        <v xml:space="preserve">clDasf </v>
      </c>
      <c r="E224" s="13" t="str">
        <f t="shared" si="18"/>
        <v>yfkf</v>
      </c>
      <c r="F224" s="21" t="s">
        <v>234</v>
      </c>
      <c r="G224" t="s">
        <v>235</v>
      </c>
      <c r="H224" s="21" t="s">
        <v>756</v>
      </c>
      <c r="I224" s="21" t="s">
        <v>905</v>
      </c>
      <c r="J224" s="21">
        <f t="shared" si="17"/>
        <v>107</v>
      </c>
      <c r="K224" s="21"/>
      <c r="L224" s="15">
        <f t="shared" si="19"/>
        <v>38.991780821917807</v>
      </c>
      <c r="M224" s="15"/>
      <c r="N224" s="15"/>
      <c r="O224" s="15"/>
      <c r="P224" s="15"/>
      <c r="Q224" s="15" t="s">
        <v>964</v>
      </c>
      <c r="R224" s="15"/>
      <c r="S224" s="16">
        <v>0</v>
      </c>
      <c r="T224" s="16">
        <v>3</v>
      </c>
      <c r="U224" s="16">
        <v>0</v>
      </c>
      <c r="V224" s="16">
        <v>0</v>
      </c>
      <c r="W224" s="5">
        <v>52725</v>
      </c>
      <c r="X224" s="5">
        <v>66957</v>
      </c>
      <c r="Z224" s="5">
        <v>65366</v>
      </c>
      <c r="AA224" s="2" t="s">
        <v>2</v>
      </c>
      <c r="AB224" s="2">
        <v>4</v>
      </c>
      <c r="AC224" s="2">
        <f>AB224-AD224</f>
        <v>2</v>
      </c>
      <c r="AD224" s="2">
        <v>2</v>
      </c>
      <c r="AE224" t="s">
        <v>242</v>
      </c>
      <c r="AF224" t="s">
        <v>245</v>
      </c>
    </row>
    <row r="225" spans="1:32" ht="18" x14ac:dyDescent="0.35">
      <c r="A225" s="6"/>
      <c r="C225" s="13" t="s">
        <v>560</v>
      </c>
      <c r="D225" s="13" t="str">
        <f t="shared" si="16"/>
        <v xml:space="preserve">lqk]Gb| </v>
      </c>
      <c r="E225" s="13" t="str">
        <f t="shared" si="18"/>
        <v>If]qL</v>
      </c>
      <c r="F225" s="21" t="s">
        <v>233</v>
      </c>
      <c r="H225" s="21" t="s">
        <v>756</v>
      </c>
      <c r="I225" s="21" t="s">
        <v>905</v>
      </c>
      <c r="J225" s="21">
        <f t="shared" si="17"/>
        <v>164</v>
      </c>
      <c r="K225" s="21"/>
      <c r="L225" s="15">
        <f t="shared" si="19"/>
        <v>50.515068493150686</v>
      </c>
      <c r="M225" s="15"/>
      <c r="N225" s="15"/>
      <c r="O225" s="15"/>
      <c r="P225" s="15"/>
      <c r="Q225" s="15"/>
      <c r="R225" s="15"/>
      <c r="S225" s="16"/>
      <c r="T225" s="16"/>
      <c r="U225" s="16"/>
      <c r="V225" s="16"/>
      <c r="W225" s="5">
        <v>48519</v>
      </c>
      <c r="X225" s="5">
        <v>66957</v>
      </c>
      <c r="Z225" s="5"/>
    </row>
    <row r="226" spans="1:32" ht="18" x14ac:dyDescent="0.35">
      <c r="A226" s="6"/>
      <c r="C226" s="13" t="s">
        <v>561</v>
      </c>
      <c r="D226" s="13" t="str">
        <f t="shared" si="16"/>
        <v xml:space="preserve">lIflth </v>
      </c>
      <c r="E226" s="13" t="str">
        <f t="shared" si="18"/>
        <v>yfkf</v>
      </c>
      <c r="F226" s="21" t="s">
        <v>233</v>
      </c>
      <c r="H226" s="21" t="s">
        <v>757</v>
      </c>
      <c r="I226" s="21" t="s">
        <v>905</v>
      </c>
      <c r="J226" s="21">
        <f t="shared" si="17"/>
        <v>164</v>
      </c>
      <c r="K226" s="21"/>
      <c r="L226" s="15">
        <f t="shared" si="19"/>
        <v>30.246575342465754</v>
      </c>
      <c r="M226" s="15"/>
      <c r="N226" s="15"/>
      <c r="O226" s="15"/>
      <c r="P226" s="15"/>
      <c r="Q226" s="15"/>
      <c r="R226" s="15"/>
      <c r="S226" s="16"/>
      <c r="T226" s="16"/>
      <c r="U226" s="16"/>
      <c r="V226" s="16"/>
      <c r="W226" s="5">
        <v>55917</v>
      </c>
      <c r="X226" s="5">
        <v>66957</v>
      </c>
      <c r="Z226" s="5"/>
    </row>
    <row r="227" spans="1:32" ht="18" x14ac:dyDescent="0.35">
      <c r="A227" s="6"/>
      <c r="C227" s="13" t="s">
        <v>562</v>
      </c>
      <c r="D227" s="13" t="str">
        <f t="shared" ref="D227:D269" si="20">LEFT(C227,(FIND(" ",C227)))</f>
        <v xml:space="preserve">ck]Iff </v>
      </c>
      <c r="E227" s="13" t="str">
        <f t="shared" si="18"/>
        <v>yfkf</v>
      </c>
      <c r="F227" s="21" t="s">
        <v>234</v>
      </c>
      <c r="H227" s="21" t="s">
        <v>757</v>
      </c>
      <c r="I227" s="21" t="s">
        <v>905</v>
      </c>
      <c r="J227" s="21">
        <f t="shared" si="17"/>
        <v>107</v>
      </c>
      <c r="K227" s="21"/>
      <c r="L227" s="15">
        <f t="shared" si="19"/>
        <v>16.287671232876711</v>
      </c>
      <c r="M227" s="15"/>
      <c r="N227" s="15"/>
      <c r="O227" s="15"/>
      <c r="P227" s="15"/>
      <c r="Q227" s="15"/>
      <c r="R227" s="15"/>
      <c r="S227" s="16"/>
      <c r="T227" s="16"/>
      <c r="U227" s="16"/>
      <c r="V227" s="16"/>
      <c r="W227" s="5">
        <v>61012</v>
      </c>
      <c r="X227" s="5">
        <v>66957</v>
      </c>
      <c r="Z227" s="5"/>
    </row>
    <row r="228" spans="1:32" ht="18" x14ac:dyDescent="0.35">
      <c r="A228" s="6">
        <v>69</v>
      </c>
      <c r="B228" t="s">
        <v>134</v>
      </c>
      <c r="C228" s="13" t="s">
        <v>564</v>
      </c>
      <c r="D228" s="13" t="str">
        <f t="shared" si="20"/>
        <v xml:space="preserve">s]z/ </v>
      </c>
      <c r="E228" s="13" t="str">
        <f t="shared" ref="E228:E270" si="21">TRIM(RIGHT(SUBSTITUTE(C228," ",REPT(" ",255)),255))</f>
        <v>&gt;]i7</v>
      </c>
      <c r="F228" s="21" t="s">
        <v>233</v>
      </c>
      <c r="G228" t="s">
        <v>283</v>
      </c>
      <c r="H228" s="21" t="s">
        <v>756</v>
      </c>
      <c r="I228" s="21" t="s">
        <v>905</v>
      </c>
      <c r="J228" s="21">
        <f t="shared" si="17"/>
        <v>164</v>
      </c>
      <c r="K228" s="21"/>
      <c r="L228" s="15">
        <f t="shared" si="19"/>
        <v>43.402739726027399</v>
      </c>
      <c r="M228" s="15"/>
      <c r="N228" s="15"/>
      <c r="O228" s="15"/>
      <c r="P228" s="15"/>
      <c r="Q228" s="15" t="s">
        <v>962</v>
      </c>
      <c r="R228" s="15"/>
      <c r="S228" s="16">
        <v>0</v>
      </c>
      <c r="T228" s="16">
        <v>3</v>
      </c>
      <c r="U228" s="16">
        <v>1</v>
      </c>
      <c r="V228" s="16">
        <v>0</v>
      </c>
      <c r="W228" s="5">
        <v>51115</v>
      </c>
      <c r="X228" s="5">
        <v>66957</v>
      </c>
      <c r="Z228" s="5">
        <v>65356</v>
      </c>
      <c r="AA228" s="2" t="s">
        <v>2</v>
      </c>
      <c r="AB228" s="2">
        <v>5</v>
      </c>
      <c r="AC228" s="2">
        <v>2</v>
      </c>
      <c r="AD228" s="2">
        <v>3</v>
      </c>
      <c r="AE228" t="s">
        <v>242</v>
      </c>
      <c r="AF228" t="s">
        <v>245</v>
      </c>
    </row>
    <row r="229" spans="1:32" ht="18" x14ac:dyDescent="0.35">
      <c r="A229" s="6"/>
      <c r="C229" s="13" t="s">
        <v>565</v>
      </c>
      <c r="D229" s="13" t="str">
        <f t="shared" si="20"/>
        <v xml:space="preserve">;+lutf </v>
      </c>
      <c r="E229" s="13" t="str">
        <f t="shared" si="21"/>
        <v>&gt;]i7</v>
      </c>
      <c r="F229" s="21" t="s">
        <v>234</v>
      </c>
      <c r="H229" s="21" t="s">
        <v>756</v>
      </c>
      <c r="I229" s="21" t="s">
        <v>905</v>
      </c>
      <c r="J229" s="21">
        <f t="shared" ref="J229:J292" si="22">IF(L229&gt;=5,(COUNTIFS($I$4:$I$348,I229,$F$4:$F$348,F229)))</f>
        <v>107</v>
      </c>
      <c r="K229" s="21"/>
      <c r="L229" s="15">
        <f t="shared" si="19"/>
        <v>41.479452054794521</v>
      </c>
      <c r="M229" s="15"/>
      <c r="N229" s="15"/>
      <c r="O229" s="15"/>
      <c r="P229" s="15"/>
      <c r="Q229" s="15"/>
      <c r="R229" s="15"/>
      <c r="S229" s="16"/>
      <c r="T229" s="16"/>
      <c r="U229" s="16"/>
      <c r="V229" s="16"/>
      <c r="W229" s="5">
        <v>51817</v>
      </c>
      <c r="X229" s="5">
        <v>66957</v>
      </c>
      <c r="Z229" s="5"/>
    </row>
    <row r="230" spans="1:32" ht="18" x14ac:dyDescent="0.35">
      <c r="A230" s="6"/>
      <c r="C230" s="13" t="s">
        <v>566</v>
      </c>
      <c r="D230" s="13" t="str">
        <f t="shared" si="20"/>
        <v xml:space="preserve">;ljgf </v>
      </c>
      <c r="E230" s="13" t="str">
        <f t="shared" si="21"/>
        <v>&gt;]i7</v>
      </c>
      <c r="F230" s="21" t="s">
        <v>234</v>
      </c>
      <c r="H230" s="21" t="s">
        <v>757</v>
      </c>
      <c r="I230" s="21" t="s">
        <v>905</v>
      </c>
      <c r="J230" s="21">
        <f t="shared" si="22"/>
        <v>107</v>
      </c>
      <c r="K230" s="21"/>
      <c r="L230" s="15">
        <f t="shared" si="19"/>
        <v>21.104109589041094</v>
      </c>
      <c r="M230" s="15"/>
      <c r="N230" s="15"/>
      <c r="O230" s="15"/>
      <c r="P230" s="15"/>
      <c r="Q230" s="15"/>
      <c r="R230" s="15"/>
      <c r="S230" s="16"/>
      <c r="T230" s="16"/>
      <c r="U230" s="16"/>
      <c r="V230" s="16"/>
      <c r="W230" s="5">
        <v>59254</v>
      </c>
      <c r="X230" s="5">
        <v>66957</v>
      </c>
      <c r="Z230" s="5"/>
    </row>
    <row r="231" spans="1:32" ht="18" x14ac:dyDescent="0.35">
      <c r="A231" s="6"/>
      <c r="C231" s="13" t="s">
        <v>567</v>
      </c>
      <c r="D231" s="13" t="str">
        <f t="shared" si="20"/>
        <v xml:space="preserve">;lngf </v>
      </c>
      <c r="E231" s="13" t="str">
        <f t="shared" si="21"/>
        <v>&gt;]i7</v>
      </c>
      <c r="F231" s="21" t="s">
        <v>234</v>
      </c>
      <c r="H231" s="21" t="s">
        <v>757</v>
      </c>
      <c r="I231" s="21" t="s">
        <v>905</v>
      </c>
      <c r="J231" s="21">
        <f t="shared" si="22"/>
        <v>107</v>
      </c>
      <c r="K231" s="21"/>
      <c r="L231" s="15">
        <f t="shared" si="19"/>
        <v>14.331506849315069</v>
      </c>
      <c r="M231" s="15"/>
      <c r="N231" s="15"/>
      <c r="O231" s="15"/>
      <c r="P231" s="15"/>
      <c r="Q231" s="15"/>
      <c r="R231" s="15"/>
      <c r="S231" s="16"/>
      <c r="T231" s="16"/>
      <c r="U231" s="16"/>
      <c r="V231" s="16"/>
      <c r="W231" s="5">
        <v>61726</v>
      </c>
      <c r="X231" s="5">
        <v>66957</v>
      </c>
      <c r="Z231" s="5"/>
    </row>
    <row r="232" spans="1:32" ht="18" x14ac:dyDescent="0.35">
      <c r="A232" s="6"/>
      <c r="C232" s="13" t="s">
        <v>568</v>
      </c>
      <c r="D232" s="13" t="str">
        <f t="shared" si="20"/>
        <v xml:space="preserve">/f]zg </v>
      </c>
      <c r="E232" s="13" t="str">
        <f t="shared" si="21"/>
        <v>&gt;]i7</v>
      </c>
      <c r="F232" s="21" t="s">
        <v>233</v>
      </c>
      <c r="H232" s="21" t="s">
        <v>757</v>
      </c>
      <c r="I232" s="21" t="s">
        <v>905</v>
      </c>
      <c r="J232" s="21">
        <f t="shared" si="22"/>
        <v>164</v>
      </c>
      <c r="K232" s="21"/>
      <c r="L232" s="15">
        <f t="shared" si="19"/>
        <v>12.668493150684931</v>
      </c>
      <c r="M232" s="15"/>
      <c r="N232" s="15"/>
      <c r="O232" s="15"/>
      <c r="P232" s="15"/>
      <c r="Q232" s="15"/>
      <c r="R232" s="15"/>
      <c r="S232" s="16"/>
      <c r="T232" s="16"/>
      <c r="U232" s="16"/>
      <c r="V232" s="16"/>
      <c r="W232" s="5">
        <v>62333</v>
      </c>
      <c r="X232" s="5">
        <v>66957</v>
      </c>
      <c r="Z232" s="5"/>
    </row>
    <row r="233" spans="1:32" ht="18" x14ac:dyDescent="0.35">
      <c r="A233" s="6">
        <v>71</v>
      </c>
      <c r="B233" t="s">
        <v>136</v>
      </c>
      <c r="C233" s="13" t="s">
        <v>573</v>
      </c>
      <c r="D233" s="13" t="str">
        <f t="shared" si="20"/>
        <v xml:space="preserve">af;'b]a </v>
      </c>
      <c r="E233" s="13" t="str">
        <f t="shared" si="21"/>
        <v>dNn</v>
      </c>
      <c r="F233" s="21" t="s">
        <v>233</v>
      </c>
      <c r="G233" t="s">
        <v>254</v>
      </c>
      <c r="H233" s="21" t="s">
        <v>756</v>
      </c>
      <c r="I233" s="21" t="s">
        <v>905</v>
      </c>
      <c r="J233" s="21">
        <f t="shared" si="22"/>
        <v>164</v>
      </c>
      <c r="K233" s="21"/>
      <c r="L233" s="15">
        <f t="shared" si="19"/>
        <v>62.838356164383562</v>
      </c>
      <c r="M233" s="15"/>
      <c r="N233" s="15"/>
      <c r="O233" s="15"/>
      <c r="P233" s="15"/>
      <c r="Q233" s="15" t="s">
        <v>961</v>
      </c>
      <c r="R233" s="15"/>
      <c r="S233" s="16">
        <v>0</v>
      </c>
      <c r="T233" s="16">
        <v>1</v>
      </c>
      <c r="U233" s="16">
        <v>0</v>
      </c>
      <c r="V233" s="16">
        <v>0</v>
      </c>
      <c r="W233" s="5">
        <v>44021</v>
      </c>
      <c r="X233" s="5">
        <v>66957</v>
      </c>
      <c r="Z233" s="5">
        <v>65350</v>
      </c>
      <c r="AA233" s="2" t="s">
        <v>2</v>
      </c>
      <c r="AB233" s="2">
        <v>2</v>
      </c>
      <c r="AC233" s="2">
        <v>1</v>
      </c>
      <c r="AD233" s="2">
        <v>1</v>
      </c>
      <c r="AE233" t="s">
        <v>242</v>
      </c>
      <c r="AF233" t="s">
        <v>245</v>
      </c>
    </row>
    <row r="234" spans="1:32" ht="18" x14ac:dyDescent="0.35">
      <c r="A234" s="6"/>
      <c r="C234" s="13" t="s">
        <v>574</v>
      </c>
      <c r="D234" s="13" t="str">
        <f t="shared" si="20"/>
        <v xml:space="preserve">rËf </v>
      </c>
      <c r="E234" s="13" t="str">
        <f t="shared" si="21"/>
        <v>&gt;]i7</v>
      </c>
      <c r="F234" s="21" t="s">
        <v>234</v>
      </c>
      <c r="H234" s="21" t="s">
        <v>756</v>
      </c>
      <c r="I234" s="21" t="s">
        <v>906</v>
      </c>
      <c r="J234" s="21">
        <f t="shared" si="22"/>
        <v>53</v>
      </c>
      <c r="K234" s="21"/>
      <c r="L234" s="15">
        <f t="shared" si="19"/>
        <v>56.238356164383561</v>
      </c>
      <c r="M234" s="15"/>
      <c r="N234" s="15"/>
      <c r="O234" s="15"/>
      <c r="P234" s="15"/>
      <c r="Q234" s="15"/>
      <c r="R234" s="15"/>
      <c r="S234" s="16"/>
      <c r="T234" s="16"/>
      <c r="U234" s="16"/>
      <c r="V234" s="16"/>
      <c r="W234" s="5">
        <v>46430</v>
      </c>
      <c r="X234" s="5">
        <v>66957</v>
      </c>
      <c r="Z234" s="5"/>
    </row>
    <row r="235" spans="1:32" ht="18" x14ac:dyDescent="0.35">
      <c r="A235" s="6">
        <v>72</v>
      </c>
      <c r="B235" t="s">
        <v>137</v>
      </c>
      <c r="C235" s="13" t="s">
        <v>575</v>
      </c>
      <c r="D235" s="13" t="str">
        <f t="shared" si="20"/>
        <v xml:space="preserve">lxt]]Gb| </v>
      </c>
      <c r="E235" s="13" t="str">
        <f t="shared" si="21"/>
        <v>If]qL</v>
      </c>
      <c r="F235" s="21" t="s">
        <v>233</v>
      </c>
      <c r="G235" t="s">
        <v>270</v>
      </c>
      <c r="H235" s="21" t="s">
        <v>756</v>
      </c>
      <c r="I235" s="21" t="s">
        <v>905</v>
      </c>
      <c r="J235" s="21">
        <f t="shared" si="22"/>
        <v>164</v>
      </c>
      <c r="K235" s="21"/>
      <c r="L235" s="15">
        <f t="shared" si="19"/>
        <v>46.775342465753425</v>
      </c>
      <c r="M235" s="15"/>
      <c r="N235" s="15"/>
      <c r="O235" s="15"/>
      <c r="P235" s="15"/>
      <c r="Q235" s="15" t="s">
        <v>965</v>
      </c>
      <c r="R235" s="15"/>
      <c r="S235" s="16">
        <v>0</v>
      </c>
      <c r="T235" s="16">
        <v>3</v>
      </c>
      <c r="U235" s="16">
        <v>0</v>
      </c>
      <c r="V235" s="16">
        <v>0</v>
      </c>
      <c r="W235" s="5">
        <v>49884</v>
      </c>
      <c r="X235" s="5">
        <v>66957</v>
      </c>
      <c r="Z235" s="5">
        <v>65328</v>
      </c>
      <c r="AA235" s="2" t="s">
        <v>2</v>
      </c>
      <c r="AB235" s="2">
        <v>4</v>
      </c>
      <c r="AC235" s="2">
        <v>3</v>
      </c>
      <c r="AD235" s="2">
        <v>1</v>
      </c>
      <c r="AE235" t="s">
        <v>242</v>
      </c>
      <c r="AF235" t="s">
        <v>245</v>
      </c>
    </row>
    <row r="236" spans="1:32" ht="18" x14ac:dyDescent="0.35">
      <c r="A236" s="6"/>
      <c r="C236" s="13" t="s">
        <v>576</v>
      </c>
      <c r="D236" s="13" t="str">
        <f t="shared" si="20"/>
        <v xml:space="preserve">cGh' </v>
      </c>
      <c r="E236" s="13" t="str">
        <f t="shared" si="21"/>
        <v>;'a]bL</v>
      </c>
      <c r="F236" s="21" t="s">
        <v>234</v>
      </c>
      <c r="H236" s="21" t="s">
        <v>756</v>
      </c>
      <c r="I236" s="21" t="s">
        <v>905</v>
      </c>
      <c r="J236" s="21">
        <f t="shared" si="22"/>
        <v>107</v>
      </c>
      <c r="K236" s="21"/>
      <c r="L236" s="15">
        <f t="shared" si="19"/>
        <v>42.980821917808221</v>
      </c>
      <c r="M236" s="15"/>
      <c r="N236" s="15"/>
      <c r="O236" s="15"/>
      <c r="P236" s="15"/>
      <c r="Q236" s="15"/>
      <c r="R236" s="15"/>
      <c r="S236" s="16"/>
      <c r="T236" s="16"/>
      <c r="U236" s="16"/>
      <c r="V236" s="16"/>
      <c r="W236" s="5">
        <v>51269</v>
      </c>
      <c r="X236" s="5">
        <v>66957</v>
      </c>
      <c r="Z236" s="5"/>
    </row>
    <row r="237" spans="1:32" ht="18" x14ac:dyDescent="0.35">
      <c r="A237" s="6"/>
      <c r="C237" s="13" t="s">
        <v>577</v>
      </c>
      <c r="D237" s="13" t="str">
        <f t="shared" si="20"/>
        <v xml:space="preserve">xlif{t </v>
      </c>
      <c r="E237" s="13" t="str">
        <f t="shared" si="21"/>
        <v>If]qL</v>
      </c>
      <c r="F237" s="21" t="s">
        <v>233</v>
      </c>
      <c r="H237" s="21" t="s">
        <v>757</v>
      </c>
      <c r="I237" s="21" t="s">
        <v>905</v>
      </c>
      <c r="J237" s="21">
        <f t="shared" si="22"/>
        <v>164</v>
      </c>
      <c r="K237" s="21"/>
      <c r="L237" s="15">
        <f t="shared" si="19"/>
        <v>14.263013698630138</v>
      </c>
      <c r="M237" s="15"/>
      <c r="N237" s="15"/>
      <c r="O237" s="15"/>
      <c r="P237" s="15"/>
      <c r="Q237" s="15"/>
      <c r="R237" s="15"/>
      <c r="S237" s="16"/>
      <c r="T237" s="16"/>
      <c r="U237" s="16"/>
      <c r="V237" s="16"/>
      <c r="W237" s="5">
        <v>61751</v>
      </c>
      <c r="X237" s="5">
        <v>66957</v>
      </c>
      <c r="Z237" s="5"/>
    </row>
    <row r="238" spans="1:32" ht="18" x14ac:dyDescent="0.35">
      <c r="A238" s="6"/>
      <c r="C238" s="13" t="s">
        <v>578</v>
      </c>
      <c r="D238" s="13" t="str">
        <f t="shared" si="20"/>
        <v xml:space="preserve">cfudg </v>
      </c>
      <c r="E238" s="13" t="str">
        <f t="shared" si="21"/>
        <v>If]qL</v>
      </c>
      <c r="F238" s="21" t="s">
        <v>233</v>
      </c>
      <c r="H238" s="21" t="s">
        <v>757</v>
      </c>
      <c r="I238" s="21" t="s">
        <v>905</v>
      </c>
      <c r="J238" s="21">
        <f t="shared" si="22"/>
        <v>164</v>
      </c>
      <c r="K238" s="21"/>
      <c r="L238" s="15">
        <f t="shared" si="19"/>
        <v>8.3534246575342461</v>
      </c>
      <c r="M238" s="15"/>
      <c r="N238" s="15"/>
      <c r="O238" s="15"/>
      <c r="P238" s="15"/>
      <c r="Q238" s="15"/>
      <c r="R238" s="15"/>
      <c r="S238" s="16"/>
      <c r="T238" s="16"/>
      <c r="U238" s="16"/>
      <c r="V238" s="16"/>
      <c r="W238" s="5">
        <v>63908</v>
      </c>
      <c r="X238" s="5">
        <v>66957</v>
      </c>
      <c r="Z238" s="5"/>
    </row>
    <row r="239" spans="1:32" ht="18" x14ac:dyDescent="0.35">
      <c r="A239" s="6">
        <v>73</v>
      </c>
      <c r="B239" t="s">
        <v>138</v>
      </c>
      <c r="C239" s="13" t="s">
        <v>579</v>
      </c>
      <c r="D239" s="13" t="str">
        <f t="shared" si="20"/>
        <v xml:space="preserve">lbAof </v>
      </c>
      <c r="E239" s="13" t="str">
        <f t="shared" si="21"/>
        <v>uf}td</v>
      </c>
      <c r="F239" s="21" t="s">
        <v>234</v>
      </c>
      <c r="G239" t="s">
        <v>263</v>
      </c>
      <c r="H239" s="21" t="s">
        <v>756</v>
      </c>
      <c r="I239" s="21" t="s">
        <v>905</v>
      </c>
      <c r="J239" s="21">
        <f t="shared" si="22"/>
        <v>107</v>
      </c>
      <c r="K239" s="21"/>
      <c r="L239" s="15">
        <f t="shared" si="19"/>
        <v>34.452054794520549</v>
      </c>
      <c r="M239" s="15"/>
      <c r="N239" s="15"/>
      <c r="O239" s="15"/>
      <c r="P239" s="15"/>
      <c r="Q239" s="15" t="s">
        <v>961</v>
      </c>
      <c r="R239" s="15"/>
      <c r="S239" s="16">
        <v>0</v>
      </c>
      <c r="T239" s="16">
        <v>5</v>
      </c>
      <c r="U239" s="16">
        <v>2</v>
      </c>
      <c r="V239" s="16">
        <v>0</v>
      </c>
      <c r="W239" s="5">
        <v>54382</v>
      </c>
      <c r="X239" s="5">
        <v>66957</v>
      </c>
      <c r="Z239" s="5">
        <v>65306</v>
      </c>
      <c r="AA239" s="2" t="s">
        <v>2</v>
      </c>
      <c r="AB239" s="2">
        <v>4</v>
      </c>
      <c r="AC239" s="2">
        <v>2</v>
      </c>
      <c r="AD239" s="2">
        <v>2</v>
      </c>
      <c r="AE239" t="s">
        <v>242</v>
      </c>
      <c r="AF239" t="s">
        <v>245</v>
      </c>
    </row>
    <row r="240" spans="1:32" ht="18" x14ac:dyDescent="0.35">
      <c r="A240" s="6"/>
      <c r="C240" s="13" t="s">
        <v>580</v>
      </c>
      <c r="D240" s="13" t="str">
        <f t="shared" si="20"/>
        <v xml:space="preserve">k|sfz </v>
      </c>
      <c r="E240" s="13" t="str">
        <f t="shared" si="21"/>
        <v>uf}td</v>
      </c>
      <c r="F240" s="21" t="s">
        <v>233</v>
      </c>
      <c r="H240" s="21" t="s">
        <v>756</v>
      </c>
      <c r="I240" s="21" t="s">
        <v>905</v>
      </c>
      <c r="J240" s="21">
        <f t="shared" si="22"/>
        <v>164</v>
      </c>
      <c r="K240" s="21"/>
      <c r="L240" s="15">
        <f t="shared" si="19"/>
        <v>43.413698630136984</v>
      </c>
      <c r="M240" s="15"/>
      <c r="N240" s="15"/>
      <c r="O240" s="15"/>
      <c r="P240" s="15"/>
      <c r="Q240" s="15"/>
      <c r="R240" s="15"/>
      <c r="S240" s="16"/>
      <c r="T240" s="16"/>
      <c r="U240" s="16"/>
      <c r="V240" s="16"/>
      <c r="W240" s="5">
        <v>51111</v>
      </c>
      <c r="X240" s="5">
        <v>66957</v>
      </c>
      <c r="Z240" s="5"/>
    </row>
    <row r="241" spans="1:32" ht="18" x14ac:dyDescent="0.35">
      <c r="A241" s="6"/>
      <c r="C241" s="13" t="s">
        <v>581</v>
      </c>
      <c r="D241" s="13" t="str">
        <f t="shared" si="20"/>
        <v xml:space="preserve">k|Ghn </v>
      </c>
      <c r="E241" s="13" t="str">
        <f t="shared" si="21"/>
        <v>uf}td</v>
      </c>
      <c r="F241" s="21" t="s">
        <v>233</v>
      </c>
      <c r="H241" s="21" t="s">
        <v>757</v>
      </c>
      <c r="I241" s="21" t="s">
        <v>905</v>
      </c>
      <c r="J241" s="21">
        <f t="shared" si="22"/>
        <v>164</v>
      </c>
      <c r="K241" s="21"/>
      <c r="L241" s="15">
        <f t="shared" si="19"/>
        <v>16.846575342465755</v>
      </c>
      <c r="M241" s="15"/>
      <c r="N241" s="15"/>
      <c r="O241" s="15"/>
      <c r="P241" s="15"/>
      <c r="Q241" s="15"/>
      <c r="R241" s="15"/>
      <c r="S241" s="16"/>
      <c r="T241" s="16"/>
      <c r="U241" s="16"/>
      <c r="V241" s="16"/>
      <c r="W241" s="5">
        <v>60808</v>
      </c>
      <c r="X241" s="5">
        <v>66957</v>
      </c>
      <c r="Z241" s="5"/>
    </row>
    <row r="242" spans="1:32" ht="18" x14ac:dyDescent="0.35">
      <c r="A242" s="6"/>
      <c r="C242" s="13" t="s">
        <v>582</v>
      </c>
      <c r="D242" s="13" t="str">
        <f t="shared" si="20"/>
        <v xml:space="preserve">k|z+;f </v>
      </c>
      <c r="E242" s="13" t="str">
        <f t="shared" si="21"/>
        <v>uf}td</v>
      </c>
      <c r="F242" s="21" t="s">
        <v>234</v>
      </c>
      <c r="H242" s="21" t="s">
        <v>757</v>
      </c>
      <c r="I242" s="21" t="s">
        <v>905</v>
      </c>
      <c r="J242" s="21">
        <f t="shared" si="22"/>
        <v>107</v>
      </c>
      <c r="K242" s="21"/>
      <c r="L242" s="15">
        <f t="shared" si="19"/>
        <v>12.191780821917808</v>
      </c>
      <c r="M242" s="15"/>
      <c r="N242" s="15"/>
      <c r="O242" s="15"/>
      <c r="P242" s="15"/>
      <c r="Q242" s="15"/>
      <c r="R242" s="15"/>
      <c r="S242" s="16"/>
      <c r="T242" s="16"/>
      <c r="U242" s="16"/>
      <c r="V242" s="16"/>
      <c r="W242" s="5">
        <v>62507</v>
      </c>
      <c r="X242" s="5">
        <v>66957</v>
      </c>
      <c r="Z242" s="5"/>
    </row>
    <row r="243" spans="1:32" ht="18" x14ac:dyDescent="0.35">
      <c r="A243" s="6">
        <v>74</v>
      </c>
      <c r="B243" t="s">
        <v>139</v>
      </c>
      <c r="C243" s="13" t="s">
        <v>583</v>
      </c>
      <c r="D243" s="13" t="str">
        <f t="shared" si="20"/>
        <v xml:space="preserve">ofbj </v>
      </c>
      <c r="E243" s="13" t="str">
        <f t="shared" si="21"/>
        <v>af;sf]6f</v>
      </c>
      <c r="F243" s="21" t="s">
        <v>233</v>
      </c>
      <c r="G243" t="s">
        <v>334</v>
      </c>
      <c r="H243" s="21" t="s">
        <v>756</v>
      </c>
      <c r="I243" s="21" t="s">
        <v>905</v>
      </c>
      <c r="J243" s="21">
        <f t="shared" si="22"/>
        <v>164</v>
      </c>
      <c r="K243" s="21"/>
      <c r="L243" s="15">
        <f t="shared" si="19"/>
        <v>63.441095890410956</v>
      </c>
      <c r="M243" s="15"/>
      <c r="N243" s="15"/>
      <c r="O243" s="15"/>
      <c r="P243" s="15"/>
      <c r="Q243" s="15" t="s">
        <v>964</v>
      </c>
      <c r="R243" s="15"/>
      <c r="S243" s="16" t="s">
        <v>748</v>
      </c>
      <c r="T243" s="16" t="s">
        <v>748</v>
      </c>
      <c r="U243" s="16" t="s">
        <v>748</v>
      </c>
      <c r="V243" s="16" t="s">
        <v>748</v>
      </c>
      <c r="W243" s="5">
        <v>43801</v>
      </c>
      <c r="X243" s="5">
        <v>66957</v>
      </c>
      <c r="Z243" s="5">
        <v>65304</v>
      </c>
      <c r="AA243" s="2" t="s">
        <v>2</v>
      </c>
      <c r="AB243" s="2">
        <v>1</v>
      </c>
      <c r="AC243" s="2">
        <v>1</v>
      </c>
      <c r="AE243" t="s">
        <v>242</v>
      </c>
      <c r="AF243" t="s">
        <v>245</v>
      </c>
    </row>
    <row r="244" spans="1:32" ht="18" x14ac:dyDescent="0.35">
      <c r="A244" s="6">
        <v>75</v>
      </c>
      <c r="B244" t="s">
        <v>140</v>
      </c>
      <c r="C244" s="13" t="s">
        <v>584</v>
      </c>
      <c r="D244" s="13" t="str">
        <f t="shared" si="20"/>
        <v xml:space="preserve">hfgsL </v>
      </c>
      <c r="E244" s="13" t="str">
        <f t="shared" si="21"/>
        <v>v8\sf</v>
      </c>
      <c r="F244" s="21" t="s">
        <v>234</v>
      </c>
      <c r="G244" t="s">
        <v>273</v>
      </c>
      <c r="H244" s="21" t="s">
        <v>757</v>
      </c>
      <c r="I244" s="21" t="s">
        <v>905</v>
      </c>
      <c r="J244" s="21">
        <f t="shared" si="22"/>
        <v>107</v>
      </c>
      <c r="K244" s="21"/>
      <c r="L244" s="15">
        <f t="shared" si="19"/>
        <v>36.860273972602741</v>
      </c>
      <c r="M244" s="15"/>
      <c r="N244" s="15"/>
      <c r="O244" s="15"/>
      <c r="P244" s="15"/>
      <c r="Q244" s="15" t="s">
        <v>963</v>
      </c>
      <c r="R244" s="15"/>
      <c r="S244" s="16">
        <v>0</v>
      </c>
      <c r="T244" s="16">
        <v>3</v>
      </c>
      <c r="U244" s="16">
        <v>2</v>
      </c>
      <c r="V244" s="16">
        <v>0</v>
      </c>
      <c r="W244" s="5">
        <v>53503</v>
      </c>
      <c r="X244" s="5">
        <v>66957</v>
      </c>
      <c r="Z244" s="5">
        <v>65302</v>
      </c>
      <c r="AA244" s="2" t="s">
        <v>2</v>
      </c>
      <c r="AB244" s="2">
        <v>3</v>
      </c>
      <c r="AC244" s="2">
        <v>2</v>
      </c>
      <c r="AD244" s="2">
        <v>1</v>
      </c>
      <c r="AE244" t="s">
        <v>241</v>
      </c>
      <c r="AF244" t="s">
        <v>245</v>
      </c>
    </row>
    <row r="245" spans="1:32" ht="18" x14ac:dyDescent="0.35">
      <c r="A245" s="6"/>
      <c r="C245" s="13" t="s">
        <v>585</v>
      </c>
      <c r="D245" s="13" t="str">
        <f t="shared" si="20"/>
        <v xml:space="preserve">lr/fu </v>
      </c>
      <c r="E245" s="13" t="str">
        <f t="shared" si="21"/>
        <v>v8\sf</v>
      </c>
      <c r="F245" s="21" t="s">
        <v>233</v>
      </c>
      <c r="H245" s="21" t="s">
        <v>757</v>
      </c>
      <c r="I245" s="21" t="s">
        <v>905</v>
      </c>
      <c r="J245" s="21">
        <f t="shared" si="22"/>
        <v>164</v>
      </c>
      <c r="K245" s="21"/>
      <c r="L245" s="15">
        <f t="shared" si="19"/>
        <v>27.12876712328767</v>
      </c>
      <c r="M245" s="15"/>
      <c r="N245" s="15"/>
      <c r="O245" s="15"/>
      <c r="P245" s="15"/>
      <c r="Q245" s="15"/>
      <c r="R245" s="15"/>
      <c r="S245" s="16"/>
      <c r="T245" s="16"/>
      <c r="U245" s="16"/>
      <c r="V245" s="16"/>
      <c r="W245" s="5">
        <v>57055</v>
      </c>
      <c r="X245" s="5">
        <v>66957</v>
      </c>
      <c r="Z245" s="5"/>
    </row>
    <row r="246" spans="1:32" ht="18" x14ac:dyDescent="0.35">
      <c r="A246" s="6"/>
      <c r="C246" s="13" t="s">
        <v>586</v>
      </c>
      <c r="D246" s="13" t="str">
        <f t="shared" si="20"/>
        <v xml:space="preserve">sljtf </v>
      </c>
      <c r="E246" s="13" t="str">
        <f t="shared" si="21"/>
        <v>v8\sf</v>
      </c>
      <c r="F246" s="21" t="s">
        <v>234</v>
      </c>
      <c r="H246" s="21" t="s">
        <v>757</v>
      </c>
      <c r="I246" s="21" t="s">
        <v>905</v>
      </c>
      <c r="J246" s="21">
        <f t="shared" si="22"/>
        <v>107</v>
      </c>
      <c r="K246" s="21"/>
      <c r="L246" s="15">
        <f t="shared" si="19"/>
        <v>34.178082191780824</v>
      </c>
      <c r="M246" s="15"/>
      <c r="N246" s="15"/>
      <c r="O246" s="15"/>
      <c r="P246" s="15"/>
      <c r="Q246" s="15"/>
      <c r="R246" s="15"/>
      <c r="S246" s="16"/>
      <c r="T246" s="16"/>
      <c r="U246" s="16"/>
      <c r="V246" s="16"/>
      <c r="W246" s="5">
        <v>54482</v>
      </c>
      <c r="X246" s="5">
        <v>66957</v>
      </c>
      <c r="Z246" s="5"/>
    </row>
    <row r="247" spans="1:32" ht="18" x14ac:dyDescent="0.35">
      <c r="A247" s="6">
        <v>76</v>
      </c>
      <c r="B247" t="s">
        <v>141</v>
      </c>
      <c r="C247" s="13" t="s">
        <v>587</v>
      </c>
      <c r="D247" s="13" t="str">
        <f t="shared" si="20"/>
        <v xml:space="preserve">lzj </v>
      </c>
      <c r="E247" s="13" t="str">
        <f t="shared" si="21"/>
        <v>r'8fn</v>
      </c>
      <c r="F247" s="21" t="s">
        <v>233</v>
      </c>
      <c r="G247" t="s">
        <v>316</v>
      </c>
      <c r="H247" s="21" t="s">
        <v>756</v>
      </c>
      <c r="I247" s="21" t="s">
        <v>905</v>
      </c>
      <c r="J247" s="21">
        <f t="shared" si="22"/>
        <v>164</v>
      </c>
      <c r="K247" s="21"/>
      <c r="L247" s="15">
        <f t="shared" si="19"/>
        <v>54.484931506849314</v>
      </c>
      <c r="M247" s="15"/>
      <c r="N247" s="15"/>
      <c r="O247" s="15"/>
      <c r="P247" s="15"/>
      <c r="Q247" s="15" t="s">
        <v>963</v>
      </c>
      <c r="R247" s="15"/>
      <c r="S247" s="16">
        <v>0</v>
      </c>
      <c r="T247" s="16">
        <v>4</v>
      </c>
      <c r="U247" s="16">
        <v>0</v>
      </c>
      <c r="V247" s="16">
        <v>0</v>
      </c>
      <c r="W247" s="5">
        <v>47070</v>
      </c>
      <c r="X247" s="5">
        <v>66957</v>
      </c>
      <c r="Z247" s="5">
        <v>65291</v>
      </c>
      <c r="AA247" s="2" t="s">
        <v>2</v>
      </c>
      <c r="AB247" s="2">
        <v>4</v>
      </c>
      <c r="AC247" s="2">
        <v>1</v>
      </c>
      <c r="AD247" s="2">
        <v>3</v>
      </c>
      <c r="AE247" t="s">
        <v>242</v>
      </c>
      <c r="AF247" t="s">
        <v>245</v>
      </c>
    </row>
    <row r="248" spans="1:32" ht="18" x14ac:dyDescent="0.35">
      <c r="A248" s="6"/>
      <c r="C248" s="13" t="s">
        <v>588</v>
      </c>
      <c r="D248" s="13" t="str">
        <f t="shared" si="20"/>
        <v xml:space="preserve">;+uLtf </v>
      </c>
      <c r="E248" s="13" t="str">
        <f t="shared" si="21"/>
        <v>r'8fn</v>
      </c>
      <c r="F248" s="21" t="s">
        <v>234</v>
      </c>
      <c r="H248" s="21" t="s">
        <v>756</v>
      </c>
      <c r="I248" s="21" t="s">
        <v>906</v>
      </c>
      <c r="J248" s="21">
        <f t="shared" si="22"/>
        <v>53</v>
      </c>
      <c r="K248" s="21"/>
      <c r="L248" s="15">
        <f t="shared" si="19"/>
        <v>42.339726027397262</v>
      </c>
      <c r="M248" s="15"/>
      <c r="N248" s="15"/>
      <c r="O248" s="15"/>
      <c r="P248" s="15"/>
      <c r="Q248" s="15"/>
      <c r="R248" s="15"/>
      <c r="S248" s="16"/>
      <c r="T248" s="16"/>
      <c r="U248" s="16"/>
      <c r="V248" s="16"/>
      <c r="W248" s="5">
        <v>51503</v>
      </c>
      <c r="X248" s="5">
        <v>66957</v>
      </c>
      <c r="Z248" s="5"/>
    </row>
    <row r="249" spans="1:32" ht="18" x14ac:dyDescent="0.35">
      <c r="A249" s="6"/>
      <c r="C249" s="13" t="s">
        <v>589</v>
      </c>
      <c r="D249" s="13" t="str">
        <f t="shared" si="20"/>
        <v xml:space="preserve">cl:dtf </v>
      </c>
      <c r="E249" s="13" t="str">
        <f t="shared" si="21"/>
        <v>r'8fn</v>
      </c>
      <c r="F249" s="21" t="s">
        <v>234</v>
      </c>
      <c r="H249" s="21" t="s">
        <v>757</v>
      </c>
      <c r="I249" s="21" t="s">
        <v>905</v>
      </c>
      <c r="J249" s="21">
        <f t="shared" si="22"/>
        <v>107</v>
      </c>
      <c r="K249" s="21"/>
      <c r="L249" s="15">
        <f t="shared" si="19"/>
        <v>29.972602739726028</v>
      </c>
      <c r="M249" s="15"/>
      <c r="N249" s="15"/>
      <c r="O249" s="15"/>
      <c r="P249" s="15"/>
      <c r="Q249" s="15"/>
      <c r="R249" s="15"/>
      <c r="S249" s="16"/>
      <c r="T249" s="16"/>
      <c r="U249" s="16"/>
      <c r="V249" s="16"/>
      <c r="W249" s="5">
        <v>56017</v>
      </c>
      <c r="X249" s="5">
        <v>66957</v>
      </c>
      <c r="Z249" s="5"/>
    </row>
    <row r="250" spans="1:32" ht="18" x14ac:dyDescent="0.35">
      <c r="A250" s="6"/>
      <c r="C250" s="13" t="s">
        <v>590</v>
      </c>
      <c r="D250" s="13" t="str">
        <f t="shared" si="20"/>
        <v xml:space="preserve">k|]/0ff </v>
      </c>
      <c r="E250" s="13" t="str">
        <f t="shared" si="21"/>
        <v>r'8fn</v>
      </c>
      <c r="F250" s="21" t="s">
        <v>234</v>
      </c>
      <c r="H250" s="21" t="s">
        <v>757</v>
      </c>
      <c r="I250" s="21" t="s">
        <v>905</v>
      </c>
      <c r="J250" s="21">
        <f t="shared" si="22"/>
        <v>107</v>
      </c>
      <c r="K250" s="21"/>
      <c r="L250" s="15">
        <f t="shared" si="19"/>
        <v>22.816438356164383</v>
      </c>
      <c r="M250" s="15"/>
      <c r="N250" s="15"/>
      <c r="O250" s="15"/>
      <c r="P250" s="15"/>
      <c r="Q250" s="15"/>
      <c r="R250" s="15"/>
      <c r="S250" s="16"/>
      <c r="T250" s="16"/>
      <c r="U250" s="16"/>
      <c r="V250" s="16"/>
      <c r="W250" s="5">
        <v>58629</v>
      </c>
      <c r="X250" s="5">
        <v>66957</v>
      </c>
      <c r="Z250" s="5"/>
    </row>
    <row r="251" spans="1:32" ht="18" x14ac:dyDescent="0.35">
      <c r="A251" s="6">
        <v>77</v>
      </c>
      <c r="B251" t="s">
        <v>142</v>
      </c>
      <c r="C251" s="13" t="s">
        <v>591</v>
      </c>
      <c r="D251" s="13" t="str">
        <f t="shared" si="20"/>
        <v xml:space="preserve">lg? </v>
      </c>
      <c r="E251" s="13" t="str">
        <f t="shared" si="21"/>
        <v>ljZjsdf{</v>
      </c>
      <c r="F251" s="21" t="s">
        <v>234</v>
      </c>
      <c r="G251" t="s">
        <v>299</v>
      </c>
      <c r="H251" s="21" t="s">
        <v>756</v>
      </c>
      <c r="I251" s="21" t="s">
        <v>906</v>
      </c>
      <c r="J251" s="21">
        <f t="shared" si="22"/>
        <v>53</v>
      </c>
      <c r="K251" s="21"/>
      <c r="L251" s="15">
        <f t="shared" si="19"/>
        <v>44.482191780821921</v>
      </c>
      <c r="M251" s="15"/>
      <c r="N251" s="15"/>
      <c r="O251" s="15"/>
      <c r="P251" s="15"/>
      <c r="Q251" s="15" t="s">
        <v>964</v>
      </c>
      <c r="R251" s="15"/>
      <c r="S251" s="16" t="s">
        <v>748</v>
      </c>
      <c r="T251" s="16" t="s">
        <v>748</v>
      </c>
      <c r="U251" s="16" t="s">
        <v>748</v>
      </c>
      <c r="V251" s="16" t="s">
        <v>748</v>
      </c>
      <c r="W251" s="5">
        <v>50721</v>
      </c>
      <c r="X251" s="5">
        <v>66957</v>
      </c>
      <c r="Z251" s="5">
        <v>65290</v>
      </c>
      <c r="AA251" s="2" t="s">
        <v>2</v>
      </c>
      <c r="AB251" s="2">
        <v>3</v>
      </c>
      <c r="AC251" s="2">
        <v>2</v>
      </c>
      <c r="AD251" s="2">
        <v>1</v>
      </c>
      <c r="AE251" t="s">
        <v>242</v>
      </c>
      <c r="AF251" t="s">
        <v>245</v>
      </c>
    </row>
    <row r="252" spans="1:32" ht="18" x14ac:dyDescent="0.35">
      <c r="A252" s="6"/>
      <c r="C252" s="13" t="s">
        <v>482</v>
      </c>
      <c r="D252" s="13" t="str">
        <f t="shared" si="20"/>
        <v xml:space="preserve">6]s </v>
      </c>
      <c r="E252" s="13" t="str">
        <f t="shared" si="21"/>
        <v>ljZjsdf{</v>
      </c>
      <c r="F252" s="21" t="s">
        <v>233</v>
      </c>
      <c r="H252" s="21" t="s">
        <v>756</v>
      </c>
      <c r="I252" s="21" t="s">
        <v>905</v>
      </c>
      <c r="J252" s="21">
        <f t="shared" si="22"/>
        <v>164</v>
      </c>
      <c r="K252" s="21"/>
      <c r="L252" s="15">
        <f t="shared" si="19"/>
        <v>45.56712328767123</v>
      </c>
      <c r="M252" s="15"/>
      <c r="N252" s="15"/>
      <c r="O252" s="15"/>
      <c r="P252" s="15"/>
      <c r="Q252" s="15"/>
      <c r="R252" s="15"/>
      <c r="S252" s="16"/>
      <c r="T252" s="16"/>
      <c r="U252" s="16"/>
      <c r="V252" s="16"/>
      <c r="W252" s="5">
        <v>50325</v>
      </c>
      <c r="X252" s="5">
        <v>66957</v>
      </c>
      <c r="Z252" s="5"/>
    </row>
    <row r="253" spans="1:32" ht="18" x14ac:dyDescent="0.35">
      <c r="A253" s="6"/>
      <c r="C253" s="13" t="s">
        <v>592</v>
      </c>
      <c r="D253" s="13" t="str">
        <f t="shared" si="20"/>
        <v xml:space="preserve">lg;fg </v>
      </c>
      <c r="E253" s="13" t="str">
        <f t="shared" si="21"/>
        <v>uxt/fh</v>
      </c>
      <c r="F253" s="21" t="s">
        <v>233</v>
      </c>
      <c r="H253" s="21" t="s">
        <v>757</v>
      </c>
      <c r="I253" s="21" t="s">
        <v>905</v>
      </c>
      <c r="J253" s="21">
        <f t="shared" si="22"/>
        <v>164</v>
      </c>
      <c r="K253" s="21"/>
      <c r="L253" s="15">
        <f t="shared" si="19"/>
        <v>21.717808219178082</v>
      </c>
      <c r="M253" s="15"/>
      <c r="N253" s="15"/>
      <c r="O253" s="15"/>
      <c r="P253" s="15"/>
      <c r="Q253" s="15"/>
      <c r="R253" s="15"/>
      <c r="S253" s="16"/>
      <c r="T253" s="16"/>
      <c r="U253" s="16"/>
      <c r="V253" s="16"/>
      <c r="W253" s="5">
        <v>59030</v>
      </c>
      <c r="X253" s="5">
        <v>66957</v>
      </c>
      <c r="Z253" s="5"/>
    </row>
    <row r="254" spans="1:32" ht="18" x14ac:dyDescent="0.35">
      <c r="A254" s="6">
        <v>78</v>
      </c>
      <c r="B254" t="s">
        <v>143</v>
      </c>
      <c r="C254" s="13" t="s">
        <v>593</v>
      </c>
      <c r="D254" s="13" t="str">
        <f t="shared" si="20"/>
        <v xml:space="preserve">s'zn </v>
      </c>
      <c r="E254" s="13" t="str">
        <f t="shared" si="21"/>
        <v>wfdL</v>
      </c>
      <c r="F254" s="21" t="s">
        <v>233</v>
      </c>
      <c r="G254" t="s">
        <v>291</v>
      </c>
      <c r="H254" s="21" t="s">
        <v>756</v>
      </c>
      <c r="I254" s="21" t="s">
        <v>905</v>
      </c>
      <c r="J254" s="21">
        <f t="shared" si="22"/>
        <v>164</v>
      </c>
      <c r="K254" s="21"/>
      <c r="L254" s="15">
        <f t="shared" si="19"/>
        <v>51.326027397260276</v>
      </c>
      <c r="M254" s="15"/>
      <c r="N254" s="15"/>
      <c r="O254" s="15"/>
      <c r="P254" s="15"/>
      <c r="Q254" s="15" t="s">
        <v>963</v>
      </c>
      <c r="R254" s="15"/>
      <c r="S254" s="16">
        <v>0</v>
      </c>
      <c r="T254" s="16">
        <v>3</v>
      </c>
      <c r="U254" s="16">
        <v>0</v>
      </c>
      <c r="V254" s="16">
        <v>0</v>
      </c>
      <c r="W254" s="5">
        <v>48223</v>
      </c>
      <c r="X254" s="5">
        <v>66957</v>
      </c>
      <c r="Z254" s="5">
        <v>65287</v>
      </c>
      <c r="AA254" s="2" t="s">
        <v>2</v>
      </c>
      <c r="AB254" s="2">
        <v>3</v>
      </c>
      <c r="AC254" s="2">
        <v>2</v>
      </c>
      <c r="AD254" s="2">
        <v>1</v>
      </c>
      <c r="AE254" t="s">
        <v>242</v>
      </c>
      <c r="AF254" t="s">
        <v>245</v>
      </c>
    </row>
    <row r="255" spans="1:32" ht="18" x14ac:dyDescent="0.35">
      <c r="A255" s="6"/>
      <c r="C255" s="13" t="s">
        <v>594</v>
      </c>
      <c r="D255" s="13" t="str">
        <f t="shared" si="20"/>
        <v xml:space="preserve">&gt;LdtL </v>
      </c>
      <c r="E255" s="13" t="str">
        <f t="shared" si="21"/>
        <v>wfdL</v>
      </c>
      <c r="F255" s="21" t="s">
        <v>234</v>
      </c>
      <c r="H255" s="21" t="s">
        <v>756</v>
      </c>
      <c r="I255" s="21" t="s">
        <v>906</v>
      </c>
      <c r="J255" s="21">
        <f t="shared" si="22"/>
        <v>53</v>
      </c>
      <c r="K255" s="21"/>
      <c r="L255" s="15">
        <f t="shared" si="19"/>
        <v>45.073972602739723</v>
      </c>
      <c r="M255" s="15"/>
      <c r="N255" s="15"/>
      <c r="O255" s="15"/>
      <c r="P255" s="15"/>
      <c r="Q255" s="15"/>
      <c r="R255" s="15"/>
      <c r="S255" s="16"/>
      <c r="T255" s="16"/>
      <c r="U255" s="16"/>
      <c r="V255" s="16"/>
      <c r="W255" s="5">
        <v>50505</v>
      </c>
      <c r="X255" s="5">
        <v>66957</v>
      </c>
      <c r="Z255" s="5"/>
    </row>
    <row r="256" spans="1:32" ht="18" x14ac:dyDescent="0.35">
      <c r="A256" s="6"/>
      <c r="C256" s="13" t="s">
        <v>595</v>
      </c>
      <c r="D256" s="13" t="str">
        <f t="shared" si="20"/>
        <v xml:space="preserve">gljg </v>
      </c>
      <c r="E256" s="13" t="str">
        <f t="shared" si="21"/>
        <v>wfdL</v>
      </c>
      <c r="F256" s="21" t="s">
        <v>233</v>
      </c>
      <c r="H256" s="21" t="s">
        <v>757</v>
      </c>
      <c r="I256" s="21" t="s">
        <v>905</v>
      </c>
      <c r="J256" s="21">
        <f t="shared" si="22"/>
        <v>164</v>
      </c>
      <c r="K256" s="21"/>
      <c r="L256" s="15">
        <f t="shared" si="19"/>
        <v>24.076712328767123</v>
      </c>
      <c r="M256" s="15"/>
      <c r="N256" s="15"/>
      <c r="O256" s="15"/>
      <c r="P256" s="15"/>
      <c r="Q256" s="15"/>
      <c r="R256" s="15"/>
      <c r="S256" s="16"/>
      <c r="T256" s="16"/>
      <c r="U256" s="16"/>
      <c r="V256" s="16"/>
      <c r="W256" s="5">
        <v>58169</v>
      </c>
      <c r="X256" s="5">
        <v>66957</v>
      </c>
      <c r="Z256" s="5"/>
    </row>
    <row r="257" spans="1:32" ht="18" x14ac:dyDescent="0.35">
      <c r="A257" s="6">
        <v>81</v>
      </c>
      <c r="B257" t="s">
        <v>146</v>
      </c>
      <c r="C257" s="13" t="s">
        <v>604</v>
      </c>
      <c r="D257" s="13" t="str">
        <f t="shared" si="20"/>
        <v xml:space="preserve">hLt </v>
      </c>
      <c r="E257" s="13" t="str">
        <f t="shared" si="21"/>
        <v>a'9fyf]sL</v>
      </c>
      <c r="F257" s="21" t="s">
        <v>233</v>
      </c>
      <c r="G257" t="s">
        <v>277</v>
      </c>
      <c r="H257" s="21" t="s">
        <v>756</v>
      </c>
      <c r="I257" s="21" t="s">
        <v>905</v>
      </c>
      <c r="J257" s="21">
        <f t="shared" si="22"/>
        <v>164</v>
      </c>
      <c r="K257" s="21"/>
      <c r="L257" s="15">
        <f t="shared" si="19"/>
        <v>37.452054794520549</v>
      </c>
      <c r="M257" s="15"/>
      <c r="N257" s="15"/>
      <c r="O257" s="15"/>
      <c r="P257" s="15"/>
      <c r="Q257" s="15" t="s">
        <v>962</v>
      </c>
      <c r="R257" s="15"/>
      <c r="S257" s="16" t="s">
        <v>748</v>
      </c>
      <c r="T257" s="16" t="s">
        <v>748</v>
      </c>
      <c r="U257" s="16" t="s">
        <v>748</v>
      </c>
      <c r="V257" s="16" t="s">
        <v>748</v>
      </c>
      <c r="W257" s="5">
        <v>53287</v>
      </c>
      <c r="X257" s="5">
        <v>66957</v>
      </c>
      <c r="Z257" s="5">
        <v>65146</v>
      </c>
      <c r="AA257" s="2" t="s">
        <v>2</v>
      </c>
      <c r="AB257" s="2">
        <v>4</v>
      </c>
      <c r="AC257" s="2">
        <v>2</v>
      </c>
      <c r="AD257" s="2">
        <v>2</v>
      </c>
      <c r="AE257" t="s">
        <v>242</v>
      </c>
      <c r="AF257" t="s">
        <v>245</v>
      </c>
    </row>
    <row r="258" spans="1:32" ht="18" x14ac:dyDescent="0.35">
      <c r="A258" s="6"/>
      <c r="C258" s="13" t="s">
        <v>605</v>
      </c>
      <c r="D258" s="13" t="str">
        <f t="shared" si="20"/>
        <v xml:space="preserve">l/tf </v>
      </c>
      <c r="E258" s="13" t="str">
        <f t="shared" si="21"/>
        <v>s]=;L</v>
      </c>
      <c r="F258" s="21" t="s">
        <v>234</v>
      </c>
      <c r="H258" s="21" t="s">
        <v>756</v>
      </c>
      <c r="I258" s="21" t="s">
        <v>905</v>
      </c>
      <c r="J258" s="21">
        <f t="shared" si="22"/>
        <v>107</v>
      </c>
      <c r="K258" s="21"/>
      <c r="L258" s="15">
        <f t="shared" si="19"/>
        <v>35.504109589041093</v>
      </c>
      <c r="M258" s="15"/>
      <c r="N258" s="15"/>
      <c r="O258" s="15"/>
      <c r="P258" s="15"/>
      <c r="Q258" s="15"/>
      <c r="R258" s="15"/>
      <c r="S258" s="16"/>
      <c r="T258" s="16"/>
      <c r="U258" s="16"/>
      <c r="V258" s="16"/>
      <c r="W258" s="5">
        <v>53998</v>
      </c>
      <c r="X258" s="5">
        <v>66957</v>
      </c>
      <c r="Z258" s="5"/>
    </row>
    <row r="259" spans="1:32" ht="18" x14ac:dyDescent="0.35">
      <c r="A259" s="6"/>
      <c r="C259" s="13" t="s">
        <v>606</v>
      </c>
      <c r="D259" s="13" t="str">
        <f t="shared" si="20"/>
        <v xml:space="preserve">s[idf </v>
      </c>
      <c r="E259" s="13" t="str">
        <f t="shared" si="21"/>
        <v>a'9fyf]sL</v>
      </c>
      <c r="F259" s="21" t="s">
        <v>234</v>
      </c>
      <c r="H259" s="21" t="s">
        <v>757</v>
      </c>
      <c r="I259" s="21" t="s">
        <v>905</v>
      </c>
      <c r="J259" s="21">
        <f t="shared" si="22"/>
        <v>107</v>
      </c>
      <c r="K259" s="21"/>
      <c r="L259" s="15">
        <f t="shared" si="19"/>
        <v>11.764383561643836</v>
      </c>
      <c r="M259" s="15"/>
      <c r="N259" s="15"/>
      <c r="O259" s="15"/>
      <c r="P259" s="15"/>
      <c r="Q259" s="15"/>
      <c r="R259" s="15"/>
      <c r="S259" s="16"/>
      <c r="T259" s="16"/>
      <c r="U259" s="16"/>
      <c r="V259" s="16"/>
      <c r="W259" s="5">
        <v>62663</v>
      </c>
      <c r="X259" s="5">
        <v>66957</v>
      </c>
      <c r="Z259" s="5"/>
    </row>
    <row r="260" spans="1:32" ht="18" x14ac:dyDescent="0.35">
      <c r="A260" s="6"/>
      <c r="C260" s="13" t="s">
        <v>607</v>
      </c>
      <c r="D260" s="13" t="str">
        <f t="shared" si="20"/>
        <v xml:space="preserve">k|lht </v>
      </c>
      <c r="E260" s="13" t="str">
        <f t="shared" si="21"/>
        <v>a'9fyf]sL</v>
      </c>
      <c r="F260" s="21" t="s">
        <v>233</v>
      </c>
      <c r="H260" s="21" t="s">
        <v>757</v>
      </c>
      <c r="I260" s="21" t="s">
        <v>905</v>
      </c>
      <c r="J260" s="21">
        <f t="shared" si="22"/>
        <v>164</v>
      </c>
      <c r="K260" s="21"/>
      <c r="L260" s="15">
        <f t="shared" si="19"/>
        <v>6.8739726027397259</v>
      </c>
      <c r="M260" s="15"/>
      <c r="N260" s="15"/>
      <c r="O260" s="15"/>
      <c r="P260" s="15"/>
      <c r="Q260" s="15"/>
      <c r="R260" s="15"/>
      <c r="S260" s="16"/>
      <c r="T260" s="16"/>
      <c r="U260" s="16"/>
      <c r="V260" s="16"/>
      <c r="W260" s="5">
        <v>64448</v>
      </c>
      <c r="X260" s="5">
        <v>66957</v>
      </c>
      <c r="Z260" s="5"/>
    </row>
    <row r="261" spans="1:32" ht="18" x14ac:dyDescent="0.35">
      <c r="A261" s="6">
        <v>82</v>
      </c>
      <c r="B261" t="s">
        <v>147</v>
      </c>
      <c r="C261" s="13" t="s">
        <v>608</v>
      </c>
      <c r="D261" s="13" t="str">
        <f t="shared" si="20"/>
        <v xml:space="preserve">zld{nf </v>
      </c>
      <c r="E261" s="13" t="str">
        <f t="shared" si="21"/>
        <v>uf}td</v>
      </c>
      <c r="F261" s="21" t="s">
        <v>234</v>
      </c>
      <c r="G261" t="s">
        <v>315</v>
      </c>
      <c r="H261" s="21" t="s">
        <v>756</v>
      </c>
      <c r="I261" s="21" t="s">
        <v>905</v>
      </c>
      <c r="J261" s="21">
        <f t="shared" si="22"/>
        <v>107</v>
      </c>
      <c r="K261" s="21"/>
      <c r="L261" s="15">
        <f t="shared" si="19"/>
        <v>37.791780821917811</v>
      </c>
      <c r="M261" s="15"/>
      <c r="N261" s="15"/>
      <c r="O261" s="15"/>
      <c r="P261" s="15"/>
      <c r="Q261" s="15" t="s">
        <v>961</v>
      </c>
      <c r="R261" s="15"/>
      <c r="S261" s="16" t="s">
        <v>748</v>
      </c>
      <c r="T261" s="16" t="s">
        <v>748</v>
      </c>
      <c r="U261" s="16" t="s">
        <v>748</v>
      </c>
      <c r="V261" s="16" t="s">
        <v>748</v>
      </c>
      <c r="W261" s="5">
        <v>53163</v>
      </c>
      <c r="X261" s="5">
        <v>66957</v>
      </c>
      <c r="Z261" s="5">
        <v>64977</v>
      </c>
      <c r="AA261" s="2" t="s">
        <v>2</v>
      </c>
      <c r="AB261" s="2">
        <v>2</v>
      </c>
      <c r="AC261" s="2">
        <v>1</v>
      </c>
      <c r="AD261" s="2">
        <v>1</v>
      </c>
      <c r="AE261" t="s">
        <v>240</v>
      </c>
      <c r="AF261" t="s">
        <v>245</v>
      </c>
    </row>
    <row r="262" spans="1:32" ht="18" x14ac:dyDescent="0.35">
      <c r="A262" s="6"/>
      <c r="C262" s="13" t="s">
        <v>609</v>
      </c>
      <c r="D262" s="13" t="str">
        <f t="shared" si="20"/>
        <v xml:space="preserve">ljsf;s </v>
      </c>
      <c r="E262" s="13" t="str">
        <f t="shared" si="21"/>
        <v>lu/L</v>
      </c>
      <c r="F262" s="21" t="s">
        <v>233</v>
      </c>
      <c r="H262" s="21" t="s">
        <v>757</v>
      </c>
      <c r="I262" s="21" t="s">
        <v>905</v>
      </c>
      <c r="J262" s="21">
        <f t="shared" si="22"/>
        <v>164</v>
      </c>
      <c r="K262" s="21"/>
      <c r="L262" s="15">
        <f t="shared" si="19"/>
        <v>11.602739726027398</v>
      </c>
      <c r="M262" s="15"/>
      <c r="N262" s="15"/>
      <c r="O262" s="15"/>
      <c r="P262" s="15"/>
      <c r="Q262" s="15"/>
      <c r="R262" s="15"/>
      <c r="S262" s="16"/>
      <c r="T262" s="16"/>
      <c r="U262" s="16"/>
      <c r="V262" s="16"/>
      <c r="W262" s="5">
        <v>62722</v>
      </c>
      <c r="X262" s="5">
        <v>66957</v>
      </c>
      <c r="Z262" s="5"/>
    </row>
    <row r="263" spans="1:32" ht="18" x14ac:dyDescent="0.35">
      <c r="A263" s="6">
        <v>84</v>
      </c>
      <c r="B263" t="s">
        <v>149</v>
      </c>
      <c r="C263" s="13" t="s">
        <v>614</v>
      </c>
      <c r="D263" s="13" t="str">
        <f t="shared" si="20"/>
        <v xml:space="preserve">v8\u </v>
      </c>
      <c r="E263" s="13" t="str">
        <f t="shared" si="21"/>
        <v>&gt;]i7</v>
      </c>
      <c r="F263" s="21" t="s">
        <v>233</v>
      </c>
      <c r="G263" t="s">
        <v>286</v>
      </c>
      <c r="H263" s="21" t="s">
        <v>756</v>
      </c>
      <c r="I263" s="21" t="s">
        <v>905</v>
      </c>
      <c r="J263" s="21">
        <f t="shared" si="22"/>
        <v>164</v>
      </c>
      <c r="K263" s="21"/>
      <c r="L263" s="15">
        <f t="shared" ref="L263:L326" si="23">(X263-W263)/365</f>
        <v>46.334246575342469</v>
      </c>
      <c r="M263" s="15"/>
      <c r="N263" s="15"/>
      <c r="O263" s="15"/>
      <c r="P263" s="15"/>
      <c r="Q263" s="15" t="s">
        <v>963</v>
      </c>
      <c r="R263" s="15"/>
      <c r="S263" s="16">
        <v>2</v>
      </c>
      <c r="T263" s="16">
        <v>6</v>
      </c>
      <c r="U263" s="16">
        <v>1</v>
      </c>
      <c r="V263" s="16">
        <v>1</v>
      </c>
      <c r="W263" s="5">
        <v>50045</v>
      </c>
      <c r="X263" s="5">
        <v>66957</v>
      </c>
      <c r="Z263" s="5">
        <v>64887</v>
      </c>
      <c r="AA263" s="2" t="s">
        <v>2</v>
      </c>
      <c r="AB263" s="2">
        <v>4</v>
      </c>
      <c r="AC263" s="2">
        <v>2</v>
      </c>
      <c r="AD263" s="2">
        <v>2</v>
      </c>
      <c r="AE263" t="s">
        <v>242</v>
      </c>
      <c r="AF263" t="s">
        <v>245</v>
      </c>
    </row>
    <row r="264" spans="1:32" ht="18" x14ac:dyDescent="0.35">
      <c r="A264" s="6"/>
      <c r="C264" s="13" t="s">
        <v>615</v>
      </c>
      <c r="D264" s="13" t="str">
        <f t="shared" si="20"/>
        <v xml:space="preserve">cl:dtf </v>
      </c>
      <c r="E264" s="13" t="str">
        <f t="shared" si="21"/>
        <v>&gt;]i7</v>
      </c>
      <c r="F264" s="21" t="s">
        <v>234</v>
      </c>
      <c r="H264" s="21" t="s">
        <v>756</v>
      </c>
      <c r="I264" s="21" t="s">
        <v>906</v>
      </c>
      <c r="J264" s="21">
        <f t="shared" si="22"/>
        <v>53</v>
      </c>
      <c r="K264" s="21"/>
      <c r="L264" s="15">
        <f t="shared" si="23"/>
        <v>43.893150684931506</v>
      </c>
      <c r="M264" s="15"/>
      <c r="N264" s="15"/>
      <c r="O264" s="15"/>
      <c r="P264" s="15"/>
      <c r="Q264" s="15"/>
      <c r="R264" s="15"/>
      <c r="S264" s="16"/>
      <c r="T264" s="16"/>
      <c r="U264" s="16"/>
      <c r="V264" s="16"/>
      <c r="W264" s="5">
        <v>50936</v>
      </c>
      <c r="X264" s="5">
        <v>66957</v>
      </c>
      <c r="Z264" s="5"/>
    </row>
    <row r="265" spans="1:32" ht="18" x14ac:dyDescent="0.35">
      <c r="A265" s="6"/>
      <c r="C265" s="13" t="s">
        <v>616</v>
      </c>
      <c r="D265" s="13" t="str">
        <f t="shared" si="20"/>
        <v xml:space="preserve">cldt </v>
      </c>
      <c r="E265" s="13" t="str">
        <f t="shared" si="21"/>
        <v>&gt;]i7</v>
      </c>
      <c r="F265" s="21" t="s">
        <v>233</v>
      </c>
      <c r="H265" s="21" t="s">
        <v>757</v>
      </c>
      <c r="I265" s="21" t="s">
        <v>905</v>
      </c>
      <c r="J265" s="21">
        <f t="shared" si="22"/>
        <v>164</v>
      </c>
      <c r="K265" s="21"/>
      <c r="L265" s="15">
        <f t="shared" si="23"/>
        <v>22.761643835616439</v>
      </c>
      <c r="M265" s="15"/>
      <c r="N265" s="15"/>
      <c r="O265" s="15"/>
      <c r="P265" s="15"/>
      <c r="Q265" s="15"/>
      <c r="R265" s="15"/>
      <c r="S265" s="16"/>
      <c r="T265" s="16"/>
      <c r="U265" s="16"/>
      <c r="V265" s="16"/>
      <c r="W265" s="5">
        <v>58649</v>
      </c>
      <c r="X265" s="5">
        <v>66957</v>
      </c>
      <c r="Z265" s="5"/>
    </row>
    <row r="266" spans="1:32" ht="18" x14ac:dyDescent="0.35">
      <c r="A266" s="6"/>
      <c r="C266" s="13" t="s">
        <v>617</v>
      </c>
      <c r="D266" s="13" t="str">
        <f t="shared" si="20"/>
        <v xml:space="preserve">;'l:dtf </v>
      </c>
      <c r="E266" s="13" t="str">
        <f t="shared" si="21"/>
        <v>&gt;]i7</v>
      </c>
      <c r="F266" s="21" t="s">
        <v>234</v>
      </c>
      <c r="H266" s="21" t="s">
        <v>757</v>
      </c>
      <c r="I266" s="21" t="s">
        <v>905</v>
      </c>
      <c r="J266" s="21">
        <f t="shared" si="22"/>
        <v>107</v>
      </c>
      <c r="K266" s="21"/>
      <c r="L266" s="15">
        <f t="shared" si="23"/>
        <v>20.339726027397262</v>
      </c>
      <c r="M266" s="15"/>
      <c r="N266" s="15"/>
      <c r="O266" s="15"/>
      <c r="P266" s="15"/>
      <c r="Q266" s="15"/>
      <c r="R266" s="15"/>
      <c r="S266" s="16"/>
      <c r="T266" s="16"/>
      <c r="U266" s="16"/>
      <c r="V266" s="16"/>
      <c r="W266" s="5">
        <v>59533</v>
      </c>
      <c r="X266" s="5">
        <v>66957</v>
      </c>
      <c r="Z266" s="5"/>
    </row>
    <row r="267" spans="1:32" ht="18" x14ac:dyDescent="0.35">
      <c r="A267" s="6">
        <v>86</v>
      </c>
      <c r="B267" t="s">
        <v>45</v>
      </c>
      <c r="C267" s="13" t="s">
        <v>622</v>
      </c>
      <c r="D267" s="13" t="str">
        <f t="shared" si="20"/>
        <v xml:space="preserve">clgtf </v>
      </c>
      <c r="E267" s="13" t="str">
        <f t="shared" si="21"/>
        <v>tfdfª</v>
      </c>
      <c r="F267" s="21" t="s">
        <v>234</v>
      </c>
      <c r="G267" t="s">
        <v>250</v>
      </c>
      <c r="H267" s="21" t="s">
        <v>756</v>
      </c>
      <c r="I267" s="21" t="s">
        <v>906</v>
      </c>
      <c r="J267" s="21">
        <f t="shared" si="22"/>
        <v>53</v>
      </c>
      <c r="K267" s="21"/>
      <c r="L267" s="15">
        <f t="shared" si="23"/>
        <v>52.339726027397262</v>
      </c>
      <c r="M267" s="15"/>
      <c r="N267" s="15"/>
      <c r="O267" s="15"/>
      <c r="P267" s="15"/>
      <c r="Q267" s="15" t="s">
        <v>961</v>
      </c>
      <c r="R267" s="15"/>
      <c r="S267" s="16">
        <v>0</v>
      </c>
      <c r="T267" s="16">
        <v>5</v>
      </c>
      <c r="U267" s="16">
        <v>1</v>
      </c>
      <c r="V267" s="16">
        <v>2</v>
      </c>
      <c r="W267" s="5">
        <v>47853</v>
      </c>
      <c r="X267" s="5">
        <v>66957</v>
      </c>
      <c r="Z267" s="5">
        <v>64618</v>
      </c>
      <c r="AA267" s="2" t="s">
        <v>2</v>
      </c>
      <c r="AB267" s="2">
        <v>4</v>
      </c>
      <c r="AC267" s="2">
        <v>3</v>
      </c>
      <c r="AD267" s="2">
        <v>1</v>
      </c>
      <c r="AE267" t="s">
        <v>241</v>
      </c>
      <c r="AF267" t="s">
        <v>245</v>
      </c>
    </row>
    <row r="268" spans="1:32" ht="18" x14ac:dyDescent="0.35">
      <c r="A268" s="6"/>
      <c r="C268" s="13" t="s">
        <v>623</v>
      </c>
      <c r="D268" s="13" t="str">
        <f t="shared" si="20"/>
        <v xml:space="preserve">k]Daf </v>
      </c>
      <c r="E268" s="13" t="str">
        <f t="shared" si="21"/>
        <v>tfdfª</v>
      </c>
      <c r="F268" s="21" t="s">
        <v>233</v>
      </c>
      <c r="H268" s="21" t="s">
        <v>756</v>
      </c>
      <c r="I268" s="21" t="s">
        <v>905</v>
      </c>
      <c r="J268" s="21">
        <f t="shared" si="22"/>
        <v>164</v>
      </c>
      <c r="K268" s="21"/>
      <c r="L268" s="15">
        <f t="shared" si="23"/>
        <v>59.197260273972603</v>
      </c>
      <c r="M268" s="15"/>
      <c r="N268" s="15"/>
      <c r="O268" s="15"/>
      <c r="P268" s="15"/>
      <c r="Q268" s="15"/>
      <c r="R268" s="15"/>
      <c r="S268" s="16"/>
      <c r="T268" s="16"/>
      <c r="U268" s="16"/>
      <c r="V268" s="16"/>
      <c r="W268" s="5">
        <v>45350</v>
      </c>
      <c r="X268" s="5">
        <v>66957</v>
      </c>
      <c r="Z268" s="5"/>
    </row>
    <row r="269" spans="1:32" ht="18" x14ac:dyDescent="0.35">
      <c r="A269" s="6"/>
      <c r="C269" s="13" t="s">
        <v>624</v>
      </c>
      <c r="D269" s="13" t="str">
        <f t="shared" si="20"/>
        <v xml:space="preserve">las|d </v>
      </c>
      <c r="E269" s="13" t="str">
        <f t="shared" si="21"/>
        <v>tfdfª</v>
      </c>
      <c r="F269" s="21" t="s">
        <v>233</v>
      </c>
      <c r="H269" s="21" t="s">
        <v>757</v>
      </c>
      <c r="I269" s="21" t="s">
        <v>905</v>
      </c>
      <c r="J269" s="21">
        <f t="shared" si="22"/>
        <v>164</v>
      </c>
      <c r="K269" s="21"/>
      <c r="L269" s="15">
        <f t="shared" si="23"/>
        <v>33.172602739726024</v>
      </c>
      <c r="M269" s="15"/>
      <c r="N269" s="15"/>
      <c r="O269" s="15"/>
      <c r="P269" s="15"/>
      <c r="Q269" s="15"/>
      <c r="R269" s="15"/>
      <c r="S269" s="16"/>
      <c r="T269" s="16"/>
      <c r="U269" s="16"/>
      <c r="V269" s="16"/>
      <c r="W269" s="5">
        <v>54849</v>
      </c>
      <c r="X269" s="5">
        <v>66957</v>
      </c>
      <c r="Z269" s="5"/>
    </row>
    <row r="270" spans="1:32" ht="18" x14ac:dyDescent="0.35">
      <c r="A270" s="6"/>
      <c r="C270" s="13" t="s">
        <v>625</v>
      </c>
      <c r="D270" s="13" t="str">
        <f t="shared" ref="D270:D319" si="24">LEFT(C270,(FIND(" ",C270)))</f>
        <v xml:space="preserve">;+lha </v>
      </c>
      <c r="E270" s="13" t="str">
        <f t="shared" si="21"/>
        <v>tfdfª</v>
      </c>
      <c r="F270" s="21" t="s">
        <v>233</v>
      </c>
      <c r="H270" s="21" t="s">
        <v>757</v>
      </c>
      <c r="I270" s="21" t="s">
        <v>905</v>
      </c>
      <c r="J270" s="21">
        <f t="shared" si="22"/>
        <v>164</v>
      </c>
      <c r="K270" s="21"/>
      <c r="L270" s="15">
        <f t="shared" si="23"/>
        <v>30.980821917808218</v>
      </c>
      <c r="M270" s="15"/>
      <c r="N270" s="15"/>
      <c r="O270" s="15"/>
      <c r="P270" s="15"/>
      <c r="Q270" s="15"/>
      <c r="R270" s="15"/>
      <c r="S270" s="16"/>
      <c r="T270" s="16"/>
      <c r="U270" s="16"/>
      <c r="V270" s="16"/>
      <c r="W270" s="5">
        <v>55649</v>
      </c>
      <c r="X270" s="5">
        <v>66957</v>
      </c>
      <c r="Z270" s="5"/>
    </row>
    <row r="271" spans="1:32" ht="18" x14ac:dyDescent="0.35">
      <c r="A271" s="6">
        <v>87</v>
      </c>
      <c r="B271" t="s">
        <v>151</v>
      </c>
      <c r="C271" s="13" t="s">
        <v>626</v>
      </c>
      <c r="D271" s="13" t="str">
        <f t="shared" si="24"/>
        <v xml:space="preserve">k'gd </v>
      </c>
      <c r="E271" s="13" t="str">
        <f t="shared" ref="E271:E320" si="25">TRIM(RIGHT(SUBSTITUTE(C271," ",REPT(" ",255)),255))</f>
        <v>ld&gt;</v>
      </c>
      <c r="F271" s="21" t="s">
        <v>234</v>
      </c>
      <c r="G271" t="s">
        <v>301</v>
      </c>
      <c r="H271" s="21" t="s">
        <v>756</v>
      </c>
      <c r="I271" s="21" t="s">
        <v>905</v>
      </c>
      <c r="J271" s="21">
        <f t="shared" si="22"/>
        <v>107</v>
      </c>
      <c r="K271" s="21"/>
      <c r="L271" s="15">
        <f t="shared" si="23"/>
        <v>44.709589041095889</v>
      </c>
      <c r="M271" s="15"/>
      <c r="N271" s="15"/>
      <c r="O271" s="15"/>
      <c r="P271" s="15"/>
      <c r="Q271" s="15" t="s">
        <v>961</v>
      </c>
      <c r="R271" s="15"/>
      <c r="S271" s="16" t="s">
        <v>748</v>
      </c>
      <c r="T271" s="16" t="s">
        <v>748</v>
      </c>
      <c r="U271" s="16" t="s">
        <v>748</v>
      </c>
      <c r="V271" s="16" t="s">
        <v>748</v>
      </c>
      <c r="W271" s="5">
        <v>50638</v>
      </c>
      <c r="X271" s="5">
        <v>66957</v>
      </c>
      <c r="Z271" s="5">
        <v>64618</v>
      </c>
      <c r="AA271" s="2" t="s">
        <v>2</v>
      </c>
      <c r="AB271" s="2">
        <v>1</v>
      </c>
      <c r="AD271" s="2">
        <v>1</v>
      </c>
      <c r="AE271" t="s">
        <v>242</v>
      </c>
      <c r="AF271" t="s">
        <v>245</v>
      </c>
    </row>
    <row r="272" spans="1:32" ht="18" x14ac:dyDescent="0.35">
      <c r="A272" s="6">
        <v>88</v>
      </c>
      <c r="B272" t="s">
        <v>152</v>
      </c>
      <c r="C272" s="13" t="s">
        <v>627</v>
      </c>
      <c r="D272" s="13" t="str">
        <f t="shared" si="24"/>
        <v xml:space="preserve">s]bf/ </v>
      </c>
      <c r="E272" s="13" t="str">
        <f t="shared" si="25"/>
        <v>yfkf</v>
      </c>
      <c r="F272" s="21" t="s">
        <v>233</v>
      </c>
      <c r="G272" t="s">
        <v>281</v>
      </c>
      <c r="H272" s="21" t="s">
        <v>756</v>
      </c>
      <c r="I272" s="21" t="s">
        <v>905</v>
      </c>
      <c r="J272" s="21">
        <f t="shared" si="22"/>
        <v>164</v>
      </c>
      <c r="K272" s="21"/>
      <c r="L272" s="15">
        <f t="shared" si="23"/>
        <v>58.126027397260273</v>
      </c>
      <c r="M272" s="15"/>
      <c r="N272" s="15"/>
      <c r="O272" s="15"/>
      <c r="P272" s="15"/>
      <c r="Q272" s="15" t="s">
        <v>965</v>
      </c>
      <c r="R272" s="15"/>
      <c r="S272" s="16">
        <v>0</v>
      </c>
      <c r="T272" s="16">
        <v>4</v>
      </c>
      <c r="U272" s="16">
        <v>0</v>
      </c>
      <c r="V272" s="20">
        <v>2</v>
      </c>
      <c r="W272" s="5">
        <v>45741</v>
      </c>
      <c r="X272" s="5">
        <v>66957</v>
      </c>
      <c r="Z272" s="5">
        <v>64571</v>
      </c>
      <c r="AA272" s="2" t="s">
        <v>2</v>
      </c>
      <c r="AB272" s="2">
        <v>5</v>
      </c>
      <c r="AC272" s="2">
        <v>3</v>
      </c>
      <c r="AD272" s="2">
        <v>2</v>
      </c>
      <c r="AE272" t="s">
        <v>242</v>
      </c>
      <c r="AF272" t="s">
        <v>245</v>
      </c>
    </row>
    <row r="273" spans="1:32" ht="18" x14ac:dyDescent="0.35">
      <c r="A273" s="6"/>
      <c r="C273" s="13" t="s">
        <v>628</v>
      </c>
      <c r="D273" s="13" t="str">
        <f t="shared" si="24"/>
        <v xml:space="preserve">ljzfn </v>
      </c>
      <c r="E273" s="13" t="str">
        <f t="shared" si="25"/>
        <v>yfkf</v>
      </c>
      <c r="F273" s="21" t="s">
        <v>233</v>
      </c>
      <c r="H273" s="21" t="s">
        <v>757</v>
      </c>
      <c r="I273" s="21" t="s">
        <v>905</v>
      </c>
      <c r="J273" s="21">
        <f t="shared" si="22"/>
        <v>164</v>
      </c>
      <c r="K273" s="21"/>
      <c r="L273" s="15">
        <f t="shared" si="23"/>
        <v>31.054794520547944</v>
      </c>
      <c r="M273" s="15"/>
      <c r="N273" s="15"/>
      <c r="O273" s="15"/>
      <c r="P273" s="15"/>
      <c r="Q273" s="15"/>
      <c r="R273" s="15"/>
      <c r="S273" s="16"/>
      <c r="T273" s="16"/>
      <c r="U273" s="16"/>
      <c r="V273" s="16"/>
      <c r="W273" s="5">
        <v>55622</v>
      </c>
      <c r="X273" s="5">
        <v>66957</v>
      </c>
      <c r="Z273" s="5"/>
    </row>
    <row r="274" spans="1:32" ht="18" x14ac:dyDescent="0.35">
      <c r="A274" s="6"/>
      <c r="C274" s="13" t="s">
        <v>629</v>
      </c>
      <c r="D274" s="13" t="str">
        <f t="shared" si="24"/>
        <v xml:space="preserve">jiff{ </v>
      </c>
      <c r="E274" s="13" t="str">
        <f t="shared" si="25"/>
        <v>yfkf</v>
      </c>
      <c r="F274" s="21" t="s">
        <v>234</v>
      </c>
      <c r="H274" s="21" t="s">
        <v>757</v>
      </c>
      <c r="I274" s="21" t="s">
        <v>905</v>
      </c>
      <c r="J274" s="21">
        <f t="shared" si="22"/>
        <v>107</v>
      </c>
      <c r="K274" s="21"/>
      <c r="L274" s="15">
        <f t="shared" si="23"/>
        <v>28.641095890410959</v>
      </c>
      <c r="M274" s="15"/>
      <c r="N274" s="15"/>
      <c r="O274" s="15"/>
      <c r="P274" s="15"/>
      <c r="Q274" s="15"/>
      <c r="R274" s="15"/>
      <c r="S274" s="16"/>
      <c r="T274" s="16"/>
      <c r="U274" s="16"/>
      <c r="V274" s="16"/>
      <c r="W274" s="5">
        <v>56503</v>
      </c>
      <c r="X274" s="5">
        <v>66957</v>
      </c>
      <c r="Z274" s="5"/>
    </row>
    <row r="275" spans="1:32" ht="18" x14ac:dyDescent="0.35">
      <c r="A275" s="6"/>
      <c r="C275" s="13" t="s">
        <v>630</v>
      </c>
      <c r="D275" s="13" t="str">
        <f t="shared" si="24"/>
        <v xml:space="preserve">/f]lhgf </v>
      </c>
      <c r="E275" s="13" t="str">
        <f t="shared" si="25"/>
        <v>yfkf</v>
      </c>
      <c r="F275" s="21" t="s">
        <v>234</v>
      </c>
      <c r="H275" s="21" t="s">
        <v>756</v>
      </c>
      <c r="I275" s="21" t="s">
        <v>905</v>
      </c>
      <c r="J275" s="21">
        <f t="shared" si="22"/>
        <v>107</v>
      </c>
      <c r="K275" s="21"/>
      <c r="L275" s="15">
        <f t="shared" si="23"/>
        <v>52.9972602739726</v>
      </c>
      <c r="M275" s="15"/>
      <c r="N275" s="15"/>
      <c r="O275" s="15"/>
      <c r="P275" s="15"/>
      <c r="Q275" s="15"/>
      <c r="R275" s="15"/>
      <c r="S275" s="16"/>
      <c r="T275" s="16"/>
      <c r="U275" s="16"/>
      <c r="V275" s="16"/>
      <c r="W275" s="5">
        <v>47613</v>
      </c>
      <c r="X275" s="5">
        <v>66957</v>
      </c>
      <c r="Z275" s="5"/>
    </row>
    <row r="276" spans="1:32" ht="18" x14ac:dyDescent="0.35">
      <c r="A276" s="6"/>
      <c r="C276" s="13" t="s">
        <v>631</v>
      </c>
      <c r="D276" s="13" t="str">
        <f t="shared" si="24"/>
        <v xml:space="preserve">ljjz </v>
      </c>
      <c r="E276" s="13" t="str">
        <f t="shared" si="25"/>
        <v>yfkf</v>
      </c>
      <c r="F276" s="21" t="s">
        <v>233</v>
      </c>
      <c r="H276" s="21" t="s">
        <v>757</v>
      </c>
      <c r="I276" s="21" t="s">
        <v>905</v>
      </c>
      <c r="J276" s="21">
        <f t="shared" si="22"/>
        <v>164</v>
      </c>
      <c r="K276" s="21"/>
      <c r="L276" s="15">
        <f t="shared" si="23"/>
        <v>23.641095890410959</v>
      </c>
      <c r="M276" s="15"/>
      <c r="N276" s="15"/>
      <c r="O276" s="15"/>
      <c r="P276" s="15"/>
      <c r="Q276" s="15"/>
      <c r="R276" s="15"/>
      <c r="S276" s="16"/>
      <c r="T276" s="16"/>
      <c r="U276" s="16"/>
      <c r="V276" s="16"/>
      <c r="W276" s="5">
        <v>58328</v>
      </c>
      <c r="X276" s="5">
        <v>66957</v>
      </c>
      <c r="Z276" s="5"/>
    </row>
    <row r="277" spans="1:32" ht="18" x14ac:dyDescent="0.35">
      <c r="A277" s="6">
        <v>90</v>
      </c>
      <c r="B277" t="s">
        <v>154</v>
      </c>
      <c r="C277" s="13" t="s">
        <v>636</v>
      </c>
      <c r="D277" s="13" t="str">
        <f t="shared" si="24"/>
        <v xml:space="preserve">k'?iff]Qd </v>
      </c>
      <c r="E277" s="13" t="str">
        <f t="shared" si="25"/>
        <v>v8\sf</v>
      </c>
      <c r="F277" s="21" t="s">
        <v>233</v>
      </c>
      <c r="G277" t="s">
        <v>294</v>
      </c>
      <c r="H277" s="21" t="s">
        <v>756</v>
      </c>
      <c r="I277" s="21" t="s">
        <v>905</v>
      </c>
      <c r="J277" s="21">
        <f t="shared" si="22"/>
        <v>164</v>
      </c>
      <c r="K277" s="21"/>
      <c r="L277" s="15">
        <f t="shared" si="23"/>
        <v>55.610958904109587</v>
      </c>
      <c r="M277" s="15"/>
      <c r="N277" s="15"/>
      <c r="O277" s="15"/>
      <c r="P277" s="15"/>
      <c r="Q277" s="15" t="s">
        <v>963</v>
      </c>
      <c r="R277" s="15"/>
      <c r="S277" s="16">
        <v>1</v>
      </c>
      <c r="T277" s="16">
        <v>5</v>
      </c>
      <c r="U277" s="16">
        <v>0</v>
      </c>
      <c r="V277" s="16">
        <v>0</v>
      </c>
      <c r="W277" s="5">
        <v>46659</v>
      </c>
      <c r="X277" s="5">
        <v>66957</v>
      </c>
      <c r="Z277" s="5">
        <v>64446</v>
      </c>
      <c r="AA277" s="2" t="s">
        <v>2</v>
      </c>
      <c r="AB277" s="2">
        <v>4</v>
      </c>
      <c r="AC277" s="2">
        <v>1</v>
      </c>
      <c r="AD277" s="2">
        <v>3</v>
      </c>
      <c r="AE277" t="s">
        <v>242</v>
      </c>
      <c r="AF277" t="s">
        <v>245</v>
      </c>
    </row>
    <row r="278" spans="1:32" ht="18" x14ac:dyDescent="0.35">
      <c r="A278" s="6"/>
      <c r="C278" s="13" t="s">
        <v>637</v>
      </c>
      <c r="D278" s="13" t="str">
        <f t="shared" si="24"/>
        <v xml:space="preserve">;'lznf </v>
      </c>
      <c r="E278" s="13" t="str">
        <f t="shared" si="25"/>
        <v>v8\sf</v>
      </c>
      <c r="F278" s="21" t="s">
        <v>234</v>
      </c>
      <c r="H278" s="21" t="s">
        <v>756</v>
      </c>
      <c r="I278" s="21" t="s">
        <v>906</v>
      </c>
      <c r="J278" s="21">
        <f t="shared" si="22"/>
        <v>53</v>
      </c>
      <c r="K278" s="21"/>
      <c r="L278" s="15">
        <f t="shared" si="23"/>
        <v>51.843835616438355</v>
      </c>
      <c r="M278" s="15"/>
      <c r="N278" s="15"/>
      <c r="O278" s="15"/>
      <c r="P278" s="15"/>
      <c r="Q278" s="15"/>
      <c r="R278" s="15"/>
      <c r="S278" s="16"/>
      <c r="T278" s="16"/>
      <c r="U278" s="16"/>
      <c r="V278" s="16"/>
      <c r="W278" s="5">
        <v>48034</v>
      </c>
      <c r="X278" s="5">
        <v>66957</v>
      </c>
      <c r="Z278" s="5"/>
    </row>
    <row r="279" spans="1:32" ht="18" x14ac:dyDescent="0.35">
      <c r="A279" s="6"/>
      <c r="C279" s="13" t="s">
        <v>638</v>
      </c>
      <c r="D279" s="13" t="str">
        <f t="shared" si="24"/>
        <v xml:space="preserve">k'ikf </v>
      </c>
      <c r="E279" s="13" t="str">
        <f t="shared" si="25"/>
        <v>v8\sf</v>
      </c>
      <c r="F279" s="21" t="s">
        <v>234</v>
      </c>
      <c r="H279" s="21" t="s">
        <v>757</v>
      </c>
      <c r="I279" s="21" t="s">
        <v>905</v>
      </c>
      <c r="J279" s="21">
        <f t="shared" si="22"/>
        <v>107</v>
      </c>
      <c r="K279" s="21"/>
      <c r="L279" s="15">
        <f t="shared" si="23"/>
        <v>29.605479452054794</v>
      </c>
      <c r="M279" s="15"/>
      <c r="N279" s="15"/>
      <c r="O279" s="15"/>
      <c r="P279" s="15"/>
      <c r="Q279" s="15"/>
      <c r="R279" s="15"/>
      <c r="S279" s="16"/>
      <c r="T279" s="16"/>
      <c r="U279" s="16"/>
      <c r="V279" s="16"/>
      <c r="W279" s="5">
        <v>56151</v>
      </c>
      <c r="X279" s="5">
        <v>66957</v>
      </c>
      <c r="Z279" s="5"/>
    </row>
    <row r="280" spans="1:32" ht="18" x14ac:dyDescent="0.35">
      <c r="A280" s="6"/>
      <c r="C280" s="13" t="s">
        <v>639</v>
      </c>
      <c r="D280" s="13" t="str">
        <f t="shared" si="24"/>
        <v xml:space="preserve">k'is/ </v>
      </c>
      <c r="E280" s="13" t="str">
        <f t="shared" si="25"/>
        <v>v8\sf</v>
      </c>
      <c r="F280" s="21" t="s">
        <v>233</v>
      </c>
      <c r="H280" s="21" t="s">
        <v>757</v>
      </c>
      <c r="I280" s="21" t="s">
        <v>905</v>
      </c>
      <c r="J280" s="21">
        <f t="shared" si="22"/>
        <v>164</v>
      </c>
      <c r="K280" s="21"/>
      <c r="L280" s="15">
        <f t="shared" si="23"/>
        <v>26.709589041095889</v>
      </c>
      <c r="M280" s="15"/>
      <c r="N280" s="15"/>
      <c r="O280" s="15"/>
      <c r="P280" s="15"/>
      <c r="Q280" s="15"/>
      <c r="R280" s="15"/>
      <c r="S280" s="16"/>
      <c r="T280" s="16"/>
      <c r="U280" s="16"/>
      <c r="V280" s="16"/>
      <c r="W280" s="5">
        <v>57208</v>
      </c>
      <c r="X280" s="5">
        <v>66957</v>
      </c>
      <c r="Z280" s="5"/>
    </row>
    <row r="281" spans="1:32" ht="18" x14ac:dyDescent="0.35">
      <c r="A281" s="6">
        <v>91</v>
      </c>
      <c r="B281" t="s">
        <v>155</v>
      </c>
      <c r="C281" s="13" t="s">
        <v>640</v>
      </c>
      <c r="D281" s="13" t="str">
        <f t="shared" si="24"/>
        <v xml:space="preserve">Rofd' </v>
      </c>
      <c r="E281" s="13" t="str">
        <f t="shared" si="25"/>
        <v>rf}w/L</v>
      </c>
      <c r="F281" s="21" t="s">
        <v>233</v>
      </c>
      <c r="G281" t="s">
        <v>262</v>
      </c>
      <c r="H281" s="21" t="s">
        <v>756</v>
      </c>
      <c r="I281" s="21" t="s">
        <v>905</v>
      </c>
      <c r="J281" s="21">
        <f t="shared" si="22"/>
        <v>164</v>
      </c>
      <c r="K281" s="21"/>
      <c r="L281" s="15">
        <f t="shared" si="23"/>
        <v>59.750684931506846</v>
      </c>
      <c r="M281" s="15"/>
      <c r="N281" s="15"/>
      <c r="O281" s="15"/>
      <c r="P281" s="15"/>
      <c r="Q281" s="15" t="s">
        <v>963</v>
      </c>
      <c r="R281" s="15"/>
      <c r="S281" s="16">
        <v>1</v>
      </c>
      <c r="T281" s="16">
        <v>6</v>
      </c>
      <c r="U281" s="16">
        <f>2</f>
        <v>2</v>
      </c>
      <c r="V281" s="16">
        <f>2</f>
        <v>2</v>
      </c>
      <c r="W281" s="5">
        <v>45148</v>
      </c>
      <c r="X281" s="5">
        <v>66957</v>
      </c>
      <c r="Z281" s="5">
        <v>64444</v>
      </c>
      <c r="AA281" s="2" t="s">
        <v>2</v>
      </c>
      <c r="AB281" s="2">
        <v>4</v>
      </c>
      <c r="AC281" s="2">
        <v>3</v>
      </c>
      <c r="AD281" s="2">
        <v>1</v>
      </c>
      <c r="AE281" t="s">
        <v>242</v>
      </c>
      <c r="AF281" t="s">
        <v>245</v>
      </c>
    </row>
    <row r="282" spans="1:32" ht="18" x14ac:dyDescent="0.35">
      <c r="A282" s="6"/>
      <c r="C282" s="13" t="s">
        <v>641</v>
      </c>
      <c r="D282" s="13" t="str">
        <f t="shared" si="24"/>
        <v xml:space="preserve">lg/h </v>
      </c>
      <c r="E282" s="13" t="str">
        <f t="shared" si="25"/>
        <v>rf}w/L</v>
      </c>
      <c r="F282" s="21" t="s">
        <v>233</v>
      </c>
      <c r="H282" s="21" t="s">
        <v>757</v>
      </c>
      <c r="I282" s="21" t="s">
        <v>905</v>
      </c>
      <c r="J282" s="21">
        <f t="shared" si="22"/>
        <v>164</v>
      </c>
      <c r="K282" s="21"/>
      <c r="L282" s="15">
        <f t="shared" si="23"/>
        <v>30.416438356164385</v>
      </c>
      <c r="M282" s="15"/>
      <c r="N282" s="15"/>
      <c r="O282" s="15"/>
      <c r="P282" s="15"/>
      <c r="Q282" s="15"/>
      <c r="R282" s="15"/>
      <c r="S282" s="16"/>
      <c r="T282" s="16"/>
      <c r="U282" s="16"/>
      <c r="V282" s="16"/>
      <c r="W282" s="5">
        <v>55855</v>
      </c>
      <c r="X282" s="5">
        <v>66957</v>
      </c>
      <c r="Z282" s="5"/>
    </row>
    <row r="283" spans="1:32" ht="18" x14ac:dyDescent="0.35">
      <c r="A283" s="6"/>
      <c r="C283" s="13" t="s">
        <v>642</v>
      </c>
      <c r="D283" s="13" t="str">
        <f t="shared" si="24"/>
        <v xml:space="preserve">lgzfGt </v>
      </c>
      <c r="E283" s="13" t="str">
        <f t="shared" si="25"/>
        <v>rf}w/L</v>
      </c>
      <c r="F283" s="21" t="s">
        <v>233</v>
      </c>
      <c r="H283" s="21" t="s">
        <v>757</v>
      </c>
      <c r="I283" s="21" t="s">
        <v>905</v>
      </c>
      <c r="J283" s="21">
        <f t="shared" si="22"/>
        <v>164</v>
      </c>
      <c r="K283" s="21"/>
      <c r="L283" s="15">
        <f t="shared" si="23"/>
        <v>22.758904109589039</v>
      </c>
      <c r="M283" s="15"/>
      <c r="N283" s="15"/>
      <c r="O283" s="15"/>
      <c r="P283" s="15"/>
      <c r="Q283" s="15"/>
      <c r="R283" s="15"/>
      <c r="S283" s="16"/>
      <c r="T283" s="16"/>
      <c r="U283" s="16"/>
      <c r="V283" s="16"/>
      <c r="W283" s="5">
        <v>58650</v>
      </c>
      <c r="X283" s="5">
        <v>66957</v>
      </c>
      <c r="Z283" s="5"/>
    </row>
    <row r="284" spans="1:32" ht="18" x14ac:dyDescent="0.35">
      <c r="A284" s="6"/>
      <c r="C284" s="13" t="s">
        <v>643</v>
      </c>
      <c r="D284" s="13" t="str">
        <f t="shared" si="24"/>
        <v xml:space="preserve">e'jg </v>
      </c>
      <c r="E284" s="13" t="str">
        <f t="shared" si="25"/>
        <v>rf}w/L</v>
      </c>
      <c r="F284" s="21" t="s">
        <v>234</v>
      </c>
      <c r="H284" s="21" t="s">
        <v>756</v>
      </c>
      <c r="I284" s="21" t="s">
        <v>906</v>
      </c>
      <c r="J284" s="21">
        <f t="shared" si="22"/>
        <v>53</v>
      </c>
      <c r="K284" s="21"/>
      <c r="L284" s="15">
        <f t="shared" si="23"/>
        <v>51.063013698630137</v>
      </c>
      <c r="M284" s="15"/>
      <c r="N284" s="15"/>
      <c r="O284" s="15"/>
      <c r="P284" s="15"/>
      <c r="Q284" s="15"/>
      <c r="R284" s="15"/>
      <c r="S284" s="16"/>
      <c r="T284" s="16"/>
      <c r="U284" s="16"/>
      <c r="V284" s="16"/>
      <c r="W284" s="5">
        <v>48319</v>
      </c>
      <c r="X284" s="5">
        <v>66957</v>
      </c>
      <c r="Z284" s="5"/>
    </row>
    <row r="285" spans="1:32" ht="18" x14ac:dyDescent="0.35">
      <c r="A285" s="6">
        <v>92</v>
      </c>
      <c r="B285" t="s">
        <v>156</v>
      </c>
      <c r="C285" s="13" t="s">
        <v>644</v>
      </c>
      <c r="D285" s="13" t="str">
        <f t="shared" si="24"/>
        <v xml:space="preserve">l8NnL </v>
      </c>
      <c r="E285" s="13" t="str">
        <f t="shared" si="25"/>
        <v>&gt;]i7</v>
      </c>
      <c r="F285" s="21" t="s">
        <v>234</v>
      </c>
      <c r="G285" t="s">
        <v>265</v>
      </c>
      <c r="H285" s="21" t="s">
        <v>756</v>
      </c>
      <c r="I285" s="21" t="s">
        <v>906</v>
      </c>
      <c r="J285" s="21">
        <f t="shared" si="22"/>
        <v>53</v>
      </c>
      <c r="K285" s="21"/>
      <c r="L285" s="15">
        <f t="shared" si="23"/>
        <v>47.073972602739723</v>
      </c>
      <c r="M285" s="15"/>
      <c r="N285" s="15"/>
      <c r="O285" s="15"/>
      <c r="P285" s="15"/>
      <c r="Q285" s="15" t="s">
        <v>961</v>
      </c>
      <c r="R285" s="15"/>
      <c r="S285" s="16">
        <v>0</v>
      </c>
      <c r="T285" s="16">
        <v>8</v>
      </c>
      <c r="U285" s="16">
        <v>0</v>
      </c>
      <c r="V285" s="16">
        <v>0</v>
      </c>
      <c r="W285" s="5">
        <v>49775</v>
      </c>
      <c r="X285" s="5">
        <v>66957</v>
      </c>
      <c r="Z285" s="5">
        <v>64424</v>
      </c>
      <c r="AA285" s="2" t="s">
        <v>2</v>
      </c>
      <c r="AB285" s="2">
        <v>4</v>
      </c>
      <c r="AC285" s="2">
        <v>2</v>
      </c>
      <c r="AD285" s="2">
        <v>2</v>
      </c>
      <c r="AE285" t="s">
        <v>242</v>
      </c>
      <c r="AF285" t="s">
        <v>245</v>
      </c>
    </row>
    <row r="286" spans="1:32" ht="18" x14ac:dyDescent="0.35">
      <c r="A286" s="6"/>
      <c r="C286" s="13" t="s">
        <v>645</v>
      </c>
      <c r="D286" s="13" t="str">
        <f t="shared" si="24"/>
        <v xml:space="preserve">k|]d </v>
      </c>
      <c r="E286" s="13" t="str">
        <f t="shared" si="25"/>
        <v>&gt;]i7</v>
      </c>
      <c r="F286" s="21" t="s">
        <v>233</v>
      </c>
      <c r="H286" s="21" t="s">
        <v>756</v>
      </c>
      <c r="I286" s="21" t="s">
        <v>905</v>
      </c>
      <c r="J286" s="21">
        <f t="shared" si="22"/>
        <v>164</v>
      </c>
      <c r="K286" s="21"/>
      <c r="L286" s="15">
        <f t="shared" si="23"/>
        <v>62.156164383561645</v>
      </c>
      <c r="M286" s="15"/>
      <c r="N286" s="15"/>
      <c r="O286" s="15"/>
      <c r="P286" s="15"/>
      <c r="Q286" s="15"/>
      <c r="R286" s="15"/>
      <c r="S286" s="16"/>
      <c r="T286" s="16"/>
      <c r="U286" s="16"/>
      <c r="V286" s="16"/>
      <c r="W286" s="5">
        <v>44270</v>
      </c>
      <c r="X286" s="5">
        <v>66957</v>
      </c>
      <c r="Z286" s="5"/>
    </row>
    <row r="287" spans="1:32" ht="18" x14ac:dyDescent="0.35">
      <c r="A287" s="6"/>
      <c r="C287" s="13" t="s">
        <v>646</v>
      </c>
      <c r="D287" s="13" t="str">
        <f t="shared" si="24"/>
        <v xml:space="preserve">k'gd </v>
      </c>
      <c r="E287" s="13" t="str">
        <f t="shared" si="25"/>
        <v>&gt;]i7</v>
      </c>
      <c r="F287" s="21" t="s">
        <v>234</v>
      </c>
      <c r="H287" s="21" t="s">
        <v>757</v>
      </c>
      <c r="I287" s="21" t="s">
        <v>905</v>
      </c>
      <c r="J287" s="21">
        <f t="shared" si="22"/>
        <v>107</v>
      </c>
      <c r="K287" s="21"/>
      <c r="L287" s="15">
        <f t="shared" si="23"/>
        <v>25.246575342465754</v>
      </c>
      <c r="M287" s="15"/>
      <c r="N287" s="15"/>
      <c r="O287" s="15"/>
      <c r="P287" s="15"/>
      <c r="Q287" s="15"/>
      <c r="R287" s="15"/>
      <c r="S287" s="16"/>
      <c r="T287" s="16"/>
      <c r="U287" s="16"/>
      <c r="V287" s="16"/>
      <c r="W287" s="5">
        <v>57742</v>
      </c>
      <c r="X287" s="5">
        <v>66957</v>
      </c>
      <c r="Z287" s="5"/>
    </row>
    <row r="288" spans="1:32" ht="18" x14ac:dyDescent="0.35">
      <c r="A288" s="6"/>
      <c r="C288" s="13" t="s">
        <v>647</v>
      </c>
      <c r="D288" s="13" t="str">
        <f t="shared" si="24"/>
        <v xml:space="preserve">k|lbk </v>
      </c>
      <c r="E288" s="13" t="str">
        <f t="shared" si="25"/>
        <v>&gt;]i7</v>
      </c>
      <c r="F288" s="21" t="s">
        <v>233</v>
      </c>
      <c r="H288" s="21" t="s">
        <v>757</v>
      </c>
      <c r="I288" s="21" t="s">
        <v>905</v>
      </c>
      <c r="J288" s="21">
        <f t="shared" si="22"/>
        <v>164</v>
      </c>
      <c r="K288" s="21"/>
      <c r="L288" s="15">
        <f t="shared" si="23"/>
        <v>20.646575342465752</v>
      </c>
      <c r="M288" s="15"/>
      <c r="N288" s="15"/>
      <c r="O288" s="15"/>
      <c r="P288" s="15"/>
      <c r="Q288" s="15"/>
      <c r="R288" s="15"/>
      <c r="S288" s="16"/>
      <c r="T288" s="16"/>
      <c r="U288" s="16"/>
      <c r="V288" s="16"/>
      <c r="W288" s="5">
        <v>59421</v>
      </c>
      <c r="X288" s="5">
        <v>66957</v>
      </c>
      <c r="Z288" s="5"/>
    </row>
    <row r="289" spans="1:32" ht="18" x14ac:dyDescent="0.35">
      <c r="A289" s="6">
        <v>93</v>
      </c>
      <c r="B289" t="s">
        <v>157</v>
      </c>
      <c r="C289" s="13" t="s">
        <v>648</v>
      </c>
      <c r="D289" s="13" t="str">
        <f t="shared" si="24"/>
        <v xml:space="preserve">o1 </v>
      </c>
      <c r="E289" s="13" t="str">
        <f t="shared" si="25"/>
        <v>j/fn</v>
      </c>
      <c r="F289" s="21" t="s">
        <v>233</v>
      </c>
      <c r="G289" t="s">
        <v>335</v>
      </c>
      <c r="H289" s="21" t="s">
        <v>756</v>
      </c>
      <c r="I289" s="21" t="s">
        <v>905</v>
      </c>
      <c r="J289" s="21">
        <f t="shared" si="22"/>
        <v>164</v>
      </c>
      <c r="K289" s="21"/>
      <c r="L289" s="15">
        <f t="shared" si="23"/>
        <v>39.731506849315068</v>
      </c>
      <c r="M289" s="15"/>
      <c r="N289" s="15"/>
      <c r="O289" s="15"/>
      <c r="P289" s="15"/>
      <c r="Q289" s="15" t="s">
        <v>961</v>
      </c>
      <c r="R289" s="15"/>
      <c r="S289" s="16">
        <v>1</v>
      </c>
      <c r="T289" s="16">
        <v>0</v>
      </c>
      <c r="U289" s="16">
        <v>3</v>
      </c>
      <c r="V289" s="16">
        <v>0</v>
      </c>
      <c r="W289" s="5">
        <v>52455</v>
      </c>
      <c r="X289" s="5">
        <v>66957</v>
      </c>
      <c r="Z289" s="5">
        <v>64395</v>
      </c>
      <c r="AA289" s="2" t="s">
        <v>2</v>
      </c>
      <c r="AB289" s="2">
        <v>2</v>
      </c>
      <c r="AC289" s="2">
        <v>1</v>
      </c>
      <c r="AD289" s="2">
        <v>1</v>
      </c>
      <c r="AE289" t="s">
        <v>242</v>
      </c>
      <c r="AF289" t="s">
        <v>245</v>
      </c>
    </row>
    <row r="290" spans="1:32" ht="18" x14ac:dyDescent="0.35">
      <c r="A290" s="6"/>
      <c r="C290" s="13" t="s">
        <v>649</v>
      </c>
      <c r="D290" s="13" t="str">
        <f t="shared" si="24"/>
        <v xml:space="preserve">/df </v>
      </c>
      <c r="E290" s="13" t="str">
        <f t="shared" si="25"/>
        <v>&gt;]i7</v>
      </c>
      <c r="F290" s="21" t="s">
        <v>234</v>
      </c>
      <c r="H290" s="21" t="s">
        <v>756</v>
      </c>
      <c r="I290" s="21" t="s">
        <v>905</v>
      </c>
      <c r="J290" s="21">
        <f t="shared" si="22"/>
        <v>107</v>
      </c>
      <c r="K290" s="21"/>
      <c r="L290" s="15">
        <f t="shared" si="23"/>
        <v>35.895890410958906</v>
      </c>
      <c r="M290" s="15"/>
      <c r="N290" s="15"/>
      <c r="O290" s="15"/>
      <c r="P290" s="15"/>
      <c r="Q290" s="15"/>
      <c r="R290" s="15"/>
      <c r="S290" s="16"/>
      <c r="T290" s="16"/>
      <c r="U290" s="16"/>
      <c r="V290" s="16"/>
      <c r="W290" s="5">
        <v>53855</v>
      </c>
      <c r="X290" s="5">
        <v>66957</v>
      </c>
      <c r="Z290" s="5"/>
    </row>
    <row r="291" spans="1:32" ht="18" x14ac:dyDescent="0.35">
      <c r="A291" s="6">
        <v>94</v>
      </c>
      <c r="B291" t="s">
        <v>158</v>
      </c>
      <c r="C291" s="13" t="s">
        <v>650</v>
      </c>
      <c r="D291" s="13" t="str">
        <f t="shared" si="24"/>
        <v xml:space="preserve">;f]d </v>
      </c>
      <c r="E291" s="13" t="str">
        <f t="shared" si="25"/>
        <v>/fO{</v>
      </c>
      <c r="F291" s="21" t="s">
        <v>233</v>
      </c>
      <c r="G291" t="s">
        <v>323</v>
      </c>
      <c r="H291" s="21" t="s">
        <v>756</v>
      </c>
      <c r="I291" s="21" t="s">
        <v>905</v>
      </c>
      <c r="J291" s="21">
        <f t="shared" si="22"/>
        <v>164</v>
      </c>
      <c r="K291" s="21"/>
      <c r="L291" s="15">
        <f t="shared" si="23"/>
        <v>56.457534246575342</v>
      </c>
      <c r="M291" s="15"/>
      <c r="N291" s="15"/>
      <c r="O291" s="15"/>
      <c r="P291" s="15"/>
      <c r="Q291" s="15" t="s">
        <v>963</v>
      </c>
      <c r="R291" s="15"/>
      <c r="S291" s="16" t="s">
        <v>748</v>
      </c>
      <c r="T291" s="16" t="s">
        <v>748</v>
      </c>
      <c r="U291" s="16" t="s">
        <v>748</v>
      </c>
      <c r="V291" s="16" t="s">
        <v>748</v>
      </c>
      <c r="W291" s="5">
        <v>46350</v>
      </c>
      <c r="X291" s="5">
        <v>66957</v>
      </c>
      <c r="Z291" s="5">
        <v>64320</v>
      </c>
      <c r="AA291" s="2" t="s">
        <v>2</v>
      </c>
      <c r="AB291" s="2">
        <v>4</v>
      </c>
      <c r="AC291" s="2">
        <v>1</v>
      </c>
      <c r="AD291" s="2">
        <v>3</v>
      </c>
      <c r="AE291" t="s">
        <v>241</v>
      </c>
      <c r="AF291" t="s">
        <v>245</v>
      </c>
    </row>
    <row r="292" spans="1:32" ht="18" x14ac:dyDescent="0.35">
      <c r="A292" s="6"/>
      <c r="C292" s="13" t="s">
        <v>651</v>
      </c>
      <c r="D292" s="13" t="str">
        <f t="shared" si="24"/>
        <v xml:space="preserve">vf]l/gf </v>
      </c>
      <c r="E292" s="13" t="str">
        <f t="shared" si="25"/>
        <v>/fO{</v>
      </c>
      <c r="F292" s="21" t="s">
        <v>234</v>
      </c>
      <c r="H292" s="21" t="s">
        <v>757</v>
      </c>
      <c r="I292" s="21" t="s">
        <v>905</v>
      </c>
      <c r="J292" s="21">
        <f t="shared" si="22"/>
        <v>107</v>
      </c>
      <c r="K292" s="21"/>
      <c r="L292" s="15">
        <f t="shared" si="23"/>
        <v>29.830136986301369</v>
      </c>
      <c r="M292" s="15"/>
      <c r="N292" s="15"/>
      <c r="O292" s="15"/>
      <c r="P292" s="15"/>
      <c r="Q292" s="15"/>
      <c r="R292" s="15"/>
      <c r="S292" s="16"/>
      <c r="T292" s="16"/>
      <c r="U292" s="16"/>
      <c r="V292" s="16"/>
      <c r="W292" s="5">
        <v>56069</v>
      </c>
      <c r="X292" s="5">
        <v>66957</v>
      </c>
      <c r="Z292" s="5"/>
    </row>
    <row r="293" spans="1:32" ht="18" x14ac:dyDescent="0.35">
      <c r="A293" s="6"/>
      <c r="C293" s="13" t="s">
        <v>652</v>
      </c>
      <c r="D293" s="13" t="str">
        <f t="shared" si="24"/>
        <v xml:space="preserve">s?0ff </v>
      </c>
      <c r="E293" s="13" t="str">
        <f t="shared" si="25"/>
        <v>/fO{</v>
      </c>
      <c r="F293" s="21" t="s">
        <v>234</v>
      </c>
      <c r="H293" s="21" t="s">
        <v>757</v>
      </c>
      <c r="I293" s="21" t="s">
        <v>905</v>
      </c>
      <c r="J293" s="21">
        <f t="shared" ref="J293:J348" si="26">IF(L293&gt;=5,(COUNTIFS($I$4:$I$348,I293,$F$4:$F$348,F293)))</f>
        <v>107</v>
      </c>
      <c r="K293" s="21"/>
      <c r="L293" s="15">
        <f t="shared" si="23"/>
        <v>25.095890410958905</v>
      </c>
      <c r="M293" s="15"/>
      <c r="N293" s="15"/>
      <c r="O293" s="15"/>
      <c r="P293" s="15"/>
      <c r="Q293" s="15"/>
      <c r="R293" s="15"/>
      <c r="S293" s="16"/>
      <c r="T293" s="16"/>
      <c r="U293" s="16"/>
      <c r="V293" s="16"/>
      <c r="W293" s="5">
        <v>57797</v>
      </c>
      <c r="X293" s="5">
        <v>66957</v>
      </c>
      <c r="Z293" s="5"/>
    </row>
    <row r="294" spans="1:32" ht="18" x14ac:dyDescent="0.35">
      <c r="A294" s="6"/>
      <c r="C294" s="13" t="s">
        <v>653</v>
      </c>
      <c r="D294" s="13" t="str">
        <f t="shared" si="24"/>
        <v xml:space="preserve">hf]/dtL </v>
      </c>
      <c r="E294" s="13" t="str">
        <f t="shared" si="25"/>
        <v>/fO{</v>
      </c>
      <c r="F294" s="21" t="s">
        <v>234</v>
      </c>
      <c r="H294" s="21" t="s">
        <v>756</v>
      </c>
      <c r="I294" s="21" t="s">
        <v>906</v>
      </c>
      <c r="J294" s="21">
        <f t="shared" si="26"/>
        <v>53</v>
      </c>
      <c r="K294" s="21"/>
      <c r="L294" s="15">
        <f t="shared" si="23"/>
        <v>59.5013698630137</v>
      </c>
      <c r="M294" s="15"/>
      <c r="N294" s="15"/>
      <c r="O294" s="15"/>
      <c r="P294" s="15"/>
      <c r="Q294" s="15"/>
      <c r="R294" s="15"/>
      <c r="S294" s="16"/>
      <c r="T294" s="16"/>
      <c r="U294" s="16"/>
      <c r="V294" s="16"/>
      <c r="W294" s="5">
        <v>45239</v>
      </c>
      <c r="X294" s="5">
        <v>66957</v>
      </c>
      <c r="Z294" s="5"/>
    </row>
    <row r="295" spans="1:32" ht="18" x14ac:dyDescent="0.35">
      <c r="A295" s="6">
        <v>95</v>
      </c>
      <c r="B295" t="s">
        <v>159</v>
      </c>
      <c r="C295" s="13" t="s">
        <v>654</v>
      </c>
      <c r="D295" s="13" t="str">
        <f t="shared" si="24"/>
        <v xml:space="preserve">/fdnfn </v>
      </c>
      <c r="E295" s="13" t="str">
        <f t="shared" si="25"/>
        <v>l3ld/]</v>
      </c>
      <c r="F295" s="21" t="s">
        <v>233</v>
      </c>
      <c r="G295" t="s">
        <v>306</v>
      </c>
      <c r="H295" s="21" t="s">
        <v>756</v>
      </c>
      <c r="I295" s="21" t="s">
        <v>905</v>
      </c>
      <c r="J295" s="21">
        <f t="shared" si="26"/>
        <v>164</v>
      </c>
      <c r="K295" s="21"/>
      <c r="L295" s="15">
        <f t="shared" si="23"/>
        <v>81.454794520547949</v>
      </c>
      <c r="M295" s="15"/>
      <c r="N295" s="15"/>
      <c r="O295" s="15"/>
      <c r="P295" s="15"/>
      <c r="Q295" s="15" t="s">
        <v>963</v>
      </c>
      <c r="R295" s="15"/>
      <c r="S295" s="16">
        <v>0</v>
      </c>
      <c r="T295" s="16">
        <v>3</v>
      </c>
      <c r="U295" s="16">
        <v>3</v>
      </c>
      <c r="V295" s="16">
        <v>0</v>
      </c>
      <c r="W295" s="5">
        <v>37226</v>
      </c>
      <c r="X295" s="5">
        <v>66957</v>
      </c>
      <c r="Z295" s="5">
        <v>64167</v>
      </c>
      <c r="AA295" s="2" t="s">
        <v>2</v>
      </c>
      <c r="AB295" s="2">
        <v>2</v>
      </c>
      <c r="AC295" s="2">
        <v>1</v>
      </c>
      <c r="AD295" s="2">
        <v>1</v>
      </c>
      <c r="AE295" t="s">
        <v>242</v>
      </c>
      <c r="AF295" t="s">
        <v>245</v>
      </c>
    </row>
    <row r="296" spans="1:32" ht="18" x14ac:dyDescent="0.35">
      <c r="A296" s="6"/>
      <c r="C296" s="13" t="s">
        <v>409</v>
      </c>
      <c r="D296" s="13" t="str">
        <f t="shared" si="24"/>
        <v xml:space="preserve">ltndfof </v>
      </c>
      <c r="E296" s="13" t="str">
        <f t="shared" si="25"/>
        <v>l3ld/]</v>
      </c>
      <c r="F296" s="21" t="s">
        <v>234</v>
      </c>
      <c r="H296" s="21" t="s">
        <v>756</v>
      </c>
      <c r="I296" s="21" t="s">
        <v>906</v>
      </c>
      <c r="J296" s="21">
        <f t="shared" si="26"/>
        <v>53</v>
      </c>
      <c r="K296" s="21"/>
      <c r="L296" s="15">
        <f t="shared" si="23"/>
        <v>76.452054794520549</v>
      </c>
      <c r="M296" s="15"/>
      <c r="N296" s="15"/>
      <c r="O296" s="15"/>
      <c r="P296" s="15"/>
      <c r="Q296" s="15"/>
      <c r="R296" s="15"/>
      <c r="S296" s="16"/>
      <c r="T296" s="16"/>
      <c r="U296" s="16"/>
      <c r="V296" s="16"/>
      <c r="W296" s="5">
        <v>39052</v>
      </c>
      <c r="X296" s="5">
        <v>66957</v>
      </c>
      <c r="Z296" s="5"/>
    </row>
    <row r="297" spans="1:32" ht="18" x14ac:dyDescent="0.35">
      <c r="A297" s="6">
        <v>97</v>
      </c>
      <c r="B297" t="s">
        <v>161</v>
      </c>
      <c r="C297" s="13" t="s">
        <v>660</v>
      </c>
      <c r="D297" s="13" t="str">
        <f t="shared" si="24"/>
        <v xml:space="preserve">5]q </v>
      </c>
      <c r="E297" s="13" t="str">
        <f t="shared" si="25"/>
        <v>&gt;]i7</v>
      </c>
      <c r="F297" s="21" t="s">
        <v>233</v>
      </c>
      <c r="G297" t="s">
        <v>284</v>
      </c>
      <c r="H297" s="21" t="s">
        <v>756</v>
      </c>
      <c r="I297" s="21" t="s">
        <v>905</v>
      </c>
      <c r="J297" s="21">
        <f t="shared" si="26"/>
        <v>164</v>
      </c>
      <c r="K297" s="21"/>
      <c r="L297" s="15">
        <f t="shared" si="23"/>
        <v>59.457534246575342</v>
      </c>
      <c r="M297" s="15"/>
      <c r="N297" s="15"/>
      <c r="O297" s="15"/>
      <c r="P297" s="15"/>
      <c r="Q297" s="15" t="s">
        <v>962</v>
      </c>
      <c r="R297" s="15"/>
      <c r="S297" s="16" t="s">
        <v>748</v>
      </c>
      <c r="T297" s="16" t="s">
        <v>748</v>
      </c>
      <c r="U297" s="16" t="s">
        <v>748</v>
      </c>
      <c r="V297" s="16" t="s">
        <v>748</v>
      </c>
      <c r="W297" s="5">
        <v>45255</v>
      </c>
      <c r="X297" s="5">
        <v>66957</v>
      </c>
      <c r="Z297" s="5">
        <v>64099</v>
      </c>
      <c r="AA297" s="2" t="s">
        <v>2</v>
      </c>
      <c r="AB297" s="2">
        <v>5</v>
      </c>
      <c r="AC297" s="2">
        <v>3</v>
      </c>
      <c r="AD297" s="2">
        <v>2</v>
      </c>
      <c r="AE297" t="s">
        <v>242</v>
      </c>
      <c r="AF297" t="s">
        <v>245</v>
      </c>
    </row>
    <row r="298" spans="1:32" ht="18" x14ac:dyDescent="0.35">
      <c r="A298" s="6"/>
      <c r="C298" s="13" t="s">
        <v>661</v>
      </c>
      <c r="D298" s="13" t="str">
        <f t="shared" si="24"/>
        <v xml:space="preserve">;]tL </v>
      </c>
      <c r="E298" s="13" t="str">
        <f t="shared" si="25"/>
        <v>&gt;]i7</v>
      </c>
      <c r="F298" s="21" t="s">
        <v>234</v>
      </c>
      <c r="H298" s="21" t="s">
        <v>756</v>
      </c>
      <c r="I298" s="21" t="s">
        <v>906</v>
      </c>
      <c r="J298" s="21">
        <f t="shared" si="26"/>
        <v>53</v>
      </c>
      <c r="K298" s="21"/>
      <c r="L298" s="15">
        <f t="shared" si="23"/>
        <v>54.821917808219176</v>
      </c>
      <c r="M298" s="15"/>
      <c r="N298" s="15"/>
      <c r="O298" s="15"/>
      <c r="P298" s="15"/>
      <c r="Q298" s="15"/>
      <c r="R298" s="15"/>
      <c r="S298" s="16"/>
      <c r="T298" s="16"/>
      <c r="U298" s="16"/>
      <c r="V298" s="16"/>
      <c r="W298" s="5">
        <v>46947</v>
      </c>
      <c r="X298" s="5">
        <v>66957</v>
      </c>
      <c r="Z298" s="5"/>
    </row>
    <row r="299" spans="1:32" ht="18" x14ac:dyDescent="0.35">
      <c r="A299" s="6"/>
      <c r="C299" s="13" t="s">
        <v>662</v>
      </c>
      <c r="D299" s="13" t="str">
        <f t="shared" si="24"/>
        <v xml:space="preserve">Vofg </v>
      </c>
      <c r="E299" s="13" t="str">
        <f t="shared" si="25"/>
        <v>&gt;]i7</v>
      </c>
      <c r="F299" s="21" t="s">
        <v>233</v>
      </c>
      <c r="H299" s="21" t="s">
        <v>757</v>
      </c>
      <c r="I299" s="21" t="s">
        <v>905</v>
      </c>
      <c r="J299" s="21">
        <f t="shared" si="26"/>
        <v>164</v>
      </c>
      <c r="K299" s="21"/>
      <c r="L299" s="15">
        <f t="shared" si="23"/>
        <v>32.438356164383563</v>
      </c>
      <c r="M299" s="15"/>
      <c r="N299" s="15"/>
      <c r="O299" s="15"/>
      <c r="P299" s="15"/>
      <c r="Q299" s="15"/>
      <c r="R299" s="15"/>
      <c r="S299" s="16"/>
      <c r="T299" s="16"/>
      <c r="U299" s="16"/>
      <c r="V299" s="16"/>
      <c r="W299" s="5">
        <v>55117</v>
      </c>
      <c r="X299" s="5">
        <v>66957</v>
      </c>
      <c r="Z299" s="5"/>
    </row>
    <row r="300" spans="1:32" ht="18" x14ac:dyDescent="0.35">
      <c r="A300" s="6"/>
      <c r="C300" s="13" t="s">
        <v>663</v>
      </c>
      <c r="D300" s="13" t="str">
        <f t="shared" si="24"/>
        <v xml:space="preserve">clgz </v>
      </c>
      <c r="E300" s="13" t="str">
        <f t="shared" si="25"/>
        <v>&gt;]i7</v>
      </c>
      <c r="F300" s="21" t="s">
        <v>233</v>
      </c>
      <c r="H300" s="21" t="s">
        <v>757</v>
      </c>
      <c r="I300" s="21" t="s">
        <v>905</v>
      </c>
      <c r="J300" s="21">
        <f t="shared" si="26"/>
        <v>164</v>
      </c>
      <c r="K300" s="21"/>
      <c r="L300" s="15">
        <f t="shared" si="23"/>
        <v>28.715068493150685</v>
      </c>
      <c r="M300" s="15"/>
      <c r="N300" s="15"/>
      <c r="O300" s="15"/>
      <c r="P300" s="15"/>
      <c r="Q300" s="15"/>
      <c r="R300" s="15"/>
      <c r="S300" s="16"/>
      <c r="T300" s="16"/>
      <c r="U300" s="16"/>
      <c r="V300" s="16"/>
      <c r="W300" s="5">
        <v>56476</v>
      </c>
      <c r="X300" s="5">
        <v>66957</v>
      </c>
      <c r="Z300" s="5"/>
    </row>
    <row r="301" spans="1:32" ht="18" x14ac:dyDescent="0.35">
      <c r="A301" s="6"/>
      <c r="C301" s="13" t="s">
        <v>664</v>
      </c>
      <c r="D301" s="13" t="str">
        <f t="shared" si="24"/>
        <v xml:space="preserve">clgzf </v>
      </c>
      <c r="E301" s="13" t="str">
        <f t="shared" si="25"/>
        <v>&gt;]i7</v>
      </c>
      <c r="F301" s="21" t="s">
        <v>234</v>
      </c>
      <c r="H301" s="21" t="s">
        <v>757</v>
      </c>
      <c r="I301" s="21" t="s">
        <v>905</v>
      </c>
      <c r="J301" s="21">
        <f t="shared" si="26"/>
        <v>107</v>
      </c>
      <c r="K301" s="21"/>
      <c r="L301" s="15">
        <f t="shared" si="23"/>
        <v>23.339726027397262</v>
      </c>
      <c r="M301" s="15"/>
      <c r="N301" s="15"/>
      <c r="O301" s="15"/>
      <c r="P301" s="15"/>
      <c r="Q301" s="15"/>
      <c r="R301" s="15"/>
      <c r="S301" s="16"/>
      <c r="T301" s="16"/>
      <c r="U301" s="16"/>
      <c r="V301" s="16"/>
      <c r="W301" s="5">
        <v>58438</v>
      </c>
      <c r="X301" s="5">
        <v>66957</v>
      </c>
      <c r="Z301" s="5"/>
    </row>
    <row r="302" spans="1:32" ht="18" x14ac:dyDescent="0.35">
      <c r="A302" s="6">
        <v>99</v>
      </c>
      <c r="B302" t="s">
        <v>163</v>
      </c>
      <c r="C302" s="13" t="s">
        <v>665</v>
      </c>
      <c r="D302" s="13" t="str">
        <f t="shared" si="24"/>
        <v xml:space="preserve">s]zj </v>
      </c>
      <c r="E302" s="13" t="str">
        <f t="shared" si="25"/>
        <v>&gt;]i7</v>
      </c>
      <c r="F302" s="21" t="s">
        <v>233</v>
      </c>
      <c r="G302" t="s">
        <v>282</v>
      </c>
      <c r="H302" s="21" t="s">
        <v>756</v>
      </c>
      <c r="I302" s="21" t="s">
        <v>905</v>
      </c>
      <c r="J302" s="21">
        <f t="shared" si="26"/>
        <v>164</v>
      </c>
      <c r="K302" s="21"/>
      <c r="L302" s="15">
        <f t="shared" si="23"/>
        <v>67.523287671232879</v>
      </c>
      <c r="M302" s="15"/>
      <c r="N302" s="15"/>
      <c r="O302" s="15"/>
      <c r="P302" s="15"/>
      <c r="Q302" s="15" t="s">
        <v>962</v>
      </c>
      <c r="R302" s="15"/>
      <c r="S302" s="16">
        <v>0</v>
      </c>
      <c r="T302" s="16">
        <v>5</v>
      </c>
      <c r="U302" s="16">
        <v>3</v>
      </c>
      <c r="V302" s="16">
        <v>0</v>
      </c>
      <c r="W302" s="5">
        <v>42311</v>
      </c>
      <c r="X302" s="5">
        <v>66957</v>
      </c>
      <c r="Z302" s="5">
        <v>63997</v>
      </c>
      <c r="AA302" s="2" t="s">
        <v>2</v>
      </c>
      <c r="AB302" s="2">
        <v>4</v>
      </c>
      <c r="AC302" s="2">
        <v>2</v>
      </c>
      <c r="AD302" s="2">
        <v>2</v>
      </c>
      <c r="AE302" t="s">
        <v>242</v>
      </c>
      <c r="AF302" t="s">
        <v>245</v>
      </c>
    </row>
    <row r="303" spans="1:32" ht="18" x14ac:dyDescent="0.35">
      <c r="A303" s="6"/>
      <c r="C303" s="13" t="s">
        <v>666</v>
      </c>
      <c r="D303" s="13" t="str">
        <f t="shared" si="24"/>
        <v xml:space="preserve">lutf </v>
      </c>
      <c r="E303" s="13" t="str">
        <f t="shared" si="25"/>
        <v>&gt;]i7</v>
      </c>
      <c r="F303" s="21" t="s">
        <v>234</v>
      </c>
      <c r="H303" s="21" t="s">
        <v>756</v>
      </c>
      <c r="I303" s="21" t="s">
        <v>905</v>
      </c>
      <c r="J303" s="21">
        <f t="shared" si="26"/>
        <v>107</v>
      </c>
      <c r="K303" s="21"/>
      <c r="L303" s="15">
        <f t="shared" si="23"/>
        <v>55.509589041095893</v>
      </c>
      <c r="M303" s="15"/>
      <c r="N303" s="15"/>
      <c r="O303" s="15"/>
      <c r="P303" s="15"/>
      <c r="Q303" s="15"/>
      <c r="R303" s="15"/>
      <c r="S303" s="16"/>
      <c r="T303" s="16"/>
      <c r="U303" s="16"/>
      <c r="V303" s="16"/>
      <c r="W303" s="5">
        <v>46696</v>
      </c>
      <c r="X303" s="5">
        <v>66957</v>
      </c>
      <c r="Z303" s="5"/>
    </row>
    <row r="304" spans="1:32" ht="18" x14ac:dyDescent="0.35">
      <c r="A304" s="6"/>
      <c r="C304" s="13" t="s">
        <v>667</v>
      </c>
      <c r="D304" s="13" t="str">
        <f t="shared" si="24"/>
        <v xml:space="preserve">;l/g </v>
      </c>
      <c r="E304" s="13" t="str">
        <f t="shared" si="25"/>
        <v>&gt;]i7</v>
      </c>
      <c r="F304" s="21" t="s">
        <v>234</v>
      </c>
      <c r="H304" s="21" t="s">
        <v>757</v>
      </c>
      <c r="I304" s="21" t="s">
        <v>905</v>
      </c>
      <c r="J304" s="21">
        <f t="shared" si="26"/>
        <v>107</v>
      </c>
      <c r="K304" s="21"/>
      <c r="L304" s="15">
        <f t="shared" si="23"/>
        <v>33.704109589041096</v>
      </c>
      <c r="M304" s="15"/>
      <c r="N304" s="15"/>
      <c r="O304" s="15"/>
      <c r="P304" s="15"/>
      <c r="Q304" s="15"/>
      <c r="R304" s="15"/>
      <c r="S304" s="16"/>
      <c r="T304" s="16"/>
      <c r="U304" s="16"/>
      <c r="V304" s="16"/>
      <c r="W304" s="5">
        <v>54655</v>
      </c>
      <c r="X304" s="5">
        <v>66957</v>
      </c>
      <c r="Z304" s="5"/>
    </row>
    <row r="305" spans="1:32" ht="18" x14ac:dyDescent="0.35">
      <c r="A305" s="6"/>
      <c r="C305" s="13" t="s">
        <v>668</v>
      </c>
      <c r="D305" s="13" t="str">
        <f t="shared" si="24"/>
        <v xml:space="preserve">;lng </v>
      </c>
      <c r="E305" s="13" t="str">
        <f t="shared" si="25"/>
        <v>&gt;]i7</v>
      </c>
      <c r="F305" s="21" t="s">
        <v>233</v>
      </c>
      <c r="H305" s="21" t="s">
        <v>757</v>
      </c>
      <c r="I305" s="21" t="s">
        <v>905</v>
      </c>
      <c r="J305" s="21">
        <f t="shared" si="26"/>
        <v>164</v>
      </c>
      <c r="K305" s="21"/>
      <c r="L305" s="15">
        <f t="shared" si="23"/>
        <v>36.046575342465751</v>
      </c>
      <c r="M305" s="15"/>
      <c r="N305" s="15"/>
      <c r="O305" s="15"/>
      <c r="P305" s="15"/>
      <c r="Q305" s="15"/>
      <c r="R305" s="15"/>
      <c r="S305" s="16"/>
      <c r="T305" s="16"/>
      <c r="U305" s="16"/>
      <c r="V305" s="16"/>
      <c r="W305" s="5">
        <v>53800</v>
      </c>
      <c r="X305" s="5">
        <v>66957</v>
      </c>
      <c r="Z305" s="5"/>
    </row>
    <row r="306" spans="1:32" ht="18" x14ac:dyDescent="0.35">
      <c r="A306" s="6">
        <v>100</v>
      </c>
      <c r="B306" t="s">
        <v>164</v>
      </c>
      <c r="C306" s="13" t="s">
        <v>669</v>
      </c>
      <c r="D306" s="13" t="str">
        <f t="shared" si="24"/>
        <v xml:space="preserve">u+uf/fd </v>
      </c>
      <c r="E306" s="13" t="str">
        <f t="shared" si="25"/>
        <v>8+uf]n</v>
      </c>
      <c r="F306" s="21" t="s">
        <v>233</v>
      </c>
      <c r="G306" t="s">
        <v>269</v>
      </c>
      <c r="H306" s="21" t="s">
        <v>756</v>
      </c>
      <c r="I306" s="21" t="s">
        <v>905</v>
      </c>
      <c r="J306" s="21">
        <f t="shared" si="26"/>
        <v>164</v>
      </c>
      <c r="K306" s="21"/>
      <c r="L306" s="15">
        <f t="shared" si="23"/>
        <v>84.205479452054789</v>
      </c>
      <c r="M306" s="15"/>
      <c r="N306" s="15"/>
      <c r="O306" s="15"/>
      <c r="P306" s="15"/>
      <c r="Q306" s="15" t="s">
        <v>962</v>
      </c>
      <c r="R306" s="15"/>
      <c r="S306" s="16" t="s">
        <v>748</v>
      </c>
      <c r="T306" s="16" t="s">
        <v>748</v>
      </c>
      <c r="U306" s="16" t="s">
        <v>748</v>
      </c>
      <c r="V306" s="16" t="s">
        <v>748</v>
      </c>
      <c r="W306" s="5">
        <v>36222</v>
      </c>
      <c r="X306" s="5">
        <v>66957</v>
      </c>
      <c r="Y306" t="s">
        <v>214</v>
      </c>
      <c r="Z306" s="5">
        <v>63944</v>
      </c>
      <c r="AA306" s="2" t="s">
        <v>2</v>
      </c>
      <c r="AB306" s="2">
        <v>2</v>
      </c>
      <c r="AC306" s="2">
        <v>1</v>
      </c>
      <c r="AD306" s="2">
        <v>1</v>
      </c>
      <c r="AE306" t="s">
        <v>242</v>
      </c>
      <c r="AF306" t="s">
        <v>245</v>
      </c>
    </row>
    <row r="307" spans="1:32" ht="18" x14ac:dyDescent="0.35">
      <c r="A307" s="6"/>
      <c r="C307" s="13" t="s">
        <v>670</v>
      </c>
      <c r="D307" s="13" t="str">
        <f t="shared" si="24"/>
        <v xml:space="preserve">sfnLdfof </v>
      </c>
      <c r="E307" s="13" t="str">
        <f t="shared" si="25"/>
        <v>8+uf]n</v>
      </c>
      <c r="F307" s="21" t="s">
        <v>234</v>
      </c>
      <c r="H307" s="21" t="s">
        <v>756</v>
      </c>
      <c r="I307" s="21" t="s">
        <v>906</v>
      </c>
      <c r="J307" s="21">
        <f t="shared" si="26"/>
        <v>53</v>
      </c>
      <c r="K307" s="21"/>
      <c r="L307" s="15">
        <f t="shared" si="23"/>
        <v>89.008219178082186</v>
      </c>
      <c r="M307" s="15"/>
      <c r="N307" s="15"/>
      <c r="O307" s="15"/>
      <c r="P307" s="15"/>
      <c r="R307" s="15"/>
      <c r="S307" s="16"/>
      <c r="T307" s="16"/>
      <c r="U307" s="16"/>
      <c r="V307" s="16"/>
      <c r="W307" s="5">
        <v>34469</v>
      </c>
      <c r="X307" s="5">
        <v>66957</v>
      </c>
      <c r="Z307" s="5"/>
    </row>
    <row r="308" spans="1:32" ht="18" x14ac:dyDescent="0.35">
      <c r="A308" s="6">
        <v>101</v>
      </c>
      <c r="B308" t="s">
        <v>216</v>
      </c>
      <c r="C308" s="13" t="s">
        <v>671</v>
      </c>
      <c r="D308" s="13" t="str">
        <f t="shared" si="24"/>
        <v xml:space="preserve">g/Wjh </v>
      </c>
      <c r="E308" s="13" t="str">
        <f t="shared" si="25"/>
        <v>yfkf</v>
      </c>
      <c r="F308" s="21" t="s">
        <v>233</v>
      </c>
      <c r="G308" t="s">
        <v>297</v>
      </c>
      <c r="H308" s="21" t="s">
        <v>756</v>
      </c>
      <c r="I308" s="21" t="s">
        <v>905</v>
      </c>
      <c r="J308" s="21">
        <f t="shared" si="26"/>
        <v>164</v>
      </c>
      <c r="K308" s="21"/>
      <c r="L308" s="15">
        <f t="shared" si="23"/>
        <v>47.323287671232876</v>
      </c>
      <c r="M308" s="15"/>
      <c r="N308" s="15"/>
      <c r="O308" s="15"/>
      <c r="P308" s="15"/>
      <c r="Q308" s="15" t="s">
        <v>963</v>
      </c>
      <c r="R308" s="15"/>
      <c r="S308" s="16">
        <v>0</v>
      </c>
      <c r="T308" s="16">
        <v>5</v>
      </c>
      <c r="U308" s="16">
        <v>1</v>
      </c>
      <c r="V308" s="16">
        <v>0</v>
      </c>
      <c r="W308" s="5">
        <v>49684</v>
      </c>
      <c r="X308" s="5">
        <v>66957</v>
      </c>
      <c r="Y308" t="s">
        <v>230</v>
      </c>
      <c r="Z308" s="5">
        <v>63928</v>
      </c>
      <c r="AA308" s="2" t="s">
        <v>2</v>
      </c>
      <c r="AB308" s="2">
        <v>4</v>
      </c>
      <c r="AC308" s="2">
        <v>2</v>
      </c>
      <c r="AD308" s="2">
        <v>2</v>
      </c>
      <c r="AE308" t="s">
        <v>237</v>
      </c>
      <c r="AF308" t="s">
        <v>245</v>
      </c>
    </row>
    <row r="309" spans="1:32" ht="18" x14ac:dyDescent="0.35">
      <c r="A309" s="6"/>
      <c r="C309" s="13" t="s">
        <v>672</v>
      </c>
      <c r="D309" s="13" t="str">
        <f t="shared" si="24"/>
        <v xml:space="preserve">;+lutf </v>
      </c>
      <c r="E309" s="13" t="str">
        <f t="shared" si="25"/>
        <v>yfkf</v>
      </c>
      <c r="F309" s="21" t="s">
        <v>234</v>
      </c>
      <c r="H309" s="21" t="s">
        <v>756</v>
      </c>
      <c r="I309" s="21" t="s">
        <v>905</v>
      </c>
      <c r="J309" s="21">
        <f t="shared" si="26"/>
        <v>107</v>
      </c>
      <c r="K309" s="21"/>
      <c r="L309" s="15">
        <f t="shared" si="23"/>
        <v>44.098630136986301</v>
      </c>
      <c r="M309" s="15"/>
      <c r="N309" s="15"/>
      <c r="O309" s="15"/>
      <c r="P309" s="15"/>
      <c r="Q309" s="15"/>
      <c r="R309" s="15"/>
      <c r="S309" s="16"/>
      <c r="T309" s="16"/>
      <c r="U309" s="16"/>
      <c r="V309" s="16"/>
      <c r="W309" s="5">
        <v>50861</v>
      </c>
      <c r="X309" s="5">
        <v>66957</v>
      </c>
      <c r="Z309" s="5"/>
    </row>
    <row r="310" spans="1:32" ht="18" x14ac:dyDescent="0.35">
      <c r="A310" s="6"/>
      <c r="C310" s="13" t="s">
        <v>673</v>
      </c>
      <c r="D310" s="13" t="str">
        <f t="shared" si="24"/>
        <v xml:space="preserve">g/dfof </v>
      </c>
      <c r="E310" s="13" t="str">
        <f t="shared" si="25"/>
        <v>yfkf</v>
      </c>
      <c r="F310" s="21" t="s">
        <v>234</v>
      </c>
      <c r="H310" s="21" t="s">
        <v>756</v>
      </c>
      <c r="I310" s="21" t="s">
        <v>906</v>
      </c>
      <c r="J310" s="21">
        <f t="shared" si="26"/>
        <v>53</v>
      </c>
      <c r="K310" s="21"/>
      <c r="L310" s="15">
        <f t="shared" si="23"/>
        <v>75.331506849315062</v>
      </c>
      <c r="M310" s="15"/>
      <c r="N310" s="15"/>
      <c r="O310" s="15"/>
      <c r="P310" s="15"/>
      <c r="Q310" s="15"/>
      <c r="R310" s="15"/>
      <c r="S310" s="16"/>
      <c r="T310" s="16"/>
      <c r="U310" s="16"/>
      <c r="V310" s="16"/>
      <c r="W310" s="5">
        <v>39461</v>
      </c>
      <c r="X310" s="5">
        <v>66957</v>
      </c>
      <c r="Z310" s="5"/>
    </row>
    <row r="311" spans="1:32" ht="18" x14ac:dyDescent="0.35">
      <c r="A311" s="6"/>
      <c r="C311" s="13" t="s">
        <v>674</v>
      </c>
      <c r="D311" s="13" t="str">
        <f t="shared" si="24"/>
        <v xml:space="preserve">;ld/ </v>
      </c>
      <c r="E311" s="13" t="str">
        <f t="shared" si="25"/>
        <v>yfkf</v>
      </c>
      <c r="F311" s="21" t="s">
        <v>233</v>
      </c>
      <c r="H311" s="21" t="s">
        <v>757</v>
      </c>
      <c r="I311" s="21" t="s">
        <v>905</v>
      </c>
      <c r="J311" s="21">
        <f t="shared" si="26"/>
        <v>164</v>
      </c>
      <c r="K311" s="21"/>
      <c r="L311" s="15">
        <f t="shared" si="23"/>
        <v>23.945205479452056</v>
      </c>
      <c r="M311" s="15"/>
      <c r="N311" s="15"/>
      <c r="O311" s="15"/>
      <c r="P311" s="15"/>
      <c r="Q311" s="15"/>
      <c r="R311" s="15"/>
      <c r="S311" s="16"/>
      <c r="T311" s="16"/>
      <c r="U311" s="16"/>
      <c r="V311" s="16"/>
      <c r="W311" s="5">
        <v>58217</v>
      </c>
      <c r="X311" s="5">
        <v>66957</v>
      </c>
      <c r="Z311" s="5"/>
    </row>
    <row r="312" spans="1:32" ht="18" x14ac:dyDescent="0.35">
      <c r="A312" s="6">
        <v>102</v>
      </c>
      <c r="B312" t="s">
        <v>145</v>
      </c>
      <c r="C312" s="13" t="s">
        <v>675</v>
      </c>
      <c r="D312" s="13" t="str">
        <f t="shared" si="24"/>
        <v xml:space="preserve">s[i0f </v>
      </c>
      <c r="E312" s="13" t="str">
        <f t="shared" si="25"/>
        <v>rf}nfufO{</v>
      </c>
      <c r="F312" s="21" t="s">
        <v>233</v>
      </c>
      <c r="G312" t="s">
        <v>288</v>
      </c>
      <c r="H312" s="21" t="s">
        <v>756</v>
      </c>
      <c r="I312" s="21" t="s">
        <v>905</v>
      </c>
      <c r="J312" s="21">
        <f t="shared" si="26"/>
        <v>164</v>
      </c>
      <c r="K312" s="21"/>
      <c r="L312" s="15">
        <f t="shared" si="23"/>
        <v>40.5013698630137</v>
      </c>
      <c r="M312" s="15"/>
      <c r="N312" s="15"/>
      <c r="O312" s="15"/>
      <c r="P312" s="15"/>
      <c r="Q312" s="15" t="s">
        <v>962</v>
      </c>
      <c r="R312" s="15"/>
      <c r="S312" s="16" t="s">
        <v>748</v>
      </c>
      <c r="T312" s="16" t="s">
        <v>748</v>
      </c>
      <c r="U312" s="16" t="s">
        <v>748</v>
      </c>
      <c r="V312" s="16" t="s">
        <v>748</v>
      </c>
      <c r="W312" s="5">
        <v>52174</v>
      </c>
      <c r="X312" s="5">
        <v>66957</v>
      </c>
      <c r="Z312" s="5">
        <v>63834</v>
      </c>
      <c r="AA312" s="2" t="s">
        <v>2</v>
      </c>
      <c r="AB312" s="2">
        <v>4</v>
      </c>
      <c r="AC312" s="2">
        <v>2</v>
      </c>
      <c r="AD312" s="2">
        <v>2</v>
      </c>
      <c r="AE312" t="s">
        <v>241</v>
      </c>
      <c r="AF312" t="s">
        <v>245</v>
      </c>
    </row>
    <row r="313" spans="1:32" ht="18" x14ac:dyDescent="0.35">
      <c r="A313" s="6"/>
      <c r="C313" s="13" t="s">
        <v>676</v>
      </c>
      <c r="D313" s="13" t="str">
        <f t="shared" si="24"/>
        <v xml:space="preserve">cl:dtf </v>
      </c>
      <c r="E313" s="13" t="str">
        <f t="shared" si="25"/>
        <v>rf}nfufO{</v>
      </c>
      <c r="F313" s="21" t="s">
        <v>234</v>
      </c>
      <c r="H313" s="21" t="s">
        <v>756</v>
      </c>
      <c r="I313" s="21" t="s">
        <v>905</v>
      </c>
      <c r="J313" s="21">
        <f t="shared" si="26"/>
        <v>107</v>
      </c>
      <c r="K313" s="21"/>
      <c r="L313" s="15">
        <f t="shared" si="23"/>
        <v>39.082191780821915</v>
      </c>
      <c r="M313" s="15"/>
      <c r="N313" s="15"/>
      <c r="O313" s="15"/>
      <c r="P313" s="15"/>
      <c r="Q313" s="15"/>
      <c r="R313" s="15"/>
      <c r="S313" s="16"/>
      <c r="T313" s="16"/>
      <c r="U313" s="16"/>
      <c r="V313" s="16"/>
      <c r="W313" s="5">
        <v>52692</v>
      </c>
      <c r="X313" s="5">
        <v>66957</v>
      </c>
      <c r="Z313" s="5"/>
    </row>
    <row r="314" spans="1:32" ht="18" x14ac:dyDescent="0.35">
      <c r="A314" s="6"/>
      <c r="C314" s="13" t="s">
        <v>677</v>
      </c>
      <c r="D314" s="13" t="str">
        <f t="shared" si="24"/>
        <v xml:space="preserve">cfo'if </v>
      </c>
      <c r="E314" s="13" t="str">
        <f t="shared" si="25"/>
        <v>rf}nfufO{</v>
      </c>
      <c r="F314" s="21" t="s">
        <v>233</v>
      </c>
      <c r="H314" s="21" t="s">
        <v>757</v>
      </c>
      <c r="I314" s="21" t="s">
        <v>905</v>
      </c>
      <c r="J314" s="21">
        <f t="shared" si="26"/>
        <v>164</v>
      </c>
      <c r="K314" s="21"/>
      <c r="L314" s="15">
        <f t="shared" si="23"/>
        <v>14.96986301369863</v>
      </c>
      <c r="M314" s="15"/>
      <c r="N314" s="15"/>
      <c r="O314" s="15"/>
      <c r="P314" s="15"/>
      <c r="Q314" s="15"/>
      <c r="R314" s="15"/>
      <c r="S314" s="16"/>
      <c r="T314" s="16"/>
      <c r="U314" s="16"/>
      <c r="V314" s="16"/>
      <c r="W314" s="5">
        <v>61493</v>
      </c>
      <c r="X314" s="5">
        <v>66957</v>
      </c>
      <c r="Z314" s="5"/>
    </row>
    <row r="315" spans="1:32" ht="18" x14ac:dyDescent="0.35">
      <c r="A315" s="6"/>
      <c r="C315" s="13" t="s">
        <v>678</v>
      </c>
      <c r="D315" s="13" t="str">
        <f t="shared" si="24"/>
        <v xml:space="preserve">cfo'idf </v>
      </c>
      <c r="E315" s="13" t="str">
        <f t="shared" si="25"/>
        <v>rf}nfufO{</v>
      </c>
      <c r="F315" s="21" t="s">
        <v>234</v>
      </c>
      <c r="H315" s="21" t="s">
        <v>757</v>
      </c>
      <c r="I315" s="21" t="s">
        <v>905</v>
      </c>
      <c r="J315" s="21">
        <f t="shared" si="26"/>
        <v>107</v>
      </c>
      <c r="K315" s="21"/>
      <c r="L315" s="15">
        <f t="shared" si="23"/>
        <v>10.268493150684931</v>
      </c>
      <c r="M315" s="15"/>
      <c r="N315" s="15"/>
      <c r="O315" s="15"/>
      <c r="P315" s="15"/>
      <c r="Q315" s="15"/>
      <c r="R315" s="15"/>
      <c r="S315" s="16"/>
      <c r="T315" s="16"/>
      <c r="U315" s="16"/>
      <c r="V315" s="16"/>
      <c r="W315" s="5">
        <v>63209</v>
      </c>
      <c r="X315" s="5">
        <v>66957</v>
      </c>
      <c r="Z315" s="5"/>
    </row>
    <row r="316" spans="1:32" ht="18" x14ac:dyDescent="0.35">
      <c r="A316" s="6">
        <v>103</v>
      </c>
      <c r="B316" t="s">
        <v>217</v>
      </c>
      <c r="C316" s="13" t="s">
        <v>679</v>
      </c>
      <c r="D316" s="13" t="str">
        <f t="shared" si="24"/>
        <v xml:space="preserve">/fh]Gb| </v>
      </c>
      <c r="E316" s="13" t="str">
        <f t="shared" si="25"/>
        <v>kf]v|]n</v>
      </c>
      <c r="F316" s="21" t="s">
        <v>233</v>
      </c>
      <c r="G316" t="s">
        <v>295</v>
      </c>
      <c r="H316" s="21" t="s">
        <v>756</v>
      </c>
      <c r="I316" s="21" t="s">
        <v>905</v>
      </c>
      <c r="J316" s="21">
        <f t="shared" si="26"/>
        <v>164</v>
      </c>
      <c r="K316" s="21"/>
      <c r="L316" s="15">
        <f t="shared" si="23"/>
        <v>48.4986301369863</v>
      </c>
      <c r="M316" s="15"/>
      <c r="N316" s="15"/>
      <c r="O316" s="15"/>
      <c r="P316" s="15"/>
      <c r="Q316" s="15" t="s">
        <v>964</v>
      </c>
      <c r="R316" s="15"/>
      <c r="S316" s="16" t="s">
        <v>748</v>
      </c>
      <c r="T316" s="16" t="s">
        <v>748</v>
      </c>
      <c r="U316" s="16" t="s">
        <v>748</v>
      </c>
      <c r="V316" s="16" t="s">
        <v>748</v>
      </c>
      <c r="W316" s="5">
        <v>49255</v>
      </c>
      <c r="X316" s="5">
        <v>66957</v>
      </c>
      <c r="Z316" s="5">
        <v>63817</v>
      </c>
      <c r="AA316" s="2" t="s">
        <v>2</v>
      </c>
      <c r="AB316" s="2">
        <v>3</v>
      </c>
      <c r="AC316" s="2">
        <v>1</v>
      </c>
      <c r="AD316" s="2">
        <v>2</v>
      </c>
      <c r="AE316" t="s">
        <v>242</v>
      </c>
      <c r="AF316" t="s">
        <v>245</v>
      </c>
    </row>
    <row r="317" spans="1:32" ht="18" x14ac:dyDescent="0.35">
      <c r="A317" s="6"/>
      <c r="C317" s="13" t="s">
        <v>680</v>
      </c>
      <c r="D317" s="13" t="str">
        <f t="shared" si="24"/>
        <v xml:space="preserve">d08Lsf </v>
      </c>
      <c r="E317" s="13" t="str">
        <f t="shared" si="25"/>
        <v>yfdL</v>
      </c>
      <c r="F317" s="21" t="s">
        <v>234</v>
      </c>
      <c r="H317" s="21" t="s">
        <v>756</v>
      </c>
      <c r="I317" s="21" t="s">
        <v>906</v>
      </c>
      <c r="J317" s="21">
        <f t="shared" si="26"/>
        <v>53</v>
      </c>
      <c r="K317" s="21"/>
      <c r="L317" s="15">
        <f t="shared" si="23"/>
        <v>39.490410958904107</v>
      </c>
      <c r="M317" s="15"/>
      <c r="N317" s="15"/>
      <c r="O317" s="15"/>
      <c r="P317" s="15"/>
      <c r="Q317" s="15"/>
      <c r="R317" s="15"/>
      <c r="S317" s="16"/>
      <c r="T317" s="16"/>
      <c r="U317" s="16"/>
      <c r="V317" s="16"/>
      <c r="W317" s="5">
        <v>52543</v>
      </c>
      <c r="X317" s="5">
        <v>66957</v>
      </c>
      <c r="Z317" s="5"/>
    </row>
    <row r="318" spans="1:32" ht="18" x14ac:dyDescent="0.35">
      <c r="A318" s="6"/>
      <c r="C318" s="13" t="s">
        <v>681</v>
      </c>
      <c r="D318" s="13" t="str">
        <f t="shared" si="24"/>
        <v xml:space="preserve">/:dL </v>
      </c>
      <c r="E318" s="13" t="str">
        <f t="shared" si="25"/>
        <v>kf]v|]n</v>
      </c>
      <c r="F318" s="21" t="s">
        <v>234</v>
      </c>
      <c r="H318" s="21" t="s">
        <v>757</v>
      </c>
      <c r="I318" s="21" t="s">
        <v>905</v>
      </c>
      <c r="J318" s="21">
        <f t="shared" si="26"/>
        <v>107</v>
      </c>
      <c r="K318" s="21"/>
      <c r="L318" s="15">
        <f t="shared" si="23"/>
        <v>9.8547945205479444</v>
      </c>
      <c r="M318" s="15"/>
      <c r="N318" s="15"/>
      <c r="O318" s="15"/>
      <c r="P318" s="15"/>
      <c r="Q318" s="15"/>
      <c r="R318" s="15"/>
      <c r="S318" s="16"/>
      <c r="T318" s="16"/>
      <c r="U318" s="16"/>
      <c r="V318" s="16"/>
      <c r="W318" s="5">
        <v>63360</v>
      </c>
      <c r="X318" s="5">
        <v>66957</v>
      </c>
      <c r="Z318" s="5"/>
    </row>
    <row r="319" spans="1:32" ht="18" x14ac:dyDescent="0.35">
      <c r="A319" s="6">
        <v>104</v>
      </c>
      <c r="B319" t="s">
        <v>38</v>
      </c>
      <c r="C319" s="13" t="s">
        <v>457</v>
      </c>
      <c r="D319" s="13" t="str">
        <f t="shared" si="24"/>
        <v xml:space="preserve">slkn </v>
      </c>
      <c r="E319" s="13" t="str">
        <f t="shared" si="25"/>
        <v>kf}8]n</v>
      </c>
      <c r="F319" s="21" t="s">
        <v>233</v>
      </c>
      <c r="G319" t="s">
        <v>279</v>
      </c>
      <c r="H319" s="21" t="s">
        <v>756</v>
      </c>
      <c r="I319" s="21" t="s">
        <v>905</v>
      </c>
      <c r="J319" s="21">
        <f t="shared" si="26"/>
        <v>164</v>
      </c>
      <c r="K319" s="21"/>
      <c r="L319" s="15">
        <f t="shared" si="23"/>
        <v>63.073972602739723</v>
      </c>
      <c r="M319" s="15"/>
      <c r="N319" s="15"/>
      <c r="O319" s="15"/>
      <c r="P319" s="15"/>
      <c r="Q319" s="15" t="s">
        <v>962</v>
      </c>
      <c r="R319" s="15"/>
      <c r="S319" s="16">
        <v>0</v>
      </c>
      <c r="T319" s="16">
        <v>4</v>
      </c>
      <c r="U319" s="16">
        <v>0</v>
      </c>
      <c r="V319" s="16">
        <v>1</v>
      </c>
      <c r="W319" s="5">
        <v>43935</v>
      </c>
      <c r="X319" s="5">
        <v>66957</v>
      </c>
      <c r="Z319" s="5">
        <v>63725</v>
      </c>
      <c r="AA319" s="2" t="s">
        <v>2</v>
      </c>
      <c r="AB319" s="2">
        <v>5</v>
      </c>
      <c r="AC319" s="2">
        <v>3</v>
      </c>
      <c r="AD319" s="2">
        <v>2</v>
      </c>
      <c r="AE319" t="s">
        <v>239</v>
      </c>
      <c r="AF319" t="s">
        <v>245</v>
      </c>
    </row>
    <row r="320" spans="1:32" ht="18" x14ac:dyDescent="0.35">
      <c r="A320" s="6"/>
      <c r="C320" s="13" t="s">
        <v>458</v>
      </c>
      <c r="D320" s="13" t="str">
        <f t="shared" ref="D320:D348" si="27">LEFT(C320,(FIND(" ",C320)))</f>
        <v xml:space="preserve">Clif/fd </v>
      </c>
      <c r="E320" s="13" t="str">
        <f t="shared" si="25"/>
        <v>pkfWofo</v>
      </c>
      <c r="F320" s="21" t="s">
        <v>233</v>
      </c>
      <c r="H320" s="21" t="s">
        <v>756</v>
      </c>
      <c r="I320" s="21" t="s">
        <v>906</v>
      </c>
      <c r="J320" s="21">
        <f t="shared" si="26"/>
        <v>11</v>
      </c>
      <c r="K320" s="21"/>
      <c r="L320" s="15">
        <f t="shared" si="23"/>
        <v>94.589041095890408</v>
      </c>
      <c r="M320" s="15"/>
      <c r="N320" s="15"/>
      <c r="O320" s="15"/>
      <c r="P320" s="15"/>
      <c r="Q320" s="15"/>
      <c r="R320" s="15"/>
      <c r="S320" s="16"/>
      <c r="T320" s="16"/>
      <c r="U320" s="16"/>
      <c r="V320" s="16"/>
      <c r="W320" s="5">
        <v>32432</v>
      </c>
      <c r="X320" s="5">
        <v>66957</v>
      </c>
      <c r="Z320" s="5"/>
    </row>
    <row r="321" spans="1:32" ht="18" x14ac:dyDescent="0.35">
      <c r="A321" s="6"/>
      <c r="C321" s="13" t="s">
        <v>682</v>
      </c>
      <c r="D321" s="13" t="str">
        <f t="shared" si="27"/>
        <v xml:space="preserve">ef]h </v>
      </c>
      <c r="E321" s="13" t="str">
        <f t="shared" ref="E321:E348" si="28">TRIM(RIGHT(SUBSTITUTE(C321," ",REPT(" ",255)),255))</f>
        <v>kf}8]n</v>
      </c>
      <c r="F321" s="21" t="s">
        <v>234</v>
      </c>
      <c r="H321" s="21" t="s">
        <v>756</v>
      </c>
      <c r="I321" s="21" t="s">
        <v>906</v>
      </c>
      <c r="J321" s="21">
        <f t="shared" si="26"/>
        <v>53</v>
      </c>
      <c r="K321" s="21"/>
      <c r="L321" s="15">
        <f t="shared" si="23"/>
        <v>92.964383561643842</v>
      </c>
      <c r="M321" s="15"/>
      <c r="N321" s="15"/>
      <c r="O321" s="15"/>
      <c r="P321" s="15"/>
      <c r="Q321" s="15"/>
      <c r="R321" s="15"/>
      <c r="S321" s="16"/>
      <c r="T321" s="16"/>
      <c r="U321" s="16"/>
      <c r="V321" s="16"/>
      <c r="W321" s="5">
        <v>33025</v>
      </c>
      <c r="X321" s="5">
        <v>66957</v>
      </c>
      <c r="Z321" s="5"/>
    </row>
    <row r="322" spans="1:32" ht="18" x14ac:dyDescent="0.35">
      <c r="A322" s="6"/>
      <c r="C322" s="13" t="s">
        <v>459</v>
      </c>
      <c r="D322" s="13" t="str">
        <f t="shared" si="27"/>
        <v xml:space="preserve">;Ltf </v>
      </c>
      <c r="E322" s="13" t="str">
        <f t="shared" si="28"/>
        <v>kf}8]n</v>
      </c>
      <c r="F322" s="21" t="s">
        <v>234</v>
      </c>
      <c r="H322" s="21" t="s">
        <v>756</v>
      </c>
      <c r="I322" s="21" t="s">
        <v>905</v>
      </c>
      <c r="J322" s="21">
        <f t="shared" si="26"/>
        <v>107</v>
      </c>
      <c r="K322" s="21"/>
      <c r="L322" s="15">
        <f t="shared" si="23"/>
        <v>60.843835616438355</v>
      </c>
      <c r="M322" s="15"/>
      <c r="N322" s="15"/>
      <c r="O322" s="15"/>
      <c r="P322" s="15"/>
      <c r="Q322" s="15"/>
      <c r="R322" s="15"/>
      <c r="S322" s="16"/>
      <c r="T322" s="16"/>
      <c r="U322" s="16"/>
      <c r="V322" s="16"/>
      <c r="W322" s="5">
        <v>44749</v>
      </c>
      <c r="X322" s="5">
        <v>66957</v>
      </c>
      <c r="Z322" s="5"/>
    </row>
    <row r="323" spans="1:32" ht="18" x14ac:dyDescent="0.35">
      <c r="A323" s="6"/>
      <c r="C323" s="13" t="s">
        <v>683</v>
      </c>
      <c r="D323" s="13" t="str">
        <f t="shared" si="27"/>
        <v xml:space="preserve">;GbLk </v>
      </c>
      <c r="E323" s="13" t="str">
        <f t="shared" si="28"/>
        <v>kf}8]n</v>
      </c>
      <c r="F323" s="21" t="s">
        <v>233</v>
      </c>
      <c r="H323" s="21" t="s">
        <v>757</v>
      </c>
      <c r="I323" s="21" t="s">
        <v>905</v>
      </c>
      <c r="J323" s="21">
        <f t="shared" si="26"/>
        <v>164</v>
      </c>
      <c r="K323" s="21"/>
      <c r="L323" s="15">
        <f t="shared" si="23"/>
        <v>33.421917808219177</v>
      </c>
      <c r="M323" s="15"/>
      <c r="N323" s="15"/>
      <c r="O323" s="15"/>
      <c r="P323" s="15"/>
      <c r="Q323" s="15"/>
      <c r="R323" s="15"/>
      <c r="S323" s="16"/>
      <c r="T323" s="16"/>
      <c r="U323" s="16"/>
      <c r="V323" s="16"/>
      <c r="W323" s="5">
        <v>54758</v>
      </c>
      <c r="X323" s="5">
        <v>66957</v>
      </c>
      <c r="Z323" s="5"/>
    </row>
    <row r="324" spans="1:32" ht="18" x14ac:dyDescent="0.35">
      <c r="A324" s="6">
        <v>105</v>
      </c>
      <c r="B324" t="s">
        <v>218</v>
      </c>
      <c r="C324" s="13" t="s">
        <v>684</v>
      </c>
      <c r="D324" s="13" t="str">
        <f t="shared" si="27"/>
        <v xml:space="preserve">nIdL </v>
      </c>
      <c r="E324" s="13" t="str">
        <f t="shared" si="28"/>
        <v>ltjf/L</v>
      </c>
      <c r="F324" s="21" t="s">
        <v>233</v>
      </c>
      <c r="G324" t="s">
        <v>269</v>
      </c>
      <c r="H324" s="21" t="s">
        <v>756</v>
      </c>
      <c r="I324" s="21" t="s">
        <v>905</v>
      </c>
      <c r="J324" s="21">
        <f t="shared" si="26"/>
        <v>164</v>
      </c>
      <c r="K324" s="21"/>
      <c r="L324" s="15">
        <f t="shared" si="23"/>
        <v>68.575342465753423</v>
      </c>
      <c r="M324" s="15"/>
      <c r="N324" s="15"/>
      <c r="O324" s="15"/>
      <c r="P324" s="15"/>
      <c r="Q324" s="15" t="s">
        <v>963</v>
      </c>
      <c r="R324" s="15"/>
      <c r="S324" s="16">
        <v>0</v>
      </c>
      <c r="T324" s="16">
        <v>8</v>
      </c>
      <c r="U324" s="16">
        <v>3</v>
      </c>
      <c r="V324" s="16">
        <v>2</v>
      </c>
      <c r="W324" s="5">
        <v>41927</v>
      </c>
      <c r="X324" s="5">
        <v>66957</v>
      </c>
      <c r="Z324" s="5">
        <v>63683</v>
      </c>
      <c r="AA324" s="2" t="s">
        <v>2</v>
      </c>
      <c r="AB324" s="2">
        <v>3</v>
      </c>
      <c r="AC324" s="2">
        <v>2</v>
      </c>
      <c r="AD324" s="2">
        <v>1</v>
      </c>
      <c r="AE324" t="s">
        <v>242</v>
      </c>
      <c r="AF324" t="s">
        <v>245</v>
      </c>
    </row>
    <row r="325" spans="1:32" ht="18" x14ac:dyDescent="0.35">
      <c r="A325" s="6"/>
      <c r="C325" s="13" t="s">
        <v>685</v>
      </c>
      <c r="D325" s="13" t="str">
        <f t="shared" si="27"/>
        <v xml:space="preserve">k"0f{ </v>
      </c>
      <c r="E325" s="13" t="str">
        <f t="shared" si="28"/>
        <v>clwsf/L</v>
      </c>
      <c r="F325" s="21" t="s">
        <v>234</v>
      </c>
      <c r="H325" s="21" t="s">
        <v>756</v>
      </c>
      <c r="I325" s="21" t="s">
        <v>906</v>
      </c>
      <c r="J325" s="21">
        <f t="shared" si="26"/>
        <v>53</v>
      </c>
      <c r="K325" s="21"/>
      <c r="L325" s="15">
        <f t="shared" si="23"/>
        <v>63.936986301369863</v>
      </c>
      <c r="M325" s="15"/>
      <c r="N325" s="15"/>
      <c r="O325" s="15"/>
      <c r="P325" s="15"/>
      <c r="Q325" s="15"/>
      <c r="R325" s="15"/>
      <c r="S325" s="16"/>
      <c r="T325" s="16"/>
      <c r="U325" s="16"/>
      <c r="V325" s="16"/>
      <c r="W325" s="5">
        <v>43620</v>
      </c>
      <c r="X325" s="5">
        <v>66957</v>
      </c>
      <c r="Z325" s="5"/>
    </row>
    <row r="326" spans="1:32" ht="18" x14ac:dyDescent="0.35">
      <c r="A326" s="6"/>
      <c r="C326" s="13" t="s">
        <v>686</v>
      </c>
      <c r="D326" s="13" t="str">
        <f t="shared" si="27"/>
        <v xml:space="preserve">s[i0f </v>
      </c>
      <c r="E326" s="13" t="str">
        <f t="shared" si="28"/>
        <v>ltjf/L</v>
      </c>
      <c r="F326" s="21" t="s">
        <v>233</v>
      </c>
      <c r="H326" s="21" t="s">
        <v>757</v>
      </c>
      <c r="I326" s="21" t="s">
        <v>905</v>
      </c>
      <c r="J326" s="21">
        <f t="shared" si="26"/>
        <v>164</v>
      </c>
      <c r="K326" s="21"/>
      <c r="L326" s="15">
        <f t="shared" si="23"/>
        <v>26.073972602739726</v>
      </c>
      <c r="M326" s="15"/>
      <c r="N326" s="15"/>
      <c r="O326" s="15"/>
      <c r="P326" s="15"/>
      <c r="Q326" s="15"/>
      <c r="R326" s="15"/>
      <c r="S326" s="16"/>
      <c r="T326" s="16"/>
      <c r="U326" s="16"/>
      <c r="V326" s="16"/>
      <c r="W326" s="5">
        <v>57440</v>
      </c>
      <c r="X326" s="5">
        <v>66957</v>
      </c>
      <c r="Z326" s="5"/>
    </row>
    <row r="327" spans="1:32" ht="18" x14ac:dyDescent="0.35">
      <c r="A327" s="6">
        <v>106</v>
      </c>
      <c r="B327" t="s">
        <v>46</v>
      </c>
      <c r="C327" s="13" t="s">
        <v>687</v>
      </c>
      <c r="D327" s="13" t="str">
        <f t="shared" si="27"/>
        <v xml:space="preserve">/Tg </v>
      </c>
      <c r="E327" s="13" t="str">
        <f t="shared" si="28"/>
        <v>&gt;]i7</v>
      </c>
      <c r="F327" s="21" t="s">
        <v>234</v>
      </c>
      <c r="G327" t="s">
        <v>307</v>
      </c>
      <c r="H327" s="21" t="s">
        <v>756</v>
      </c>
      <c r="I327" s="21" t="s">
        <v>906</v>
      </c>
      <c r="J327" s="21">
        <f t="shared" si="26"/>
        <v>53</v>
      </c>
      <c r="K327" s="21"/>
      <c r="L327" s="15">
        <f t="shared" ref="L327:L348" si="29">(X327-W327)/365</f>
        <v>83.295890410958904</v>
      </c>
      <c r="M327" s="15"/>
      <c r="N327" s="15"/>
      <c r="O327" s="15"/>
      <c r="P327" s="15"/>
      <c r="Q327" s="15" t="s">
        <v>963</v>
      </c>
      <c r="R327" s="15"/>
      <c r="S327" s="16">
        <v>0</v>
      </c>
      <c r="T327" s="16">
        <v>4</v>
      </c>
      <c r="U327" s="16">
        <v>0</v>
      </c>
      <c r="V327" s="16">
        <v>0</v>
      </c>
      <c r="W327" s="5">
        <v>36554</v>
      </c>
      <c r="X327" s="5">
        <v>66957</v>
      </c>
      <c r="Z327" s="5">
        <v>63673</v>
      </c>
      <c r="AA327" s="2" t="s">
        <v>2</v>
      </c>
      <c r="AB327" s="2">
        <v>5</v>
      </c>
      <c r="AC327" s="2">
        <v>2</v>
      </c>
      <c r="AD327" s="2">
        <v>3</v>
      </c>
      <c r="AE327" t="s">
        <v>242</v>
      </c>
      <c r="AF327" t="s">
        <v>245</v>
      </c>
    </row>
    <row r="328" spans="1:32" ht="18" x14ac:dyDescent="0.35">
      <c r="A328" s="6"/>
      <c r="C328" s="13" t="s">
        <v>688</v>
      </c>
      <c r="D328" s="13" t="str">
        <f t="shared" si="27"/>
        <v xml:space="preserve">/fd </v>
      </c>
      <c r="E328" s="13" t="str">
        <f t="shared" si="28"/>
        <v>&gt;]i7</v>
      </c>
      <c r="F328" s="21" t="s">
        <v>233</v>
      </c>
      <c r="H328" s="21" t="s">
        <v>756</v>
      </c>
      <c r="I328" s="21" t="s">
        <v>905</v>
      </c>
      <c r="J328" s="21">
        <f t="shared" si="26"/>
        <v>164</v>
      </c>
      <c r="K328" s="21"/>
      <c r="L328" s="15">
        <f t="shared" si="29"/>
        <v>44.778082191780825</v>
      </c>
      <c r="M328" s="15"/>
      <c r="N328" s="15"/>
      <c r="O328" s="15"/>
      <c r="P328" s="15"/>
      <c r="Q328" s="15"/>
      <c r="R328" s="15"/>
      <c r="S328" s="16"/>
      <c r="T328" s="16"/>
      <c r="U328" s="16"/>
      <c r="V328" s="16"/>
      <c r="W328" s="5">
        <v>50613</v>
      </c>
      <c r="X328" s="5">
        <v>66957</v>
      </c>
      <c r="Z328" s="5"/>
    </row>
    <row r="329" spans="1:32" ht="18" x14ac:dyDescent="0.35">
      <c r="A329" s="6"/>
      <c r="C329" s="13" t="s">
        <v>689</v>
      </c>
      <c r="D329" s="13" t="str">
        <f t="shared" si="27"/>
        <v xml:space="preserve">;/:jtL </v>
      </c>
      <c r="E329" s="13" t="str">
        <f t="shared" si="28"/>
        <v>&gt;]i7</v>
      </c>
      <c r="F329" s="21" t="s">
        <v>234</v>
      </c>
      <c r="H329" s="21" t="s">
        <v>756</v>
      </c>
      <c r="I329" s="21" t="s">
        <v>905</v>
      </c>
      <c r="J329" s="21">
        <f t="shared" si="26"/>
        <v>107</v>
      </c>
      <c r="K329" s="21"/>
      <c r="L329" s="15">
        <f t="shared" si="29"/>
        <v>37.671232876712331</v>
      </c>
      <c r="M329" s="15"/>
      <c r="N329" s="15"/>
      <c r="O329" s="15"/>
      <c r="P329" s="15"/>
      <c r="Q329" s="15"/>
      <c r="R329" s="15"/>
      <c r="S329" s="16"/>
      <c r="T329" s="16"/>
      <c r="U329" s="16"/>
      <c r="V329" s="16"/>
      <c r="W329" s="5">
        <v>53207</v>
      </c>
      <c r="X329" s="5">
        <v>66957</v>
      </c>
      <c r="Z329" s="5"/>
    </row>
    <row r="330" spans="1:32" ht="18" x14ac:dyDescent="0.35">
      <c r="A330" s="6"/>
      <c r="C330" s="13" t="s">
        <v>690</v>
      </c>
      <c r="D330" s="13" t="str">
        <f t="shared" si="27"/>
        <v xml:space="preserve">l/ltdf </v>
      </c>
      <c r="E330" s="13" t="str">
        <f t="shared" si="28"/>
        <v>&gt;]i7</v>
      </c>
      <c r="F330" s="21" t="s">
        <v>234</v>
      </c>
      <c r="H330" s="21" t="s">
        <v>757</v>
      </c>
      <c r="I330" s="21" t="s">
        <v>905</v>
      </c>
      <c r="J330" s="21">
        <f t="shared" si="26"/>
        <v>107</v>
      </c>
      <c r="K330" s="21"/>
      <c r="L330" s="15">
        <f t="shared" si="29"/>
        <v>19.671232876712327</v>
      </c>
      <c r="M330" s="15"/>
      <c r="N330" s="15"/>
      <c r="O330" s="15"/>
      <c r="P330" s="15"/>
      <c r="Q330" s="15"/>
      <c r="R330" s="15"/>
      <c r="S330" s="16"/>
      <c r="T330" s="16"/>
      <c r="U330" s="16"/>
      <c r="V330" s="16"/>
      <c r="W330" s="5">
        <v>59777</v>
      </c>
      <c r="X330" s="5">
        <v>66957</v>
      </c>
      <c r="Z330" s="5"/>
    </row>
    <row r="331" spans="1:32" ht="18" x14ac:dyDescent="0.35">
      <c r="A331" s="6"/>
      <c r="C331" s="13" t="s">
        <v>691</v>
      </c>
      <c r="D331" s="13" t="str">
        <f t="shared" si="27"/>
        <v xml:space="preserve">cflbTo </v>
      </c>
      <c r="E331" s="13" t="str">
        <f t="shared" si="28"/>
        <v>&gt;]i7</v>
      </c>
      <c r="F331" s="21" t="s">
        <v>233</v>
      </c>
      <c r="H331" s="21" t="s">
        <v>757</v>
      </c>
      <c r="I331" s="21" t="s">
        <v>905</v>
      </c>
      <c r="J331" s="21">
        <f t="shared" si="26"/>
        <v>164</v>
      </c>
      <c r="K331" s="21"/>
      <c r="L331" s="15">
        <f t="shared" si="29"/>
        <v>15.917808219178083</v>
      </c>
      <c r="M331" s="15"/>
      <c r="N331" s="15"/>
      <c r="O331" s="15"/>
      <c r="P331" s="15"/>
      <c r="Q331" s="15"/>
      <c r="R331" s="15"/>
      <c r="S331" s="16"/>
      <c r="T331" s="16"/>
      <c r="U331" s="16"/>
      <c r="V331" s="16"/>
      <c r="W331" s="5">
        <v>61147</v>
      </c>
      <c r="X331" s="5">
        <v>66957</v>
      </c>
      <c r="Z331" s="5"/>
    </row>
    <row r="332" spans="1:32" ht="18" x14ac:dyDescent="0.35">
      <c r="A332" s="6">
        <v>107</v>
      </c>
      <c r="B332" t="s">
        <v>219</v>
      </c>
      <c r="C332" s="13" t="s">
        <v>692</v>
      </c>
      <c r="D332" s="13" t="str">
        <f t="shared" si="27"/>
        <v xml:space="preserve">hLa </v>
      </c>
      <c r="E332" s="13" t="str">
        <f t="shared" si="28"/>
        <v>bfxfn</v>
      </c>
      <c r="F332" s="21" t="s">
        <v>233</v>
      </c>
      <c r="G332" t="s">
        <v>274</v>
      </c>
      <c r="H332" s="21" t="s">
        <v>756</v>
      </c>
      <c r="I332" s="21" t="s">
        <v>905</v>
      </c>
      <c r="J332" s="21">
        <f t="shared" si="26"/>
        <v>164</v>
      </c>
      <c r="K332" s="21"/>
      <c r="L332" s="15">
        <f t="shared" si="29"/>
        <v>77</v>
      </c>
      <c r="M332" s="15"/>
      <c r="N332" s="15"/>
      <c r="O332" s="15"/>
      <c r="P332" s="15"/>
      <c r="Q332" s="15" t="s">
        <v>965</v>
      </c>
      <c r="R332" s="15"/>
      <c r="S332" s="16">
        <v>0</v>
      </c>
      <c r="T332" s="16">
        <v>11</v>
      </c>
      <c r="U332" s="16">
        <v>1</v>
      </c>
      <c r="V332" s="16">
        <v>0</v>
      </c>
      <c r="W332" s="5">
        <v>38852</v>
      </c>
      <c r="X332" s="5">
        <v>66957</v>
      </c>
      <c r="Z332" s="5">
        <v>63649</v>
      </c>
      <c r="AA332" s="2" t="s">
        <v>2</v>
      </c>
      <c r="AB332" s="2">
        <v>6</v>
      </c>
      <c r="AC332" s="2">
        <v>1</v>
      </c>
      <c r="AD332" s="2">
        <v>5</v>
      </c>
      <c r="AE332" t="s">
        <v>239</v>
      </c>
      <c r="AF332" t="s">
        <v>245</v>
      </c>
    </row>
    <row r="333" spans="1:32" ht="18" x14ac:dyDescent="0.35">
      <c r="A333" s="6"/>
      <c r="C333" s="13" t="s">
        <v>693</v>
      </c>
      <c r="D333" s="13" t="str">
        <f t="shared" si="27"/>
        <v xml:space="preserve">s]z/ </v>
      </c>
      <c r="E333" s="13" t="str">
        <f t="shared" si="28"/>
        <v>bfxfn</v>
      </c>
      <c r="F333" s="21" t="s">
        <v>234</v>
      </c>
      <c r="H333" s="21" t="s">
        <v>756</v>
      </c>
      <c r="I333" s="21" t="s">
        <v>906</v>
      </c>
      <c r="J333" s="21">
        <f t="shared" si="26"/>
        <v>53</v>
      </c>
      <c r="K333" s="21"/>
      <c r="L333" s="15">
        <f t="shared" si="29"/>
        <v>73.205479452054789</v>
      </c>
      <c r="M333" s="15"/>
      <c r="N333" s="15"/>
      <c r="O333" s="15"/>
      <c r="P333" s="15"/>
      <c r="Q333" s="15"/>
      <c r="R333" s="15"/>
      <c r="S333" s="16"/>
      <c r="T333" s="16"/>
      <c r="U333" s="16"/>
      <c r="V333" s="16"/>
      <c r="W333" s="5">
        <v>40237</v>
      </c>
      <c r="X333" s="5">
        <v>66957</v>
      </c>
      <c r="Z333" s="5"/>
    </row>
    <row r="334" spans="1:32" ht="18" x14ac:dyDescent="0.35">
      <c r="A334" s="6"/>
      <c r="C334" s="13" t="s">
        <v>694</v>
      </c>
      <c r="D334" s="13" t="str">
        <f t="shared" si="27"/>
        <v xml:space="preserve">lgzf </v>
      </c>
      <c r="E334" s="13" t="str">
        <f t="shared" si="28"/>
        <v>zdf{</v>
      </c>
      <c r="F334" s="21" t="s">
        <v>234</v>
      </c>
      <c r="H334" s="21" t="s">
        <v>757</v>
      </c>
      <c r="I334" s="21" t="s">
        <v>905</v>
      </c>
      <c r="J334" s="21">
        <f t="shared" si="26"/>
        <v>107</v>
      </c>
      <c r="K334" s="21"/>
      <c r="L334" s="15">
        <f t="shared" si="29"/>
        <v>40.06849315068493</v>
      </c>
      <c r="M334" s="15"/>
      <c r="N334" s="15"/>
      <c r="O334" s="15"/>
      <c r="P334" s="15"/>
      <c r="Q334" s="15"/>
      <c r="R334" s="15"/>
      <c r="S334" s="16"/>
      <c r="T334" s="16"/>
      <c r="U334" s="16"/>
      <c r="V334" s="16"/>
      <c r="W334" s="5">
        <v>52332</v>
      </c>
      <c r="X334" s="5">
        <v>66957</v>
      </c>
      <c r="Z334" s="5"/>
    </row>
    <row r="335" spans="1:32" ht="18" x14ac:dyDescent="0.35">
      <c r="A335" s="6"/>
      <c r="C335" s="13" t="s">
        <v>695</v>
      </c>
      <c r="D335" s="13" t="str">
        <f t="shared" si="27"/>
        <v xml:space="preserve">kf]if0f </v>
      </c>
      <c r="E335" s="13" t="str">
        <f t="shared" si="28"/>
        <v>zdf{</v>
      </c>
      <c r="F335" s="21" t="s">
        <v>234</v>
      </c>
      <c r="H335" s="21" t="s">
        <v>757</v>
      </c>
      <c r="I335" s="21" t="s">
        <v>905</v>
      </c>
      <c r="J335" s="21">
        <f t="shared" si="26"/>
        <v>107</v>
      </c>
      <c r="K335" s="21"/>
      <c r="L335" s="15">
        <f t="shared" si="29"/>
        <v>33.090410958904108</v>
      </c>
      <c r="M335" s="15"/>
      <c r="N335" s="15"/>
      <c r="O335" s="15"/>
      <c r="P335" s="15"/>
      <c r="Q335" s="15"/>
      <c r="R335" s="15"/>
      <c r="S335" s="16"/>
      <c r="T335" s="16"/>
      <c r="U335" s="16"/>
      <c r="V335" s="16"/>
      <c r="W335" s="5">
        <v>54879</v>
      </c>
      <c r="X335" s="5">
        <v>66957</v>
      </c>
      <c r="Z335" s="5"/>
    </row>
    <row r="336" spans="1:32" ht="18" x14ac:dyDescent="0.35">
      <c r="A336" s="6"/>
      <c r="C336" s="13" t="s">
        <v>696</v>
      </c>
      <c r="D336" s="13" t="str">
        <f t="shared" si="27"/>
        <v xml:space="preserve">g]z' </v>
      </c>
      <c r="E336" s="13" t="str">
        <f t="shared" si="28"/>
        <v>zdf{</v>
      </c>
      <c r="F336" s="21" t="s">
        <v>234</v>
      </c>
      <c r="H336" s="21" t="s">
        <v>757</v>
      </c>
      <c r="I336" s="21" t="s">
        <v>905</v>
      </c>
      <c r="J336" s="21">
        <f t="shared" si="26"/>
        <v>107</v>
      </c>
      <c r="K336" s="21"/>
      <c r="L336" s="15">
        <f t="shared" si="29"/>
        <v>31.791780821917808</v>
      </c>
      <c r="M336" s="15"/>
      <c r="N336" s="15"/>
      <c r="O336" s="15"/>
      <c r="P336" s="15"/>
      <c r="Q336" s="15"/>
      <c r="R336" s="15"/>
      <c r="S336" s="16"/>
      <c r="T336" s="16"/>
      <c r="U336" s="16"/>
      <c r="V336" s="16"/>
      <c r="W336" s="5">
        <v>55353</v>
      </c>
      <c r="X336" s="5">
        <v>66957</v>
      </c>
      <c r="Z336" s="5"/>
    </row>
    <row r="337" spans="1:32" ht="18" x14ac:dyDescent="0.35">
      <c r="A337" s="6"/>
      <c r="C337" s="13" t="s">
        <v>697</v>
      </c>
      <c r="D337" s="13" t="str">
        <f t="shared" si="27"/>
        <v xml:space="preserve">piff </v>
      </c>
      <c r="E337" s="13" t="str">
        <f t="shared" si="28"/>
        <v>zdf{</v>
      </c>
      <c r="F337" s="21" t="s">
        <v>234</v>
      </c>
      <c r="H337" s="21" t="s">
        <v>757</v>
      </c>
      <c r="I337" s="21" t="s">
        <v>905</v>
      </c>
      <c r="J337" s="21">
        <f t="shared" si="26"/>
        <v>107</v>
      </c>
      <c r="K337" s="21"/>
      <c r="L337" s="15">
        <f t="shared" si="29"/>
        <v>50.441095890410956</v>
      </c>
      <c r="M337" s="15"/>
      <c r="N337" s="15"/>
      <c r="O337" s="15"/>
      <c r="P337" s="15"/>
      <c r="Q337" s="15"/>
      <c r="R337" s="15"/>
      <c r="S337" s="16"/>
      <c r="T337" s="16"/>
      <c r="U337" s="16"/>
      <c r="V337" s="16"/>
      <c r="W337" s="5">
        <v>48546</v>
      </c>
      <c r="X337" s="5">
        <v>66957</v>
      </c>
      <c r="Z337" s="5"/>
    </row>
    <row r="338" spans="1:32" ht="18" x14ac:dyDescent="0.35">
      <c r="A338" s="6">
        <v>108</v>
      </c>
      <c r="B338" t="s">
        <v>148</v>
      </c>
      <c r="C338" s="13" t="s">
        <v>698</v>
      </c>
      <c r="D338" s="13" t="str">
        <f t="shared" si="27"/>
        <v xml:space="preserve">rGb| </v>
      </c>
      <c r="E338" s="13" t="str">
        <f t="shared" si="28"/>
        <v>a:g]t</v>
      </c>
      <c r="F338" s="21" t="s">
        <v>233</v>
      </c>
      <c r="G338" t="s">
        <v>967</v>
      </c>
      <c r="H338" s="21" t="s">
        <v>756</v>
      </c>
      <c r="I338" s="21" t="s">
        <v>905</v>
      </c>
      <c r="J338" s="21">
        <f t="shared" si="26"/>
        <v>164</v>
      </c>
      <c r="K338" s="21"/>
      <c r="L338" s="15">
        <f t="shared" si="29"/>
        <v>55.589041095890408</v>
      </c>
      <c r="M338" s="15"/>
      <c r="N338" s="15"/>
      <c r="O338" s="15"/>
      <c r="P338" s="15"/>
      <c r="Q338" s="15" t="s">
        <v>962</v>
      </c>
      <c r="R338" s="15"/>
      <c r="S338" s="16" t="s">
        <v>748</v>
      </c>
      <c r="T338" s="16" t="s">
        <v>748</v>
      </c>
      <c r="U338" s="16" t="s">
        <v>748</v>
      </c>
      <c r="V338" s="16" t="s">
        <v>748</v>
      </c>
      <c r="W338" s="5">
        <v>46667</v>
      </c>
      <c r="X338" s="5">
        <v>66957</v>
      </c>
      <c r="Z338" s="5">
        <v>63601</v>
      </c>
      <c r="AA338" s="2" t="s">
        <v>2</v>
      </c>
      <c r="AB338" s="2">
        <v>4</v>
      </c>
      <c r="AC338" s="2">
        <v>2</v>
      </c>
      <c r="AD338" s="2">
        <v>2</v>
      </c>
      <c r="AE338" t="s">
        <v>242</v>
      </c>
      <c r="AF338" t="s">
        <v>245</v>
      </c>
    </row>
    <row r="339" spans="1:32" ht="18" x14ac:dyDescent="0.35">
      <c r="A339" s="6"/>
      <c r="C339" s="13" t="s">
        <v>699</v>
      </c>
      <c r="D339" s="13" t="str">
        <f t="shared" si="27"/>
        <v xml:space="preserve">kz'klt </v>
      </c>
      <c r="E339" s="13" t="str">
        <f t="shared" si="28"/>
        <v>sfsL{</v>
      </c>
      <c r="F339" s="21" t="s">
        <v>234</v>
      </c>
      <c r="H339" s="21" t="s">
        <v>756</v>
      </c>
      <c r="I339" s="21" t="s">
        <v>905</v>
      </c>
      <c r="J339" s="21">
        <f t="shared" si="26"/>
        <v>107</v>
      </c>
      <c r="K339" s="21"/>
      <c r="L339" s="15">
        <f t="shared" si="29"/>
        <v>42.750684931506846</v>
      </c>
      <c r="Q339" s="15"/>
      <c r="S339" s="16"/>
      <c r="T339" s="16"/>
      <c r="U339" s="16"/>
      <c r="V339" s="16"/>
      <c r="W339" s="5">
        <v>51353</v>
      </c>
      <c r="X339" s="5">
        <v>66957</v>
      </c>
      <c r="Z339" s="5"/>
    </row>
    <row r="340" spans="1:32" ht="18" x14ac:dyDescent="0.35">
      <c r="A340" s="6"/>
      <c r="C340" s="13" t="s">
        <v>612</v>
      </c>
      <c r="D340" s="13" t="str">
        <f t="shared" si="27"/>
        <v xml:space="preserve">ljzfn </v>
      </c>
      <c r="E340" s="13" t="str">
        <f t="shared" si="28"/>
        <v>a:g]t</v>
      </c>
      <c r="F340" s="21" t="s">
        <v>233</v>
      </c>
      <c r="H340" s="21" t="s">
        <v>757</v>
      </c>
      <c r="I340" s="21" t="s">
        <v>905</v>
      </c>
      <c r="J340" s="21">
        <f t="shared" si="26"/>
        <v>164</v>
      </c>
      <c r="K340" s="21"/>
      <c r="L340" s="15">
        <f t="shared" si="29"/>
        <v>20.235616438356164</v>
      </c>
      <c r="Q340" s="15"/>
      <c r="S340" s="16"/>
      <c r="T340" s="16"/>
      <c r="U340" s="16"/>
      <c r="V340" s="16"/>
      <c r="W340" s="5">
        <v>59571</v>
      </c>
      <c r="X340" s="5">
        <v>66957</v>
      </c>
      <c r="Z340" s="5"/>
    </row>
    <row r="341" spans="1:32" ht="18" x14ac:dyDescent="0.35">
      <c r="A341" s="6"/>
      <c r="C341" s="13" t="s">
        <v>613</v>
      </c>
      <c r="D341" s="13" t="str">
        <f t="shared" si="27"/>
        <v xml:space="preserve">ljj]s </v>
      </c>
      <c r="E341" s="13" t="str">
        <f t="shared" si="28"/>
        <v>a:g]t</v>
      </c>
      <c r="F341" s="21" t="s">
        <v>233</v>
      </c>
      <c r="H341" s="21" t="s">
        <v>757</v>
      </c>
      <c r="I341" s="21" t="s">
        <v>905</v>
      </c>
      <c r="J341" s="21">
        <f t="shared" si="26"/>
        <v>164</v>
      </c>
      <c r="K341" s="21"/>
      <c r="L341" s="15">
        <f t="shared" si="29"/>
        <v>19.013698630136986</v>
      </c>
      <c r="Q341" s="15"/>
      <c r="S341" s="16"/>
      <c r="T341" s="16"/>
      <c r="U341" s="16"/>
      <c r="V341" s="16"/>
      <c r="W341" s="5">
        <v>60017</v>
      </c>
      <c r="X341" s="5">
        <v>66957</v>
      </c>
      <c r="Z341" s="5"/>
    </row>
    <row r="342" spans="1:32" ht="18" x14ac:dyDescent="0.35">
      <c r="A342" s="6">
        <v>109</v>
      </c>
      <c r="B342" t="s">
        <v>220</v>
      </c>
      <c r="C342" s="13" t="s">
        <v>700</v>
      </c>
      <c r="D342" s="13" t="str">
        <f t="shared" si="27"/>
        <v xml:space="preserve">r'8fd0fL </v>
      </c>
      <c r="E342" s="13" t="str">
        <f t="shared" si="28"/>
        <v>vgfn</v>
      </c>
      <c r="F342" s="21" t="s">
        <v>233</v>
      </c>
      <c r="G342" t="s">
        <v>261</v>
      </c>
      <c r="H342" s="21" t="s">
        <v>756</v>
      </c>
      <c r="I342" s="21" t="s">
        <v>905</v>
      </c>
      <c r="J342" s="21">
        <f t="shared" si="26"/>
        <v>164</v>
      </c>
      <c r="K342" s="21"/>
      <c r="L342" s="15">
        <f t="shared" si="29"/>
        <v>51.819178082191783</v>
      </c>
      <c r="Q342" s="15" t="s">
        <v>963</v>
      </c>
      <c r="S342" s="16" t="s">
        <v>748</v>
      </c>
      <c r="T342" s="16" t="s">
        <v>748</v>
      </c>
      <c r="U342" s="16" t="s">
        <v>748</v>
      </c>
      <c r="V342" s="16" t="s">
        <v>748</v>
      </c>
      <c r="W342" s="5">
        <v>48043</v>
      </c>
      <c r="X342" s="5">
        <v>66957</v>
      </c>
      <c r="Z342" s="5">
        <v>63569</v>
      </c>
      <c r="AA342" s="2" t="s">
        <v>2</v>
      </c>
      <c r="AB342" s="2">
        <v>3</v>
      </c>
      <c r="AC342" s="2">
        <v>2</v>
      </c>
      <c r="AD342" s="2">
        <v>1</v>
      </c>
      <c r="AE342" t="s">
        <v>242</v>
      </c>
      <c r="AF342" t="s">
        <v>245</v>
      </c>
    </row>
    <row r="343" spans="1:32" ht="18" x14ac:dyDescent="0.35">
      <c r="A343" s="6"/>
      <c r="C343" s="13" t="s">
        <v>701</v>
      </c>
      <c r="D343" s="13" t="str">
        <f t="shared" si="27"/>
        <v xml:space="preserve">;'gfb]jL </v>
      </c>
      <c r="E343" s="13" t="str">
        <f t="shared" si="28"/>
        <v>clwsf/L</v>
      </c>
      <c r="F343" s="21" t="s">
        <v>234</v>
      </c>
      <c r="H343" s="21" t="s">
        <v>756</v>
      </c>
      <c r="I343" s="21" t="s">
        <v>905</v>
      </c>
      <c r="J343" s="21">
        <f t="shared" si="26"/>
        <v>107</v>
      </c>
      <c r="K343" s="21"/>
      <c r="L343" s="15">
        <f t="shared" si="29"/>
        <v>50.320547945205476</v>
      </c>
      <c r="Q343" s="15"/>
      <c r="S343" s="16"/>
      <c r="T343" s="16"/>
      <c r="U343" s="16"/>
      <c r="V343" s="16"/>
      <c r="W343" s="5">
        <v>48590</v>
      </c>
      <c r="X343" s="5">
        <v>66957</v>
      </c>
      <c r="Z343" s="5"/>
    </row>
    <row r="344" spans="1:32" ht="18" x14ac:dyDescent="0.35">
      <c r="A344" s="6"/>
      <c r="C344" s="13" t="s">
        <v>702</v>
      </c>
      <c r="D344" s="13" t="str">
        <f t="shared" si="27"/>
        <v xml:space="preserve">;'j0f{ </v>
      </c>
      <c r="E344" s="13" t="str">
        <f t="shared" si="28"/>
        <v>vgfn</v>
      </c>
      <c r="F344" s="21" t="s">
        <v>233</v>
      </c>
      <c r="H344" s="21" t="s">
        <v>757</v>
      </c>
      <c r="I344" s="21" t="s">
        <v>905</v>
      </c>
      <c r="J344" s="21">
        <f t="shared" si="26"/>
        <v>164</v>
      </c>
      <c r="K344" s="21"/>
      <c r="L344" s="15">
        <f t="shared" si="29"/>
        <v>22.07123287671233</v>
      </c>
      <c r="Q344" s="15"/>
      <c r="S344" s="16"/>
      <c r="T344" s="16"/>
      <c r="U344" s="16"/>
      <c r="V344" s="16"/>
      <c r="W344" s="5">
        <v>58901</v>
      </c>
      <c r="X344" s="5">
        <v>66957</v>
      </c>
      <c r="Z344" s="5"/>
    </row>
    <row r="345" spans="1:32" ht="18" x14ac:dyDescent="0.35">
      <c r="A345" s="6">
        <v>110</v>
      </c>
      <c r="B345" t="s">
        <v>221</v>
      </c>
      <c r="C345" s="13" t="s">
        <v>703</v>
      </c>
      <c r="D345" s="13" t="str">
        <f t="shared" si="27"/>
        <v xml:space="preserve">d'/f/L </v>
      </c>
      <c r="E345" s="13" t="str">
        <f t="shared" si="28"/>
        <v>;'j]bL</v>
      </c>
      <c r="F345" s="21" t="s">
        <v>233</v>
      </c>
      <c r="G345" t="s">
        <v>295</v>
      </c>
      <c r="H345" s="21" t="s">
        <v>756</v>
      </c>
      <c r="I345" s="21" t="s">
        <v>905</v>
      </c>
      <c r="J345" s="21">
        <f t="shared" si="26"/>
        <v>164</v>
      </c>
      <c r="K345" s="21"/>
      <c r="L345" s="15">
        <f t="shared" si="29"/>
        <v>54.293150684931504</v>
      </c>
      <c r="Q345" s="15" t="s">
        <v>964</v>
      </c>
      <c r="S345" s="16">
        <v>1</v>
      </c>
      <c r="T345" s="16">
        <v>10</v>
      </c>
      <c r="U345" s="16">
        <v>0</v>
      </c>
      <c r="V345" s="16">
        <v>0</v>
      </c>
      <c r="W345" s="5">
        <v>47140</v>
      </c>
      <c r="X345" s="5">
        <v>66957</v>
      </c>
      <c r="Y345" t="s">
        <v>229</v>
      </c>
      <c r="Z345" s="5">
        <v>63566</v>
      </c>
      <c r="AA345" s="2" t="s">
        <v>2</v>
      </c>
      <c r="AB345" s="2">
        <v>4</v>
      </c>
      <c r="AC345" s="2">
        <v>2</v>
      </c>
      <c r="AD345" s="2">
        <v>2</v>
      </c>
      <c r="AE345" t="s">
        <v>242</v>
      </c>
      <c r="AF345" t="s">
        <v>245</v>
      </c>
    </row>
    <row r="346" spans="1:32" ht="18" x14ac:dyDescent="0.35">
      <c r="A346" s="6"/>
      <c r="C346" s="13" t="s">
        <v>704</v>
      </c>
      <c r="D346" s="13" t="str">
        <f t="shared" si="27"/>
        <v xml:space="preserve">;'ldqf </v>
      </c>
      <c r="E346" s="13" t="str">
        <f t="shared" si="28"/>
        <v>;'j]bL</v>
      </c>
      <c r="F346" s="21" t="s">
        <v>234</v>
      </c>
      <c r="H346" s="21" t="s">
        <v>756</v>
      </c>
      <c r="I346" s="21" t="s">
        <v>906</v>
      </c>
      <c r="J346" s="21">
        <f t="shared" si="26"/>
        <v>53</v>
      </c>
      <c r="K346" s="21"/>
      <c r="L346" s="15">
        <f t="shared" si="29"/>
        <v>49.035616438356165</v>
      </c>
      <c r="Q346" s="15"/>
      <c r="S346" s="16"/>
      <c r="T346" s="16"/>
      <c r="U346" s="16"/>
      <c r="V346" s="16"/>
      <c r="W346" s="5">
        <v>49059</v>
      </c>
      <c r="X346" s="5">
        <v>66957</v>
      </c>
      <c r="Z346" s="5"/>
    </row>
    <row r="347" spans="1:32" ht="18" x14ac:dyDescent="0.35">
      <c r="A347" s="6"/>
      <c r="C347" s="13" t="s">
        <v>705</v>
      </c>
      <c r="D347" s="13" t="str">
        <f t="shared" si="27"/>
        <v xml:space="preserve">laa]s </v>
      </c>
      <c r="E347" s="13" t="str">
        <f t="shared" si="28"/>
        <v>;'j]bL</v>
      </c>
      <c r="F347" s="21" t="s">
        <v>233</v>
      </c>
      <c r="H347" s="21" t="s">
        <v>757</v>
      </c>
      <c r="I347" s="21" t="s">
        <v>905</v>
      </c>
      <c r="J347" s="21">
        <f t="shared" si="26"/>
        <v>164</v>
      </c>
      <c r="K347" s="21"/>
      <c r="L347" s="15">
        <f t="shared" si="29"/>
        <v>21.641095890410959</v>
      </c>
      <c r="Q347" s="15"/>
      <c r="S347" s="16"/>
      <c r="T347" s="16"/>
      <c r="U347" s="16"/>
      <c r="V347" s="16"/>
      <c r="W347" s="5">
        <v>59058</v>
      </c>
      <c r="X347" s="5">
        <v>66957</v>
      </c>
      <c r="Z347" s="5"/>
    </row>
    <row r="348" spans="1:32" ht="18" x14ac:dyDescent="0.35">
      <c r="A348" s="6"/>
      <c r="C348" s="13" t="s">
        <v>706</v>
      </c>
      <c r="D348" s="13" t="str">
        <f t="shared" si="27"/>
        <v xml:space="preserve">;[li6 </v>
      </c>
      <c r="E348" s="13" t="str">
        <f t="shared" si="28"/>
        <v>;'j]bL</v>
      </c>
      <c r="F348" s="21" t="s">
        <v>234</v>
      </c>
      <c r="H348" s="21" t="s">
        <v>757</v>
      </c>
      <c r="I348" s="21" t="s">
        <v>905</v>
      </c>
      <c r="J348" s="21">
        <f t="shared" si="26"/>
        <v>107</v>
      </c>
      <c r="K348" s="21"/>
      <c r="L348" s="15">
        <f t="shared" si="29"/>
        <v>13.282191780821918</v>
      </c>
      <c r="Q348" s="15"/>
      <c r="S348" s="16"/>
      <c r="T348" s="16"/>
      <c r="U348" s="16"/>
      <c r="V348" s="16"/>
      <c r="W348" s="5">
        <v>62109</v>
      </c>
      <c r="X348" s="5">
        <v>66957</v>
      </c>
      <c r="Z348" s="5"/>
    </row>
    <row r="349" spans="1:32" x14ac:dyDescent="0.3">
      <c r="AB349" s="3">
        <f>SUM(AB4:AB348)</f>
        <v>345</v>
      </c>
      <c r="AC349" s="3">
        <f t="shared" ref="AC349:AD349" si="30">SUM(AC4:AC348)</f>
        <v>182</v>
      </c>
      <c r="AD349" s="3">
        <f t="shared" si="30"/>
        <v>163</v>
      </c>
    </row>
  </sheetData>
  <mergeCells count="26">
    <mergeCell ref="W1:W2"/>
    <mergeCell ref="A1:A2"/>
    <mergeCell ref="C1:C2"/>
    <mergeCell ref="D1:D2"/>
    <mergeCell ref="E1:E2"/>
    <mergeCell ref="F1:F2"/>
    <mergeCell ref="H1:H2"/>
    <mergeCell ref="N1:N2"/>
    <mergeCell ref="O1:O2"/>
    <mergeCell ref="Q1:Q2"/>
    <mergeCell ref="AE1:AE2"/>
    <mergeCell ref="G1:G2"/>
    <mergeCell ref="AF1:AF2"/>
    <mergeCell ref="AG1:AG2"/>
    <mergeCell ref="J1:J2"/>
    <mergeCell ref="K1:K2"/>
    <mergeCell ref="X1:X2"/>
    <mergeCell ref="Y1:Y2"/>
    <mergeCell ref="Z1:Z2"/>
    <mergeCell ref="AA1:AA2"/>
    <mergeCell ref="AB1:AD1"/>
    <mergeCell ref="M1:M2"/>
    <mergeCell ref="P1:P2"/>
    <mergeCell ref="I1:I2"/>
    <mergeCell ref="S1:V1"/>
    <mergeCell ref="L1:L2"/>
  </mergeCells>
  <phoneticPr fontId="4" type="noConversion"/>
  <dataValidations count="1">
    <dataValidation type="list" allowBlank="1" showInputMessage="1" showErrorMessage="1" sqref="AA4:AA348" xr:uid="{00000000-0002-0000-0400-000000000000}">
      <formula1>$AA$4:$AA$73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Reasons!$A$2:$A$8</xm:f>
          </x14:formula1>
          <xm:sqref>AE4:AE348</xm:sqref>
        </x14:dataValidation>
        <x14:dataValidation type="list" allowBlank="1" showInputMessage="1" showErrorMessage="1" xr:uid="{187B01E8-8209-47E0-BDC0-855CE082AA84}">
          <x14:formula1>
            <xm:f>Reasons!$A$14:$A$18</xm:f>
          </x14:formula1>
          <xm:sqref>Q4:Q306 Q308:Q348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36"/>
  <sheetViews>
    <sheetView topLeftCell="A55" zoomScaleNormal="100" workbookViewId="0">
      <selection activeCell="T10" sqref="T10"/>
    </sheetView>
  </sheetViews>
  <sheetFormatPr defaultRowHeight="14.4" x14ac:dyDescent="0.3"/>
  <cols>
    <col min="1" max="1" width="5.109375" style="4" bestFit="1" customWidth="1"/>
    <col min="2" max="2" width="25.6640625" hidden="1" customWidth="1"/>
    <col min="3" max="3" width="25.33203125" bestFit="1" customWidth="1"/>
    <col min="4" max="4" width="10.5546875" hidden="1" customWidth="1"/>
    <col min="5" max="6" width="9" hidden="1" customWidth="1"/>
    <col min="7" max="9" width="10.33203125" hidden="1" customWidth="1"/>
    <col min="10" max="10" width="13.33203125" hidden="1" customWidth="1"/>
    <col min="11" max="11" width="7.44140625" customWidth="1"/>
    <col min="12" max="12" width="6.5546875" bestFit="1" customWidth="1"/>
    <col min="15" max="15" width="7.109375" customWidth="1"/>
    <col min="16" max="16" width="5.44140625" customWidth="1"/>
    <col min="17" max="17" width="6" customWidth="1"/>
    <col min="18" max="18" width="5.88671875" customWidth="1"/>
    <col min="19" max="19" width="6.109375" bestFit="1" customWidth="1"/>
    <col min="20" max="20" width="5.44140625" customWidth="1"/>
    <col min="21" max="21" width="6.109375" bestFit="1" customWidth="1"/>
    <col min="22" max="23" width="11.5546875" bestFit="1" customWidth="1"/>
    <col min="24" max="24" width="18" bestFit="1" customWidth="1"/>
    <col min="25" max="25" width="11.5546875" bestFit="1" customWidth="1"/>
    <col min="26" max="26" width="17.6640625" style="2" bestFit="1" customWidth="1"/>
    <col min="27" max="27" width="5.44140625" style="2" bestFit="1" customWidth="1"/>
    <col min="28" max="28" width="5.5546875" style="2" bestFit="1" customWidth="1"/>
    <col min="29" max="29" width="7.5546875" style="2" bestFit="1" customWidth="1"/>
    <col min="30" max="30" width="14.88671875" bestFit="1" customWidth="1"/>
    <col min="31" max="31" width="35.33203125" bestFit="1" customWidth="1"/>
    <col min="32" max="32" width="33.109375" bestFit="1" customWidth="1"/>
    <col min="33" max="33" width="19.5546875" bestFit="1" customWidth="1"/>
  </cols>
  <sheetData>
    <row r="1" spans="1:33" ht="15" customHeight="1" x14ac:dyDescent="0.3">
      <c r="A1" s="56" t="s">
        <v>103</v>
      </c>
      <c r="B1" s="7" t="s">
        <v>102</v>
      </c>
      <c r="C1" s="56" t="s">
        <v>104</v>
      </c>
      <c r="D1" s="56" t="s">
        <v>735</v>
      </c>
      <c r="E1" s="56" t="s">
        <v>736</v>
      </c>
      <c r="F1" s="56" t="s">
        <v>904</v>
      </c>
      <c r="G1" s="58" t="s">
        <v>755</v>
      </c>
      <c r="H1" s="58" t="s">
        <v>758</v>
      </c>
      <c r="I1" s="58" t="s">
        <v>908</v>
      </c>
      <c r="J1" s="58" t="s">
        <v>911</v>
      </c>
      <c r="K1" s="58" t="s">
        <v>917</v>
      </c>
      <c r="L1" s="63" t="s">
        <v>733</v>
      </c>
      <c r="O1" s="60" t="s">
        <v>743</v>
      </c>
      <c r="P1" s="61"/>
      <c r="Q1" s="61"/>
      <c r="R1" s="62"/>
      <c r="S1" s="58"/>
      <c r="T1" s="58"/>
      <c r="U1" s="58"/>
      <c r="V1" s="63" t="s">
        <v>342</v>
      </c>
      <c r="W1" s="63" t="s">
        <v>732</v>
      </c>
      <c r="X1" s="56" t="s">
        <v>106</v>
      </c>
      <c r="Y1" s="56" t="s">
        <v>107</v>
      </c>
      <c r="Z1" s="56" t="s">
        <v>101</v>
      </c>
      <c r="AA1" s="48" t="s">
        <v>105</v>
      </c>
      <c r="AB1" s="49"/>
      <c r="AC1" s="50"/>
      <c r="AD1" s="51" t="s">
        <v>236</v>
      </c>
      <c r="AE1" s="52" t="s">
        <v>246</v>
      </c>
      <c r="AF1" s="53" t="s">
        <v>243</v>
      </c>
      <c r="AG1" s="55" t="s">
        <v>247</v>
      </c>
    </row>
    <row r="2" spans="1:33" x14ac:dyDescent="0.3">
      <c r="A2" s="57"/>
      <c r="B2" s="7"/>
      <c r="C2" s="57"/>
      <c r="D2" s="57"/>
      <c r="E2" s="57"/>
      <c r="F2" s="57"/>
      <c r="G2" s="59"/>
      <c r="H2" s="59"/>
      <c r="I2" s="59"/>
      <c r="J2" s="59"/>
      <c r="K2" s="59"/>
      <c r="L2" s="64"/>
      <c r="O2" s="18" t="s">
        <v>744</v>
      </c>
      <c r="P2" s="17" t="s">
        <v>745</v>
      </c>
      <c r="Q2" s="17" t="s">
        <v>746</v>
      </c>
      <c r="R2" s="17" t="s">
        <v>747</v>
      </c>
      <c r="S2" s="59"/>
      <c r="T2" s="59"/>
      <c r="U2" s="59"/>
      <c r="V2" s="64"/>
      <c r="W2" s="64"/>
      <c r="X2" s="57"/>
      <c r="Y2" s="57"/>
      <c r="Z2" s="57"/>
      <c r="AA2" s="7" t="s">
        <v>232</v>
      </c>
      <c r="AB2" s="7" t="s">
        <v>233</v>
      </c>
      <c r="AC2" s="7" t="s">
        <v>234</v>
      </c>
      <c r="AD2" s="51"/>
      <c r="AE2" s="52"/>
      <c r="AF2" s="53"/>
      <c r="AG2" s="55"/>
    </row>
    <row r="3" spans="1:33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" x14ac:dyDescent="0.35">
      <c r="A4" s="6">
        <v>1</v>
      </c>
      <c r="B4" t="s">
        <v>0</v>
      </c>
      <c r="C4" s="13" t="s">
        <v>352</v>
      </c>
      <c r="D4" s="13" t="str">
        <f t="shared" ref="D4:D67" si="0">LEFT(C4,(FIND(" ",C4)))</f>
        <v xml:space="preserve">ljsf; </v>
      </c>
      <c r="E4" s="13" t="str">
        <f t="shared" ref="E4:E35" si="1">TRIM(RIGHT(SUBSTITUTE(C4," ",REPT(" ",255)),255))</f>
        <v>sfsL{</v>
      </c>
      <c r="F4" s="21" t="s">
        <v>233</v>
      </c>
      <c r="G4" s="21" t="s">
        <v>756</v>
      </c>
      <c r="H4" s="21" t="s">
        <v>905</v>
      </c>
      <c r="I4" s="21">
        <f t="shared" ref="I4:I67" si="2">IF(L4&gt;=5,(COUNTIFS($H$4:$H$335,H4,$F$4:$F$335,F4)))</f>
        <v>164</v>
      </c>
      <c r="J4" s="21" cm="1">
        <f t="array" ref="J4:J7">_xlfn.UNIQUE(I4:I335)</f>
        <v>164</v>
      </c>
      <c r="K4" s="21" t="str">
        <f t="shared" ref="K4:K67" si="3">IF(L4&gt;=5,"-")</f>
        <v>-</v>
      </c>
      <c r="L4" s="15">
        <f t="shared" ref="L4:L67" si="4">(W4-V4)/365</f>
        <v>42.989041095890414</v>
      </c>
      <c r="O4">
        <v>0</v>
      </c>
      <c r="P4" s="16">
        <f>2+1</f>
        <v>3</v>
      </c>
      <c r="Q4" s="16">
        <f>3+3</f>
        <v>6</v>
      </c>
      <c r="R4" s="16">
        <v>1</v>
      </c>
      <c r="S4" s="21" t="s">
        <v>745</v>
      </c>
      <c r="T4" s="26">
        <f>COUNTIF($S$4:$S$335,U4)</f>
        <v>62</v>
      </c>
      <c r="U4" s="26" t="str" cm="1">
        <f t="array" ref="U4:U7">_xlfn.UNIQUE(S4:S335)</f>
        <v>Aana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3</v>
      </c>
      <c r="AB4" s="3">
        <v>2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" x14ac:dyDescent="0.35">
      <c r="A5" s="6"/>
      <c r="C5" s="13" t="s">
        <v>343</v>
      </c>
      <c r="D5" s="13" t="str">
        <f t="shared" si="0"/>
        <v xml:space="preserve">ejfgL </v>
      </c>
      <c r="E5" s="13" t="str">
        <f t="shared" si="1"/>
        <v>nfdf</v>
      </c>
      <c r="F5" s="21" t="s">
        <v>234</v>
      </c>
      <c r="G5" s="21" t="s">
        <v>756</v>
      </c>
      <c r="H5" s="21" t="s">
        <v>906</v>
      </c>
      <c r="I5" s="21">
        <f t="shared" si="2"/>
        <v>58</v>
      </c>
      <c r="J5" s="21">
        <v>58</v>
      </c>
      <c r="K5" s="21" t="str">
        <f t="shared" si="3"/>
        <v>-</v>
      </c>
      <c r="L5" s="15">
        <f t="shared" si="4"/>
        <v>39.147945205479452</v>
      </c>
      <c r="O5" s="16"/>
      <c r="P5" s="16"/>
      <c r="Q5" s="16"/>
      <c r="R5" s="16"/>
      <c r="S5" s="21"/>
      <c r="T5" s="26">
        <f t="shared" ref="T5:T7" si="5">COUNTIF($S$4:$S$335,U5)</f>
        <v>0</v>
      </c>
      <c r="U5" s="26">
        <v>0</v>
      </c>
      <c r="V5" s="5">
        <v>52668</v>
      </c>
      <c r="W5" s="5">
        <v>66957</v>
      </c>
      <c r="Y5" s="5"/>
      <c r="AA5" s="3"/>
      <c r="AB5" s="3"/>
      <c r="AC5" s="3"/>
    </row>
    <row r="6" spans="1:33" ht="18" x14ac:dyDescent="0.35">
      <c r="A6" s="6"/>
      <c r="C6" s="13" t="s">
        <v>344</v>
      </c>
      <c r="D6" s="13" t="str">
        <f t="shared" si="0"/>
        <v xml:space="preserve">k|uNe </v>
      </c>
      <c r="E6" s="13" t="str">
        <f t="shared" si="1"/>
        <v>sfsL{</v>
      </c>
      <c r="F6" s="21" t="s">
        <v>233</v>
      </c>
      <c r="G6" s="21" t="s">
        <v>757</v>
      </c>
      <c r="H6" s="21" t="s">
        <v>905</v>
      </c>
      <c r="I6" s="21">
        <f t="shared" si="2"/>
        <v>164</v>
      </c>
      <c r="J6" s="21">
        <v>99</v>
      </c>
      <c r="K6" s="21" t="str">
        <f t="shared" si="3"/>
        <v>-</v>
      </c>
      <c r="L6" s="15">
        <f t="shared" si="4"/>
        <v>16.443835616438356</v>
      </c>
      <c r="O6" s="16"/>
      <c r="P6" s="16"/>
      <c r="Q6" s="16"/>
      <c r="R6" s="16"/>
      <c r="S6" s="21"/>
      <c r="T6" s="26">
        <f t="shared" si="5"/>
        <v>16</v>
      </c>
      <c r="U6" s="26" t="str">
        <v>ropani</v>
      </c>
      <c r="V6" s="5">
        <v>60955</v>
      </c>
      <c r="W6" s="5">
        <v>66957</v>
      </c>
      <c r="Y6" s="5"/>
      <c r="AA6" s="3"/>
      <c r="AB6" s="3"/>
      <c r="AC6" s="3"/>
    </row>
    <row r="7" spans="1:33" ht="18" x14ac:dyDescent="0.35">
      <c r="A7" s="6">
        <v>2</v>
      </c>
      <c r="B7" t="s">
        <v>3</v>
      </c>
      <c r="C7" s="13" t="s">
        <v>353</v>
      </c>
      <c r="D7" s="13" t="str">
        <f t="shared" si="0"/>
        <v xml:space="preserve">lbks </v>
      </c>
      <c r="E7" s="13" t="str">
        <f t="shared" si="1"/>
        <v>e§/fO{</v>
      </c>
      <c r="F7" s="21" t="s">
        <v>233</v>
      </c>
      <c r="G7" s="21" t="s">
        <v>756</v>
      </c>
      <c r="H7" s="21" t="s">
        <v>905</v>
      </c>
      <c r="I7" s="21">
        <f t="shared" si="2"/>
        <v>164</v>
      </c>
      <c r="J7" s="21">
        <v>11</v>
      </c>
      <c r="K7" s="21" t="str">
        <f t="shared" si="3"/>
        <v>-</v>
      </c>
      <c r="L7" s="15">
        <f t="shared" si="4"/>
        <v>47.167123287671231</v>
      </c>
      <c r="O7" s="16">
        <v>0</v>
      </c>
      <c r="P7" s="16">
        <f>1+3</f>
        <v>4</v>
      </c>
      <c r="Q7" s="16">
        <v>0</v>
      </c>
      <c r="R7" s="16">
        <v>0</v>
      </c>
      <c r="S7" s="21" t="s">
        <v>745</v>
      </c>
      <c r="T7" s="26">
        <f t="shared" si="5"/>
        <v>11</v>
      </c>
      <c r="U7" s="26" t="str">
        <v>-</v>
      </c>
      <c r="V7" s="5">
        <v>49741</v>
      </c>
      <c r="W7" s="5">
        <v>66957</v>
      </c>
      <c r="X7" t="s">
        <v>4</v>
      </c>
      <c r="Y7" s="5">
        <v>66890</v>
      </c>
      <c r="Z7" s="2" t="s">
        <v>2</v>
      </c>
      <c r="AA7" s="2">
        <v>4</v>
      </c>
      <c r="AB7" s="2">
        <v>2</v>
      </c>
      <c r="AC7" s="2">
        <v>2</v>
      </c>
      <c r="AD7" t="s">
        <v>242</v>
      </c>
      <c r="AE7" t="s">
        <v>332</v>
      </c>
      <c r="AF7" t="s">
        <v>245</v>
      </c>
      <c r="AG7" s="13" t="str">
        <f>C7</f>
        <v>lbks axfb'/ e§/fO{</v>
      </c>
    </row>
    <row r="8" spans="1:33" ht="18" x14ac:dyDescent="0.35">
      <c r="A8" s="6"/>
      <c r="C8" s="13" t="s">
        <v>346</v>
      </c>
      <c r="D8" s="13" t="str">
        <f t="shared" si="0"/>
        <v xml:space="preserve">pld{nf </v>
      </c>
      <c r="E8" s="13" t="str">
        <f t="shared" si="1"/>
        <v>j:tL</v>
      </c>
      <c r="F8" s="21" t="s">
        <v>234</v>
      </c>
      <c r="G8" s="21" t="s">
        <v>756</v>
      </c>
      <c r="H8" s="21" t="s">
        <v>906</v>
      </c>
      <c r="I8" s="21">
        <f t="shared" si="2"/>
        <v>58</v>
      </c>
      <c r="J8" s="21"/>
      <c r="K8" s="21" t="str">
        <f t="shared" si="3"/>
        <v>-</v>
      </c>
      <c r="L8" s="15">
        <f t="shared" si="4"/>
        <v>40.983561643835614</v>
      </c>
      <c r="O8" s="16"/>
      <c r="P8" s="16"/>
      <c r="Q8" s="16"/>
      <c r="R8" s="16"/>
      <c r="S8" s="21"/>
      <c r="T8" s="21"/>
      <c r="U8" s="21"/>
      <c r="V8" s="5">
        <v>51998</v>
      </c>
      <c r="W8" s="5">
        <v>66957</v>
      </c>
      <c r="Y8" s="5"/>
      <c r="AA8" s="3"/>
      <c r="AB8" s="3"/>
      <c r="AC8" s="3"/>
    </row>
    <row r="9" spans="1:33" ht="18" x14ac:dyDescent="0.35">
      <c r="A9" s="6"/>
      <c r="C9" s="13" t="s">
        <v>348</v>
      </c>
      <c r="D9" s="13" t="str">
        <f t="shared" si="0"/>
        <v xml:space="preserve">/Ltf </v>
      </c>
      <c r="E9" s="13" t="str">
        <f t="shared" si="1"/>
        <v>e§/fO{</v>
      </c>
      <c r="F9" s="21" t="s">
        <v>234</v>
      </c>
      <c r="G9" s="21" t="s">
        <v>757</v>
      </c>
      <c r="H9" s="21" t="s">
        <v>905</v>
      </c>
      <c r="I9" s="21">
        <f t="shared" si="2"/>
        <v>99</v>
      </c>
      <c r="J9" s="21"/>
      <c r="K9" s="21" t="str">
        <f t="shared" si="3"/>
        <v>-</v>
      </c>
      <c r="L9" s="15">
        <f t="shared" si="4"/>
        <v>17.117808219178084</v>
      </c>
      <c r="O9" s="16"/>
      <c r="P9" s="16"/>
      <c r="Q9" s="16"/>
      <c r="R9" s="16"/>
      <c r="S9" s="21"/>
      <c r="T9" s="21"/>
      <c r="U9" s="21"/>
      <c r="V9" s="5">
        <v>60709</v>
      </c>
      <c r="W9" s="5">
        <v>66957</v>
      </c>
      <c r="Y9" s="5"/>
      <c r="AA9" s="3"/>
      <c r="AB9" s="3"/>
      <c r="AC9" s="3"/>
    </row>
    <row r="10" spans="1:33" ht="18" x14ac:dyDescent="0.35">
      <c r="A10" s="6"/>
      <c r="C10" s="13" t="s">
        <v>345</v>
      </c>
      <c r="D10" s="13" t="str">
        <f t="shared" si="0"/>
        <v xml:space="preserve">cEo'bo </v>
      </c>
      <c r="E10" s="13" t="str">
        <f t="shared" si="1"/>
        <v>sfsL{</v>
      </c>
      <c r="F10" s="21" t="s">
        <v>233</v>
      </c>
      <c r="G10" s="21" t="s">
        <v>757</v>
      </c>
      <c r="H10" s="21" t="s">
        <v>905</v>
      </c>
      <c r="I10" s="21">
        <f t="shared" si="2"/>
        <v>164</v>
      </c>
      <c r="J10" s="21"/>
      <c r="K10" s="21" t="str">
        <f t="shared" si="3"/>
        <v>-</v>
      </c>
      <c r="L10" s="15">
        <f t="shared" si="4"/>
        <v>14.632876712328768</v>
      </c>
      <c r="O10" s="16"/>
      <c r="P10" s="16"/>
      <c r="Q10" s="16"/>
      <c r="R10" s="16"/>
      <c r="S10" s="21"/>
      <c r="T10" s="21"/>
      <c r="U10" s="21"/>
      <c r="V10" s="5">
        <v>61616</v>
      </c>
      <c r="W10" s="5">
        <v>66957</v>
      </c>
      <c r="Y10" s="5"/>
      <c r="AA10" s="3"/>
      <c r="AB10" s="3"/>
      <c r="AC10" s="3"/>
    </row>
    <row r="11" spans="1:33" ht="18" x14ac:dyDescent="0.35">
      <c r="A11" s="6">
        <v>3</v>
      </c>
      <c r="B11" t="s">
        <v>5</v>
      </c>
      <c r="C11" s="13" t="s">
        <v>354</v>
      </c>
      <c r="D11" s="13" t="str">
        <f t="shared" si="0"/>
        <v xml:space="preserve">s[i0f </v>
      </c>
      <c r="E11" s="13" t="str">
        <f t="shared" si="1"/>
        <v>Kofs'/]n</v>
      </c>
      <c r="F11" s="21" t="s">
        <v>233</v>
      </c>
      <c r="G11" s="21" t="s">
        <v>756</v>
      </c>
      <c r="H11" s="21" t="s">
        <v>905</v>
      </c>
      <c r="I11" s="21">
        <f t="shared" si="2"/>
        <v>164</v>
      </c>
      <c r="J11" s="21"/>
      <c r="K11" s="21" t="str">
        <f t="shared" si="3"/>
        <v>-</v>
      </c>
      <c r="L11" s="15">
        <f t="shared" si="4"/>
        <v>26.136986301369863</v>
      </c>
      <c r="O11" s="16">
        <v>0</v>
      </c>
      <c r="P11" s="16">
        <v>2</v>
      </c>
      <c r="Q11" s="16">
        <v>3</v>
      </c>
      <c r="R11" s="16">
        <v>0</v>
      </c>
      <c r="S11" s="21" t="s">
        <v>745</v>
      </c>
      <c r="T11" s="21"/>
      <c r="U11" s="21"/>
      <c r="V11" s="5">
        <v>57417</v>
      </c>
      <c r="W11" s="5">
        <v>66957</v>
      </c>
      <c r="Y11" s="5">
        <v>66876</v>
      </c>
      <c r="Z11" s="2" t="s">
        <v>2</v>
      </c>
      <c r="AA11" s="2">
        <v>3</v>
      </c>
      <c r="AB11" s="2">
        <v>2</v>
      </c>
      <c r="AC11" s="2">
        <v>1</v>
      </c>
      <c r="AD11" t="s">
        <v>242</v>
      </c>
      <c r="AE11" t="s">
        <v>338</v>
      </c>
      <c r="AF11" t="s">
        <v>245</v>
      </c>
      <c r="AG11" s="13" t="str">
        <f>C11</f>
        <v>s[i0f k|;fb Kofs'/]n</v>
      </c>
    </row>
    <row r="12" spans="1:33" ht="18" x14ac:dyDescent="0.35">
      <c r="A12" s="6"/>
      <c r="C12" s="13" t="s">
        <v>347</v>
      </c>
      <c r="D12" s="13" t="str">
        <f t="shared" si="0"/>
        <v xml:space="preserve">6'd </v>
      </c>
      <c r="E12" s="13" t="str">
        <f t="shared" si="1"/>
        <v>Kofs'/]n</v>
      </c>
      <c r="F12" s="21" t="s">
        <v>233</v>
      </c>
      <c r="G12" s="21" t="s">
        <v>756</v>
      </c>
      <c r="H12" s="21" t="s">
        <v>905</v>
      </c>
      <c r="I12" s="21">
        <f t="shared" si="2"/>
        <v>164</v>
      </c>
      <c r="J12" s="21"/>
      <c r="K12" s="21" t="str">
        <f t="shared" si="3"/>
        <v>-</v>
      </c>
      <c r="L12" s="15">
        <f t="shared" si="4"/>
        <v>68.216438356164389</v>
      </c>
      <c r="O12" s="16"/>
      <c r="P12" s="16"/>
      <c r="Q12" s="16"/>
      <c r="R12" s="16"/>
      <c r="S12" s="21"/>
      <c r="T12" s="21"/>
      <c r="U12" s="21"/>
      <c r="V12" s="5">
        <v>42058</v>
      </c>
      <c r="W12" s="5">
        <v>66957</v>
      </c>
      <c r="Y12" s="5"/>
      <c r="AA12" s="3"/>
      <c r="AB12" s="3"/>
      <c r="AC12" s="3"/>
    </row>
    <row r="13" spans="1:33" ht="18" x14ac:dyDescent="0.35">
      <c r="A13" s="6"/>
      <c r="C13" s="13" t="s">
        <v>349</v>
      </c>
      <c r="D13" s="13" t="str">
        <f t="shared" si="0"/>
        <v xml:space="preserve">l;h{gf </v>
      </c>
      <c r="E13" s="13" t="str">
        <f t="shared" si="1"/>
        <v>e§/fO{</v>
      </c>
      <c r="F13" s="21" t="s">
        <v>234</v>
      </c>
      <c r="G13" s="21" t="s">
        <v>756</v>
      </c>
      <c r="H13" s="21" t="s">
        <v>905</v>
      </c>
      <c r="I13" s="21">
        <f t="shared" si="2"/>
        <v>99</v>
      </c>
      <c r="J13" s="21"/>
      <c r="K13" s="21" t="str">
        <f t="shared" si="3"/>
        <v>-</v>
      </c>
      <c r="L13" s="15">
        <f t="shared" si="4"/>
        <v>26.186301369863013</v>
      </c>
      <c r="O13" s="16"/>
      <c r="P13" s="16"/>
      <c r="Q13" s="16"/>
      <c r="R13" s="16"/>
      <c r="S13" s="21"/>
      <c r="T13" s="21"/>
      <c r="U13" s="21"/>
      <c r="V13" s="5">
        <v>57399</v>
      </c>
      <c r="W13" s="5">
        <v>66957</v>
      </c>
      <c r="Y13" s="5"/>
      <c r="AA13" s="3"/>
      <c r="AB13" s="3"/>
      <c r="AC13" s="3"/>
    </row>
    <row r="14" spans="1:33" ht="18" x14ac:dyDescent="0.35">
      <c r="A14" s="6">
        <v>4</v>
      </c>
      <c r="B14" t="s">
        <v>6</v>
      </c>
      <c r="C14" s="13" t="s">
        <v>355</v>
      </c>
      <c r="D14" s="13" t="str">
        <f t="shared" si="0"/>
        <v xml:space="preserve">7'nf] </v>
      </c>
      <c r="E14" s="13" t="str">
        <f t="shared" si="1"/>
        <v>sfdL</v>
      </c>
      <c r="F14" s="21" t="s">
        <v>233</v>
      </c>
      <c r="G14" s="21" t="s">
        <v>756</v>
      </c>
      <c r="H14" s="21" t="s">
        <v>905</v>
      </c>
      <c r="I14" s="21">
        <f t="shared" si="2"/>
        <v>164</v>
      </c>
      <c r="J14" s="21"/>
      <c r="K14" s="21" t="str">
        <f t="shared" si="3"/>
        <v>-</v>
      </c>
      <c r="L14" s="15">
        <f t="shared" si="4"/>
        <v>66.301369863013704</v>
      </c>
      <c r="O14" s="16">
        <f>1+1+(3)</f>
        <v>5</v>
      </c>
      <c r="P14" s="16">
        <v>3</v>
      </c>
      <c r="Q14" s="16">
        <f>2</f>
        <v>2</v>
      </c>
      <c r="R14" s="19">
        <f>3.99</f>
        <v>3.99</v>
      </c>
      <c r="S14" s="21" t="s">
        <v>910</v>
      </c>
      <c r="T14" s="21"/>
      <c r="U14" s="21"/>
      <c r="V14" s="5">
        <v>42757</v>
      </c>
      <c r="W14" s="5">
        <v>66957</v>
      </c>
      <c r="Y14" s="5">
        <v>66828</v>
      </c>
      <c r="Z14" s="2" t="s">
        <v>2</v>
      </c>
      <c r="AA14" s="2">
        <v>2</v>
      </c>
      <c r="AB14" s="2">
        <v>1</v>
      </c>
      <c r="AC14" s="2">
        <v>1</v>
      </c>
      <c r="AD14" t="s">
        <v>242</v>
      </c>
      <c r="AE14" t="s">
        <v>337</v>
      </c>
      <c r="AF14" t="s">
        <v>245</v>
      </c>
      <c r="AG14" s="13" t="str">
        <f>C14</f>
        <v>7'nf] sfG5f] sfdL</v>
      </c>
    </row>
    <row r="15" spans="1:33" ht="18" x14ac:dyDescent="0.35">
      <c r="A15" s="6"/>
      <c r="C15" s="13" t="s">
        <v>356</v>
      </c>
      <c r="D15" s="13" t="str">
        <f t="shared" si="0"/>
        <v xml:space="preserve">k|d] </v>
      </c>
      <c r="E15" s="13" t="str">
        <f t="shared" si="1"/>
        <v>sldgL</v>
      </c>
      <c r="F15" s="21" t="s">
        <v>234</v>
      </c>
      <c r="G15" s="21" t="s">
        <v>756</v>
      </c>
      <c r="H15" s="21" t="s">
        <v>906</v>
      </c>
      <c r="I15" s="21">
        <f t="shared" si="2"/>
        <v>58</v>
      </c>
      <c r="J15" s="21"/>
      <c r="K15" s="21" t="str">
        <f t="shared" si="3"/>
        <v>-</v>
      </c>
      <c r="L15" s="15">
        <f t="shared" si="4"/>
        <v>65.123287671232873</v>
      </c>
      <c r="O15" s="16"/>
      <c r="P15" s="16"/>
      <c r="Q15" s="16"/>
      <c r="R15" s="16"/>
      <c r="S15" s="21"/>
      <c r="T15" s="21"/>
      <c r="U15" s="21"/>
      <c r="V15" s="5">
        <v>43187</v>
      </c>
      <c r="W15" s="5">
        <v>66957</v>
      </c>
      <c r="Y15" s="5"/>
      <c r="AA15" s="3"/>
      <c r="AB15" s="3"/>
      <c r="AC15" s="3"/>
    </row>
    <row r="16" spans="1:33" ht="18" x14ac:dyDescent="0.35">
      <c r="A16" s="6">
        <v>5</v>
      </c>
      <c r="B16" t="s">
        <v>7</v>
      </c>
      <c r="C16" s="13" t="s">
        <v>357</v>
      </c>
      <c r="D16" s="13" t="str">
        <f t="shared" si="0"/>
        <v xml:space="preserve">dlgtf </v>
      </c>
      <c r="E16" s="13" t="str">
        <f t="shared" si="1"/>
        <v>l/;fn</v>
      </c>
      <c r="F16" s="21" t="s">
        <v>234</v>
      </c>
      <c r="G16" s="21" t="s">
        <v>756</v>
      </c>
      <c r="H16" s="21" t="s">
        <v>905</v>
      </c>
      <c r="I16" s="21">
        <f t="shared" si="2"/>
        <v>99</v>
      </c>
      <c r="J16" s="21"/>
      <c r="K16" s="21" t="str">
        <f t="shared" si="3"/>
        <v>-</v>
      </c>
      <c r="L16" s="15">
        <f t="shared" si="4"/>
        <v>38.30958904109589</v>
      </c>
      <c r="O16" s="16">
        <v>0</v>
      </c>
      <c r="P16" s="16">
        <v>4</v>
      </c>
      <c r="Q16" s="16">
        <v>2</v>
      </c>
      <c r="R16" s="16">
        <v>0</v>
      </c>
      <c r="S16" s="21" t="s">
        <v>745</v>
      </c>
      <c r="T16" s="21"/>
      <c r="U16" s="21"/>
      <c r="V16" s="5">
        <v>52974</v>
      </c>
      <c r="W16" s="5">
        <v>66957</v>
      </c>
      <c r="Y16" s="5">
        <v>66809</v>
      </c>
      <c r="Z16" s="2" t="s">
        <v>2</v>
      </c>
      <c r="AA16" s="2">
        <v>3</v>
      </c>
      <c r="AB16" s="2">
        <v>2</v>
      </c>
      <c r="AC16" s="2">
        <v>1</v>
      </c>
      <c r="AD16" t="s">
        <v>238</v>
      </c>
      <c r="AE16" t="s">
        <v>336</v>
      </c>
      <c r="AF16" t="s">
        <v>245</v>
      </c>
      <c r="AG16" s="13" t="str">
        <f>C16</f>
        <v>dlgtf l/;fn</v>
      </c>
    </row>
    <row r="17" spans="1:33" ht="18" x14ac:dyDescent="0.35">
      <c r="A17" s="6"/>
      <c r="C17" s="13" t="s">
        <v>358</v>
      </c>
      <c r="D17" s="13" t="str">
        <f t="shared" si="0"/>
        <v xml:space="preserve">l8s </v>
      </c>
      <c r="E17" s="13" t="str">
        <f t="shared" si="1"/>
        <v>laZjsdf{</v>
      </c>
      <c r="F17" s="21" t="s">
        <v>233</v>
      </c>
      <c r="G17" s="21" t="s">
        <v>756</v>
      </c>
      <c r="H17" s="21" t="s">
        <v>905</v>
      </c>
      <c r="I17" s="21">
        <f t="shared" si="2"/>
        <v>164</v>
      </c>
      <c r="J17" s="21"/>
      <c r="K17" s="21" t="str">
        <f t="shared" si="3"/>
        <v>-</v>
      </c>
      <c r="L17" s="15">
        <f t="shared" si="4"/>
        <v>39.389041095890413</v>
      </c>
      <c r="O17" s="16"/>
      <c r="P17" s="16"/>
      <c r="Q17" s="16"/>
      <c r="R17" s="16"/>
      <c r="S17" s="21"/>
      <c r="T17" s="21"/>
      <c r="U17" s="21"/>
      <c r="V17" s="5">
        <v>52580</v>
      </c>
      <c r="W17" s="5">
        <v>66957</v>
      </c>
      <c r="Y17" s="5"/>
      <c r="AA17" s="3"/>
      <c r="AB17" s="3"/>
      <c r="AC17" s="3"/>
    </row>
    <row r="18" spans="1:33" ht="18" x14ac:dyDescent="0.35">
      <c r="A18" s="6"/>
      <c r="C18" s="13" t="s">
        <v>359</v>
      </c>
      <c r="D18" s="13" t="str">
        <f t="shared" si="0"/>
        <v xml:space="preserve">;+sNk </v>
      </c>
      <c r="E18" s="13" t="str">
        <f t="shared" si="1"/>
        <v>lt?jf</v>
      </c>
      <c r="F18" s="21" t="s">
        <v>233</v>
      </c>
      <c r="G18" s="21" t="s">
        <v>757</v>
      </c>
      <c r="H18" s="21" t="s">
        <v>905</v>
      </c>
      <c r="I18" s="21">
        <f t="shared" si="2"/>
        <v>164</v>
      </c>
      <c r="J18" s="21"/>
      <c r="K18" s="21" t="str">
        <f t="shared" si="3"/>
        <v>-</v>
      </c>
      <c r="L18" s="15">
        <f t="shared" si="4"/>
        <v>11.317808219178081</v>
      </c>
      <c r="O18" s="16"/>
      <c r="P18" s="16"/>
      <c r="Q18" s="16"/>
      <c r="R18" s="16"/>
      <c r="S18" s="21"/>
      <c r="T18" s="21"/>
      <c r="U18" s="21"/>
      <c r="V18" s="5">
        <v>62826</v>
      </c>
      <c r="W18" s="5">
        <v>66957</v>
      </c>
      <c r="Y18" s="5"/>
      <c r="AA18" s="3"/>
      <c r="AB18" s="3"/>
      <c r="AC18" s="3"/>
    </row>
    <row r="19" spans="1:33" ht="18" x14ac:dyDescent="0.35">
      <c r="A19" s="6">
        <v>6</v>
      </c>
      <c r="B19" t="s">
        <v>8</v>
      </c>
      <c r="C19" s="13" t="s">
        <v>361</v>
      </c>
      <c r="D19" s="13" t="str">
        <f t="shared" si="0"/>
        <v xml:space="preserve">b'uf{ </v>
      </c>
      <c r="E19" s="13" t="str">
        <f t="shared" si="1"/>
        <v>bfxfn</v>
      </c>
      <c r="F19" s="21" t="s">
        <v>233</v>
      </c>
      <c r="G19" s="21" t="s">
        <v>756</v>
      </c>
      <c r="H19" s="21" t="s">
        <v>905</v>
      </c>
      <c r="I19" s="21">
        <f t="shared" si="2"/>
        <v>164</v>
      </c>
      <c r="J19" s="21"/>
      <c r="K19" s="21" t="str">
        <f t="shared" si="3"/>
        <v>-</v>
      </c>
      <c r="L19" s="15">
        <f t="shared" si="4"/>
        <v>56.008219178082193</v>
      </c>
      <c r="O19" s="16">
        <v>0</v>
      </c>
      <c r="P19" s="16">
        <v>5</v>
      </c>
      <c r="Q19" s="16">
        <v>0</v>
      </c>
      <c r="R19" s="16">
        <v>2</v>
      </c>
      <c r="S19" s="21" t="s">
        <v>745</v>
      </c>
      <c r="T19" s="21"/>
      <c r="U19" s="21"/>
      <c r="V19" s="5">
        <v>46514</v>
      </c>
      <c r="W19" s="5">
        <v>66957</v>
      </c>
      <c r="Y19" s="5">
        <v>66762</v>
      </c>
      <c r="Z19" s="2" t="s">
        <v>2</v>
      </c>
      <c r="AA19" s="2">
        <v>1</v>
      </c>
      <c r="AB19" s="2">
        <v>1</v>
      </c>
      <c r="AD19" t="s">
        <v>242</v>
      </c>
      <c r="AE19" t="s">
        <v>341</v>
      </c>
      <c r="AF19" t="s">
        <v>245</v>
      </c>
      <c r="AG19" s="13" t="str">
        <f>C19</f>
        <v>b'uf{ k|;fb bfxfn</v>
      </c>
    </row>
    <row r="20" spans="1:33" ht="18" x14ac:dyDescent="0.35">
      <c r="A20" s="6">
        <v>7</v>
      </c>
      <c r="B20" t="s">
        <v>9</v>
      </c>
      <c r="C20" s="13" t="s">
        <v>362</v>
      </c>
      <c r="D20" s="13" t="str">
        <f t="shared" si="0"/>
        <v xml:space="preserve">;lGbk </v>
      </c>
      <c r="E20" s="13" t="str">
        <f t="shared" si="1"/>
        <v>kl/of/</v>
      </c>
      <c r="F20" s="21" t="s">
        <v>233</v>
      </c>
      <c r="G20" s="21" t="s">
        <v>757</v>
      </c>
      <c r="H20" s="21" t="s">
        <v>905</v>
      </c>
      <c r="I20" s="21">
        <f t="shared" si="2"/>
        <v>164</v>
      </c>
      <c r="J20" s="21"/>
      <c r="K20" s="21" t="str">
        <f t="shared" si="3"/>
        <v>-</v>
      </c>
      <c r="L20" s="15">
        <f t="shared" si="4"/>
        <v>18.876712328767123</v>
      </c>
      <c r="O20" s="33">
        <v>0</v>
      </c>
      <c r="P20" s="33">
        <v>3</v>
      </c>
      <c r="Q20" s="33">
        <v>0</v>
      </c>
      <c r="R20" s="33">
        <v>0</v>
      </c>
      <c r="S20" s="29" t="s">
        <v>745</v>
      </c>
      <c r="T20" s="21"/>
      <c r="U20" s="21"/>
      <c r="V20" s="5">
        <v>60067</v>
      </c>
      <c r="W20" s="5">
        <v>66957</v>
      </c>
      <c r="Y20" s="5">
        <v>66760</v>
      </c>
      <c r="Z20" s="2" t="s">
        <v>2</v>
      </c>
      <c r="AA20" s="2">
        <v>1</v>
      </c>
      <c r="AB20" s="2">
        <v>1</v>
      </c>
      <c r="AD20" t="s">
        <v>242</v>
      </c>
      <c r="AE20" t="s">
        <v>340</v>
      </c>
      <c r="AF20" t="s">
        <v>245</v>
      </c>
      <c r="AG20" s="13" t="str">
        <f>C20</f>
        <v>;lGbk kl/of/</v>
      </c>
    </row>
    <row r="21" spans="1:33" ht="18" x14ac:dyDescent="0.35">
      <c r="A21" s="6">
        <v>8</v>
      </c>
      <c r="B21" t="s">
        <v>10</v>
      </c>
      <c r="C21" s="13" t="s">
        <v>363</v>
      </c>
      <c r="D21" s="13" t="str">
        <f t="shared" si="0"/>
        <v xml:space="preserve">l;tf </v>
      </c>
      <c r="E21" s="13" t="str">
        <f t="shared" si="1"/>
        <v>clwsf/L</v>
      </c>
      <c r="F21" s="21" t="s">
        <v>234</v>
      </c>
      <c r="G21" s="21" t="s">
        <v>756</v>
      </c>
      <c r="H21" s="21" t="s">
        <v>906</v>
      </c>
      <c r="I21" s="21">
        <f t="shared" si="2"/>
        <v>58</v>
      </c>
      <c r="J21" s="21"/>
      <c r="K21" s="21" t="str">
        <f t="shared" si="3"/>
        <v>-</v>
      </c>
      <c r="L21" s="15">
        <f t="shared" si="4"/>
        <v>54.92876712328767</v>
      </c>
      <c r="O21" s="16">
        <v>0</v>
      </c>
      <c r="P21" s="16">
        <f>2+(1)</f>
        <v>3</v>
      </c>
      <c r="Q21" s="16">
        <v>2</v>
      </c>
      <c r="R21" s="16">
        <v>0</v>
      </c>
      <c r="S21" s="21" t="s">
        <v>745</v>
      </c>
      <c r="T21" s="21"/>
      <c r="U21" s="21"/>
      <c r="V21" s="5">
        <v>46908</v>
      </c>
      <c r="W21" s="5">
        <v>66957</v>
      </c>
      <c r="Y21" s="5">
        <v>66711</v>
      </c>
      <c r="Z21" s="2" t="s">
        <v>2</v>
      </c>
      <c r="AA21" s="2">
        <v>3</v>
      </c>
      <c r="AB21" s="2">
        <v>1</v>
      </c>
      <c r="AC21" s="2">
        <v>2</v>
      </c>
      <c r="AD21" t="s">
        <v>238</v>
      </c>
      <c r="AE21" t="s">
        <v>320</v>
      </c>
      <c r="AF21" t="s">
        <v>245</v>
      </c>
      <c r="AG21" s="13" t="str">
        <f>C21</f>
        <v>l;tf clwsf/L</v>
      </c>
    </row>
    <row r="22" spans="1:33" ht="18" x14ac:dyDescent="0.35">
      <c r="A22" s="6"/>
      <c r="C22" s="13" t="s">
        <v>364</v>
      </c>
      <c r="D22" s="13" t="str">
        <f t="shared" si="0"/>
        <v xml:space="preserve">;'/]z </v>
      </c>
      <c r="E22" s="13" t="str">
        <f t="shared" si="1"/>
        <v>clwsf/L</v>
      </c>
      <c r="F22" s="21" t="s">
        <v>233</v>
      </c>
      <c r="G22" s="21" t="s">
        <v>756</v>
      </c>
      <c r="H22" s="21" t="s">
        <v>905</v>
      </c>
      <c r="I22" s="21">
        <f t="shared" si="2"/>
        <v>164</v>
      </c>
      <c r="J22" s="21"/>
      <c r="K22" s="21" t="str">
        <f t="shared" si="3"/>
        <v>-</v>
      </c>
      <c r="L22" s="15">
        <f t="shared" si="4"/>
        <v>34.054794520547944</v>
      </c>
      <c r="O22" s="16"/>
      <c r="P22" s="16"/>
      <c r="Q22" s="16"/>
      <c r="R22" s="16"/>
      <c r="S22" s="21"/>
      <c r="T22" s="21"/>
      <c r="U22" s="21"/>
      <c r="V22" s="5">
        <v>54527</v>
      </c>
      <c r="W22" s="5">
        <v>66957</v>
      </c>
      <c r="Y22" s="5"/>
      <c r="AA22" s="3"/>
      <c r="AB22" s="3"/>
      <c r="AC22" s="3"/>
    </row>
    <row r="23" spans="1:33" ht="18" x14ac:dyDescent="0.35">
      <c r="A23" s="6"/>
      <c r="C23" s="13" t="s">
        <v>365</v>
      </c>
      <c r="D23" s="13" t="str">
        <f t="shared" si="0"/>
        <v xml:space="preserve">/~hgf </v>
      </c>
      <c r="E23" s="13" t="str">
        <f t="shared" si="1"/>
        <v>5Ts'nL</v>
      </c>
      <c r="F23" s="21" t="s">
        <v>234</v>
      </c>
      <c r="G23" s="21" t="s">
        <v>756</v>
      </c>
      <c r="H23" s="21" t="s">
        <v>905</v>
      </c>
      <c r="I23" s="21">
        <f t="shared" si="2"/>
        <v>99</v>
      </c>
      <c r="J23" s="21"/>
      <c r="K23" s="21" t="str">
        <f t="shared" si="3"/>
        <v>-</v>
      </c>
      <c r="L23" s="15">
        <f t="shared" si="4"/>
        <v>27.06027397260274</v>
      </c>
      <c r="O23" s="16"/>
      <c r="P23" s="16"/>
      <c r="Q23" s="16"/>
      <c r="R23" s="16"/>
      <c r="S23" s="21"/>
      <c r="T23" s="21"/>
      <c r="U23" s="21"/>
      <c r="V23" s="5">
        <v>57080</v>
      </c>
      <c r="W23" s="5">
        <v>66957</v>
      </c>
      <c r="Y23" s="5"/>
      <c r="AA23" s="3"/>
      <c r="AB23" s="3"/>
      <c r="AC23" s="3"/>
    </row>
    <row r="24" spans="1:33" ht="18" x14ac:dyDescent="0.35">
      <c r="A24" s="6">
        <v>9</v>
      </c>
      <c r="B24" t="s">
        <v>11</v>
      </c>
      <c r="C24" s="13" t="s">
        <v>367</v>
      </c>
      <c r="D24" s="13" t="str">
        <f t="shared" si="0"/>
        <v xml:space="preserve">k'0o </v>
      </c>
      <c r="E24" s="13" t="str">
        <f t="shared" si="1"/>
        <v>l3ld/]</v>
      </c>
      <c r="F24" s="21" t="s">
        <v>233</v>
      </c>
      <c r="G24" s="21" t="s">
        <v>756</v>
      </c>
      <c r="H24" s="21" t="s">
        <v>905</v>
      </c>
      <c r="I24" s="21">
        <f t="shared" si="2"/>
        <v>164</v>
      </c>
      <c r="J24" s="21"/>
      <c r="K24" s="21" t="str">
        <f t="shared" si="3"/>
        <v>-</v>
      </c>
      <c r="L24" s="15">
        <f t="shared" si="4"/>
        <v>48.030136986301372</v>
      </c>
      <c r="O24" s="16">
        <v>0</v>
      </c>
      <c r="P24" s="16">
        <v>4</v>
      </c>
      <c r="Q24" s="16">
        <v>3</v>
      </c>
      <c r="R24" s="16">
        <v>2</v>
      </c>
      <c r="S24" s="21" t="s">
        <v>745</v>
      </c>
      <c r="T24" s="21"/>
      <c r="U24" s="21"/>
      <c r="V24" s="5">
        <v>49426</v>
      </c>
      <c r="W24" s="5">
        <v>66957</v>
      </c>
      <c r="Y24" s="5">
        <v>66689</v>
      </c>
      <c r="Z24" s="2" t="s">
        <v>2</v>
      </c>
      <c r="AA24" s="2">
        <v>4</v>
      </c>
      <c r="AB24" s="2">
        <v>2</v>
      </c>
      <c r="AC24" s="2">
        <v>2</v>
      </c>
      <c r="AD24" t="s">
        <v>242</v>
      </c>
      <c r="AE24" t="s">
        <v>303</v>
      </c>
      <c r="AF24" t="s">
        <v>245</v>
      </c>
      <c r="AG24" s="13" t="str">
        <f>C24</f>
        <v>k'0o k|;fb l3ld/]</v>
      </c>
    </row>
    <row r="25" spans="1:33" ht="18" x14ac:dyDescent="0.35">
      <c r="A25" s="6"/>
      <c r="C25" s="13" t="s">
        <v>368</v>
      </c>
      <c r="D25" s="13" t="str">
        <f t="shared" si="0"/>
        <v xml:space="preserve">uf]df </v>
      </c>
      <c r="E25" s="13" t="str">
        <f t="shared" si="1"/>
        <v>l3ld/]</v>
      </c>
      <c r="F25" s="21" t="s">
        <v>234</v>
      </c>
      <c r="G25" s="21" t="s">
        <v>756</v>
      </c>
      <c r="H25" s="21" t="s">
        <v>905</v>
      </c>
      <c r="I25" s="21">
        <f t="shared" si="2"/>
        <v>99</v>
      </c>
      <c r="J25" s="21"/>
      <c r="K25" s="21" t="str">
        <f t="shared" si="3"/>
        <v>-</v>
      </c>
      <c r="L25" s="15">
        <f t="shared" si="4"/>
        <v>42.205479452054796</v>
      </c>
      <c r="O25" s="16"/>
      <c r="P25" s="16"/>
      <c r="Q25" s="16"/>
      <c r="R25" s="16"/>
      <c r="S25" s="21"/>
      <c r="T25" s="21"/>
      <c r="U25" s="21"/>
      <c r="V25" s="5">
        <v>51552</v>
      </c>
      <c r="W25" s="5">
        <v>66957</v>
      </c>
      <c r="Y25" s="5"/>
      <c r="AA25" s="3"/>
      <c r="AB25" s="3"/>
      <c r="AC25" s="3"/>
    </row>
    <row r="26" spans="1:33" ht="18" x14ac:dyDescent="0.35">
      <c r="A26" s="6"/>
      <c r="C26" s="13" t="s">
        <v>369</v>
      </c>
      <c r="D26" s="13" t="str">
        <f t="shared" si="0"/>
        <v xml:space="preserve">cfo'iff </v>
      </c>
      <c r="E26" s="13" t="str">
        <f t="shared" si="1"/>
        <v>l3ld/]</v>
      </c>
      <c r="F26" s="21" t="s">
        <v>234</v>
      </c>
      <c r="G26" s="21" t="s">
        <v>757</v>
      </c>
      <c r="H26" s="21" t="s">
        <v>905</v>
      </c>
      <c r="I26" s="21">
        <f t="shared" si="2"/>
        <v>99</v>
      </c>
      <c r="J26" s="21"/>
      <c r="K26" s="21" t="str">
        <f t="shared" si="3"/>
        <v>-</v>
      </c>
      <c r="L26" s="15">
        <f t="shared" si="4"/>
        <v>19.709589041095889</v>
      </c>
      <c r="O26" s="16"/>
      <c r="P26" s="16"/>
      <c r="Q26" s="16"/>
      <c r="R26" s="16"/>
      <c r="S26" s="21"/>
      <c r="T26" s="21"/>
      <c r="U26" s="21"/>
      <c r="V26" s="5">
        <v>59763</v>
      </c>
      <c r="W26" s="5">
        <v>66957</v>
      </c>
      <c r="Y26" s="5"/>
      <c r="AA26" s="3"/>
      <c r="AB26" s="3"/>
      <c r="AC26" s="3"/>
    </row>
    <row r="27" spans="1:33" ht="18" x14ac:dyDescent="0.35">
      <c r="A27" s="6"/>
      <c r="C27" s="13" t="s">
        <v>370</v>
      </c>
      <c r="D27" s="13" t="str">
        <f t="shared" si="0"/>
        <v xml:space="preserve">cf/f]Uo </v>
      </c>
      <c r="E27" s="13" t="str">
        <f t="shared" si="1"/>
        <v>l3ld/]</v>
      </c>
      <c r="F27" s="21" t="s">
        <v>233</v>
      </c>
      <c r="G27" s="21" t="s">
        <v>757</v>
      </c>
      <c r="H27" s="21" t="s">
        <v>905</v>
      </c>
      <c r="I27" s="21">
        <f t="shared" si="2"/>
        <v>164</v>
      </c>
      <c r="J27" s="21"/>
      <c r="K27" s="21" t="str">
        <f t="shared" si="3"/>
        <v>-</v>
      </c>
      <c r="L27" s="15">
        <f t="shared" si="4"/>
        <v>12.947945205479453</v>
      </c>
      <c r="O27" s="16"/>
      <c r="P27" s="16"/>
      <c r="Q27" s="16"/>
      <c r="R27" s="16"/>
      <c r="S27" s="21"/>
      <c r="T27" s="21"/>
      <c r="U27" s="21"/>
      <c r="V27" s="5">
        <v>62231</v>
      </c>
      <c r="W27" s="5">
        <v>66957</v>
      </c>
      <c r="Y27" s="5"/>
      <c r="AA27" s="3"/>
      <c r="AB27" s="3"/>
      <c r="AC27" s="3"/>
    </row>
    <row r="28" spans="1:33" ht="18" x14ac:dyDescent="0.35">
      <c r="A28" s="6">
        <v>10</v>
      </c>
      <c r="B28" t="s">
        <v>12</v>
      </c>
      <c r="C28" s="13" t="s">
        <v>371</v>
      </c>
      <c r="D28" s="13" t="str">
        <f t="shared" si="0"/>
        <v xml:space="preserve">/fh]z </v>
      </c>
      <c r="E28" s="13" t="str">
        <f t="shared" si="1"/>
        <v>lji6</v>
      </c>
      <c r="F28" s="21" t="s">
        <v>233</v>
      </c>
      <c r="G28" s="21" t="s">
        <v>756</v>
      </c>
      <c r="H28" s="21" t="s">
        <v>905</v>
      </c>
      <c r="I28" s="21">
        <f t="shared" si="2"/>
        <v>164</v>
      </c>
      <c r="J28" s="21"/>
      <c r="K28" s="21" t="str">
        <f t="shared" si="3"/>
        <v>-</v>
      </c>
      <c r="L28" s="15">
        <f t="shared" si="4"/>
        <v>40.205479452054796</v>
      </c>
      <c r="O28" s="33">
        <v>1</v>
      </c>
      <c r="P28" s="33">
        <v>0</v>
      </c>
      <c r="Q28" s="33">
        <v>2</v>
      </c>
      <c r="R28" s="33">
        <v>0</v>
      </c>
      <c r="S28" s="29" t="s">
        <v>744</v>
      </c>
      <c r="T28" s="21"/>
      <c r="U28" s="21"/>
      <c r="V28" s="25">
        <v>52282</v>
      </c>
      <c r="W28" s="5">
        <v>66957</v>
      </c>
      <c r="Y28" s="5">
        <v>66687</v>
      </c>
      <c r="Z28" s="2" t="s">
        <v>2</v>
      </c>
      <c r="AA28" s="2">
        <v>4</v>
      </c>
      <c r="AB28" s="2">
        <v>2</v>
      </c>
      <c r="AC28" s="2">
        <v>2</v>
      </c>
      <c r="AD28" t="s">
        <v>242</v>
      </c>
      <c r="AG28" s="13" t="str">
        <f>C28</f>
        <v>/fh]z s'df/ lji6</v>
      </c>
    </row>
    <row r="29" spans="1:33" ht="18" x14ac:dyDescent="0.35">
      <c r="A29" s="6">
        <v>11</v>
      </c>
      <c r="B29" t="s">
        <v>13</v>
      </c>
      <c r="C29" s="13" t="s">
        <v>372</v>
      </c>
      <c r="D29" s="13" t="str">
        <f t="shared" si="0"/>
        <v xml:space="preserve">OlGb/f </v>
      </c>
      <c r="E29" s="13" t="str">
        <f t="shared" si="1"/>
        <v>kl/of/</v>
      </c>
      <c r="F29" s="21" t="s">
        <v>234</v>
      </c>
      <c r="G29" s="21" t="s">
        <v>756</v>
      </c>
      <c r="H29" s="21" t="s">
        <v>906</v>
      </c>
      <c r="I29" s="21">
        <f t="shared" si="2"/>
        <v>58</v>
      </c>
      <c r="J29" s="21"/>
      <c r="K29" s="21" t="str">
        <f t="shared" si="3"/>
        <v>-</v>
      </c>
      <c r="L29" s="15">
        <f t="shared" si="4"/>
        <v>55.046575342465751</v>
      </c>
      <c r="O29" s="16">
        <v>0</v>
      </c>
      <c r="P29" s="16">
        <v>3</v>
      </c>
      <c r="Q29" s="16">
        <v>0</v>
      </c>
      <c r="R29" s="16">
        <v>0</v>
      </c>
      <c r="S29" s="21" t="s">
        <v>745</v>
      </c>
      <c r="T29" s="21"/>
      <c r="U29" s="21"/>
      <c r="V29" s="5">
        <v>46865</v>
      </c>
      <c r="W29" s="5">
        <v>66957</v>
      </c>
      <c r="Y29" s="5">
        <v>66674</v>
      </c>
      <c r="Z29" s="2" t="s">
        <v>2</v>
      </c>
      <c r="AA29" s="2">
        <v>7</v>
      </c>
      <c r="AB29" s="2">
        <v>3</v>
      </c>
      <c r="AC29" s="2">
        <v>4</v>
      </c>
      <c r="AD29" t="s">
        <v>242</v>
      </c>
      <c r="AE29" t="s">
        <v>272</v>
      </c>
      <c r="AF29" t="s">
        <v>245</v>
      </c>
      <c r="AG29" s="13" t="str">
        <f>C29</f>
        <v>OlGb/f kl/of/</v>
      </c>
    </row>
    <row r="30" spans="1:33" ht="18" x14ac:dyDescent="0.35">
      <c r="A30" s="6"/>
      <c r="C30" s="13" t="s">
        <v>373</v>
      </c>
      <c r="D30" s="13" t="str">
        <f t="shared" si="0"/>
        <v xml:space="preserve">ljs|d </v>
      </c>
      <c r="E30" s="13" t="str">
        <f t="shared" si="1"/>
        <v>kl/of/</v>
      </c>
      <c r="F30" s="21" t="s">
        <v>233</v>
      </c>
      <c r="G30" s="21" t="s">
        <v>756</v>
      </c>
      <c r="H30" s="21" t="s">
        <v>905</v>
      </c>
      <c r="I30" s="21">
        <f t="shared" si="2"/>
        <v>164</v>
      </c>
      <c r="J30" s="21"/>
      <c r="K30" s="21" t="str">
        <f t="shared" si="3"/>
        <v>-</v>
      </c>
      <c r="L30" s="15">
        <f t="shared" si="4"/>
        <v>35.701369863013696</v>
      </c>
      <c r="O30" s="16"/>
      <c r="P30" s="16"/>
      <c r="Q30" s="16"/>
      <c r="R30" s="16"/>
      <c r="S30" s="21"/>
      <c r="T30" s="21"/>
      <c r="U30" s="21"/>
      <c r="V30" s="5">
        <v>53926</v>
      </c>
      <c r="W30" s="5">
        <v>66957</v>
      </c>
      <c r="Y30" s="5"/>
      <c r="AA30" s="3"/>
      <c r="AB30" s="3"/>
      <c r="AC30" s="3"/>
    </row>
    <row r="31" spans="1:33" ht="18" x14ac:dyDescent="0.35">
      <c r="A31" s="6"/>
      <c r="C31" s="13" t="s">
        <v>374</v>
      </c>
      <c r="D31" s="13" t="str">
        <f t="shared" si="0"/>
        <v xml:space="preserve">k|ltIff </v>
      </c>
      <c r="E31" s="13" t="str">
        <f t="shared" si="1"/>
        <v>kl/of/</v>
      </c>
      <c r="F31" s="21" t="s">
        <v>234</v>
      </c>
      <c r="G31" s="21" t="s">
        <v>756</v>
      </c>
      <c r="H31" s="21" t="s">
        <v>906</v>
      </c>
      <c r="I31" s="21">
        <f t="shared" si="2"/>
        <v>58</v>
      </c>
      <c r="J31" s="21"/>
      <c r="K31" s="21" t="str">
        <f t="shared" si="3"/>
        <v>-</v>
      </c>
      <c r="L31" s="15">
        <f t="shared" si="4"/>
        <v>30.602739726027398</v>
      </c>
      <c r="O31" s="16"/>
      <c r="P31" s="16"/>
      <c r="Q31" s="16"/>
      <c r="R31" s="16"/>
      <c r="S31" s="21"/>
      <c r="T31" s="21"/>
      <c r="U31" s="21"/>
      <c r="V31" s="5">
        <v>55787</v>
      </c>
      <c r="W31" s="5">
        <v>66957</v>
      </c>
      <c r="Y31" s="5"/>
      <c r="AA31" s="3"/>
      <c r="AB31" s="3"/>
      <c r="AC31" s="3"/>
    </row>
    <row r="32" spans="1:33" ht="18" x14ac:dyDescent="0.35">
      <c r="A32" s="6"/>
      <c r="C32" s="13" t="s">
        <v>375</v>
      </c>
      <c r="D32" s="13" t="str">
        <f t="shared" si="0"/>
        <v xml:space="preserve">lji0f' </v>
      </c>
      <c r="E32" s="13" t="str">
        <f t="shared" si="1"/>
        <v>kl/of/</v>
      </c>
      <c r="F32" s="21" t="s">
        <v>233</v>
      </c>
      <c r="G32" s="21" t="s">
        <v>756</v>
      </c>
      <c r="H32" s="21" t="s">
        <v>905</v>
      </c>
      <c r="I32" s="21">
        <f t="shared" si="2"/>
        <v>164</v>
      </c>
      <c r="J32" s="21"/>
      <c r="K32" s="21" t="str">
        <f t="shared" si="3"/>
        <v>-</v>
      </c>
      <c r="L32" s="15">
        <f t="shared" si="4"/>
        <v>34.832876712328769</v>
      </c>
      <c r="O32" s="16"/>
      <c r="P32" s="16"/>
      <c r="Q32" s="16"/>
      <c r="R32" s="16"/>
      <c r="S32" s="21"/>
      <c r="T32" s="21"/>
      <c r="U32" s="21"/>
      <c r="V32" s="5">
        <v>54243</v>
      </c>
      <c r="W32" s="5">
        <v>66957</v>
      </c>
      <c r="Y32" s="5"/>
      <c r="AA32" s="3"/>
      <c r="AB32" s="3"/>
      <c r="AC32" s="3"/>
    </row>
    <row r="33" spans="1:33" ht="18" x14ac:dyDescent="0.35">
      <c r="A33" s="6"/>
      <c r="C33" s="13" t="s">
        <v>376</v>
      </c>
      <c r="D33" s="13" t="str">
        <f t="shared" si="0"/>
        <v xml:space="preserve">nIdL </v>
      </c>
      <c r="E33" s="13" t="str">
        <f t="shared" si="1"/>
        <v>du/</v>
      </c>
      <c r="F33" s="21" t="s">
        <v>234</v>
      </c>
      <c r="G33" s="21" t="s">
        <v>756</v>
      </c>
      <c r="H33" s="21" t="s">
        <v>906</v>
      </c>
      <c r="I33" s="21">
        <f t="shared" si="2"/>
        <v>58</v>
      </c>
      <c r="J33" s="21"/>
      <c r="K33" s="21" t="str">
        <f t="shared" si="3"/>
        <v>-</v>
      </c>
      <c r="L33" s="15">
        <f t="shared" si="4"/>
        <v>34.57260273972603</v>
      </c>
      <c r="O33" s="16"/>
      <c r="P33" s="16"/>
      <c r="Q33" s="16"/>
      <c r="R33" s="16"/>
      <c r="S33" s="21"/>
      <c r="T33" s="21"/>
      <c r="U33" s="21"/>
      <c r="V33" s="5">
        <v>54338</v>
      </c>
      <c r="W33" s="5">
        <v>66957</v>
      </c>
      <c r="Y33" s="5"/>
      <c r="AA33" s="3"/>
      <c r="AB33" s="3"/>
      <c r="AC33" s="3"/>
    </row>
    <row r="34" spans="1:33" ht="18" x14ac:dyDescent="0.35">
      <c r="A34" s="6"/>
      <c r="C34" s="13" t="s">
        <v>377</v>
      </c>
      <c r="D34" s="13" t="str">
        <f t="shared" si="0"/>
        <v xml:space="preserve">;ld{nf </v>
      </c>
      <c r="E34" s="13" t="str">
        <f t="shared" si="1"/>
        <v>kl/of/</v>
      </c>
      <c r="F34" s="21" t="s">
        <v>234</v>
      </c>
      <c r="G34" s="21" t="s">
        <v>757</v>
      </c>
      <c r="H34" s="21" t="s">
        <v>906</v>
      </c>
      <c r="I34" s="21">
        <f t="shared" si="2"/>
        <v>58</v>
      </c>
      <c r="J34" s="21"/>
      <c r="K34" s="21" t="str">
        <f t="shared" si="3"/>
        <v>-</v>
      </c>
      <c r="L34" s="15">
        <f t="shared" si="4"/>
        <v>30.8</v>
      </c>
      <c r="O34" s="16"/>
      <c r="P34" s="16"/>
      <c r="Q34" s="16"/>
      <c r="R34" s="16"/>
      <c r="S34" s="21"/>
      <c r="T34" s="21"/>
      <c r="U34" s="21"/>
      <c r="V34" s="5">
        <v>55715</v>
      </c>
      <c r="W34" s="5">
        <v>66957</v>
      </c>
      <c r="Y34" s="5"/>
      <c r="AA34" s="3"/>
      <c r="AB34" s="3"/>
      <c r="AC34" s="3"/>
    </row>
    <row r="35" spans="1:33" ht="18" x14ac:dyDescent="0.35">
      <c r="A35" s="6"/>
      <c r="C35" s="13" t="s">
        <v>378</v>
      </c>
      <c r="D35" s="13" t="str">
        <f t="shared" si="0"/>
        <v xml:space="preserve">k|lts </v>
      </c>
      <c r="E35" s="13" t="str">
        <f t="shared" si="1"/>
        <v>kl/of/</v>
      </c>
      <c r="F35" s="21" t="s">
        <v>233</v>
      </c>
      <c r="G35" s="21" t="s">
        <v>757</v>
      </c>
      <c r="H35" s="21" t="s">
        <v>905</v>
      </c>
      <c r="I35" s="21">
        <f t="shared" si="2"/>
        <v>164</v>
      </c>
      <c r="J35" s="21"/>
      <c r="K35" s="21" t="str">
        <f t="shared" si="3"/>
        <v>-</v>
      </c>
      <c r="L35" s="15">
        <f t="shared" si="4"/>
        <v>14.90958904109589</v>
      </c>
      <c r="O35" s="16"/>
      <c r="P35" s="16"/>
      <c r="Q35" s="16"/>
      <c r="R35" s="16"/>
      <c r="S35" s="21"/>
      <c r="T35" s="21"/>
      <c r="U35" s="21"/>
      <c r="V35" s="5">
        <v>61515</v>
      </c>
      <c r="W35" s="5">
        <v>66957</v>
      </c>
      <c r="Y35" s="5"/>
      <c r="AA35" s="3"/>
      <c r="AB35" s="3"/>
      <c r="AC35" s="3"/>
    </row>
    <row r="36" spans="1:33" ht="18" x14ac:dyDescent="0.35">
      <c r="A36" s="6">
        <v>12</v>
      </c>
      <c r="B36" t="s">
        <v>14</v>
      </c>
      <c r="C36" s="13" t="s">
        <v>380</v>
      </c>
      <c r="D36" s="13" t="str">
        <f t="shared" si="0"/>
        <v xml:space="preserve">Zofd </v>
      </c>
      <c r="E36" s="13" t="str">
        <f t="shared" ref="E36:E67" si="6">TRIM(RIGHT(SUBSTITUTE(C36," ",REPT(" ",255)),255))</f>
        <v>vqL</v>
      </c>
      <c r="F36" s="21" t="s">
        <v>233</v>
      </c>
      <c r="G36" s="21" t="s">
        <v>756</v>
      </c>
      <c r="H36" s="21" t="s">
        <v>905</v>
      </c>
      <c r="I36" s="21">
        <f t="shared" si="2"/>
        <v>164</v>
      </c>
      <c r="J36" s="21"/>
      <c r="K36" s="21" t="str">
        <f t="shared" si="3"/>
        <v>-</v>
      </c>
      <c r="L36" s="15">
        <f t="shared" si="4"/>
        <v>47.443835616438356</v>
      </c>
      <c r="O36" s="16">
        <f>1+(1)</f>
        <v>2</v>
      </c>
      <c r="P36" s="16">
        <v>3</v>
      </c>
      <c r="Q36" s="16">
        <v>2</v>
      </c>
      <c r="R36" s="16">
        <v>1</v>
      </c>
      <c r="S36" s="21" t="s">
        <v>910</v>
      </c>
      <c r="T36" s="21"/>
      <c r="U36" s="21"/>
      <c r="V36" s="5">
        <v>49640</v>
      </c>
      <c r="W36" s="5">
        <v>66957</v>
      </c>
      <c r="Y36" s="5">
        <v>66668</v>
      </c>
      <c r="Z36" s="2" t="s">
        <v>2</v>
      </c>
      <c r="AA36" s="2">
        <v>1</v>
      </c>
      <c r="AB36" s="2">
        <v>1</v>
      </c>
      <c r="AD36" t="s">
        <v>242</v>
      </c>
      <c r="AE36" t="s">
        <v>319</v>
      </c>
      <c r="AF36" t="s">
        <v>245</v>
      </c>
      <c r="AG36" s="13" t="str">
        <f>C36</f>
        <v>Zofd vqL</v>
      </c>
    </row>
    <row r="37" spans="1:33" ht="18" x14ac:dyDescent="0.35">
      <c r="A37" s="6">
        <v>13</v>
      </c>
      <c r="B37" t="s">
        <v>15</v>
      </c>
      <c r="C37" s="13" t="s">
        <v>381</v>
      </c>
      <c r="D37" s="13" t="str">
        <f t="shared" si="0"/>
        <v xml:space="preserve">;'s </v>
      </c>
      <c r="E37" s="13" t="str">
        <f t="shared" si="6"/>
        <v>nfdf</v>
      </c>
      <c r="F37" s="21" t="s">
        <v>234</v>
      </c>
      <c r="G37" s="21" t="s">
        <v>756</v>
      </c>
      <c r="H37" s="21" t="s">
        <v>906</v>
      </c>
      <c r="I37" s="21">
        <f t="shared" si="2"/>
        <v>58</v>
      </c>
      <c r="J37" s="21"/>
      <c r="K37" s="21" t="str">
        <f t="shared" si="3"/>
        <v>-</v>
      </c>
      <c r="L37" s="15">
        <f t="shared" si="4"/>
        <v>55.257534246575339</v>
      </c>
      <c r="O37" s="16">
        <v>0</v>
      </c>
      <c r="P37" s="16">
        <v>4</v>
      </c>
      <c r="Q37" s="16">
        <v>3</v>
      </c>
      <c r="R37" s="16">
        <v>2</v>
      </c>
      <c r="S37" s="21" t="s">
        <v>745</v>
      </c>
      <c r="T37" s="21"/>
      <c r="U37" s="21"/>
      <c r="V37" s="5">
        <v>46788</v>
      </c>
      <c r="W37" s="5">
        <v>66957</v>
      </c>
      <c r="Y37" s="5">
        <v>66618</v>
      </c>
      <c r="Z37" s="2" t="s">
        <v>2</v>
      </c>
      <c r="AA37" s="2">
        <v>4</v>
      </c>
      <c r="AB37" s="2">
        <v>3</v>
      </c>
      <c r="AC37" s="2">
        <v>1</v>
      </c>
      <c r="AD37" t="s">
        <v>242</v>
      </c>
      <c r="AE37" t="s">
        <v>327</v>
      </c>
      <c r="AF37" t="s">
        <v>245</v>
      </c>
    </row>
    <row r="38" spans="1:33" ht="18" x14ac:dyDescent="0.35">
      <c r="A38" s="6"/>
      <c r="C38" s="13" t="s">
        <v>382</v>
      </c>
      <c r="D38" s="13" t="str">
        <f t="shared" si="0"/>
        <v xml:space="preserve">/fh' </v>
      </c>
      <c r="E38" s="13" t="str">
        <f t="shared" si="6"/>
        <v>dfemL</v>
      </c>
      <c r="F38" s="21" t="s">
        <v>233</v>
      </c>
      <c r="G38" s="21" t="s">
        <v>756</v>
      </c>
      <c r="H38" s="21" t="s">
        <v>906</v>
      </c>
      <c r="I38" s="21">
        <f t="shared" si="2"/>
        <v>11</v>
      </c>
      <c r="J38" s="21"/>
      <c r="K38" s="21" t="str">
        <f t="shared" si="3"/>
        <v>-</v>
      </c>
      <c r="L38" s="15">
        <f t="shared" si="4"/>
        <v>52.909589041095892</v>
      </c>
      <c r="O38" s="16"/>
      <c r="P38" s="16"/>
      <c r="Q38" s="16"/>
      <c r="R38" s="16"/>
      <c r="S38" s="21"/>
      <c r="T38" s="21"/>
      <c r="U38" s="21"/>
      <c r="V38" s="5">
        <v>47645</v>
      </c>
      <c r="W38" s="5">
        <v>66957</v>
      </c>
      <c r="Y38" s="5"/>
    </row>
    <row r="39" spans="1:33" ht="18" x14ac:dyDescent="0.35">
      <c r="A39" s="6"/>
      <c r="C39" s="13" t="s">
        <v>383</v>
      </c>
      <c r="D39" s="13" t="str">
        <f t="shared" si="0"/>
        <v xml:space="preserve">;lGbk </v>
      </c>
      <c r="E39" s="13" t="str">
        <f t="shared" si="6"/>
        <v>dfemL</v>
      </c>
      <c r="F39" s="21" t="s">
        <v>233</v>
      </c>
      <c r="G39" s="21" t="s">
        <v>757</v>
      </c>
      <c r="H39" s="21" t="s">
        <v>905</v>
      </c>
      <c r="I39" s="21">
        <f t="shared" si="2"/>
        <v>164</v>
      </c>
      <c r="J39" s="21"/>
      <c r="K39" s="21" t="str">
        <f t="shared" si="3"/>
        <v>-</v>
      </c>
      <c r="L39" s="15">
        <f t="shared" si="4"/>
        <v>26.991780821917807</v>
      </c>
      <c r="O39" s="16"/>
      <c r="P39" s="16"/>
      <c r="Q39" s="16"/>
      <c r="R39" s="16"/>
      <c r="S39" s="21"/>
      <c r="T39" s="21"/>
      <c r="U39" s="21"/>
      <c r="V39" s="5">
        <v>57105</v>
      </c>
      <c r="W39" s="5">
        <v>66957</v>
      </c>
      <c r="Y39" s="5"/>
    </row>
    <row r="40" spans="1:33" ht="18" x14ac:dyDescent="0.35">
      <c r="A40" s="6"/>
      <c r="C40" s="13" t="s">
        <v>384</v>
      </c>
      <c r="D40" s="13" t="str">
        <f t="shared" si="0"/>
        <v xml:space="preserve">ljgf]b </v>
      </c>
      <c r="E40" s="13" t="str">
        <f t="shared" si="6"/>
        <v>dfemL</v>
      </c>
      <c r="F40" s="21" t="s">
        <v>233</v>
      </c>
      <c r="G40" s="21" t="s">
        <v>757</v>
      </c>
      <c r="H40" s="21" t="s">
        <v>905</v>
      </c>
      <c r="I40" s="21">
        <f t="shared" si="2"/>
        <v>164</v>
      </c>
      <c r="J40" s="21"/>
      <c r="K40" s="21" t="str">
        <f t="shared" si="3"/>
        <v>-</v>
      </c>
      <c r="L40" s="15">
        <f t="shared" si="4"/>
        <v>28.079452054794519</v>
      </c>
      <c r="O40" s="16"/>
      <c r="P40" s="16"/>
      <c r="Q40" s="16"/>
      <c r="R40" s="16"/>
      <c r="S40" s="21"/>
      <c r="T40" s="21"/>
      <c r="U40" s="21"/>
      <c r="V40" s="5">
        <v>56708</v>
      </c>
      <c r="W40" s="5">
        <v>66957</v>
      </c>
      <c r="Y40" s="5"/>
    </row>
    <row r="41" spans="1:33" ht="18" x14ac:dyDescent="0.35">
      <c r="A41" s="6">
        <v>14</v>
      </c>
      <c r="B41" t="s">
        <v>16</v>
      </c>
      <c r="C41" s="13" t="s">
        <v>385</v>
      </c>
      <c r="D41" s="13" t="str">
        <f t="shared" si="0"/>
        <v xml:space="preserve">;+emgf </v>
      </c>
      <c r="E41" s="13" t="str">
        <f t="shared" si="6"/>
        <v>sfsL{</v>
      </c>
      <c r="F41" s="21" t="s">
        <v>234</v>
      </c>
      <c r="G41" s="21" t="s">
        <v>756</v>
      </c>
      <c r="H41" s="21" t="s">
        <v>905</v>
      </c>
      <c r="I41" s="21">
        <f t="shared" si="2"/>
        <v>99</v>
      </c>
      <c r="J41" s="21"/>
      <c r="K41" s="21" t="str">
        <f t="shared" si="3"/>
        <v>-</v>
      </c>
      <c r="L41" s="15">
        <f t="shared" si="4"/>
        <v>40.169863013698631</v>
      </c>
      <c r="O41" s="16">
        <v>0</v>
      </c>
      <c r="P41" s="16">
        <v>3</v>
      </c>
      <c r="Q41" s="16">
        <v>0</v>
      </c>
      <c r="R41" s="16">
        <v>1</v>
      </c>
      <c r="S41" s="21" t="s">
        <v>745</v>
      </c>
      <c r="T41" s="21"/>
      <c r="U41" s="21"/>
      <c r="V41" s="5">
        <v>52295</v>
      </c>
      <c r="W41" s="5">
        <v>66957</v>
      </c>
      <c r="Y41" s="5">
        <v>66605</v>
      </c>
      <c r="Z41" s="2" t="s">
        <v>2</v>
      </c>
      <c r="AA41" s="2">
        <v>3</v>
      </c>
      <c r="AB41" s="2">
        <v>2</v>
      </c>
      <c r="AC41" s="2">
        <v>1</v>
      </c>
      <c r="AD41" t="s">
        <v>242</v>
      </c>
      <c r="AE41" t="s">
        <v>312</v>
      </c>
      <c r="AF41" t="s">
        <v>245</v>
      </c>
    </row>
    <row r="42" spans="1:33" ht="18" x14ac:dyDescent="0.35">
      <c r="A42" s="6"/>
      <c r="C42" s="13" t="s">
        <v>386</v>
      </c>
      <c r="D42" s="13" t="str">
        <f t="shared" si="0"/>
        <v xml:space="preserve">;'o{ </v>
      </c>
      <c r="E42" s="13" t="str">
        <f t="shared" si="6"/>
        <v>sfsL{</v>
      </c>
      <c r="F42" s="21" t="s">
        <v>233</v>
      </c>
      <c r="G42" s="21" t="s">
        <v>756</v>
      </c>
      <c r="H42" s="21" t="s">
        <v>905</v>
      </c>
      <c r="I42" s="21">
        <f t="shared" si="2"/>
        <v>164</v>
      </c>
      <c r="J42" s="21"/>
      <c r="K42" s="21" t="str">
        <f t="shared" si="3"/>
        <v>-</v>
      </c>
      <c r="L42" s="15">
        <f t="shared" si="4"/>
        <v>47.241095890410961</v>
      </c>
      <c r="O42" s="16"/>
      <c r="P42" s="16"/>
      <c r="Q42" s="16"/>
      <c r="R42" s="16"/>
      <c r="S42" s="21"/>
      <c r="T42" s="21"/>
      <c r="U42" s="21"/>
      <c r="V42" s="5">
        <v>49714</v>
      </c>
      <c r="W42" s="5">
        <v>66957</v>
      </c>
      <c r="Y42" s="5"/>
    </row>
    <row r="43" spans="1:33" ht="18" x14ac:dyDescent="0.35">
      <c r="A43" s="6"/>
      <c r="C43" s="14" t="s">
        <v>387</v>
      </c>
      <c r="D43" s="13" t="str">
        <f t="shared" si="0"/>
        <v xml:space="preserve">;'hg </v>
      </c>
      <c r="E43" s="13" t="str">
        <f t="shared" si="6"/>
        <v>sfsL{</v>
      </c>
      <c r="F43" s="21" t="s">
        <v>233</v>
      </c>
      <c r="G43" s="21" t="s">
        <v>757</v>
      </c>
      <c r="H43" s="21" t="s">
        <v>905</v>
      </c>
      <c r="I43" s="21">
        <f t="shared" si="2"/>
        <v>164</v>
      </c>
      <c r="J43" s="21"/>
      <c r="K43" s="21" t="str">
        <f t="shared" si="3"/>
        <v>-</v>
      </c>
      <c r="L43" s="15">
        <f t="shared" si="4"/>
        <v>22.493150684931507</v>
      </c>
      <c r="O43" s="16"/>
      <c r="P43" s="16"/>
      <c r="Q43" s="16"/>
      <c r="R43" s="16"/>
      <c r="S43" s="21"/>
      <c r="T43" s="21"/>
      <c r="U43" s="21"/>
      <c r="V43" s="5">
        <v>58747</v>
      </c>
      <c r="W43" s="5">
        <v>66957</v>
      </c>
      <c r="Y43" s="5"/>
    </row>
    <row r="44" spans="1:33" ht="18" x14ac:dyDescent="0.35">
      <c r="A44" s="6">
        <v>15</v>
      </c>
      <c r="B44" t="s">
        <v>17</v>
      </c>
      <c r="C44" s="14" t="s">
        <v>388</v>
      </c>
      <c r="D44" s="13" t="str">
        <f t="shared" si="0"/>
        <v xml:space="preserve">s]z/ </v>
      </c>
      <c r="E44" s="13" t="str">
        <f t="shared" si="6"/>
        <v>dxt</v>
      </c>
      <c r="F44" s="21" t="s">
        <v>233</v>
      </c>
      <c r="G44" s="21" t="s">
        <v>756</v>
      </c>
      <c r="H44" s="21" t="s">
        <v>905</v>
      </c>
      <c r="I44" s="21">
        <f t="shared" si="2"/>
        <v>164</v>
      </c>
      <c r="J44" s="21"/>
      <c r="K44" s="21" t="str">
        <f t="shared" si="3"/>
        <v>-</v>
      </c>
      <c r="L44" s="15">
        <f t="shared" si="4"/>
        <v>57.583561643835615</v>
      </c>
      <c r="O44" s="16">
        <v>0</v>
      </c>
      <c r="P44" s="16">
        <v>3</v>
      </c>
      <c r="Q44" s="16">
        <v>0</v>
      </c>
      <c r="R44" s="16">
        <v>0</v>
      </c>
      <c r="S44" s="21" t="s">
        <v>745</v>
      </c>
      <c r="T44" s="21"/>
      <c r="U44" s="21"/>
      <c r="V44" s="5">
        <v>45939</v>
      </c>
      <c r="W44" s="5">
        <v>66957</v>
      </c>
      <c r="Y44" s="5">
        <v>66605</v>
      </c>
      <c r="Z44" s="2" t="s">
        <v>2</v>
      </c>
      <c r="AA44" s="2">
        <v>4</v>
      </c>
      <c r="AB44" s="2">
        <v>2</v>
      </c>
      <c r="AC44" s="2">
        <v>2</v>
      </c>
      <c r="AD44" t="s">
        <v>242</v>
      </c>
      <c r="AE44" t="s">
        <v>285</v>
      </c>
      <c r="AF44" t="s">
        <v>245</v>
      </c>
    </row>
    <row r="45" spans="1:33" ht="18" x14ac:dyDescent="0.35">
      <c r="A45" s="6"/>
      <c r="C45" s="14" t="s">
        <v>389</v>
      </c>
      <c r="D45" s="13" t="str">
        <f t="shared" si="0"/>
        <v xml:space="preserve">eujtL </v>
      </c>
      <c r="E45" s="13" t="str">
        <f t="shared" si="6"/>
        <v>dxt</v>
      </c>
      <c r="F45" s="21" t="s">
        <v>234</v>
      </c>
      <c r="G45" s="21" t="s">
        <v>756</v>
      </c>
      <c r="H45" s="21" t="s">
        <v>906</v>
      </c>
      <c r="I45" s="21">
        <f t="shared" si="2"/>
        <v>58</v>
      </c>
      <c r="J45" s="21"/>
      <c r="K45" s="21" t="str">
        <f t="shared" si="3"/>
        <v>-</v>
      </c>
      <c r="L45" s="15">
        <f t="shared" si="4"/>
        <v>52.534246575342465</v>
      </c>
      <c r="O45" s="16"/>
      <c r="P45" s="16"/>
      <c r="Q45" s="16"/>
      <c r="R45" s="16"/>
      <c r="S45" s="21"/>
      <c r="T45" s="21"/>
      <c r="U45" s="21"/>
      <c r="V45" s="5">
        <v>47782</v>
      </c>
      <c r="W45" s="5">
        <v>66957</v>
      </c>
      <c r="Y45" s="5"/>
    </row>
    <row r="46" spans="1:33" ht="18" x14ac:dyDescent="0.35">
      <c r="A46" s="6"/>
      <c r="C46" s="14" t="s">
        <v>390</v>
      </c>
      <c r="D46" s="13" t="str">
        <f t="shared" si="0"/>
        <v xml:space="preserve">gj/fh </v>
      </c>
      <c r="E46" s="13" t="str">
        <f t="shared" si="6"/>
        <v>dxt</v>
      </c>
      <c r="F46" s="21" t="s">
        <v>233</v>
      </c>
      <c r="G46" s="21" t="s">
        <v>757</v>
      </c>
      <c r="H46" s="21" t="s">
        <v>905</v>
      </c>
      <c r="I46" s="21">
        <f t="shared" si="2"/>
        <v>164</v>
      </c>
      <c r="J46" s="21"/>
      <c r="K46" s="21" t="str">
        <f t="shared" si="3"/>
        <v>-</v>
      </c>
      <c r="L46" s="15">
        <f t="shared" si="4"/>
        <v>28.583561643835615</v>
      </c>
      <c r="O46" s="16"/>
      <c r="P46" s="16"/>
      <c r="Q46" s="16"/>
      <c r="R46" s="16"/>
      <c r="S46" s="21"/>
      <c r="T46" s="21"/>
      <c r="U46" s="21"/>
      <c r="V46" s="5">
        <v>56524</v>
      </c>
      <c r="W46" s="5">
        <v>66957</v>
      </c>
      <c r="Y46" s="5"/>
    </row>
    <row r="47" spans="1:33" ht="18" x14ac:dyDescent="0.35">
      <c r="A47" s="6"/>
      <c r="C47" s="14" t="s">
        <v>391</v>
      </c>
      <c r="D47" s="13" t="str">
        <f t="shared" si="0"/>
        <v xml:space="preserve">gljgf </v>
      </c>
      <c r="E47" s="13" t="str">
        <f t="shared" si="6"/>
        <v>dxt</v>
      </c>
      <c r="F47" s="21" t="s">
        <v>234</v>
      </c>
      <c r="G47" s="21" t="s">
        <v>757</v>
      </c>
      <c r="H47" s="21" t="s">
        <v>905</v>
      </c>
      <c r="I47" s="21">
        <f t="shared" si="2"/>
        <v>99</v>
      </c>
      <c r="J47" s="21"/>
      <c r="K47" s="21" t="str">
        <f t="shared" si="3"/>
        <v>-</v>
      </c>
      <c r="L47" s="15">
        <f t="shared" si="4"/>
        <v>24.460273972602739</v>
      </c>
      <c r="O47" s="16"/>
      <c r="P47" s="16"/>
      <c r="Q47" s="16"/>
      <c r="R47" s="16"/>
      <c r="S47" s="21"/>
      <c r="T47" s="21"/>
      <c r="U47" s="21"/>
      <c r="V47" s="5">
        <v>58029</v>
      </c>
      <c r="W47" s="5">
        <v>66957</v>
      </c>
      <c r="Y47" s="5"/>
    </row>
    <row r="48" spans="1:33" ht="18" x14ac:dyDescent="0.35">
      <c r="A48" s="6">
        <v>16</v>
      </c>
      <c r="B48" t="s">
        <v>19</v>
      </c>
      <c r="C48" s="14" t="s">
        <v>392</v>
      </c>
      <c r="D48" s="13" t="str">
        <f t="shared" si="0"/>
        <v xml:space="preserve">emg </v>
      </c>
      <c r="E48" s="13" t="str">
        <f t="shared" si="6"/>
        <v>a:g]t</v>
      </c>
      <c r="F48" s="21" t="s">
        <v>234</v>
      </c>
      <c r="G48" s="21" t="s">
        <v>756</v>
      </c>
      <c r="H48" s="21" t="s">
        <v>906</v>
      </c>
      <c r="I48" s="21">
        <f t="shared" si="2"/>
        <v>58</v>
      </c>
      <c r="J48" s="21"/>
      <c r="K48" s="21" t="str">
        <f t="shared" si="3"/>
        <v>-</v>
      </c>
      <c r="L48" s="15">
        <f t="shared" si="4"/>
        <v>52.895890410958906</v>
      </c>
      <c r="O48" s="16">
        <v>0</v>
      </c>
      <c r="P48" s="16">
        <v>3</v>
      </c>
      <c r="Q48" s="16">
        <v>0</v>
      </c>
      <c r="R48" s="16">
        <v>0</v>
      </c>
      <c r="S48" s="21" t="s">
        <v>745</v>
      </c>
      <c r="T48" s="21"/>
      <c r="U48" s="21"/>
      <c r="V48" s="5">
        <v>47650</v>
      </c>
      <c r="W48" s="5">
        <v>66957</v>
      </c>
      <c r="Y48" s="5">
        <v>66594</v>
      </c>
      <c r="Z48" s="2" t="s">
        <v>2</v>
      </c>
      <c r="AA48" s="2">
        <v>3</v>
      </c>
      <c r="AB48" s="2">
        <v>1</v>
      </c>
      <c r="AC48" s="2">
        <v>2</v>
      </c>
      <c r="AD48" t="s">
        <v>242</v>
      </c>
      <c r="AE48" t="s">
        <v>275</v>
      </c>
      <c r="AF48" t="s">
        <v>245</v>
      </c>
    </row>
    <row r="49" spans="1:32" ht="18" x14ac:dyDescent="0.35">
      <c r="A49" s="6"/>
      <c r="C49" s="14" t="s">
        <v>393</v>
      </c>
      <c r="D49" s="13" t="str">
        <f t="shared" si="0"/>
        <v xml:space="preserve">;l/tf </v>
      </c>
      <c r="E49" s="13" t="str">
        <f t="shared" si="6"/>
        <v>5]qL</v>
      </c>
      <c r="F49" s="21" t="s">
        <v>234</v>
      </c>
      <c r="G49" s="21" t="s">
        <v>757</v>
      </c>
      <c r="H49" s="21" t="s">
        <v>905</v>
      </c>
      <c r="I49" s="21">
        <f t="shared" si="2"/>
        <v>99</v>
      </c>
      <c r="J49" s="21"/>
      <c r="K49" s="21" t="str">
        <f t="shared" si="3"/>
        <v>-</v>
      </c>
      <c r="L49" s="15">
        <f t="shared" si="4"/>
        <v>24.487671232876714</v>
      </c>
      <c r="O49" s="16"/>
      <c r="P49" s="16"/>
      <c r="Q49" s="16"/>
      <c r="R49" s="16"/>
      <c r="S49" s="21"/>
      <c r="T49" s="21"/>
      <c r="U49" s="21"/>
      <c r="V49" s="5">
        <v>58019</v>
      </c>
      <c r="W49" s="5">
        <v>66957</v>
      </c>
      <c r="Y49" s="5"/>
    </row>
    <row r="50" spans="1:32" ht="18" x14ac:dyDescent="0.35">
      <c r="A50" s="6"/>
      <c r="C50" s="14" t="s">
        <v>394</v>
      </c>
      <c r="D50" s="13" t="str">
        <f t="shared" si="0"/>
        <v xml:space="preserve">led </v>
      </c>
      <c r="E50" s="13" t="str">
        <f t="shared" si="6"/>
        <v>a:g]t</v>
      </c>
      <c r="F50" s="21" t="s">
        <v>233</v>
      </c>
      <c r="G50" s="21" t="s">
        <v>757</v>
      </c>
      <c r="H50" s="21" t="s">
        <v>905</v>
      </c>
      <c r="I50" s="21">
        <f t="shared" si="2"/>
        <v>164</v>
      </c>
      <c r="J50" s="21"/>
      <c r="K50" s="21" t="str">
        <f t="shared" si="3"/>
        <v>-</v>
      </c>
      <c r="L50" s="15">
        <f t="shared" si="4"/>
        <v>29.567123287671233</v>
      </c>
      <c r="O50" s="16"/>
      <c r="P50" s="16"/>
      <c r="Q50" s="16"/>
      <c r="R50" s="16"/>
      <c r="S50" s="21"/>
      <c r="T50" s="21"/>
      <c r="U50" s="21"/>
      <c r="V50" s="5">
        <v>56165</v>
      </c>
      <c r="W50" s="5">
        <v>66957</v>
      </c>
      <c r="Y50" s="5"/>
    </row>
    <row r="51" spans="1:32" ht="18" x14ac:dyDescent="0.35">
      <c r="A51" s="6">
        <v>17</v>
      </c>
      <c r="B51" t="s">
        <v>18</v>
      </c>
      <c r="C51" s="14" t="s">
        <v>395</v>
      </c>
      <c r="D51" s="13" t="str">
        <f t="shared" si="0"/>
        <v xml:space="preserve">pT;j </v>
      </c>
      <c r="E51" s="13" t="str">
        <f t="shared" si="6"/>
        <v>9sfn</v>
      </c>
      <c r="F51" s="21" t="s">
        <v>233</v>
      </c>
      <c r="G51" s="21" t="s">
        <v>756</v>
      </c>
      <c r="H51" s="21" t="s">
        <v>905</v>
      </c>
      <c r="I51" s="21">
        <f t="shared" si="2"/>
        <v>164</v>
      </c>
      <c r="J51" s="21"/>
      <c r="K51" s="21" t="str">
        <f t="shared" si="3"/>
        <v>-</v>
      </c>
      <c r="L51" s="15">
        <f t="shared" si="4"/>
        <v>30.638356164383563</v>
      </c>
      <c r="O51" s="16">
        <v>1</v>
      </c>
      <c r="P51" s="16">
        <v>8</v>
      </c>
      <c r="Q51" s="16">
        <v>0</v>
      </c>
      <c r="R51" s="16">
        <v>0</v>
      </c>
      <c r="S51" s="21" t="s">
        <v>910</v>
      </c>
      <c r="T51" s="21"/>
      <c r="U51" s="21"/>
      <c r="V51" s="5">
        <v>55774</v>
      </c>
      <c r="W51" s="5">
        <v>66957</v>
      </c>
      <c r="Y51" s="5">
        <v>66589</v>
      </c>
      <c r="Z51" s="2" t="s">
        <v>2</v>
      </c>
      <c r="AA51" s="2">
        <v>5</v>
      </c>
      <c r="AB51" s="2">
        <v>2</v>
      </c>
      <c r="AC51" s="2">
        <v>3</v>
      </c>
      <c r="AD51" t="s">
        <v>242</v>
      </c>
      <c r="AE51" t="s">
        <v>333</v>
      </c>
      <c r="AF51" t="s">
        <v>245</v>
      </c>
    </row>
    <row r="52" spans="1:32" ht="18" x14ac:dyDescent="0.35">
      <c r="A52" s="6"/>
      <c r="C52" s="14" t="s">
        <v>396</v>
      </c>
      <c r="D52" s="13" t="str">
        <f t="shared" si="0"/>
        <v xml:space="preserve">;'lhtf </v>
      </c>
      <c r="E52" s="13" t="str">
        <f t="shared" si="6"/>
        <v>rf}nfufO{</v>
      </c>
      <c r="F52" s="21" t="s">
        <v>234</v>
      </c>
      <c r="G52" s="21" t="s">
        <v>756</v>
      </c>
      <c r="H52" s="21" t="s">
        <v>905</v>
      </c>
      <c r="I52" s="21">
        <f t="shared" si="2"/>
        <v>99</v>
      </c>
      <c r="J52" s="21"/>
      <c r="K52" s="21" t="str">
        <f t="shared" si="3"/>
        <v>-</v>
      </c>
      <c r="L52" s="15">
        <f t="shared" si="4"/>
        <v>30.860273972602741</v>
      </c>
      <c r="O52" s="16"/>
      <c r="P52" s="16"/>
      <c r="Q52" s="16"/>
      <c r="R52" s="16"/>
      <c r="S52" s="21"/>
      <c r="T52" s="21"/>
      <c r="U52" s="21"/>
      <c r="V52" s="5">
        <v>55693</v>
      </c>
      <c r="W52" s="5">
        <v>66957</v>
      </c>
      <c r="Y52" s="5"/>
    </row>
    <row r="53" spans="1:32" ht="18" x14ac:dyDescent="0.35">
      <c r="A53" s="6"/>
      <c r="C53" s="14" t="s">
        <v>397</v>
      </c>
      <c r="D53" s="13" t="str">
        <f t="shared" si="0"/>
        <v xml:space="preserve">/fh]Gb| </v>
      </c>
      <c r="E53" s="13" t="str">
        <f t="shared" si="6"/>
        <v>9sfn</v>
      </c>
      <c r="F53" s="21" t="s">
        <v>233</v>
      </c>
      <c r="G53" s="21" t="s">
        <v>756</v>
      </c>
      <c r="H53" s="21" t="s">
        <v>905</v>
      </c>
      <c r="I53" s="21">
        <f t="shared" si="2"/>
        <v>164</v>
      </c>
      <c r="J53" s="21"/>
      <c r="K53" s="21" t="str">
        <f t="shared" si="3"/>
        <v>-</v>
      </c>
      <c r="L53" s="15">
        <f t="shared" si="4"/>
        <v>56.101369863013701</v>
      </c>
      <c r="O53" s="16"/>
      <c r="P53" s="16"/>
      <c r="Q53" s="16"/>
      <c r="R53" s="16"/>
      <c r="S53" s="21"/>
      <c r="T53" s="21"/>
      <c r="U53" s="21"/>
      <c r="V53" s="5">
        <v>46480</v>
      </c>
      <c r="W53" s="5">
        <v>66957</v>
      </c>
      <c r="Y53" s="5"/>
    </row>
    <row r="54" spans="1:32" ht="18" x14ac:dyDescent="0.35">
      <c r="A54" s="6"/>
      <c r="C54" s="14" t="s">
        <v>398</v>
      </c>
      <c r="D54" s="13" t="str">
        <f t="shared" si="0"/>
        <v xml:space="preserve">uLtf </v>
      </c>
      <c r="E54" s="13" t="str">
        <f t="shared" si="6"/>
        <v>9sfn</v>
      </c>
      <c r="F54" s="21" t="s">
        <v>234</v>
      </c>
      <c r="G54" s="21" t="s">
        <v>756</v>
      </c>
      <c r="H54" s="21" t="s">
        <v>905</v>
      </c>
      <c r="I54" s="21">
        <f t="shared" si="2"/>
        <v>99</v>
      </c>
      <c r="J54" s="21"/>
      <c r="K54" s="21" t="str">
        <f t="shared" si="3"/>
        <v>-</v>
      </c>
      <c r="L54" s="15">
        <f t="shared" si="4"/>
        <v>50.805479452054797</v>
      </c>
      <c r="O54" s="16"/>
      <c r="P54" s="16"/>
      <c r="Q54" s="16"/>
      <c r="R54" s="16"/>
      <c r="S54" s="21"/>
      <c r="T54" s="21"/>
      <c r="U54" s="21"/>
      <c r="V54" s="5">
        <v>48413</v>
      </c>
      <c r="W54" s="5">
        <v>66957</v>
      </c>
      <c r="Y54" s="5"/>
    </row>
    <row r="55" spans="1:32" ht="18" x14ac:dyDescent="0.35">
      <c r="A55" s="6"/>
      <c r="C55" s="14" t="s">
        <v>399</v>
      </c>
      <c r="D55" s="13" t="str">
        <f t="shared" si="0"/>
        <v xml:space="preserve">:jl:tsf </v>
      </c>
      <c r="E55" s="13" t="str">
        <f t="shared" si="6"/>
        <v>9sfn</v>
      </c>
      <c r="F55" s="21" t="s">
        <v>234</v>
      </c>
      <c r="G55" s="21" t="s">
        <v>757</v>
      </c>
      <c r="H55" s="21" t="s">
        <v>905</v>
      </c>
      <c r="I55" s="21">
        <f t="shared" si="2"/>
        <v>99</v>
      </c>
      <c r="J55" s="21"/>
      <c r="K55" s="21" t="str">
        <f t="shared" si="3"/>
        <v>-</v>
      </c>
      <c r="L55" s="15">
        <f t="shared" si="4"/>
        <v>27.432876712328767</v>
      </c>
      <c r="O55" s="16"/>
      <c r="P55" s="16"/>
      <c r="Q55" s="16"/>
      <c r="R55" s="16"/>
      <c r="S55" s="21"/>
      <c r="T55" s="21"/>
      <c r="U55" s="21"/>
      <c r="V55" s="5">
        <v>56944</v>
      </c>
      <c r="W55" s="5">
        <v>66957</v>
      </c>
      <c r="Y55" s="5"/>
    </row>
    <row r="56" spans="1:32" ht="18" x14ac:dyDescent="0.35">
      <c r="A56" s="6">
        <v>18</v>
      </c>
      <c r="B56" t="s">
        <v>20</v>
      </c>
      <c r="C56" s="14" t="s">
        <v>401</v>
      </c>
      <c r="D56" s="13" t="str">
        <f t="shared" si="0"/>
        <v xml:space="preserve">;'o{ </v>
      </c>
      <c r="E56" s="13" t="str">
        <f t="shared" si="6"/>
        <v>vltj8f</v>
      </c>
      <c r="F56" s="21" t="s">
        <v>233</v>
      </c>
      <c r="G56" s="21" t="s">
        <v>756</v>
      </c>
      <c r="H56" s="21" t="s">
        <v>905</v>
      </c>
      <c r="I56" s="21">
        <f t="shared" si="2"/>
        <v>164</v>
      </c>
      <c r="J56" s="21"/>
      <c r="K56" s="21" t="str">
        <f t="shared" si="3"/>
        <v>-</v>
      </c>
      <c r="L56" s="15">
        <f t="shared" si="4"/>
        <v>46.276712328767125</v>
      </c>
      <c r="O56" s="33">
        <v>4</v>
      </c>
      <c r="P56" s="33">
        <v>0</v>
      </c>
      <c r="Q56" s="33">
        <v>0</v>
      </c>
      <c r="R56" s="33">
        <v>0</v>
      </c>
      <c r="S56" s="29" t="s">
        <v>745</v>
      </c>
      <c r="T56" s="21"/>
      <c r="U56" s="21"/>
      <c r="V56" s="5">
        <v>50066</v>
      </c>
      <c r="W56" s="5">
        <v>66957</v>
      </c>
      <c r="Y56" s="5">
        <v>66587</v>
      </c>
      <c r="Z56" s="2" t="s">
        <v>2</v>
      </c>
      <c r="AA56" s="2">
        <v>4</v>
      </c>
      <c r="AB56" s="2">
        <v>2</v>
      </c>
      <c r="AC56" s="2">
        <v>2</v>
      </c>
      <c r="AD56" t="s">
        <v>242</v>
      </c>
      <c r="AE56" t="s">
        <v>252</v>
      </c>
      <c r="AF56" t="s">
        <v>245</v>
      </c>
    </row>
    <row r="57" spans="1:32" ht="18" x14ac:dyDescent="0.35">
      <c r="A57" s="6"/>
      <c r="C57" s="14" t="s">
        <v>402</v>
      </c>
      <c r="D57" s="13" t="str">
        <f t="shared" si="0"/>
        <v xml:space="preserve">hgs </v>
      </c>
      <c r="E57" s="13" t="str">
        <f t="shared" si="6"/>
        <v>vltj8f</v>
      </c>
      <c r="F57" s="21" t="s">
        <v>233</v>
      </c>
      <c r="G57" s="21" t="s">
        <v>756</v>
      </c>
      <c r="H57" s="21" t="s">
        <v>906</v>
      </c>
      <c r="I57" s="21">
        <f t="shared" si="2"/>
        <v>11</v>
      </c>
      <c r="J57" s="21"/>
      <c r="K57" s="21" t="str">
        <f t="shared" si="3"/>
        <v>-</v>
      </c>
      <c r="L57" s="15">
        <f t="shared" si="4"/>
        <v>57.515068493150686</v>
      </c>
      <c r="O57" s="16"/>
      <c r="P57" s="16"/>
      <c r="Q57" s="16"/>
      <c r="R57" s="16"/>
      <c r="S57" s="21"/>
      <c r="T57" s="21"/>
      <c r="U57" s="21"/>
      <c r="V57" s="5">
        <v>45964</v>
      </c>
      <c r="W57" s="5">
        <v>66957</v>
      </c>
      <c r="Y57" s="5"/>
    </row>
    <row r="58" spans="1:32" ht="18" x14ac:dyDescent="0.35">
      <c r="A58" s="6"/>
      <c r="C58" s="14" t="s">
        <v>403</v>
      </c>
      <c r="D58" s="13" t="str">
        <f t="shared" si="0"/>
        <v xml:space="preserve">dGh' </v>
      </c>
      <c r="E58" s="13" t="str">
        <f t="shared" si="6"/>
        <v>vltj8f</v>
      </c>
      <c r="F58" s="21" t="s">
        <v>234</v>
      </c>
      <c r="G58" s="21" t="s">
        <v>756</v>
      </c>
      <c r="H58" s="21" t="s">
        <v>906</v>
      </c>
      <c r="I58" s="21">
        <f t="shared" si="2"/>
        <v>58</v>
      </c>
      <c r="J58" s="21"/>
      <c r="K58" s="21" t="str">
        <f t="shared" si="3"/>
        <v>-</v>
      </c>
      <c r="L58" s="15">
        <f t="shared" si="4"/>
        <v>47.282191780821918</v>
      </c>
      <c r="O58" s="16"/>
      <c r="P58" s="16"/>
      <c r="Q58" s="16"/>
      <c r="R58" s="16"/>
      <c r="S58" s="21"/>
      <c r="T58" s="21"/>
      <c r="U58" s="21"/>
      <c r="V58" s="5">
        <v>49699</v>
      </c>
      <c r="W58" s="5">
        <v>66957</v>
      </c>
      <c r="Y58" s="5"/>
    </row>
    <row r="59" spans="1:32" ht="18" x14ac:dyDescent="0.35">
      <c r="A59" s="6"/>
      <c r="C59" s="14" t="s">
        <v>404</v>
      </c>
      <c r="D59" s="13" t="str">
        <f t="shared" si="0"/>
        <v xml:space="preserve">s';'d </v>
      </c>
      <c r="E59" s="13" t="str">
        <f t="shared" si="6"/>
        <v>lg/f}nf</v>
      </c>
      <c r="F59" s="21" t="s">
        <v>234</v>
      </c>
      <c r="G59" s="21" t="s">
        <v>756</v>
      </c>
      <c r="H59" s="21" t="s">
        <v>905</v>
      </c>
      <c r="I59" s="21">
        <f t="shared" si="2"/>
        <v>99</v>
      </c>
      <c r="J59" s="21"/>
      <c r="K59" s="21" t="str">
        <f t="shared" si="3"/>
        <v>-</v>
      </c>
      <c r="L59" s="15">
        <f t="shared" si="4"/>
        <v>34.778082191780825</v>
      </c>
      <c r="O59" s="16"/>
      <c r="P59" s="16"/>
      <c r="Q59" s="16"/>
      <c r="R59" s="16"/>
      <c r="S59" s="21"/>
      <c r="T59" s="21"/>
      <c r="U59" s="21"/>
      <c r="V59" s="5">
        <v>54263</v>
      </c>
      <c r="W59" s="5">
        <v>66957</v>
      </c>
      <c r="Y59" s="5"/>
    </row>
    <row r="60" spans="1:32" ht="18" x14ac:dyDescent="0.35">
      <c r="A60" s="6">
        <v>19</v>
      </c>
      <c r="B60" t="s">
        <v>21</v>
      </c>
      <c r="C60" s="14" t="s">
        <v>405</v>
      </c>
      <c r="D60" s="13" t="str">
        <f t="shared" si="0"/>
        <v xml:space="preserve">ejfgL </v>
      </c>
      <c r="E60" s="13" t="str">
        <f t="shared" si="6"/>
        <v>af:sf]6f</v>
      </c>
      <c r="F60" s="21" t="s">
        <v>234</v>
      </c>
      <c r="G60" s="21" t="s">
        <v>756</v>
      </c>
      <c r="H60" s="21" t="s">
        <v>906</v>
      </c>
      <c r="I60" s="21">
        <f t="shared" si="2"/>
        <v>58</v>
      </c>
      <c r="J60" s="21"/>
      <c r="K60" s="21" t="str">
        <f t="shared" si="3"/>
        <v>-</v>
      </c>
      <c r="L60" s="15">
        <f t="shared" si="4"/>
        <v>51.975342465753428</v>
      </c>
      <c r="O60" s="16">
        <v>0</v>
      </c>
      <c r="P60" s="16">
        <v>6</v>
      </c>
      <c r="Q60" s="16">
        <v>0</v>
      </c>
      <c r="R60" s="16">
        <v>2</v>
      </c>
      <c r="S60" s="21" t="s">
        <v>745</v>
      </c>
      <c r="T60" s="21"/>
      <c r="U60" s="21"/>
      <c r="V60" s="5">
        <v>47986</v>
      </c>
      <c r="W60" s="5">
        <v>66957</v>
      </c>
      <c r="Y60" s="5">
        <v>66573</v>
      </c>
      <c r="Z60" s="2" t="s">
        <v>2</v>
      </c>
      <c r="AA60" s="2">
        <v>4</v>
      </c>
      <c r="AB60" s="2">
        <v>2</v>
      </c>
      <c r="AC60" s="2">
        <v>2</v>
      </c>
      <c r="AD60" t="s">
        <v>242</v>
      </c>
      <c r="AE60" t="s">
        <v>256</v>
      </c>
      <c r="AF60" t="s">
        <v>245</v>
      </c>
    </row>
    <row r="61" spans="1:32" ht="18" x14ac:dyDescent="0.35">
      <c r="A61" s="6"/>
      <c r="C61" s="14" t="s">
        <v>406</v>
      </c>
      <c r="D61" s="13" t="str">
        <f t="shared" si="0"/>
        <v xml:space="preserve">ofbj </v>
      </c>
      <c r="E61" s="13" t="str">
        <f t="shared" si="6"/>
        <v>af:sf]6f</v>
      </c>
      <c r="F61" s="21" t="s">
        <v>233</v>
      </c>
      <c r="G61" s="21" t="s">
        <v>756</v>
      </c>
      <c r="H61" s="21" t="s">
        <v>905</v>
      </c>
      <c r="I61" s="21">
        <f t="shared" si="2"/>
        <v>164</v>
      </c>
      <c r="J61" s="21"/>
      <c r="K61" s="21" t="str">
        <f t="shared" si="3"/>
        <v>-</v>
      </c>
      <c r="L61" s="15">
        <f t="shared" si="4"/>
        <v>63.441095890410956</v>
      </c>
      <c r="O61" s="16"/>
      <c r="P61" s="16"/>
      <c r="Q61" s="16"/>
      <c r="R61" s="16"/>
      <c r="S61" s="21"/>
      <c r="T61" s="21"/>
      <c r="U61" s="21"/>
      <c r="V61" s="5">
        <v>43801</v>
      </c>
      <c r="W61" s="5">
        <v>66957</v>
      </c>
      <c r="Y61" s="5"/>
    </row>
    <row r="62" spans="1:32" ht="18" x14ac:dyDescent="0.35">
      <c r="A62" s="6"/>
      <c r="C62" s="14" t="s">
        <v>407</v>
      </c>
      <c r="D62" s="13" t="str">
        <f t="shared" si="0"/>
        <v xml:space="preserve">cg' </v>
      </c>
      <c r="E62" s="13" t="str">
        <f t="shared" si="6"/>
        <v>af:sf]6f</v>
      </c>
      <c r="F62" s="21" t="s">
        <v>234</v>
      </c>
      <c r="G62" s="21" t="s">
        <v>757</v>
      </c>
      <c r="H62" s="21" t="s">
        <v>905</v>
      </c>
      <c r="I62" s="21">
        <f t="shared" si="2"/>
        <v>99</v>
      </c>
      <c r="J62" s="21"/>
      <c r="K62" s="21" t="str">
        <f t="shared" si="3"/>
        <v>-</v>
      </c>
      <c r="L62" s="15">
        <f t="shared" si="4"/>
        <v>32.728767123287675</v>
      </c>
      <c r="O62" s="16"/>
      <c r="P62" s="16"/>
      <c r="Q62" s="16"/>
      <c r="R62" s="16"/>
      <c r="S62" s="21"/>
      <c r="T62" s="21"/>
      <c r="U62" s="21"/>
      <c r="V62" s="5">
        <v>55011</v>
      </c>
      <c r="W62" s="5">
        <v>66957</v>
      </c>
      <c r="Y62" s="5"/>
    </row>
    <row r="63" spans="1:32" ht="18" x14ac:dyDescent="0.35">
      <c r="A63" s="6"/>
      <c r="C63" s="14" t="s">
        <v>408</v>
      </c>
      <c r="D63" s="13" t="str">
        <f t="shared" si="0"/>
        <v xml:space="preserve">cg'k </v>
      </c>
      <c r="E63" s="13" t="str">
        <f t="shared" si="6"/>
        <v>af:sf]6f</v>
      </c>
      <c r="F63" s="21" t="s">
        <v>233</v>
      </c>
      <c r="G63" s="21" t="s">
        <v>757</v>
      </c>
      <c r="H63" s="21" t="s">
        <v>905</v>
      </c>
      <c r="I63" s="21">
        <f t="shared" si="2"/>
        <v>164</v>
      </c>
      <c r="J63" s="21"/>
      <c r="K63" s="21" t="str">
        <f t="shared" si="3"/>
        <v>-</v>
      </c>
      <c r="L63" s="15">
        <f t="shared" si="4"/>
        <v>31.257534246575343</v>
      </c>
      <c r="O63" s="16"/>
      <c r="P63" s="16"/>
      <c r="Q63" s="16"/>
      <c r="R63" s="16"/>
      <c r="S63" s="21"/>
      <c r="T63" s="21"/>
      <c r="U63" s="21"/>
      <c r="V63" s="5">
        <v>55548</v>
      </c>
      <c r="W63" s="5">
        <v>66957</v>
      </c>
      <c r="Y63" s="5"/>
    </row>
    <row r="64" spans="1:32" ht="18" x14ac:dyDescent="0.35">
      <c r="A64" s="6">
        <v>22</v>
      </c>
      <c r="B64" t="s">
        <v>24</v>
      </c>
      <c r="C64" s="14" t="s">
        <v>415</v>
      </c>
      <c r="D64" s="13" t="str">
        <f t="shared" si="0"/>
        <v xml:space="preserve">hLjg </v>
      </c>
      <c r="E64" s="13" t="str">
        <f t="shared" si="6"/>
        <v>sfsL{</v>
      </c>
      <c r="F64" s="21" t="s">
        <v>233</v>
      </c>
      <c r="G64" s="21" t="s">
        <v>756</v>
      </c>
      <c r="H64" s="21" t="s">
        <v>905</v>
      </c>
      <c r="I64" s="21">
        <f t="shared" si="2"/>
        <v>164</v>
      </c>
      <c r="J64" s="21"/>
      <c r="K64" s="21" t="str">
        <f t="shared" si="3"/>
        <v>-</v>
      </c>
      <c r="L64" s="15">
        <f t="shared" si="4"/>
        <v>39.871232876712327</v>
      </c>
      <c r="O64" s="16">
        <f>0</f>
        <v>0</v>
      </c>
      <c r="P64" s="16">
        <f>2+(1)</f>
        <v>3</v>
      </c>
      <c r="Q64" s="16">
        <v>0</v>
      </c>
      <c r="R64" s="16">
        <v>0</v>
      </c>
      <c r="S64" s="21" t="s">
        <v>745</v>
      </c>
      <c r="T64" s="21"/>
      <c r="U64" s="21"/>
      <c r="V64" s="5">
        <v>52404</v>
      </c>
      <c r="W64" s="5">
        <v>66957</v>
      </c>
      <c r="Y64" s="5">
        <v>66408</v>
      </c>
      <c r="Z64" s="2" t="s">
        <v>2</v>
      </c>
      <c r="AA64" s="2">
        <v>5</v>
      </c>
      <c r="AB64" s="2">
        <v>2</v>
      </c>
      <c r="AC64" s="2">
        <v>3</v>
      </c>
      <c r="AD64" t="s">
        <v>242</v>
      </c>
      <c r="AE64" t="s">
        <v>276</v>
      </c>
      <c r="AF64" t="s">
        <v>245</v>
      </c>
    </row>
    <row r="65" spans="1:32" ht="18" x14ac:dyDescent="0.35">
      <c r="A65" s="6"/>
      <c r="C65" s="14" t="s">
        <v>416</v>
      </c>
      <c r="D65" s="13" t="str">
        <f t="shared" si="0"/>
        <v xml:space="preserve">s'zn </v>
      </c>
      <c r="E65" s="13" t="str">
        <f t="shared" si="6"/>
        <v>sfsL{</v>
      </c>
      <c r="F65" s="21" t="s">
        <v>233</v>
      </c>
      <c r="G65" s="21" t="s">
        <v>757</v>
      </c>
      <c r="H65" s="21" t="s">
        <v>905</v>
      </c>
      <c r="I65" s="21">
        <f t="shared" si="2"/>
        <v>164</v>
      </c>
      <c r="J65" s="21"/>
      <c r="K65" s="21" t="str">
        <f t="shared" si="3"/>
        <v>-</v>
      </c>
      <c r="L65" s="15">
        <f t="shared" si="4"/>
        <v>7.2520547945205482</v>
      </c>
      <c r="O65" s="16"/>
      <c r="P65" s="16"/>
      <c r="Q65" s="16"/>
      <c r="R65" s="16"/>
      <c r="S65" s="21"/>
      <c r="T65" s="21"/>
      <c r="U65" s="21"/>
      <c r="V65" s="5">
        <v>64310</v>
      </c>
      <c r="W65" s="5">
        <v>66957</v>
      </c>
      <c r="Y65" s="5"/>
    </row>
    <row r="66" spans="1:32" ht="18" x14ac:dyDescent="0.35">
      <c r="A66" s="6"/>
      <c r="C66" s="14" t="s">
        <v>417</v>
      </c>
      <c r="D66" s="13" t="str">
        <f t="shared" si="0"/>
        <v xml:space="preserve">nIdL </v>
      </c>
      <c r="E66" s="13" t="str">
        <f t="shared" si="6"/>
        <v>a:g]t</v>
      </c>
      <c r="F66" s="21" t="s">
        <v>234</v>
      </c>
      <c r="G66" s="21" t="s">
        <v>756</v>
      </c>
      <c r="H66" s="21" t="s">
        <v>905</v>
      </c>
      <c r="I66" s="21">
        <f t="shared" si="2"/>
        <v>99</v>
      </c>
      <c r="J66" s="21"/>
      <c r="K66" s="21" t="str">
        <f t="shared" si="3"/>
        <v>-</v>
      </c>
      <c r="L66" s="15">
        <f t="shared" si="4"/>
        <v>36.482191780821921</v>
      </c>
      <c r="O66" s="16"/>
      <c r="P66" s="16"/>
      <c r="Q66" s="16"/>
      <c r="R66" s="16"/>
      <c r="S66" s="21"/>
      <c r="T66" s="21"/>
      <c r="U66" s="21"/>
      <c r="V66" s="5">
        <v>53641</v>
      </c>
      <c r="W66" s="5">
        <v>66957</v>
      </c>
      <c r="Y66" s="5"/>
    </row>
    <row r="67" spans="1:32" ht="18" x14ac:dyDescent="0.35">
      <c r="A67" s="6"/>
      <c r="C67" s="14" t="s">
        <v>418</v>
      </c>
      <c r="D67" s="13" t="str">
        <f t="shared" si="0"/>
        <v xml:space="preserve">sNkgf </v>
      </c>
      <c r="E67" s="13" t="str">
        <f t="shared" si="6"/>
        <v>sfsL{</v>
      </c>
      <c r="F67" s="21" t="s">
        <v>234</v>
      </c>
      <c r="G67" s="21" t="s">
        <v>757</v>
      </c>
      <c r="H67" s="21" t="s">
        <v>905</v>
      </c>
      <c r="I67" s="21">
        <f t="shared" si="2"/>
        <v>99</v>
      </c>
      <c r="J67" s="21"/>
      <c r="K67" s="21" t="str">
        <f t="shared" si="3"/>
        <v>-</v>
      </c>
      <c r="L67" s="15">
        <f t="shared" si="4"/>
        <v>9.7479452054794518</v>
      </c>
      <c r="O67" s="16"/>
      <c r="P67" s="16"/>
      <c r="Q67" s="16"/>
      <c r="R67" s="16"/>
      <c r="S67" s="21"/>
      <c r="T67" s="21"/>
      <c r="U67" s="21"/>
      <c r="V67" s="5">
        <v>63399</v>
      </c>
      <c r="W67" s="5">
        <v>66957</v>
      </c>
      <c r="Y67" s="5"/>
    </row>
    <row r="68" spans="1:32" ht="18" x14ac:dyDescent="0.35">
      <c r="A68" s="6"/>
      <c r="C68" s="14" t="s">
        <v>419</v>
      </c>
      <c r="D68" s="13" t="str">
        <f t="shared" ref="D68:D131" si="7">LEFT(C68,(FIND(" ",C68)))</f>
        <v xml:space="preserve">sljtf </v>
      </c>
      <c r="E68" s="13" t="str">
        <f t="shared" ref="E68:E82" si="8">TRIM(RIGHT(SUBSTITUTE(C68," ",REPT(" ",255)),255))</f>
        <v>sfsL{</v>
      </c>
      <c r="F68" s="21" t="s">
        <v>234</v>
      </c>
      <c r="G68" s="21" t="s">
        <v>757</v>
      </c>
      <c r="H68" s="21" t="s">
        <v>905</v>
      </c>
      <c r="I68" s="21">
        <f t="shared" ref="I68:I131" si="9">IF(L68&gt;=5,(COUNTIFS($H$4:$H$335,H68,$F$4:$F$335,F68)))</f>
        <v>99</v>
      </c>
      <c r="J68" s="21"/>
      <c r="K68" s="21" t="str">
        <f t="shared" ref="K68:K131" si="10">IF(L68&gt;=5,"-")</f>
        <v>-</v>
      </c>
      <c r="L68" s="15">
        <f t="shared" ref="L68:L131" si="11">(W68-V68)/365</f>
        <v>11.764383561643836</v>
      </c>
      <c r="O68" s="16"/>
      <c r="P68" s="16"/>
      <c r="Q68" s="16"/>
      <c r="R68" s="16"/>
      <c r="S68" s="21"/>
      <c r="T68" s="21"/>
      <c r="U68" s="21"/>
      <c r="V68" s="5">
        <v>62663</v>
      </c>
      <c r="W68" s="5">
        <v>66957</v>
      </c>
      <c r="Y68" s="5"/>
    </row>
    <row r="69" spans="1:32" ht="18" x14ac:dyDescent="0.35">
      <c r="A69" s="6">
        <v>23</v>
      </c>
      <c r="B69" t="s">
        <v>25</v>
      </c>
      <c r="C69" s="14" t="s">
        <v>420</v>
      </c>
      <c r="D69" s="13" t="str">
        <f t="shared" si="7"/>
        <v xml:space="preserve">jh| </v>
      </c>
      <c r="E69" s="13" t="str">
        <f t="shared" si="8"/>
        <v>vltj8f</v>
      </c>
      <c r="F69" s="21" t="s">
        <v>233</v>
      </c>
      <c r="G69" s="21" t="s">
        <v>756</v>
      </c>
      <c r="H69" s="21" t="s">
        <v>905</v>
      </c>
      <c r="I69" s="21">
        <f t="shared" si="9"/>
        <v>164</v>
      </c>
      <c r="J69" s="21"/>
      <c r="K69" s="21" t="str">
        <f t="shared" si="10"/>
        <v>-</v>
      </c>
      <c r="L69" s="15">
        <f t="shared" si="11"/>
        <v>49.923287671232877</v>
      </c>
      <c r="O69" s="16">
        <v>0</v>
      </c>
      <c r="P69" s="16">
        <v>4</v>
      </c>
      <c r="Q69" s="16">
        <v>0</v>
      </c>
      <c r="R69" s="16">
        <v>0</v>
      </c>
      <c r="S69" s="21" t="s">
        <v>745</v>
      </c>
      <c r="T69" s="21"/>
      <c r="U69" s="21"/>
      <c r="V69" s="5">
        <v>48735</v>
      </c>
      <c r="W69" s="5">
        <v>66957</v>
      </c>
      <c r="Y69" s="5">
        <v>66392</v>
      </c>
      <c r="Z69" s="2" t="s">
        <v>2</v>
      </c>
      <c r="AA69" s="2">
        <v>4</v>
      </c>
      <c r="AB69" s="2">
        <v>2</v>
      </c>
      <c r="AC69" s="2">
        <v>2</v>
      </c>
      <c r="AD69" t="s">
        <v>238</v>
      </c>
      <c r="AE69" t="s">
        <v>253</v>
      </c>
      <c r="AF69" t="s">
        <v>245</v>
      </c>
    </row>
    <row r="70" spans="1:32" ht="18" x14ac:dyDescent="0.35">
      <c r="A70" s="6"/>
      <c r="C70" s="14" t="s">
        <v>421</v>
      </c>
      <c r="D70" s="13" t="str">
        <f t="shared" si="7"/>
        <v xml:space="preserve">aGbgf </v>
      </c>
      <c r="E70" s="13" t="str">
        <f t="shared" si="8"/>
        <v>vltj8f</v>
      </c>
      <c r="F70" s="21" t="s">
        <v>234</v>
      </c>
      <c r="G70" s="21" t="s">
        <v>756</v>
      </c>
      <c r="H70" s="21" t="s">
        <v>906</v>
      </c>
      <c r="I70" s="21">
        <f t="shared" si="9"/>
        <v>58</v>
      </c>
      <c r="J70" s="21"/>
      <c r="K70" s="21" t="str">
        <f t="shared" si="10"/>
        <v>-</v>
      </c>
      <c r="L70" s="15">
        <f t="shared" si="11"/>
        <v>45.063013698630137</v>
      </c>
      <c r="O70" s="16"/>
      <c r="P70" s="16"/>
      <c r="Q70" s="16"/>
      <c r="R70" s="16"/>
      <c r="S70" s="21"/>
      <c r="T70" s="21"/>
      <c r="U70" s="21"/>
      <c r="V70" s="5">
        <v>50509</v>
      </c>
      <c r="W70" s="5">
        <v>66957</v>
      </c>
      <c r="Y70" s="5"/>
    </row>
    <row r="71" spans="1:32" ht="18" x14ac:dyDescent="0.35">
      <c r="A71" s="6"/>
      <c r="C71" s="14" t="s">
        <v>422</v>
      </c>
      <c r="D71" s="13" t="str">
        <f t="shared" si="7"/>
        <v xml:space="preserve">lalgtf </v>
      </c>
      <c r="E71" s="13" t="str">
        <f t="shared" si="8"/>
        <v>vltj8f</v>
      </c>
      <c r="F71" s="21" t="s">
        <v>234</v>
      </c>
      <c r="G71" s="21" t="s">
        <v>757</v>
      </c>
      <c r="H71" s="21" t="s">
        <v>905</v>
      </c>
      <c r="I71" s="21">
        <f t="shared" si="9"/>
        <v>99</v>
      </c>
      <c r="J71" s="21"/>
      <c r="K71" s="21" t="str">
        <f t="shared" si="10"/>
        <v>-</v>
      </c>
      <c r="L71" s="15">
        <f t="shared" si="11"/>
        <v>25.657534246575342</v>
      </c>
      <c r="O71" s="16"/>
      <c r="P71" s="16"/>
      <c r="Q71" s="16"/>
      <c r="R71" s="16"/>
      <c r="S71" s="21"/>
      <c r="T71" s="21"/>
      <c r="U71" s="21"/>
      <c r="V71" s="5">
        <v>57592</v>
      </c>
      <c r="W71" s="5">
        <v>66957</v>
      </c>
      <c r="Y71" s="5"/>
    </row>
    <row r="72" spans="1:32" ht="18" x14ac:dyDescent="0.35">
      <c r="A72" s="6"/>
      <c r="C72" s="14" t="s">
        <v>423</v>
      </c>
      <c r="D72" s="13" t="str">
        <f t="shared" si="7"/>
        <v xml:space="preserve">ljh]z </v>
      </c>
      <c r="E72" s="13" t="str">
        <f t="shared" si="8"/>
        <v>vltj8f</v>
      </c>
      <c r="F72" s="21" t="s">
        <v>233</v>
      </c>
      <c r="G72" s="21" t="s">
        <v>757</v>
      </c>
      <c r="H72" s="21" t="s">
        <v>905</v>
      </c>
      <c r="I72" s="21">
        <f t="shared" si="9"/>
        <v>164</v>
      </c>
      <c r="J72" s="21"/>
      <c r="K72" s="21" t="str">
        <f t="shared" si="10"/>
        <v>-</v>
      </c>
      <c r="L72" s="15">
        <f t="shared" si="11"/>
        <v>21.101369863013698</v>
      </c>
      <c r="O72" s="16"/>
      <c r="P72" s="16"/>
      <c r="Q72" s="16"/>
      <c r="R72" s="16"/>
      <c r="S72" s="21"/>
      <c r="T72" s="21"/>
      <c r="U72" s="21"/>
      <c r="V72" s="5">
        <v>59255</v>
      </c>
      <c r="W72" s="5">
        <v>66957</v>
      </c>
      <c r="Y72" s="5"/>
    </row>
    <row r="73" spans="1:32" ht="18" x14ac:dyDescent="0.35">
      <c r="A73" s="6">
        <v>24</v>
      </c>
      <c r="B73" t="s">
        <v>26</v>
      </c>
      <c r="C73" s="14" t="s">
        <v>424</v>
      </c>
      <c r="D73" s="13" t="str">
        <f t="shared" si="7"/>
        <v xml:space="preserve">l6sf </v>
      </c>
      <c r="E73" s="13" t="str">
        <f t="shared" si="8"/>
        <v>sfsL{</v>
      </c>
      <c r="F73" s="21" t="s">
        <v>233</v>
      </c>
      <c r="G73" s="21" t="s">
        <v>756</v>
      </c>
      <c r="H73" s="21" t="s">
        <v>906</v>
      </c>
      <c r="I73" s="21">
        <f t="shared" si="9"/>
        <v>11</v>
      </c>
      <c r="J73" s="21"/>
      <c r="K73" s="21" t="str">
        <f t="shared" si="10"/>
        <v>-</v>
      </c>
      <c r="L73" s="15">
        <f t="shared" si="11"/>
        <v>73.079452054794515</v>
      </c>
      <c r="O73" s="16">
        <v>1</v>
      </c>
      <c r="P73" s="16">
        <v>1</v>
      </c>
      <c r="Q73" s="16">
        <v>0</v>
      </c>
      <c r="R73" s="16">
        <v>0</v>
      </c>
      <c r="S73" s="21" t="s">
        <v>910</v>
      </c>
      <c r="T73" s="21"/>
      <c r="U73" s="21"/>
      <c r="V73" s="5">
        <v>40283</v>
      </c>
      <c r="W73" s="5">
        <v>66957</v>
      </c>
      <c r="Y73" s="5">
        <v>66262</v>
      </c>
      <c r="Z73" s="2" t="s">
        <v>2</v>
      </c>
      <c r="AA73" s="2">
        <v>8</v>
      </c>
      <c r="AB73" s="2">
        <v>5</v>
      </c>
      <c r="AC73" s="2">
        <v>3</v>
      </c>
      <c r="AD73" t="s">
        <v>242</v>
      </c>
      <c r="AE73" t="s">
        <v>330</v>
      </c>
      <c r="AF73" t="s">
        <v>245</v>
      </c>
    </row>
    <row r="74" spans="1:32" ht="18" x14ac:dyDescent="0.35">
      <c r="A74" s="6"/>
      <c r="C74" s="14" t="s">
        <v>425</v>
      </c>
      <c r="D74" s="13" t="str">
        <f t="shared" si="7"/>
        <v xml:space="preserve">gf/fo0fL </v>
      </c>
      <c r="E74" s="13" t="str">
        <f t="shared" si="8"/>
        <v>sfsL{</v>
      </c>
      <c r="F74" s="21" t="s">
        <v>234</v>
      </c>
      <c r="G74" s="21" t="s">
        <v>756</v>
      </c>
      <c r="H74" s="21" t="s">
        <v>906</v>
      </c>
      <c r="I74" s="21">
        <f t="shared" si="9"/>
        <v>58</v>
      </c>
      <c r="J74" s="21"/>
      <c r="K74" s="21" t="str">
        <f t="shared" si="10"/>
        <v>-</v>
      </c>
      <c r="L74" s="15">
        <f t="shared" si="11"/>
        <v>61.734246575342468</v>
      </c>
      <c r="O74" s="16"/>
      <c r="P74" s="16"/>
      <c r="Q74" s="16"/>
      <c r="R74" s="16"/>
      <c r="S74" s="21"/>
      <c r="T74" s="21"/>
      <c r="U74" s="21"/>
      <c r="V74" s="5">
        <v>44424</v>
      </c>
      <c r="W74" s="5">
        <v>66957</v>
      </c>
      <c r="Y74" s="5"/>
    </row>
    <row r="75" spans="1:32" ht="18" x14ac:dyDescent="0.35">
      <c r="A75" s="6"/>
      <c r="C75" s="14" t="s">
        <v>426</v>
      </c>
      <c r="D75" s="13" t="str">
        <f t="shared" si="7"/>
        <v xml:space="preserve">e'k]Gb| </v>
      </c>
      <c r="E75" s="13" t="str">
        <f t="shared" si="8"/>
        <v>sfsL{</v>
      </c>
      <c r="F75" s="21" t="s">
        <v>233</v>
      </c>
      <c r="G75" s="21" t="s">
        <v>756</v>
      </c>
      <c r="H75" s="21" t="s">
        <v>905</v>
      </c>
      <c r="I75" s="21">
        <f t="shared" si="9"/>
        <v>164</v>
      </c>
      <c r="J75" s="21"/>
      <c r="K75" s="21" t="str">
        <f t="shared" si="10"/>
        <v>-</v>
      </c>
      <c r="L75" s="15">
        <f t="shared" si="11"/>
        <v>45.024657534246572</v>
      </c>
      <c r="O75" s="16"/>
      <c r="P75" s="16"/>
      <c r="Q75" s="16"/>
      <c r="R75" s="16"/>
      <c r="S75" s="21"/>
      <c r="T75" s="21"/>
      <c r="U75" s="21"/>
      <c r="V75" s="5">
        <v>50523</v>
      </c>
      <c r="W75" s="5">
        <v>66957</v>
      </c>
      <c r="Y75" s="5"/>
    </row>
    <row r="76" spans="1:32" ht="18" x14ac:dyDescent="0.35">
      <c r="A76" s="6"/>
      <c r="C76" s="14" t="s">
        <v>742</v>
      </c>
      <c r="D76" s="13" t="str">
        <f t="shared" si="7"/>
        <v xml:space="preserve">sNkgf </v>
      </c>
      <c r="E76" s="13" t="str">
        <f t="shared" si="8"/>
        <v>s]=;L</v>
      </c>
      <c r="F76" s="21" t="s">
        <v>234</v>
      </c>
      <c r="G76" s="21" t="s">
        <v>756</v>
      </c>
      <c r="H76" s="21" t="s">
        <v>905</v>
      </c>
      <c r="I76" s="21">
        <f t="shared" si="9"/>
        <v>99</v>
      </c>
      <c r="J76" s="21"/>
      <c r="K76" s="21" t="str">
        <f t="shared" si="10"/>
        <v>-</v>
      </c>
      <c r="L76" s="15">
        <f t="shared" si="11"/>
        <v>37.610958904109587</v>
      </c>
      <c r="O76" s="16"/>
      <c r="P76" s="16"/>
      <c r="Q76" s="16"/>
      <c r="R76" s="16"/>
      <c r="S76" s="21"/>
      <c r="T76" s="21"/>
      <c r="U76" s="21"/>
      <c r="V76" s="5">
        <v>53229</v>
      </c>
      <c r="W76" s="5">
        <v>66957</v>
      </c>
      <c r="Y76" s="5"/>
    </row>
    <row r="77" spans="1:32" ht="18" x14ac:dyDescent="0.35">
      <c r="A77" s="6"/>
      <c r="C77" s="14" t="s">
        <v>427</v>
      </c>
      <c r="D77" s="13" t="str">
        <f t="shared" si="7"/>
        <v xml:space="preserve">cf]d </v>
      </c>
      <c r="E77" s="13" t="str">
        <f t="shared" si="8"/>
        <v>sfsL{</v>
      </c>
      <c r="F77" s="21" t="s">
        <v>233</v>
      </c>
      <c r="G77" s="21" t="s">
        <v>757</v>
      </c>
      <c r="H77" s="21" t="s">
        <v>905</v>
      </c>
      <c r="I77" s="21">
        <f t="shared" si="9"/>
        <v>164</v>
      </c>
      <c r="J77" s="21"/>
      <c r="K77" s="21" t="str">
        <f t="shared" si="10"/>
        <v>-</v>
      </c>
      <c r="L77" s="15">
        <f t="shared" si="11"/>
        <v>12.134246575342466</v>
      </c>
      <c r="O77" s="16"/>
      <c r="P77" s="16"/>
      <c r="Q77" s="16"/>
      <c r="R77" s="16"/>
      <c r="S77" s="21"/>
      <c r="T77" s="21"/>
      <c r="U77" s="21"/>
      <c r="V77" s="5">
        <v>62528</v>
      </c>
      <c r="W77" s="5">
        <v>66957</v>
      </c>
      <c r="Y77" s="5"/>
    </row>
    <row r="78" spans="1:32" ht="18" x14ac:dyDescent="0.35">
      <c r="A78" s="6"/>
      <c r="C78" s="14" t="s">
        <v>428</v>
      </c>
      <c r="D78" s="13" t="str">
        <f t="shared" si="7"/>
        <v xml:space="preserve">n]v </v>
      </c>
      <c r="E78" s="13" t="str">
        <f t="shared" si="8"/>
        <v>sfsL{</v>
      </c>
      <c r="F78" s="21" t="s">
        <v>233</v>
      </c>
      <c r="G78" s="21" t="s">
        <v>756</v>
      </c>
      <c r="H78" s="21" t="s">
        <v>905</v>
      </c>
      <c r="I78" s="21">
        <f t="shared" si="9"/>
        <v>164</v>
      </c>
      <c r="J78" s="21"/>
      <c r="K78" s="21" t="str">
        <f t="shared" si="10"/>
        <v>-</v>
      </c>
      <c r="L78" s="15">
        <f t="shared" si="11"/>
        <v>43.578082191780823</v>
      </c>
      <c r="O78" s="16"/>
      <c r="P78" s="16"/>
      <c r="Q78" s="16"/>
      <c r="R78" s="16"/>
      <c r="S78" s="21"/>
      <c r="T78" s="21"/>
      <c r="U78" s="21"/>
      <c r="V78" s="5">
        <v>51051</v>
      </c>
      <c r="W78" s="5">
        <v>66957</v>
      </c>
      <c r="Y78" s="5"/>
    </row>
    <row r="79" spans="1:32" ht="18" x14ac:dyDescent="0.35">
      <c r="A79" s="6"/>
      <c r="C79" s="14" t="s">
        <v>429</v>
      </c>
      <c r="D79" s="13" t="str">
        <f t="shared" si="7"/>
        <v xml:space="preserve">Plnhf </v>
      </c>
      <c r="E79" s="13" t="str">
        <f t="shared" si="8"/>
        <v>s]=;L</v>
      </c>
      <c r="F79" s="21" t="s">
        <v>234</v>
      </c>
      <c r="G79" s="21" t="s">
        <v>756</v>
      </c>
      <c r="H79" s="21" t="s">
        <v>905</v>
      </c>
      <c r="I79" s="21">
        <f t="shared" si="9"/>
        <v>99</v>
      </c>
      <c r="J79" s="21"/>
      <c r="K79" s="21" t="str">
        <f t="shared" si="10"/>
        <v>-</v>
      </c>
      <c r="L79" s="15">
        <f t="shared" si="11"/>
        <v>37.180821917808217</v>
      </c>
      <c r="O79" s="16"/>
      <c r="P79" s="16"/>
      <c r="Q79" s="16"/>
      <c r="R79" s="16"/>
      <c r="S79" s="21"/>
      <c r="T79" s="21"/>
      <c r="U79" s="21"/>
      <c r="V79" s="5">
        <v>53386</v>
      </c>
      <c r="W79" s="5">
        <v>66957</v>
      </c>
      <c r="Y79" s="5"/>
    </row>
    <row r="80" spans="1:32" ht="18" x14ac:dyDescent="0.35">
      <c r="A80" s="6"/>
      <c r="C80" s="14" t="s">
        <v>430</v>
      </c>
      <c r="D80" s="13" t="str">
        <f t="shared" si="7"/>
        <v xml:space="preserve">cf/f]Uo </v>
      </c>
      <c r="E80" s="13" t="str">
        <f t="shared" si="8"/>
        <v>sfsL{</v>
      </c>
      <c r="F80" s="21" t="s">
        <v>233</v>
      </c>
      <c r="G80" s="21" t="s">
        <v>757</v>
      </c>
      <c r="H80" s="21" t="s">
        <v>905</v>
      </c>
      <c r="I80" s="21">
        <f t="shared" si="9"/>
        <v>164</v>
      </c>
      <c r="J80" s="21"/>
      <c r="K80" s="21" t="str">
        <f t="shared" si="10"/>
        <v>-</v>
      </c>
      <c r="L80" s="15">
        <f t="shared" si="11"/>
        <v>12.608219178082193</v>
      </c>
      <c r="O80" s="16"/>
      <c r="P80" s="16"/>
      <c r="Q80" s="16"/>
      <c r="R80" s="16"/>
      <c r="S80" s="21"/>
      <c r="T80" s="21"/>
      <c r="U80" s="21"/>
      <c r="V80" s="5">
        <v>62355</v>
      </c>
      <c r="W80" s="5">
        <v>66957</v>
      </c>
      <c r="Y80" s="5"/>
    </row>
    <row r="81" spans="1:32" ht="18" x14ac:dyDescent="0.35">
      <c r="A81" s="6">
        <v>26</v>
      </c>
      <c r="B81" t="s">
        <v>27</v>
      </c>
      <c r="C81" s="13" t="s">
        <v>707</v>
      </c>
      <c r="D81" s="13" t="str">
        <f t="shared" si="7"/>
        <v xml:space="preserve">6]s </v>
      </c>
      <c r="E81" s="13" t="str">
        <f t="shared" si="8"/>
        <v>jnDkfsL</v>
      </c>
      <c r="F81" s="21" t="s">
        <v>233</v>
      </c>
      <c r="G81" s="21" t="s">
        <v>756</v>
      </c>
      <c r="H81" s="21" t="s">
        <v>905</v>
      </c>
      <c r="I81" s="21">
        <f t="shared" si="9"/>
        <v>164</v>
      </c>
      <c r="J81" s="21"/>
      <c r="K81" s="21" t="str">
        <f t="shared" si="10"/>
        <v>-</v>
      </c>
      <c r="L81" s="15">
        <f t="shared" si="11"/>
        <v>61.846575342465755</v>
      </c>
      <c r="O81" s="16">
        <v>0</v>
      </c>
      <c r="P81" s="16">
        <v>4</v>
      </c>
      <c r="Q81" s="16">
        <v>2</v>
      </c>
      <c r="R81" s="16">
        <v>0</v>
      </c>
      <c r="S81" s="21" t="s">
        <v>745</v>
      </c>
      <c r="T81" s="21"/>
      <c r="U81" s="21"/>
      <c r="V81" s="5">
        <v>44383</v>
      </c>
      <c r="W81" s="5">
        <v>66957</v>
      </c>
      <c r="Y81" s="5">
        <v>66240</v>
      </c>
      <c r="Z81" s="2" t="s">
        <v>2</v>
      </c>
      <c r="AA81" s="2">
        <v>5</v>
      </c>
      <c r="AB81" s="2">
        <v>3</v>
      </c>
      <c r="AC81" s="2">
        <v>2</v>
      </c>
      <c r="AD81" t="s">
        <v>242</v>
      </c>
      <c r="AE81" t="s">
        <v>329</v>
      </c>
      <c r="AF81" t="s">
        <v>245</v>
      </c>
    </row>
    <row r="82" spans="1:32" ht="18" x14ac:dyDescent="0.35">
      <c r="A82" s="6"/>
      <c r="C82" s="13" t="s">
        <v>708</v>
      </c>
      <c r="D82" s="13" t="str">
        <f t="shared" si="7"/>
        <v xml:space="preserve">lnnf </v>
      </c>
      <c r="E82" s="13" t="str">
        <f t="shared" si="8"/>
        <v>du/</v>
      </c>
      <c r="F82" s="21" t="s">
        <v>234</v>
      </c>
      <c r="G82" s="21" t="s">
        <v>756</v>
      </c>
      <c r="H82" s="21" t="s">
        <v>906</v>
      </c>
      <c r="I82" s="21">
        <f t="shared" si="9"/>
        <v>58</v>
      </c>
      <c r="J82" s="21"/>
      <c r="K82" s="21" t="str">
        <f t="shared" si="10"/>
        <v>-</v>
      </c>
      <c r="L82" s="15">
        <f t="shared" si="11"/>
        <v>52.5013698630137</v>
      </c>
      <c r="O82" s="16"/>
      <c r="P82" s="16"/>
      <c r="Q82" s="16"/>
      <c r="R82" s="16"/>
      <c r="S82" s="21"/>
      <c r="T82" s="21"/>
      <c r="U82" s="21"/>
      <c r="V82" s="5">
        <v>47794</v>
      </c>
      <c r="W82" s="5">
        <v>66957</v>
      </c>
      <c r="Y82" s="5"/>
    </row>
    <row r="83" spans="1:32" ht="18" x14ac:dyDescent="0.35">
      <c r="A83" s="6"/>
      <c r="C83" s="13" t="s">
        <v>709</v>
      </c>
      <c r="D83" s="13" t="str">
        <f t="shared" si="7"/>
        <v xml:space="preserve">;Gtf]if </v>
      </c>
      <c r="E83" s="13" t="s">
        <v>734</v>
      </c>
      <c r="F83" s="21" t="s">
        <v>233</v>
      </c>
      <c r="G83" s="21" t="s">
        <v>757</v>
      </c>
      <c r="H83" s="21" t="s">
        <v>905</v>
      </c>
      <c r="I83" s="21">
        <f t="shared" si="9"/>
        <v>164</v>
      </c>
      <c r="J83" s="21"/>
      <c r="K83" s="21" t="str">
        <f t="shared" si="10"/>
        <v>-</v>
      </c>
      <c r="L83" s="15">
        <f t="shared" si="11"/>
        <v>33.898630136986299</v>
      </c>
      <c r="O83" s="16"/>
      <c r="P83" s="16"/>
      <c r="Q83" s="16"/>
      <c r="R83" s="16"/>
      <c r="S83" s="21"/>
      <c r="T83" s="21"/>
      <c r="U83" s="21"/>
      <c r="V83" s="5">
        <v>54584</v>
      </c>
      <c r="W83" s="5">
        <v>66957</v>
      </c>
      <c r="Y83" s="5"/>
    </row>
    <row r="84" spans="1:32" ht="18" x14ac:dyDescent="0.35">
      <c r="A84" s="6"/>
      <c r="C84" s="13" t="s">
        <v>710</v>
      </c>
      <c r="D84" s="13" t="str">
        <f t="shared" si="7"/>
        <v xml:space="preserve">ladnf </v>
      </c>
      <c r="E84" s="13" t="str">
        <f>TRIM(RIGHT(SUBSTITUTE(C84," ",REPT(" ",255)),255))</f>
        <v>du/</v>
      </c>
      <c r="F84" s="21" t="s">
        <v>234</v>
      </c>
      <c r="G84" s="21" t="s">
        <v>757</v>
      </c>
      <c r="H84" s="21" t="s">
        <v>906</v>
      </c>
      <c r="I84" s="21">
        <f t="shared" si="9"/>
        <v>58</v>
      </c>
      <c r="J84" s="21"/>
      <c r="K84" s="21" t="str">
        <f t="shared" si="10"/>
        <v>-</v>
      </c>
      <c r="L84" s="15">
        <f t="shared" si="11"/>
        <v>31.731506849315068</v>
      </c>
      <c r="O84" s="16"/>
      <c r="P84" s="16"/>
      <c r="Q84" s="16"/>
      <c r="R84" s="16"/>
      <c r="S84" s="21"/>
      <c r="T84" s="21"/>
      <c r="U84" s="21"/>
      <c r="V84" s="5">
        <v>55375</v>
      </c>
      <c r="W84" s="5">
        <v>66957</v>
      </c>
      <c r="Y84" s="5"/>
    </row>
    <row r="85" spans="1:32" ht="18" x14ac:dyDescent="0.35">
      <c r="A85" s="6"/>
      <c r="C85" s="13" t="s">
        <v>711</v>
      </c>
      <c r="D85" s="13" t="str">
        <f t="shared" si="7"/>
        <v xml:space="preserve">/]zd </v>
      </c>
      <c r="E85" s="13" t="s">
        <v>734</v>
      </c>
      <c r="F85" s="21" t="s">
        <v>233</v>
      </c>
      <c r="G85" s="21" t="s">
        <v>757</v>
      </c>
      <c r="H85" s="21" t="s">
        <v>905</v>
      </c>
      <c r="I85" s="21">
        <f t="shared" si="9"/>
        <v>164</v>
      </c>
      <c r="J85" s="21"/>
      <c r="K85" s="21" t="str">
        <f t="shared" si="10"/>
        <v>-</v>
      </c>
      <c r="L85" s="15">
        <f t="shared" si="11"/>
        <v>26.764383561643836</v>
      </c>
      <c r="O85" s="16"/>
      <c r="P85" s="16"/>
      <c r="Q85" s="16"/>
      <c r="R85" s="16"/>
      <c r="S85" s="21"/>
      <c r="T85" s="21"/>
      <c r="U85" s="21"/>
      <c r="V85" s="5">
        <v>57188</v>
      </c>
      <c r="W85" s="5">
        <v>66957</v>
      </c>
      <c r="Y85" s="5"/>
    </row>
    <row r="86" spans="1:32" ht="18" x14ac:dyDescent="0.35">
      <c r="A86" s="6">
        <v>27</v>
      </c>
      <c r="B86" t="s">
        <v>28</v>
      </c>
      <c r="C86" s="13" t="s">
        <v>712</v>
      </c>
      <c r="D86" s="13" t="str">
        <f t="shared" si="7"/>
        <v xml:space="preserve">;Gtf]sL </v>
      </c>
      <c r="E86" s="13" t="str">
        <f t="shared" ref="E86:E149" si="12">TRIM(RIGHT(SUBSTITUTE(C86," ",REPT(" ",255)),255))</f>
        <v>vqL</v>
      </c>
      <c r="F86" s="21" t="s">
        <v>234</v>
      </c>
      <c r="G86" s="21" t="s">
        <v>756</v>
      </c>
      <c r="H86" s="21" t="s">
        <v>905</v>
      </c>
      <c r="I86" s="21">
        <f t="shared" si="9"/>
        <v>99</v>
      </c>
      <c r="J86" s="21"/>
      <c r="K86" s="21" t="str">
        <f t="shared" si="10"/>
        <v>-</v>
      </c>
      <c r="L86" s="15">
        <f t="shared" si="11"/>
        <v>66.169863013698631</v>
      </c>
      <c r="O86" s="16">
        <v>3</v>
      </c>
      <c r="P86" s="16">
        <v>7</v>
      </c>
      <c r="Q86" s="16">
        <v>2</v>
      </c>
      <c r="R86" s="16">
        <v>0</v>
      </c>
      <c r="S86" s="21" t="s">
        <v>910</v>
      </c>
      <c r="T86" s="21"/>
      <c r="U86" s="21"/>
      <c r="V86" s="5">
        <v>42805</v>
      </c>
      <c r="W86" s="5">
        <v>66957</v>
      </c>
      <c r="Y86" s="5">
        <v>66231</v>
      </c>
      <c r="Z86" s="2" t="s">
        <v>2</v>
      </c>
      <c r="AA86" s="2">
        <v>1</v>
      </c>
      <c r="AB86" s="2">
        <v>1</v>
      </c>
      <c r="AD86" t="s">
        <v>242</v>
      </c>
      <c r="AE86" t="s">
        <v>314</v>
      </c>
      <c r="AF86" t="s">
        <v>245</v>
      </c>
    </row>
    <row r="87" spans="1:32" ht="18" x14ac:dyDescent="0.35">
      <c r="A87" s="6">
        <v>29</v>
      </c>
      <c r="B87" t="s">
        <v>30</v>
      </c>
      <c r="C87" s="13" t="s">
        <v>432</v>
      </c>
      <c r="D87" s="13" t="str">
        <f t="shared" si="7"/>
        <v xml:space="preserve">bof </v>
      </c>
      <c r="E87" s="13" t="str">
        <f t="shared" si="12"/>
        <v>vqL</v>
      </c>
      <c r="F87" s="21" t="s">
        <v>233</v>
      </c>
      <c r="G87" s="21" t="s">
        <v>756</v>
      </c>
      <c r="H87" s="21" t="s">
        <v>905</v>
      </c>
      <c r="I87" s="21">
        <f t="shared" si="9"/>
        <v>164</v>
      </c>
      <c r="J87" s="21"/>
      <c r="K87" s="21" t="str">
        <f t="shared" si="10"/>
        <v>-</v>
      </c>
      <c r="L87" s="15">
        <f t="shared" si="11"/>
        <v>58.81095890410959</v>
      </c>
      <c r="O87" s="16">
        <v>0</v>
      </c>
      <c r="P87" s="16">
        <v>4</v>
      </c>
      <c r="Q87" s="16">
        <v>0</v>
      </c>
      <c r="R87" s="16">
        <v>0</v>
      </c>
      <c r="S87" s="21" t="s">
        <v>745</v>
      </c>
      <c r="T87" s="21"/>
      <c r="U87" s="21"/>
      <c r="V87" s="5">
        <v>45491</v>
      </c>
      <c r="W87" s="5">
        <v>66957</v>
      </c>
      <c r="Y87" s="5">
        <v>66188</v>
      </c>
      <c r="Z87" s="2" t="s">
        <v>2</v>
      </c>
      <c r="AA87" s="2">
        <v>6</v>
      </c>
      <c r="AB87" s="2">
        <v>3</v>
      </c>
      <c r="AC87" s="2">
        <v>3</v>
      </c>
      <c r="AD87" t="s">
        <v>242</v>
      </c>
      <c r="AE87" t="s">
        <v>254</v>
      </c>
      <c r="AF87" t="s">
        <v>245</v>
      </c>
    </row>
    <row r="88" spans="1:32" ht="18" x14ac:dyDescent="0.35">
      <c r="A88" s="6"/>
      <c r="C88" s="13" t="s">
        <v>433</v>
      </c>
      <c r="D88" s="13" t="str">
        <f t="shared" si="7"/>
        <v xml:space="preserve">z'e]R5f </v>
      </c>
      <c r="E88" s="13" t="str">
        <f t="shared" si="12"/>
        <v>lai6</v>
      </c>
      <c r="F88" s="21" t="s">
        <v>234</v>
      </c>
      <c r="G88" s="21" t="s">
        <v>756</v>
      </c>
      <c r="H88" s="21" t="s">
        <v>905</v>
      </c>
      <c r="I88" s="21">
        <f t="shared" si="9"/>
        <v>99</v>
      </c>
      <c r="J88" s="21"/>
      <c r="K88" s="21" t="str">
        <f t="shared" si="10"/>
        <v>-</v>
      </c>
      <c r="L88" s="15">
        <f t="shared" si="11"/>
        <v>29.986301369863014</v>
      </c>
      <c r="O88" s="16"/>
      <c r="P88" s="16"/>
      <c r="Q88" s="16"/>
      <c r="R88" s="16"/>
      <c r="S88" s="21"/>
      <c r="T88" s="21"/>
      <c r="U88" s="21"/>
      <c r="V88" s="5">
        <v>56012</v>
      </c>
      <c r="W88" s="5">
        <v>66957</v>
      </c>
      <c r="Y88" s="5"/>
    </row>
    <row r="89" spans="1:32" ht="18" x14ac:dyDescent="0.35">
      <c r="A89" s="6"/>
      <c r="C89" s="13" t="s">
        <v>435</v>
      </c>
      <c r="D89" s="13" t="str">
        <f t="shared" si="7"/>
        <v xml:space="preserve">;Gtf]if </v>
      </c>
      <c r="E89" s="13" t="str">
        <f t="shared" si="12"/>
        <v>s]=;L</v>
      </c>
      <c r="F89" s="21" t="s">
        <v>233</v>
      </c>
      <c r="G89" s="21" t="s">
        <v>756</v>
      </c>
      <c r="H89" s="21" t="s">
        <v>905</v>
      </c>
      <c r="I89" s="21">
        <f t="shared" si="9"/>
        <v>164</v>
      </c>
      <c r="J89" s="21"/>
      <c r="K89" s="21" t="str">
        <f t="shared" si="10"/>
        <v>-</v>
      </c>
      <c r="L89" s="15">
        <f t="shared" si="11"/>
        <v>36.063013698630137</v>
      </c>
      <c r="O89" s="16"/>
      <c r="P89" s="16"/>
      <c r="Q89" s="16"/>
      <c r="R89" s="16"/>
      <c r="S89" s="21"/>
      <c r="T89" s="21"/>
      <c r="U89" s="21"/>
      <c r="V89" s="5">
        <v>53794</v>
      </c>
      <c r="W89" s="5">
        <v>66957</v>
      </c>
      <c r="Y89" s="5"/>
    </row>
    <row r="90" spans="1:32" ht="18" x14ac:dyDescent="0.35">
      <c r="A90" s="6"/>
      <c r="C90" s="13" t="s">
        <v>436</v>
      </c>
      <c r="D90" s="13" t="str">
        <f t="shared" si="7"/>
        <v xml:space="preserve">;Gd]3 </v>
      </c>
      <c r="E90" s="13" t="str">
        <f t="shared" si="12"/>
        <v>s]=;L</v>
      </c>
      <c r="F90" s="21" t="s">
        <v>233</v>
      </c>
      <c r="G90" s="21" t="s">
        <v>757</v>
      </c>
      <c r="H90" s="21" t="s">
        <v>905</v>
      </c>
      <c r="I90" s="21">
        <f t="shared" si="9"/>
        <v>164</v>
      </c>
      <c r="J90" s="21"/>
      <c r="K90" s="21" t="str">
        <f t="shared" si="10"/>
        <v>-</v>
      </c>
      <c r="L90" s="15">
        <f t="shared" si="11"/>
        <v>7.1698630136986301</v>
      </c>
      <c r="O90" s="16"/>
      <c r="P90" s="16"/>
      <c r="Q90" s="16"/>
      <c r="R90" s="16"/>
      <c r="S90" s="21"/>
      <c r="T90" s="21"/>
      <c r="U90" s="21"/>
      <c r="V90" s="5">
        <v>64340</v>
      </c>
      <c r="W90" s="5">
        <v>66957</v>
      </c>
      <c r="Y90" s="5"/>
    </row>
    <row r="91" spans="1:32" ht="18" x14ac:dyDescent="0.35">
      <c r="A91" s="6"/>
      <c r="C91" s="13" t="s">
        <v>437</v>
      </c>
      <c r="D91" s="13" t="str">
        <f t="shared" si="7"/>
        <v xml:space="preserve">uf]df </v>
      </c>
      <c r="E91" s="13" t="str">
        <f t="shared" si="12"/>
        <v>vqL</v>
      </c>
      <c r="F91" s="21" t="s">
        <v>234</v>
      </c>
      <c r="G91" s="21" t="s">
        <v>756</v>
      </c>
      <c r="H91" s="21" t="s">
        <v>906</v>
      </c>
      <c r="I91" s="21">
        <f t="shared" si="9"/>
        <v>58</v>
      </c>
      <c r="J91" s="21"/>
      <c r="K91" s="21" t="str">
        <f t="shared" si="10"/>
        <v>-</v>
      </c>
      <c r="L91" s="15">
        <f t="shared" si="11"/>
        <v>92.460273972602735</v>
      </c>
      <c r="O91" s="16"/>
      <c r="P91" s="16"/>
      <c r="Q91" s="16"/>
      <c r="R91" s="16"/>
      <c r="S91" s="21"/>
      <c r="T91" s="21"/>
      <c r="U91" s="21"/>
      <c r="V91" s="5">
        <v>33209</v>
      </c>
      <c r="W91" s="5">
        <v>66957</v>
      </c>
      <c r="Y91" s="5"/>
    </row>
    <row r="92" spans="1:32" ht="18" x14ac:dyDescent="0.35">
      <c r="A92" s="6"/>
      <c r="C92" s="13" t="s">
        <v>438</v>
      </c>
      <c r="D92" s="13" t="str">
        <f t="shared" si="7"/>
        <v xml:space="preserve">lgd{nf </v>
      </c>
      <c r="E92" s="13" t="str">
        <f t="shared" si="12"/>
        <v>vqL</v>
      </c>
      <c r="F92" s="21" t="s">
        <v>234</v>
      </c>
      <c r="G92" s="21" t="s">
        <v>756</v>
      </c>
      <c r="H92" s="21" t="s">
        <v>906</v>
      </c>
      <c r="I92" s="21">
        <f t="shared" si="9"/>
        <v>58</v>
      </c>
      <c r="J92" s="21"/>
      <c r="K92" s="21" t="str">
        <f t="shared" si="10"/>
        <v>-</v>
      </c>
      <c r="L92" s="15">
        <f t="shared" si="11"/>
        <v>59.246575342465754</v>
      </c>
      <c r="O92" s="16"/>
      <c r="P92" s="16"/>
      <c r="Q92" s="16"/>
      <c r="R92" s="16"/>
      <c r="S92" s="21"/>
      <c r="T92" s="21"/>
      <c r="U92" s="21"/>
      <c r="V92" s="5">
        <v>45332</v>
      </c>
      <c r="W92" s="5">
        <v>66957</v>
      </c>
      <c r="Y92" s="5"/>
    </row>
    <row r="93" spans="1:32" ht="18" x14ac:dyDescent="0.35">
      <c r="A93" s="6">
        <v>31</v>
      </c>
      <c r="B93" t="s">
        <v>32</v>
      </c>
      <c r="C93" s="13" t="s">
        <v>714</v>
      </c>
      <c r="D93" s="13" t="str">
        <f t="shared" si="7"/>
        <v xml:space="preserve">bNnL </v>
      </c>
      <c r="E93" s="13" t="str">
        <f t="shared" si="12"/>
        <v>ljZjsdf{</v>
      </c>
      <c r="F93" s="21" t="s">
        <v>234</v>
      </c>
      <c r="G93" s="21" t="s">
        <v>756</v>
      </c>
      <c r="H93" s="21" t="s">
        <v>906</v>
      </c>
      <c r="I93" s="21">
        <f t="shared" si="9"/>
        <v>58</v>
      </c>
      <c r="J93" s="21"/>
      <c r="K93" s="21" t="str">
        <f t="shared" si="10"/>
        <v>-</v>
      </c>
      <c r="L93" s="15">
        <f t="shared" si="11"/>
        <v>55.175342465753424</v>
      </c>
      <c r="O93" s="16">
        <v>0</v>
      </c>
      <c r="P93" s="16">
        <v>3</v>
      </c>
      <c r="Q93" s="16">
        <v>2</v>
      </c>
      <c r="R93" s="16">
        <v>0</v>
      </c>
      <c r="S93" s="21" t="s">
        <v>745</v>
      </c>
      <c r="T93" s="21"/>
      <c r="U93" s="21"/>
      <c r="V93" s="5">
        <v>46818</v>
      </c>
      <c r="W93" s="5">
        <v>66957</v>
      </c>
      <c r="Y93" s="5">
        <v>66182</v>
      </c>
      <c r="Z93" s="2" t="s">
        <v>2</v>
      </c>
      <c r="AA93" s="2">
        <v>8</v>
      </c>
      <c r="AB93" s="2">
        <v>4</v>
      </c>
      <c r="AC93" s="2">
        <v>4</v>
      </c>
      <c r="AD93" t="s">
        <v>241</v>
      </c>
      <c r="AE93" t="s">
        <v>264</v>
      </c>
      <c r="AF93" t="s">
        <v>245</v>
      </c>
    </row>
    <row r="94" spans="1:32" ht="18" x14ac:dyDescent="0.35">
      <c r="A94" s="6"/>
      <c r="C94" s="13" t="s">
        <v>715</v>
      </c>
      <c r="D94" s="13" t="str">
        <f t="shared" si="7"/>
        <v xml:space="preserve">1fg </v>
      </c>
      <c r="E94" s="13" t="str">
        <f t="shared" si="12"/>
        <v>ljZjsdf{</v>
      </c>
      <c r="F94" s="21" t="s">
        <v>233</v>
      </c>
      <c r="G94" s="21" t="s">
        <v>756</v>
      </c>
      <c r="H94" s="21" t="s">
        <v>905</v>
      </c>
      <c r="I94" s="21">
        <f t="shared" si="9"/>
        <v>164</v>
      </c>
      <c r="J94" s="21"/>
      <c r="K94" s="21" t="str">
        <f t="shared" si="10"/>
        <v>-</v>
      </c>
      <c r="L94" s="15">
        <f t="shared" si="11"/>
        <v>56.594520547945208</v>
      </c>
      <c r="O94" s="16"/>
      <c r="P94" s="16"/>
      <c r="Q94" s="16"/>
      <c r="R94" s="16"/>
      <c r="S94" s="21"/>
      <c r="T94" s="21"/>
      <c r="U94" s="21"/>
      <c r="V94" s="5">
        <v>46300</v>
      </c>
      <c r="W94" s="5">
        <v>66957</v>
      </c>
      <c r="Y94" s="5"/>
    </row>
    <row r="95" spans="1:32" ht="18" x14ac:dyDescent="0.35">
      <c r="A95" s="6"/>
      <c r="C95" s="13" t="s">
        <v>716</v>
      </c>
      <c r="D95" s="13" t="str">
        <f t="shared" si="7"/>
        <v xml:space="preserve">kq'; </v>
      </c>
      <c r="E95" s="13" t="str">
        <f t="shared" si="12"/>
        <v>j/fOnL</v>
      </c>
      <c r="F95" s="21" t="s">
        <v>233</v>
      </c>
      <c r="G95" s="21" t="s">
        <v>756</v>
      </c>
      <c r="H95" s="21" t="s">
        <v>905</v>
      </c>
      <c r="I95" s="21">
        <f t="shared" si="9"/>
        <v>164</v>
      </c>
      <c r="J95" s="21"/>
      <c r="K95" s="21" t="str">
        <f t="shared" si="10"/>
        <v>-</v>
      </c>
      <c r="L95" s="15">
        <f t="shared" si="11"/>
        <v>33.473972602739728</v>
      </c>
      <c r="O95" s="16"/>
      <c r="P95" s="16"/>
      <c r="Q95" s="16"/>
      <c r="R95" s="16"/>
      <c r="S95" s="21"/>
      <c r="T95" s="21"/>
      <c r="U95" s="21"/>
      <c r="V95" s="5">
        <v>54739</v>
      </c>
      <c r="W95" s="5">
        <v>66957</v>
      </c>
      <c r="Y95" s="5"/>
    </row>
    <row r="96" spans="1:32" ht="18" x14ac:dyDescent="0.35">
      <c r="A96" s="6"/>
      <c r="C96" s="13" t="s">
        <v>717</v>
      </c>
      <c r="D96" s="13" t="str">
        <f t="shared" si="7"/>
        <v xml:space="preserve">lagf </v>
      </c>
      <c r="E96" s="13" t="str">
        <f t="shared" si="12"/>
        <v>sfdL</v>
      </c>
      <c r="F96" s="21" t="s">
        <v>234</v>
      </c>
      <c r="G96" s="21" t="s">
        <v>756</v>
      </c>
      <c r="H96" s="21" t="s">
        <v>906</v>
      </c>
      <c r="I96" s="21">
        <f t="shared" si="9"/>
        <v>58</v>
      </c>
      <c r="J96" s="21"/>
      <c r="K96" s="21" t="str">
        <f t="shared" si="10"/>
        <v>-</v>
      </c>
      <c r="L96" s="15">
        <f t="shared" si="11"/>
        <v>27.989041095890411</v>
      </c>
      <c r="O96" s="16"/>
      <c r="P96" s="16"/>
      <c r="Q96" s="16"/>
      <c r="R96" s="16"/>
      <c r="S96" s="21"/>
      <c r="T96" s="21"/>
      <c r="U96" s="21"/>
      <c r="V96" s="5">
        <v>56741</v>
      </c>
      <c r="W96" s="5">
        <v>66957</v>
      </c>
      <c r="Y96" s="5"/>
    </row>
    <row r="97" spans="1:32" ht="18" x14ac:dyDescent="0.35">
      <c r="A97" s="6"/>
      <c r="C97" s="13" t="s">
        <v>718</v>
      </c>
      <c r="D97" s="13" t="str">
        <f t="shared" si="7"/>
        <v xml:space="preserve">o1 </v>
      </c>
      <c r="E97" s="13" t="str">
        <f t="shared" si="12"/>
        <v>ljZjsdf{</v>
      </c>
      <c r="F97" s="21" t="s">
        <v>233</v>
      </c>
      <c r="G97" s="21" t="s">
        <v>756</v>
      </c>
      <c r="H97" s="21" t="s">
        <v>905</v>
      </c>
      <c r="I97" s="21">
        <f t="shared" si="9"/>
        <v>164</v>
      </c>
      <c r="J97" s="21"/>
      <c r="K97" s="21" t="str">
        <f t="shared" si="10"/>
        <v>-</v>
      </c>
      <c r="L97" s="15">
        <f t="shared" si="11"/>
        <v>34.876712328767127</v>
      </c>
      <c r="O97" s="16"/>
      <c r="P97" s="16"/>
      <c r="Q97" s="16"/>
      <c r="R97" s="16"/>
      <c r="S97" s="21"/>
      <c r="T97" s="21"/>
      <c r="U97" s="21"/>
      <c r="V97" s="5">
        <v>54227</v>
      </c>
      <c r="W97" s="5">
        <v>66957</v>
      </c>
      <c r="Y97" s="5"/>
    </row>
    <row r="98" spans="1:32" ht="18" x14ac:dyDescent="0.35">
      <c r="A98" s="6"/>
      <c r="C98" s="13" t="s">
        <v>719</v>
      </c>
      <c r="D98" s="13" t="str">
        <f t="shared" si="7"/>
        <v xml:space="preserve">uf]df </v>
      </c>
      <c r="E98" s="13" t="str">
        <f t="shared" si="12"/>
        <v>ljZjsdf{</v>
      </c>
      <c r="F98" s="21" t="s">
        <v>234</v>
      </c>
      <c r="G98" s="21" t="s">
        <v>756</v>
      </c>
      <c r="H98" s="21" t="s">
        <v>906</v>
      </c>
      <c r="I98" s="21">
        <f t="shared" si="9"/>
        <v>58</v>
      </c>
      <c r="J98" s="21"/>
      <c r="K98" s="21" t="str">
        <f t="shared" si="10"/>
        <v>-</v>
      </c>
      <c r="L98" s="15">
        <f t="shared" si="11"/>
        <v>29.575342465753426</v>
      </c>
      <c r="O98" s="16"/>
      <c r="P98" s="16"/>
      <c r="Q98" s="16"/>
      <c r="R98" s="16"/>
      <c r="S98" s="21"/>
      <c r="T98" s="21"/>
      <c r="U98" s="21"/>
      <c r="V98" s="5">
        <v>56162</v>
      </c>
      <c r="W98" s="5">
        <v>66957</v>
      </c>
      <c r="Y98" s="5"/>
    </row>
    <row r="99" spans="1:32" ht="18" x14ac:dyDescent="0.35">
      <c r="A99" s="6"/>
      <c r="C99" s="13" t="s">
        <v>720</v>
      </c>
      <c r="D99" s="13" t="str">
        <f t="shared" si="7"/>
        <v xml:space="preserve">ld/f </v>
      </c>
      <c r="E99" s="13" t="str">
        <f t="shared" si="12"/>
        <v>j/fOnL</v>
      </c>
      <c r="F99" s="21" t="s">
        <v>234</v>
      </c>
      <c r="G99" s="21" t="s">
        <v>757</v>
      </c>
      <c r="H99" s="21" t="s">
        <v>905</v>
      </c>
      <c r="I99" s="21">
        <f t="shared" si="9"/>
        <v>99</v>
      </c>
      <c r="J99" s="21"/>
      <c r="K99" s="21" t="str">
        <f t="shared" si="10"/>
        <v>-</v>
      </c>
      <c r="L99" s="15">
        <f t="shared" si="11"/>
        <v>24.243835616438357</v>
      </c>
      <c r="O99" s="16"/>
      <c r="P99" s="16"/>
      <c r="Q99" s="16"/>
      <c r="R99" s="16"/>
      <c r="S99" s="21"/>
      <c r="T99" s="21"/>
      <c r="U99" s="21"/>
      <c r="V99" s="5">
        <v>58108</v>
      </c>
      <c r="W99" s="5">
        <v>66957</v>
      </c>
      <c r="Y99" s="5"/>
    </row>
    <row r="100" spans="1:32" ht="18" x14ac:dyDescent="0.35">
      <c r="A100" s="6"/>
      <c r="C100" s="13" t="s">
        <v>722</v>
      </c>
      <c r="D100" s="13" t="str">
        <f t="shared" si="7"/>
        <v xml:space="preserve">O;fs </v>
      </c>
      <c r="E100" s="13" t="str">
        <f t="shared" si="12"/>
        <v>j/fOnL</v>
      </c>
      <c r="F100" s="21" t="s">
        <v>233</v>
      </c>
      <c r="G100" s="21" t="s">
        <v>757</v>
      </c>
      <c r="H100" s="21" t="s">
        <v>905</v>
      </c>
      <c r="I100" s="21">
        <f t="shared" si="9"/>
        <v>164</v>
      </c>
      <c r="J100" s="21"/>
      <c r="K100" s="21" t="str">
        <f t="shared" si="10"/>
        <v>-</v>
      </c>
      <c r="L100" s="15">
        <f t="shared" si="11"/>
        <v>12.575342465753424</v>
      </c>
      <c r="O100" s="16"/>
      <c r="P100" s="16"/>
      <c r="Q100" s="16"/>
      <c r="R100" s="16"/>
      <c r="S100" s="21"/>
      <c r="T100" s="21"/>
      <c r="U100" s="21"/>
      <c r="V100" s="5">
        <v>62367</v>
      </c>
      <c r="W100" s="5">
        <v>66957</v>
      </c>
      <c r="Y100" s="5"/>
    </row>
    <row r="101" spans="1:32" ht="18" x14ac:dyDescent="0.35">
      <c r="A101" s="6">
        <v>33</v>
      </c>
      <c r="B101" t="s">
        <v>34</v>
      </c>
      <c r="C101" s="13" t="s">
        <v>723</v>
      </c>
      <c r="D101" s="13" t="str">
        <f t="shared" si="7"/>
        <v xml:space="preserve">bf]rL{ </v>
      </c>
      <c r="E101" s="13" t="str">
        <f t="shared" si="12"/>
        <v>z]kf{</v>
      </c>
      <c r="F101" s="21" t="s">
        <v>234</v>
      </c>
      <c r="G101" s="21" t="s">
        <v>756</v>
      </c>
      <c r="H101" s="21" t="s">
        <v>905</v>
      </c>
      <c r="I101" s="21">
        <f t="shared" si="9"/>
        <v>99</v>
      </c>
      <c r="J101" s="21"/>
      <c r="K101" s="21" t="str">
        <f t="shared" si="10"/>
        <v>-</v>
      </c>
      <c r="L101" s="15">
        <f t="shared" si="11"/>
        <v>55.578082191780823</v>
      </c>
      <c r="O101" s="16">
        <v>0</v>
      </c>
      <c r="P101" s="16">
        <v>4</v>
      </c>
      <c r="Q101" s="16">
        <v>0</v>
      </c>
      <c r="R101" s="16">
        <v>0</v>
      </c>
      <c r="S101" s="21" t="s">
        <v>745</v>
      </c>
      <c r="T101" s="21"/>
      <c r="U101" s="21"/>
      <c r="V101" s="5">
        <v>46671</v>
      </c>
      <c r="W101" s="5">
        <v>66957</v>
      </c>
      <c r="Y101" s="5">
        <v>66138</v>
      </c>
      <c r="Z101" s="2" t="s">
        <v>2</v>
      </c>
      <c r="AA101" s="2">
        <v>4</v>
      </c>
      <c r="AB101" s="2">
        <v>2</v>
      </c>
      <c r="AC101" s="2">
        <v>2</v>
      </c>
      <c r="AD101" t="s">
        <v>242</v>
      </c>
      <c r="AE101" t="s">
        <v>266</v>
      </c>
      <c r="AF101" t="s">
        <v>245</v>
      </c>
    </row>
    <row r="102" spans="1:32" ht="18" x14ac:dyDescent="0.35">
      <c r="A102" s="6"/>
      <c r="C102" s="13" t="s">
        <v>724</v>
      </c>
      <c r="D102" s="13" t="str">
        <f t="shared" si="7"/>
        <v xml:space="preserve">ldªdf </v>
      </c>
      <c r="E102" s="13" t="str">
        <f t="shared" si="12"/>
        <v>z]kf{</v>
      </c>
      <c r="F102" s="21" t="s">
        <v>233</v>
      </c>
      <c r="G102" s="21" t="s">
        <v>756</v>
      </c>
      <c r="H102" s="21" t="s">
        <v>905</v>
      </c>
      <c r="I102" s="21">
        <f t="shared" si="9"/>
        <v>164</v>
      </c>
      <c r="J102" s="21"/>
      <c r="K102" s="21" t="str">
        <f t="shared" si="10"/>
        <v>-</v>
      </c>
      <c r="L102" s="15">
        <f t="shared" si="11"/>
        <v>51.553424657534244</v>
      </c>
      <c r="O102" s="16"/>
      <c r="P102" s="16"/>
      <c r="Q102" s="16"/>
      <c r="R102" s="16"/>
      <c r="S102" s="21"/>
      <c r="T102" s="21"/>
      <c r="U102" s="21"/>
      <c r="V102" s="5">
        <v>48140</v>
      </c>
      <c r="W102" s="5">
        <v>66957</v>
      </c>
      <c r="Y102" s="5"/>
    </row>
    <row r="103" spans="1:32" ht="18" x14ac:dyDescent="0.35">
      <c r="A103" s="6"/>
      <c r="C103" s="13" t="s">
        <v>725</v>
      </c>
      <c r="D103" s="13" t="str">
        <f t="shared" si="7"/>
        <v xml:space="preserve">k]Daf </v>
      </c>
      <c r="E103" s="13" t="str">
        <f t="shared" si="12"/>
        <v>z]kf{</v>
      </c>
      <c r="F103" s="21" t="s">
        <v>233</v>
      </c>
      <c r="G103" s="21" t="s">
        <v>757</v>
      </c>
      <c r="H103" s="21" t="s">
        <v>905</v>
      </c>
      <c r="I103" s="21">
        <f t="shared" si="9"/>
        <v>164</v>
      </c>
      <c r="J103" s="21"/>
      <c r="K103" s="21" t="str">
        <f t="shared" si="10"/>
        <v>-</v>
      </c>
      <c r="L103" s="15">
        <f t="shared" si="11"/>
        <v>26.268493150684932</v>
      </c>
      <c r="O103" s="16"/>
      <c r="P103" s="16"/>
      <c r="Q103" s="16"/>
      <c r="R103" s="16"/>
      <c r="S103" s="21"/>
      <c r="T103" s="21"/>
      <c r="U103" s="21"/>
      <c r="V103" s="5">
        <v>57369</v>
      </c>
      <c r="W103" s="5">
        <v>66957</v>
      </c>
      <c r="Y103" s="5"/>
    </row>
    <row r="104" spans="1:32" ht="18" x14ac:dyDescent="0.35">
      <c r="A104" s="6"/>
      <c r="C104" s="13" t="s">
        <v>726</v>
      </c>
      <c r="D104" s="13" t="str">
        <f t="shared" si="7"/>
        <v xml:space="preserve">kf;fª </v>
      </c>
      <c r="E104" s="13" t="str">
        <f t="shared" si="12"/>
        <v>z]kf{</v>
      </c>
      <c r="F104" s="21" t="s">
        <v>234</v>
      </c>
      <c r="G104" s="21" t="s">
        <v>757</v>
      </c>
      <c r="H104" s="21" t="s">
        <v>905</v>
      </c>
      <c r="I104" s="21">
        <f t="shared" si="9"/>
        <v>99</v>
      </c>
      <c r="J104" s="21"/>
      <c r="K104" s="21" t="str">
        <f t="shared" si="10"/>
        <v>-</v>
      </c>
      <c r="L104" s="15">
        <f t="shared" si="11"/>
        <v>22.457534246575342</v>
      </c>
      <c r="O104" s="16"/>
      <c r="P104" s="16"/>
      <c r="Q104" s="16"/>
      <c r="R104" s="16"/>
      <c r="S104" s="21"/>
      <c r="T104" s="21"/>
      <c r="U104" s="21"/>
      <c r="V104" s="5">
        <v>58760</v>
      </c>
      <c r="W104" s="5">
        <v>66957</v>
      </c>
      <c r="Y104" s="5"/>
    </row>
    <row r="105" spans="1:32" ht="18" x14ac:dyDescent="0.35">
      <c r="A105" s="6">
        <v>34</v>
      </c>
      <c r="B105" t="s">
        <v>35</v>
      </c>
      <c r="C105" s="13" t="s">
        <v>445</v>
      </c>
      <c r="D105" s="13" t="str">
        <f t="shared" si="7"/>
        <v xml:space="preserve">lszg </v>
      </c>
      <c r="E105" s="13" t="str">
        <f t="shared" si="12"/>
        <v>wfdL</v>
      </c>
      <c r="F105" s="21" t="s">
        <v>233</v>
      </c>
      <c r="G105" s="21" t="s">
        <v>756</v>
      </c>
      <c r="H105" s="21" t="s">
        <v>905</v>
      </c>
      <c r="I105" s="21">
        <f t="shared" si="9"/>
        <v>164</v>
      </c>
      <c r="J105" s="21"/>
      <c r="K105" s="21" t="str">
        <f t="shared" si="10"/>
        <v>-</v>
      </c>
      <c r="L105" s="15">
        <f t="shared" si="11"/>
        <v>42.975342465753428</v>
      </c>
      <c r="O105" s="16">
        <v>0</v>
      </c>
      <c r="P105" s="16">
        <v>3</v>
      </c>
      <c r="Q105" s="16">
        <v>0</v>
      </c>
      <c r="R105" s="16">
        <v>0</v>
      </c>
      <c r="S105" s="21" t="s">
        <v>745</v>
      </c>
      <c r="T105" s="21"/>
      <c r="U105" s="21"/>
      <c r="V105" s="5">
        <v>51271</v>
      </c>
      <c r="W105" s="5">
        <v>66957</v>
      </c>
      <c r="Y105" s="5">
        <v>66132</v>
      </c>
      <c r="Z105" s="2" t="s">
        <v>2</v>
      </c>
      <c r="AA105" s="2">
        <v>4</v>
      </c>
      <c r="AB105" s="2">
        <v>2</v>
      </c>
      <c r="AC105" s="2">
        <v>2</v>
      </c>
      <c r="AD105" t="s">
        <v>242</v>
      </c>
      <c r="AE105" t="s">
        <v>287</v>
      </c>
      <c r="AF105" t="s">
        <v>245</v>
      </c>
    </row>
    <row r="106" spans="1:32" ht="18" x14ac:dyDescent="0.35">
      <c r="A106" s="6"/>
      <c r="C106" s="13" t="s">
        <v>446</v>
      </c>
      <c r="D106" s="13" t="str">
        <f t="shared" si="7"/>
        <v xml:space="preserve">hd'gf </v>
      </c>
      <c r="E106" s="13" t="str">
        <f t="shared" si="12"/>
        <v>wfdL</v>
      </c>
      <c r="F106" s="21" t="s">
        <v>234</v>
      </c>
      <c r="G106" s="21" t="s">
        <v>756</v>
      </c>
      <c r="H106" s="21" t="s">
        <v>906</v>
      </c>
      <c r="I106" s="21">
        <f t="shared" si="9"/>
        <v>58</v>
      </c>
      <c r="J106" s="21"/>
      <c r="K106" s="21" t="str">
        <f t="shared" si="10"/>
        <v>-</v>
      </c>
      <c r="L106" s="15">
        <f t="shared" si="11"/>
        <v>40.178082191780824</v>
      </c>
      <c r="O106" s="16"/>
      <c r="P106" s="16"/>
      <c r="Q106" s="16"/>
      <c r="R106" s="16"/>
      <c r="S106" s="21"/>
      <c r="T106" s="21"/>
      <c r="U106" s="21"/>
      <c r="V106" s="5">
        <v>52292</v>
      </c>
      <c r="W106" s="5">
        <v>66957</v>
      </c>
      <c r="Y106" s="5"/>
    </row>
    <row r="107" spans="1:32" ht="18" x14ac:dyDescent="0.35">
      <c r="A107" s="6"/>
      <c r="C107" s="13" t="s">
        <v>447</v>
      </c>
      <c r="D107" s="13" t="str">
        <f t="shared" si="7"/>
        <v xml:space="preserve">s[:6Lgf </v>
      </c>
      <c r="E107" s="13" t="str">
        <f t="shared" si="12"/>
        <v>wfdL</v>
      </c>
      <c r="F107" s="21" t="s">
        <v>234</v>
      </c>
      <c r="G107" s="21" t="s">
        <v>757</v>
      </c>
      <c r="H107" s="21" t="s">
        <v>905</v>
      </c>
      <c r="I107" s="21">
        <f t="shared" si="9"/>
        <v>99</v>
      </c>
      <c r="J107" s="21"/>
      <c r="K107" s="21" t="str">
        <f t="shared" si="10"/>
        <v>-</v>
      </c>
      <c r="L107" s="15">
        <f t="shared" si="11"/>
        <v>18.315068493150687</v>
      </c>
      <c r="O107" s="16"/>
      <c r="P107" s="16"/>
      <c r="Q107" s="16"/>
      <c r="R107" s="16"/>
      <c r="S107" s="21"/>
      <c r="T107" s="21"/>
      <c r="U107" s="21"/>
      <c r="V107" s="5">
        <v>60272</v>
      </c>
      <c r="W107" s="5">
        <v>66957</v>
      </c>
      <c r="Y107" s="5"/>
    </row>
    <row r="108" spans="1:32" ht="18" x14ac:dyDescent="0.35">
      <c r="A108" s="6"/>
      <c r="C108" s="13" t="s">
        <v>448</v>
      </c>
      <c r="D108" s="13" t="str">
        <f t="shared" si="7"/>
        <v xml:space="preserve">s|Lhg </v>
      </c>
      <c r="E108" s="13" t="str">
        <f t="shared" si="12"/>
        <v>wfdL</v>
      </c>
      <c r="F108" s="21" t="s">
        <v>233</v>
      </c>
      <c r="G108" s="21" t="s">
        <v>757</v>
      </c>
      <c r="H108" s="21" t="s">
        <v>905</v>
      </c>
      <c r="I108" s="21">
        <f t="shared" si="9"/>
        <v>164</v>
      </c>
      <c r="J108" s="21"/>
      <c r="K108" s="21" t="str">
        <f t="shared" si="10"/>
        <v>-</v>
      </c>
      <c r="L108" s="15">
        <f t="shared" si="11"/>
        <v>14.224657534246575</v>
      </c>
      <c r="O108" s="16"/>
      <c r="P108" s="16"/>
      <c r="Q108" s="16"/>
      <c r="R108" s="16"/>
      <c r="S108" s="21"/>
      <c r="T108" s="21"/>
      <c r="U108" s="21"/>
      <c r="V108" s="5">
        <v>61765</v>
      </c>
      <c r="W108" s="5">
        <v>66957</v>
      </c>
      <c r="Y108" s="5"/>
    </row>
    <row r="109" spans="1:32" ht="18" x14ac:dyDescent="0.35">
      <c r="A109" s="6">
        <v>35</v>
      </c>
      <c r="B109" t="s">
        <v>36</v>
      </c>
      <c r="C109" s="13" t="s">
        <v>449</v>
      </c>
      <c r="D109" s="13" t="str">
        <f t="shared" si="7"/>
        <v xml:space="preserve">lhjg </v>
      </c>
      <c r="E109" s="13" t="str">
        <f t="shared" si="12"/>
        <v>v8\sf</v>
      </c>
      <c r="F109" s="21" t="s">
        <v>233</v>
      </c>
      <c r="G109" s="21" t="s">
        <v>756</v>
      </c>
      <c r="H109" s="21" t="s">
        <v>905</v>
      </c>
      <c r="I109" s="21">
        <f t="shared" si="9"/>
        <v>164</v>
      </c>
      <c r="J109" s="21"/>
      <c r="K109" s="21" t="str">
        <f t="shared" si="10"/>
        <v>-</v>
      </c>
      <c r="L109" s="15">
        <f t="shared" si="11"/>
        <v>36.038356164383565</v>
      </c>
      <c r="O109" s="16">
        <v>0</v>
      </c>
      <c r="P109" s="16">
        <v>8</v>
      </c>
      <c r="Q109" s="16">
        <v>4</v>
      </c>
      <c r="R109" s="16">
        <v>3</v>
      </c>
      <c r="S109" s="21" t="s">
        <v>745</v>
      </c>
      <c r="T109" s="21"/>
      <c r="U109" s="21"/>
      <c r="V109" s="5">
        <v>53803</v>
      </c>
      <c r="W109" s="5">
        <v>66957</v>
      </c>
      <c r="Y109" s="5">
        <v>66127</v>
      </c>
      <c r="Z109" s="2" t="s">
        <v>2</v>
      </c>
      <c r="AA109" s="2">
        <v>4</v>
      </c>
      <c r="AB109" s="2">
        <v>2</v>
      </c>
      <c r="AC109" s="2">
        <v>2</v>
      </c>
      <c r="AD109" t="s">
        <v>242</v>
      </c>
      <c r="AE109" t="s">
        <v>275</v>
      </c>
      <c r="AF109" t="s">
        <v>245</v>
      </c>
    </row>
    <row r="110" spans="1:32" ht="18" x14ac:dyDescent="0.35">
      <c r="A110" s="6"/>
      <c r="C110" s="13" t="s">
        <v>450</v>
      </c>
      <c r="D110" s="13" t="str">
        <f t="shared" si="7"/>
        <v xml:space="preserve">nIdL </v>
      </c>
      <c r="E110" s="13" t="str">
        <f t="shared" si="12"/>
        <v>a/fn</v>
      </c>
      <c r="F110" s="21" t="s">
        <v>234</v>
      </c>
      <c r="G110" s="21" t="s">
        <v>756</v>
      </c>
      <c r="H110" s="21" t="s">
        <v>905</v>
      </c>
      <c r="I110" s="21">
        <f t="shared" si="9"/>
        <v>99</v>
      </c>
      <c r="J110" s="21"/>
      <c r="K110" s="21" t="str">
        <f t="shared" si="10"/>
        <v>-</v>
      </c>
      <c r="L110" s="15">
        <f t="shared" si="11"/>
        <v>37.769863013698632</v>
      </c>
      <c r="O110" s="16"/>
      <c r="P110" s="16"/>
      <c r="Q110" s="16"/>
      <c r="R110" s="16"/>
      <c r="S110" s="21"/>
      <c r="T110" s="21"/>
      <c r="U110" s="21"/>
      <c r="V110" s="5">
        <v>53171</v>
      </c>
      <c r="W110" s="5">
        <v>66957</v>
      </c>
      <c r="Y110" s="5"/>
    </row>
    <row r="111" spans="1:32" ht="18" x14ac:dyDescent="0.35">
      <c r="A111" s="6"/>
      <c r="C111" s="13" t="s">
        <v>451</v>
      </c>
      <c r="D111" s="13" t="str">
        <f t="shared" si="7"/>
        <v xml:space="preserve">cfo"w </v>
      </c>
      <c r="E111" s="13" t="str">
        <f t="shared" si="12"/>
        <v>v8\sf</v>
      </c>
      <c r="F111" s="21" t="s">
        <v>233</v>
      </c>
      <c r="G111" s="21" t="s">
        <v>757</v>
      </c>
      <c r="H111" s="21" t="s">
        <v>905</v>
      </c>
      <c r="I111" s="21">
        <f t="shared" si="9"/>
        <v>164</v>
      </c>
      <c r="J111" s="21"/>
      <c r="K111" s="21" t="str">
        <f t="shared" si="10"/>
        <v>-</v>
      </c>
      <c r="L111" s="15">
        <f t="shared" si="11"/>
        <v>11.473972602739726</v>
      </c>
      <c r="O111" s="16"/>
      <c r="P111" s="16"/>
      <c r="Q111" s="16"/>
      <c r="R111" s="16"/>
      <c r="S111" s="21"/>
      <c r="T111" s="21"/>
      <c r="U111" s="21"/>
      <c r="V111" s="5">
        <v>62769</v>
      </c>
      <c r="W111" s="5">
        <v>66957</v>
      </c>
      <c r="Y111" s="5"/>
    </row>
    <row r="112" spans="1:32" ht="18" x14ac:dyDescent="0.35">
      <c r="A112" s="6"/>
      <c r="C112" s="13" t="s">
        <v>452</v>
      </c>
      <c r="D112" s="13" t="str">
        <f t="shared" si="7"/>
        <v xml:space="preserve">cdfo/f </v>
      </c>
      <c r="E112" s="13" t="str">
        <f t="shared" si="12"/>
        <v>v8\sf</v>
      </c>
      <c r="F112" s="21" t="s">
        <v>234</v>
      </c>
      <c r="G112" s="21" t="s">
        <v>757</v>
      </c>
      <c r="H112" s="21" t="s">
        <v>905</v>
      </c>
      <c r="I112" s="21">
        <f t="shared" si="9"/>
        <v>99</v>
      </c>
      <c r="J112" s="21"/>
      <c r="K112" s="21" t="str">
        <f t="shared" si="10"/>
        <v>-</v>
      </c>
      <c r="L112" s="15">
        <f t="shared" si="11"/>
        <v>6.558904109589041</v>
      </c>
      <c r="O112" s="16"/>
      <c r="P112" s="16"/>
      <c r="Q112" s="16"/>
      <c r="R112" s="16"/>
      <c r="S112" s="21"/>
      <c r="T112" s="21"/>
      <c r="U112" s="21"/>
      <c r="V112" s="5">
        <v>64563</v>
      </c>
      <c r="W112" s="5">
        <v>66957</v>
      </c>
      <c r="Y112" s="5"/>
    </row>
    <row r="113" spans="1:32" ht="18" x14ac:dyDescent="0.35">
      <c r="A113" s="6">
        <v>36</v>
      </c>
      <c r="B113" t="s">
        <v>37</v>
      </c>
      <c r="C113" s="13" t="s">
        <v>453</v>
      </c>
      <c r="D113" s="13" t="str">
        <f t="shared" si="7"/>
        <v xml:space="preserve">s'df/ </v>
      </c>
      <c r="E113" s="13" t="str">
        <f t="shared" si="12"/>
        <v>sF'j/</v>
      </c>
      <c r="F113" s="21" t="s">
        <v>233</v>
      </c>
      <c r="G113" s="21" t="s">
        <v>756</v>
      </c>
      <c r="H113" s="21" t="s">
        <v>905</v>
      </c>
      <c r="I113" s="21">
        <f t="shared" si="9"/>
        <v>164</v>
      </c>
      <c r="J113" s="21"/>
      <c r="K113" s="21" t="str">
        <f t="shared" si="10"/>
        <v>-</v>
      </c>
      <c r="L113" s="15">
        <f t="shared" si="11"/>
        <v>45.336986301369862</v>
      </c>
      <c r="O113" s="33">
        <v>0</v>
      </c>
      <c r="P113" s="33">
        <v>4</v>
      </c>
      <c r="Q113" s="33">
        <v>0</v>
      </c>
      <c r="R113" s="33">
        <v>0</v>
      </c>
      <c r="S113" s="29" t="s">
        <v>745</v>
      </c>
      <c r="T113" s="21"/>
      <c r="U113" s="21"/>
      <c r="V113" s="5">
        <v>50409</v>
      </c>
      <c r="W113" s="5">
        <v>66957</v>
      </c>
      <c r="Y113" s="5">
        <v>66121</v>
      </c>
      <c r="Z113" s="2" t="s">
        <v>2</v>
      </c>
      <c r="AA113" s="2">
        <v>4</v>
      </c>
      <c r="AB113" s="2">
        <v>1</v>
      </c>
      <c r="AC113" s="2">
        <v>3</v>
      </c>
      <c r="AD113" t="s">
        <v>242</v>
      </c>
      <c r="AE113" t="s">
        <v>290</v>
      </c>
      <c r="AF113" t="s">
        <v>245</v>
      </c>
    </row>
    <row r="114" spans="1:32" ht="18" x14ac:dyDescent="0.35">
      <c r="A114" s="6"/>
      <c r="C114" s="13" t="s">
        <v>454</v>
      </c>
      <c r="D114" s="13" t="str">
        <f t="shared" si="7"/>
        <v xml:space="preserve">:j:tLsf </v>
      </c>
      <c r="E114" s="13" t="str">
        <f t="shared" si="12"/>
        <v>sF'j/</v>
      </c>
      <c r="F114" s="21" t="s">
        <v>234</v>
      </c>
      <c r="G114" s="21" t="s">
        <v>757</v>
      </c>
      <c r="H114" s="21" t="s">
        <v>905</v>
      </c>
      <c r="I114" s="21">
        <f t="shared" si="9"/>
        <v>99</v>
      </c>
      <c r="J114" s="21"/>
      <c r="K114" s="21" t="str">
        <f t="shared" si="10"/>
        <v>-</v>
      </c>
      <c r="L114" s="15">
        <f t="shared" si="11"/>
        <v>19.098630136986301</v>
      </c>
      <c r="O114" s="16"/>
      <c r="P114" s="16"/>
      <c r="Q114" s="16"/>
      <c r="R114" s="16"/>
      <c r="S114" s="21"/>
      <c r="T114" s="21"/>
      <c r="U114" s="21"/>
      <c r="V114" s="5">
        <v>59986</v>
      </c>
      <c r="W114" s="5">
        <v>66957</v>
      </c>
      <c r="Y114" s="5"/>
    </row>
    <row r="115" spans="1:32" ht="18" x14ac:dyDescent="0.35">
      <c r="A115" s="6"/>
      <c r="C115" s="13" t="s">
        <v>455</v>
      </c>
      <c r="D115" s="13" t="str">
        <f t="shared" si="7"/>
        <v xml:space="preserve">;/:jtL </v>
      </c>
      <c r="E115" s="13" t="str">
        <f t="shared" si="12"/>
        <v>sF'j/</v>
      </c>
      <c r="F115" s="21" t="s">
        <v>234</v>
      </c>
      <c r="G115" s="21" t="s">
        <v>756</v>
      </c>
      <c r="H115" s="21" t="s">
        <v>906</v>
      </c>
      <c r="I115" s="21">
        <f t="shared" si="9"/>
        <v>58</v>
      </c>
      <c r="J115" s="21"/>
      <c r="K115" s="21" t="str">
        <f t="shared" si="10"/>
        <v>-</v>
      </c>
      <c r="L115" s="15">
        <f t="shared" si="11"/>
        <v>40.090410958904108</v>
      </c>
      <c r="O115" s="16"/>
      <c r="P115" s="16"/>
      <c r="Q115" s="16"/>
      <c r="R115" s="16"/>
      <c r="S115" s="21"/>
      <c r="T115" s="21"/>
      <c r="U115" s="21"/>
      <c r="V115" s="5">
        <v>52324</v>
      </c>
      <c r="W115" s="5">
        <v>66957</v>
      </c>
      <c r="Y115" s="5"/>
    </row>
    <row r="116" spans="1:32" ht="18" x14ac:dyDescent="0.35">
      <c r="A116" s="6"/>
      <c r="C116" s="13" t="s">
        <v>456</v>
      </c>
      <c r="D116" s="13" t="str">
        <f t="shared" si="7"/>
        <v xml:space="preserve">;'eb|f </v>
      </c>
      <c r="E116" s="13" t="str">
        <f t="shared" si="12"/>
        <v>sF'j/</v>
      </c>
      <c r="F116" s="21" t="s">
        <v>234</v>
      </c>
      <c r="G116" s="21" t="s">
        <v>757</v>
      </c>
      <c r="H116" s="21" t="s">
        <v>905</v>
      </c>
      <c r="I116" s="21">
        <f t="shared" si="9"/>
        <v>99</v>
      </c>
      <c r="J116" s="21"/>
      <c r="K116" s="21" t="str">
        <f t="shared" si="10"/>
        <v>-</v>
      </c>
      <c r="L116" s="15">
        <f t="shared" si="11"/>
        <v>22.065753424657533</v>
      </c>
      <c r="O116" s="16"/>
      <c r="P116" s="16"/>
      <c r="Q116" s="16"/>
      <c r="R116" s="16"/>
      <c r="S116" s="21"/>
      <c r="T116" s="21"/>
      <c r="U116" s="21"/>
      <c r="V116" s="5">
        <v>58903</v>
      </c>
      <c r="W116" s="5">
        <v>66957</v>
      </c>
      <c r="Y116" s="5"/>
    </row>
    <row r="117" spans="1:32" ht="18" x14ac:dyDescent="0.35">
      <c r="A117" s="6">
        <v>38</v>
      </c>
      <c r="B117" t="s">
        <v>39</v>
      </c>
      <c r="C117" s="13" t="s">
        <v>461</v>
      </c>
      <c r="D117" s="13" t="str">
        <f t="shared" si="7"/>
        <v xml:space="preserve">a]b </v>
      </c>
      <c r="E117" s="13" t="str">
        <f t="shared" si="12"/>
        <v>&gt;]i7</v>
      </c>
      <c r="F117" s="21" t="s">
        <v>233</v>
      </c>
      <c r="G117" s="21" t="s">
        <v>756</v>
      </c>
      <c r="H117" s="21" t="s">
        <v>905</v>
      </c>
      <c r="I117" s="21">
        <f t="shared" si="9"/>
        <v>164</v>
      </c>
      <c r="J117" s="21"/>
      <c r="K117" s="21" t="str">
        <f t="shared" si="10"/>
        <v>-</v>
      </c>
      <c r="L117" s="15">
        <f t="shared" si="11"/>
        <v>43.81095890410959</v>
      </c>
      <c r="O117" s="16">
        <v>0</v>
      </c>
      <c r="P117" s="16">
        <v>3</v>
      </c>
      <c r="Q117" s="16">
        <v>1</v>
      </c>
      <c r="R117" s="16">
        <v>0</v>
      </c>
      <c r="S117" s="21" t="s">
        <v>745</v>
      </c>
      <c r="T117" s="21"/>
      <c r="U117" s="21"/>
      <c r="V117" s="5">
        <v>50966</v>
      </c>
      <c r="W117" s="5">
        <v>66957</v>
      </c>
      <c r="Y117" s="5">
        <v>66029</v>
      </c>
      <c r="Z117" s="2" t="s">
        <v>2</v>
      </c>
      <c r="AA117" s="2">
        <v>3</v>
      </c>
      <c r="AB117" s="2">
        <v>1</v>
      </c>
      <c r="AC117" s="2">
        <v>2</v>
      </c>
      <c r="AD117" t="s">
        <v>242</v>
      </c>
      <c r="AE117" t="s">
        <v>255</v>
      </c>
      <c r="AF117" t="s">
        <v>245</v>
      </c>
    </row>
    <row r="118" spans="1:32" ht="18" x14ac:dyDescent="0.35">
      <c r="A118" s="6"/>
      <c r="C118" s="13" t="s">
        <v>462</v>
      </c>
      <c r="D118" s="13" t="str">
        <f t="shared" si="7"/>
        <v xml:space="preserve">l/tf </v>
      </c>
      <c r="E118" s="13" t="str">
        <f t="shared" si="12"/>
        <v>clwsf/L</v>
      </c>
      <c r="F118" s="21" t="s">
        <v>234</v>
      </c>
      <c r="G118" s="21" t="s">
        <v>756</v>
      </c>
      <c r="H118" s="21" t="s">
        <v>905</v>
      </c>
      <c r="I118" s="21">
        <f t="shared" si="9"/>
        <v>99</v>
      </c>
      <c r="J118" s="21"/>
      <c r="K118" s="21" t="str">
        <f t="shared" si="10"/>
        <v>-</v>
      </c>
      <c r="L118" s="15">
        <f t="shared" si="11"/>
        <v>41.961643835616435</v>
      </c>
      <c r="O118" s="16"/>
      <c r="P118" s="16"/>
      <c r="Q118" s="16"/>
      <c r="R118" s="16"/>
      <c r="S118" s="21"/>
      <c r="T118" s="21"/>
      <c r="U118" s="21"/>
      <c r="V118" s="5">
        <v>51641</v>
      </c>
      <c r="W118" s="5">
        <v>66957</v>
      </c>
      <c r="Y118" s="5"/>
    </row>
    <row r="119" spans="1:32" ht="18" x14ac:dyDescent="0.35">
      <c r="A119" s="6"/>
      <c r="C119" s="13" t="s">
        <v>463</v>
      </c>
      <c r="D119" s="13" t="str">
        <f t="shared" si="7"/>
        <v xml:space="preserve">k|;+zf </v>
      </c>
      <c r="E119" s="13" t="str">
        <f t="shared" si="12"/>
        <v>&gt;]i7</v>
      </c>
      <c r="F119" s="21" t="s">
        <v>234</v>
      </c>
      <c r="G119" s="21" t="s">
        <v>757</v>
      </c>
      <c r="H119" s="21" t="s">
        <v>905</v>
      </c>
      <c r="I119" s="21">
        <f t="shared" si="9"/>
        <v>99</v>
      </c>
      <c r="J119" s="21"/>
      <c r="K119" s="21" t="str">
        <f t="shared" si="10"/>
        <v>-</v>
      </c>
      <c r="L119" s="15">
        <f t="shared" si="11"/>
        <v>10.443835616438356</v>
      </c>
      <c r="O119" s="16"/>
      <c r="P119" s="16"/>
      <c r="Q119" s="16"/>
      <c r="R119" s="16"/>
      <c r="S119" s="21"/>
      <c r="T119" s="21"/>
      <c r="U119" s="21"/>
      <c r="V119" s="5">
        <v>63145</v>
      </c>
      <c r="W119" s="5">
        <v>66957</v>
      </c>
      <c r="Y119" s="5"/>
    </row>
    <row r="120" spans="1:32" ht="18" x14ac:dyDescent="0.35">
      <c r="A120" s="6">
        <v>39</v>
      </c>
      <c r="B120" t="s">
        <v>40</v>
      </c>
      <c r="C120" s="13" t="s">
        <v>464</v>
      </c>
      <c r="D120" s="13" t="str">
        <f t="shared" si="7"/>
        <v xml:space="preserve">k|frL </v>
      </c>
      <c r="E120" s="13" t="str">
        <f t="shared" si="12"/>
        <v>clwsf/L</v>
      </c>
      <c r="F120" s="21" t="s">
        <v>234</v>
      </c>
      <c r="G120" s="21" t="s">
        <v>757</v>
      </c>
      <c r="H120" s="21" t="s">
        <v>905</v>
      </c>
      <c r="I120" s="21">
        <f t="shared" si="9"/>
        <v>99</v>
      </c>
      <c r="J120" s="21"/>
      <c r="K120" s="21" t="str">
        <f t="shared" si="10"/>
        <v>-</v>
      </c>
      <c r="L120" s="15">
        <f t="shared" si="11"/>
        <v>22.517808219178082</v>
      </c>
      <c r="O120" s="16" t="s">
        <v>748</v>
      </c>
      <c r="P120" s="16" t="s">
        <v>748</v>
      </c>
      <c r="Q120" s="16" t="s">
        <v>748</v>
      </c>
      <c r="R120" s="16" t="s">
        <v>748</v>
      </c>
      <c r="S120" s="21" t="s">
        <v>748</v>
      </c>
      <c r="T120" s="21"/>
      <c r="U120" s="21"/>
      <c r="V120" s="5">
        <v>58738</v>
      </c>
      <c r="W120" s="5">
        <v>66957</v>
      </c>
      <c r="Y120" s="5">
        <v>66029</v>
      </c>
      <c r="Z120" s="2" t="s">
        <v>2</v>
      </c>
      <c r="AA120" s="2">
        <v>2</v>
      </c>
      <c r="AC120" s="2">
        <v>2</v>
      </c>
      <c r="AD120" t="s">
        <v>242</v>
      </c>
      <c r="AE120" t="s">
        <v>302</v>
      </c>
      <c r="AF120" t="s">
        <v>245</v>
      </c>
    </row>
    <row r="121" spans="1:32" ht="18" x14ac:dyDescent="0.35">
      <c r="A121" s="6"/>
      <c r="C121" s="13" t="s">
        <v>465</v>
      </c>
      <c r="D121" s="13" t="str">
        <f t="shared" si="7"/>
        <v xml:space="preserve">k|Zgf </v>
      </c>
      <c r="E121" s="13" t="str">
        <f t="shared" si="12"/>
        <v>clwsf/L</v>
      </c>
      <c r="F121" s="21" t="s">
        <v>234</v>
      </c>
      <c r="G121" s="21" t="s">
        <v>757</v>
      </c>
      <c r="H121" s="21" t="s">
        <v>905</v>
      </c>
      <c r="I121" s="21">
        <f t="shared" si="9"/>
        <v>99</v>
      </c>
      <c r="J121" s="21"/>
      <c r="K121" s="21" t="str">
        <f t="shared" si="10"/>
        <v>-</v>
      </c>
      <c r="L121" s="15">
        <f t="shared" si="11"/>
        <v>19.884931506849316</v>
      </c>
      <c r="O121" s="16"/>
      <c r="P121" s="16"/>
      <c r="Q121" s="16"/>
      <c r="R121" s="16"/>
      <c r="S121" s="21"/>
      <c r="T121" s="21"/>
      <c r="U121" s="21"/>
      <c r="V121" s="5">
        <v>59699</v>
      </c>
      <c r="W121" s="5">
        <v>66957</v>
      </c>
      <c r="Y121" s="5"/>
    </row>
    <row r="122" spans="1:32" ht="18" x14ac:dyDescent="0.35">
      <c r="A122" s="6">
        <v>40</v>
      </c>
      <c r="B122" t="s">
        <v>41</v>
      </c>
      <c r="C122" s="13" t="s">
        <v>466</v>
      </c>
      <c r="D122" s="13" t="str">
        <f t="shared" si="7"/>
        <v xml:space="preserve">b'uf{ </v>
      </c>
      <c r="E122" s="13" t="str">
        <f t="shared" si="12"/>
        <v>IfqL</v>
      </c>
      <c r="F122" s="21" t="s">
        <v>233</v>
      </c>
      <c r="G122" s="21" t="s">
        <v>756</v>
      </c>
      <c r="H122" s="21" t="s">
        <v>906</v>
      </c>
      <c r="I122" s="21">
        <f t="shared" si="9"/>
        <v>11</v>
      </c>
      <c r="J122" s="21"/>
      <c r="K122" s="21" t="str">
        <f t="shared" si="10"/>
        <v>-</v>
      </c>
      <c r="L122" s="15">
        <f t="shared" si="11"/>
        <v>75.904109589041099</v>
      </c>
      <c r="O122" s="33">
        <v>0</v>
      </c>
      <c r="P122" s="33">
        <v>6</v>
      </c>
      <c r="Q122" s="33">
        <v>0</v>
      </c>
      <c r="R122" s="33">
        <v>0</v>
      </c>
      <c r="S122" s="29" t="s">
        <v>745</v>
      </c>
      <c r="T122" s="21"/>
      <c r="U122" s="21"/>
      <c r="V122" s="5">
        <v>39252</v>
      </c>
      <c r="W122" s="5">
        <v>66957</v>
      </c>
      <c r="Y122" s="5">
        <v>66021</v>
      </c>
      <c r="Z122" s="2" t="s">
        <v>2</v>
      </c>
      <c r="AA122" s="2">
        <v>4</v>
      </c>
      <c r="AB122" s="2">
        <v>2</v>
      </c>
      <c r="AC122" s="2">
        <v>2</v>
      </c>
      <c r="AD122" t="s">
        <v>242</v>
      </c>
      <c r="AE122" t="s">
        <v>267</v>
      </c>
      <c r="AF122" t="s">
        <v>245</v>
      </c>
    </row>
    <row r="123" spans="1:32" ht="18" x14ac:dyDescent="0.35">
      <c r="A123" s="6"/>
      <c r="C123" s="13" t="s">
        <v>467</v>
      </c>
      <c r="D123" s="13" t="str">
        <f t="shared" si="7"/>
        <v xml:space="preserve">cf;f </v>
      </c>
      <c r="E123" s="13" t="str">
        <f t="shared" si="12"/>
        <v>IfqL</v>
      </c>
      <c r="F123" s="21" t="s">
        <v>234</v>
      </c>
      <c r="G123" s="21" t="s">
        <v>756</v>
      </c>
      <c r="H123" s="21" t="s">
        <v>906</v>
      </c>
      <c r="I123" s="21">
        <f t="shared" si="9"/>
        <v>58</v>
      </c>
      <c r="J123" s="21"/>
      <c r="K123" s="21" t="str">
        <f t="shared" si="10"/>
        <v>-</v>
      </c>
      <c r="L123" s="15">
        <f t="shared" si="11"/>
        <v>59.041095890410958</v>
      </c>
      <c r="O123" s="16"/>
      <c r="P123" s="16"/>
      <c r="Q123" s="16"/>
      <c r="R123" s="16"/>
      <c r="S123" s="21"/>
      <c r="T123" s="21"/>
      <c r="U123" s="21"/>
      <c r="V123" s="5">
        <v>45407</v>
      </c>
      <c r="W123" s="5">
        <v>66957</v>
      </c>
      <c r="Y123" s="5"/>
    </row>
    <row r="124" spans="1:32" ht="18" x14ac:dyDescent="0.35">
      <c r="A124" s="6"/>
      <c r="C124" s="13" t="s">
        <v>468</v>
      </c>
      <c r="D124" s="13" t="str">
        <f t="shared" si="7"/>
        <v xml:space="preserve">/fx'n </v>
      </c>
      <c r="E124" s="13" t="str">
        <f t="shared" si="12"/>
        <v>IfqL</v>
      </c>
      <c r="F124" s="21" t="s">
        <v>233</v>
      </c>
      <c r="G124" s="21" t="s">
        <v>756</v>
      </c>
      <c r="H124" s="21" t="s">
        <v>905</v>
      </c>
      <c r="I124" s="21">
        <f t="shared" si="9"/>
        <v>164</v>
      </c>
      <c r="J124" s="21"/>
      <c r="K124" s="21" t="str">
        <f t="shared" si="10"/>
        <v>-</v>
      </c>
      <c r="L124" s="15">
        <f t="shared" si="11"/>
        <v>42.38356164383562</v>
      </c>
      <c r="O124" s="16"/>
      <c r="P124" s="16"/>
      <c r="Q124" s="16"/>
      <c r="R124" s="16"/>
      <c r="S124" s="21"/>
      <c r="T124" s="21"/>
      <c r="U124" s="21"/>
      <c r="V124" s="5">
        <v>51487</v>
      </c>
      <c r="W124" s="5">
        <v>66957</v>
      </c>
      <c r="Y124" s="5"/>
    </row>
    <row r="125" spans="1:32" ht="18" x14ac:dyDescent="0.35">
      <c r="A125" s="6"/>
      <c r="C125" s="13" t="s">
        <v>469</v>
      </c>
      <c r="D125" s="13" t="str">
        <f t="shared" si="7"/>
        <v xml:space="preserve">b]asL </v>
      </c>
      <c r="E125" s="13" t="str">
        <f t="shared" si="12"/>
        <v>s]=;L</v>
      </c>
      <c r="F125" s="21" t="s">
        <v>234</v>
      </c>
      <c r="G125" s="21" t="s">
        <v>756</v>
      </c>
      <c r="H125" s="21" t="s">
        <v>905</v>
      </c>
      <c r="I125" s="21">
        <f t="shared" si="9"/>
        <v>99</v>
      </c>
      <c r="J125" s="21"/>
      <c r="K125" s="21" t="str">
        <f t="shared" si="10"/>
        <v>-</v>
      </c>
      <c r="L125" s="15">
        <f t="shared" si="11"/>
        <v>42.158904109589038</v>
      </c>
      <c r="O125" s="16"/>
      <c r="P125" s="16"/>
      <c r="Q125" s="16"/>
      <c r="R125" s="16"/>
      <c r="S125" s="21"/>
      <c r="T125" s="21"/>
      <c r="U125" s="21"/>
      <c r="V125" s="5">
        <v>51569</v>
      </c>
      <c r="W125" s="5">
        <v>66957</v>
      </c>
      <c r="Y125" s="5"/>
    </row>
    <row r="126" spans="1:32" ht="18" x14ac:dyDescent="0.35">
      <c r="A126" s="6">
        <v>42</v>
      </c>
      <c r="B126" t="s">
        <v>43</v>
      </c>
      <c r="C126" s="14" t="s">
        <v>739</v>
      </c>
      <c r="D126" s="13" t="str">
        <f t="shared" si="7"/>
        <v xml:space="preserve">&gt;LdtL </v>
      </c>
      <c r="E126" s="13" t="str">
        <f t="shared" si="12"/>
        <v>lh;L</v>
      </c>
      <c r="F126" s="21" t="s">
        <v>234</v>
      </c>
      <c r="G126" s="21" t="s">
        <v>756</v>
      </c>
      <c r="H126" s="21" t="s">
        <v>906</v>
      </c>
      <c r="I126" s="21">
        <f t="shared" si="9"/>
        <v>58</v>
      </c>
      <c r="J126" s="21"/>
      <c r="K126" s="21" t="str">
        <f t="shared" si="10"/>
        <v>-</v>
      </c>
      <c r="L126" s="15">
        <f t="shared" si="11"/>
        <v>55.052054794520551</v>
      </c>
      <c r="O126" s="33">
        <v>0</v>
      </c>
      <c r="P126" s="33">
        <v>3</v>
      </c>
      <c r="Q126" s="33">
        <v>0</v>
      </c>
      <c r="R126" s="33">
        <v>0</v>
      </c>
      <c r="S126" s="29" t="s">
        <v>745</v>
      </c>
      <c r="T126" s="21"/>
      <c r="U126" s="21"/>
      <c r="V126" s="5">
        <v>46863</v>
      </c>
      <c r="W126" s="5">
        <v>66957</v>
      </c>
      <c r="Y126" s="5">
        <v>65972</v>
      </c>
      <c r="Z126" s="2" t="s">
        <v>2</v>
      </c>
      <c r="AA126" s="2">
        <v>3</v>
      </c>
      <c r="AB126" s="2">
        <v>2</v>
      </c>
      <c r="AC126" s="2">
        <v>1</v>
      </c>
      <c r="AD126" t="s">
        <v>242</v>
      </c>
      <c r="AE126" t="s">
        <v>322</v>
      </c>
      <c r="AF126" t="s">
        <v>245</v>
      </c>
    </row>
    <row r="127" spans="1:32" ht="18" x14ac:dyDescent="0.35">
      <c r="A127" s="6"/>
      <c r="C127" s="14" t="s">
        <v>740</v>
      </c>
      <c r="D127" s="13" t="str">
        <f t="shared" si="7"/>
        <v xml:space="preserve">a'4L </v>
      </c>
      <c r="E127" s="13" t="str">
        <f t="shared" si="12"/>
        <v>lh;L</v>
      </c>
      <c r="F127" s="21" t="s">
        <v>233</v>
      </c>
      <c r="G127" s="21" t="s">
        <v>756</v>
      </c>
      <c r="H127" s="21" t="s">
        <v>906</v>
      </c>
      <c r="I127" s="21">
        <f t="shared" si="9"/>
        <v>11</v>
      </c>
      <c r="J127" s="21"/>
      <c r="K127" s="21" t="str">
        <f t="shared" si="10"/>
        <v>-</v>
      </c>
      <c r="L127" s="15">
        <f t="shared" si="11"/>
        <v>60.556164383561644</v>
      </c>
      <c r="O127" s="16"/>
      <c r="P127" s="16"/>
      <c r="Q127" s="16"/>
      <c r="R127" s="16"/>
      <c r="S127" s="21"/>
      <c r="T127" s="21"/>
      <c r="U127" s="21"/>
      <c r="V127" s="5">
        <v>44854</v>
      </c>
      <c r="W127" s="5">
        <v>66957</v>
      </c>
      <c r="Y127" s="5"/>
    </row>
    <row r="128" spans="1:32" ht="18" x14ac:dyDescent="0.35">
      <c r="A128" s="6"/>
      <c r="C128" s="14" t="s">
        <v>741</v>
      </c>
      <c r="D128" s="13" t="str">
        <f t="shared" si="7"/>
        <v xml:space="preserve">ldng </v>
      </c>
      <c r="E128" s="13" t="str">
        <f t="shared" si="12"/>
        <v>lh;L</v>
      </c>
      <c r="F128" s="21" t="s">
        <v>233</v>
      </c>
      <c r="G128" s="21" t="s">
        <v>756</v>
      </c>
      <c r="H128" s="21" t="s">
        <v>905</v>
      </c>
      <c r="I128" s="21">
        <f t="shared" si="9"/>
        <v>164</v>
      </c>
      <c r="J128" s="21"/>
      <c r="K128" s="21" t="str">
        <f t="shared" si="10"/>
        <v>-</v>
      </c>
      <c r="L128" s="15">
        <f t="shared" si="11"/>
        <v>37.128767123287673</v>
      </c>
      <c r="O128" s="16"/>
      <c r="P128" s="16"/>
      <c r="Q128" s="16"/>
      <c r="R128" s="16"/>
      <c r="S128" s="21"/>
      <c r="T128" s="21"/>
      <c r="U128" s="21"/>
      <c r="V128" s="5">
        <v>53405</v>
      </c>
      <c r="W128" s="5">
        <v>66957</v>
      </c>
      <c r="Y128" s="5"/>
    </row>
    <row r="129" spans="1:32" ht="18" x14ac:dyDescent="0.35">
      <c r="A129" s="6">
        <v>43</v>
      </c>
      <c r="B129" t="s">
        <v>44</v>
      </c>
      <c r="C129" s="14" t="s">
        <v>473</v>
      </c>
      <c r="D129" s="13" t="str">
        <f t="shared" si="7"/>
        <v xml:space="preserve">;+ho </v>
      </c>
      <c r="E129" s="13" t="str">
        <f t="shared" si="12"/>
        <v>nfdf</v>
      </c>
      <c r="F129" s="21" t="s">
        <v>233</v>
      </c>
      <c r="G129" s="21" t="s">
        <v>756</v>
      </c>
      <c r="H129" s="21" t="s">
        <v>905</v>
      </c>
      <c r="I129" s="21">
        <f t="shared" si="9"/>
        <v>164</v>
      </c>
      <c r="J129" s="21"/>
      <c r="K129" s="21" t="str">
        <f t="shared" si="10"/>
        <v>-</v>
      </c>
      <c r="L129" s="15">
        <f t="shared" si="11"/>
        <v>52.079452054794523</v>
      </c>
      <c r="O129" s="33">
        <v>1</v>
      </c>
      <c r="P129" s="33">
        <v>2</v>
      </c>
      <c r="Q129" s="33">
        <v>0</v>
      </c>
      <c r="R129" s="33">
        <v>0</v>
      </c>
      <c r="S129" s="29" t="s">
        <v>744</v>
      </c>
      <c r="T129" s="21"/>
      <c r="U129" s="21"/>
      <c r="V129" s="5">
        <v>47948</v>
      </c>
      <c r="W129" s="5">
        <v>66957</v>
      </c>
      <c r="X129" t="s">
        <v>115</v>
      </c>
      <c r="Y129" s="5">
        <v>65949</v>
      </c>
      <c r="Z129" s="2" t="s">
        <v>2</v>
      </c>
      <c r="AA129" s="2">
        <v>4</v>
      </c>
      <c r="AB129" s="2">
        <v>2</v>
      </c>
      <c r="AC129" s="2">
        <v>2</v>
      </c>
      <c r="AD129" t="s">
        <v>242</v>
      </c>
      <c r="AE129" t="s">
        <v>313</v>
      </c>
      <c r="AF129" t="s">
        <v>245</v>
      </c>
    </row>
    <row r="130" spans="1:32" ht="18" x14ac:dyDescent="0.35">
      <c r="A130" s="6"/>
      <c r="C130" s="14" t="s">
        <v>474</v>
      </c>
      <c r="D130" s="13" t="str">
        <f t="shared" si="7"/>
        <v xml:space="preserve">;l/tf </v>
      </c>
      <c r="E130" s="13" t="str">
        <f t="shared" si="12"/>
        <v>nfdf</v>
      </c>
      <c r="F130" s="21" t="s">
        <v>234</v>
      </c>
      <c r="G130" s="21" t="s">
        <v>756</v>
      </c>
      <c r="H130" s="21" t="s">
        <v>906</v>
      </c>
      <c r="I130" s="21">
        <f t="shared" si="9"/>
        <v>58</v>
      </c>
      <c r="J130" s="21"/>
      <c r="K130" s="21" t="str">
        <f t="shared" si="10"/>
        <v>-</v>
      </c>
      <c r="L130" s="15">
        <f t="shared" si="11"/>
        <v>35.594520547945208</v>
      </c>
      <c r="O130" s="16"/>
      <c r="P130" s="16"/>
      <c r="Q130" s="16"/>
      <c r="R130" s="16"/>
      <c r="S130" s="21"/>
      <c r="T130" s="21"/>
      <c r="U130" s="21"/>
      <c r="V130" s="5">
        <v>53965</v>
      </c>
      <c r="W130" s="5">
        <v>66957</v>
      </c>
      <c r="Y130" s="5"/>
    </row>
    <row r="131" spans="1:32" ht="18" x14ac:dyDescent="0.35">
      <c r="A131" s="6"/>
      <c r="C131" s="14" t="s">
        <v>475</v>
      </c>
      <c r="D131" s="13" t="str">
        <f t="shared" si="7"/>
        <v xml:space="preserve">;f]gn </v>
      </c>
      <c r="E131" s="13" t="str">
        <f t="shared" si="12"/>
        <v>nfdf</v>
      </c>
      <c r="F131" s="21" t="s">
        <v>234</v>
      </c>
      <c r="G131" s="21" t="s">
        <v>757</v>
      </c>
      <c r="H131" s="21" t="s">
        <v>905</v>
      </c>
      <c r="I131" s="21">
        <f t="shared" si="9"/>
        <v>99</v>
      </c>
      <c r="J131" s="21"/>
      <c r="K131" s="21" t="str">
        <f t="shared" si="10"/>
        <v>-</v>
      </c>
      <c r="L131" s="15">
        <f t="shared" si="11"/>
        <v>14.854794520547944</v>
      </c>
      <c r="O131" s="16"/>
      <c r="P131" s="16"/>
      <c r="Q131" s="16"/>
      <c r="R131" s="16"/>
      <c r="S131" s="21"/>
      <c r="T131" s="21"/>
      <c r="U131" s="21"/>
      <c r="V131" s="5">
        <v>61535</v>
      </c>
      <c r="W131" s="5">
        <v>66957</v>
      </c>
      <c r="Y131" s="5"/>
    </row>
    <row r="132" spans="1:32" ht="18" x14ac:dyDescent="0.35">
      <c r="A132" s="6"/>
      <c r="C132" s="14" t="s">
        <v>476</v>
      </c>
      <c r="D132" s="13" t="str">
        <f t="shared" ref="D132:D195" si="13">LEFT(C132,(FIND(" ",C132)))</f>
        <v xml:space="preserve">;fof]g </v>
      </c>
      <c r="E132" s="13" t="str">
        <f t="shared" si="12"/>
        <v>nfdf</v>
      </c>
      <c r="F132" s="21" t="s">
        <v>233</v>
      </c>
      <c r="G132" s="21" t="s">
        <v>757</v>
      </c>
      <c r="H132" s="21" t="s">
        <v>905</v>
      </c>
      <c r="I132" s="21">
        <f t="shared" ref="I132:I195" si="14">IF(L132&gt;=5,(COUNTIFS($H$4:$H$335,H132,$F$4:$F$335,F132)))</f>
        <v>164</v>
      </c>
      <c r="J132" s="21"/>
      <c r="K132" s="21" t="str">
        <f t="shared" ref="K132:K195" si="15">IF(L132&gt;=5,"-")</f>
        <v>-</v>
      </c>
      <c r="L132" s="15">
        <f t="shared" ref="L132:L195" si="16">(W132-V132)/365</f>
        <v>10.413698630136986</v>
      </c>
      <c r="O132" s="16"/>
      <c r="P132" s="16"/>
      <c r="Q132" s="16"/>
      <c r="R132" s="16"/>
      <c r="S132" s="21"/>
      <c r="T132" s="21"/>
      <c r="U132" s="21"/>
      <c r="V132" s="5">
        <v>63156</v>
      </c>
      <c r="W132" s="5">
        <v>66957</v>
      </c>
      <c r="Y132" s="5"/>
    </row>
    <row r="133" spans="1:32" ht="18" x14ac:dyDescent="0.35">
      <c r="A133" s="6">
        <v>45</v>
      </c>
      <c r="B133" t="s">
        <v>46</v>
      </c>
      <c r="C133" s="13" t="s">
        <v>687</v>
      </c>
      <c r="D133" s="13" t="str">
        <f t="shared" si="13"/>
        <v xml:space="preserve">/Tg </v>
      </c>
      <c r="E133" s="13" t="str">
        <f t="shared" si="12"/>
        <v>&gt;]i7</v>
      </c>
      <c r="F133" s="21" t="s">
        <v>234</v>
      </c>
      <c r="G133" s="21" t="s">
        <v>756</v>
      </c>
      <c r="H133" s="21" t="s">
        <v>906</v>
      </c>
      <c r="I133" s="21">
        <f t="shared" si="14"/>
        <v>58</v>
      </c>
      <c r="J133" s="21"/>
      <c r="K133" s="21" t="str">
        <f t="shared" si="15"/>
        <v>-</v>
      </c>
      <c r="L133" s="15">
        <f t="shared" si="16"/>
        <v>57.30958904109589</v>
      </c>
      <c r="O133" s="16">
        <v>0</v>
      </c>
      <c r="P133" s="16">
        <v>4</v>
      </c>
      <c r="Q133" s="16">
        <v>0</v>
      </c>
      <c r="R133" s="16">
        <v>0</v>
      </c>
      <c r="S133" s="21" t="s">
        <v>745</v>
      </c>
      <c r="T133" s="21"/>
      <c r="U133" s="21"/>
      <c r="V133" s="5">
        <v>46039</v>
      </c>
      <c r="W133" s="5">
        <v>66957</v>
      </c>
      <c r="X133" t="s">
        <v>113</v>
      </c>
      <c r="Y133" s="5">
        <v>65858</v>
      </c>
      <c r="Z133" s="2" t="s">
        <v>2</v>
      </c>
      <c r="AA133" s="2">
        <v>4</v>
      </c>
      <c r="AB133" s="2">
        <v>2</v>
      </c>
      <c r="AC133" s="2">
        <v>2</v>
      </c>
      <c r="AD133" t="s">
        <v>242</v>
      </c>
      <c r="AE133" t="s">
        <v>308</v>
      </c>
      <c r="AF133" t="s">
        <v>245</v>
      </c>
    </row>
    <row r="134" spans="1:32" ht="18" x14ac:dyDescent="0.35">
      <c r="A134" s="6"/>
      <c r="C134" s="13" t="s">
        <v>728</v>
      </c>
      <c r="D134" s="13" t="str">
        <f t="shared" si="13"/>
        <v xml:space="preserve">led </v>
      </c>
      <c r="E134" s="13" t="str">
        <f t="shared" si="12"/>
        <v>&gt;]i7</v>
      </c>
      <c r="F134" s="21" t="s">
        <v>233</v>
      </c>
      <c r="G134" s="21" t="s">
        <v>756</v>
      </c>
      <c r="H134" s="21" t="s">
        <v>905</v>
      </c>
      <c r="I134" s="21">
        <f t="shared" si="14"/>
        <v>164</v>
      </c>
      <c r="J134" s="21"/>
      <c r="K134" s="21" t="str">
        <f t="shared" si="15"/>
        <v>-</v>
      </c>
      <c r="L134" s="15">
        <f t="shared" si="16"/>
        <v>36.136986301369866</v>
      </c>
      <c r="O134" s="16"/>
      <c r="P134" s="16"/>
      <c r="Q134" s="16"/>
      <c r="R134" s="16"/>
      <c r="S134" s="21"/>
      <c r="T134" s="21"/>
      <c r="U134" s="21"/>
      <c r="V134" s="5">
        <v>53767</v>
      </c>
      <c r="W134" s="5">
        <v>66957</v>
      </c>
      <c r="Y134" s="5"/>
    </row>
    <row r="135" spans="1:32" ht="18" x14ac:dyDescent="0.35">
      <c r="A135" s="6"/>
      <c r="C135" s="13" t="s">
        <v>729</v>
      </c>
      <c r="D135" s="13" t="str">
        <f t="shared" si="13"/>
        <v xml:space="preserve">ladnf </v>
      </c>
      <c r="E135" s="13" t="str">
        <f t="shared" si="12"/>
        <v>&gt;]i7</v>
      </c>
      <c r="F135" s="21" t="s">
        <v>234</v>
      </c>
      <c r="G135" s="21" t="s">
        <v>756</v>
      </c>
      <c r="H135" s="21" t="s">
        <v>905</v>
      </c>
      <c r="I135" s="21">
        <f t="shared" si="14"/>
        <v>99</v>
      </c>
      <c r="J135" s="21"/>
      <c r="K135" s="21" t="str">
        <f t="shared" si="15"/>
        <v>-</v>
      </c>
      <c r="L135" s="15">
        <f t="shared" si="16"/>
        <v>34.665753424657531</v>
      </c>
      <c r="O135" s="16"/>
      <c r="P135" s="16"/>
      <c r="Q135" s="16"/>
      <c r="R135" s="16"/>
      <c r="S135" s="21"/>
      <c r="T135" s="21"/>
      <c r="U135" s="21"/>
      <c r="V135" s="5">
        <v>54304</v>
      </c>
      <c r="W135" s="5">
        <v>66957</v>
      </c>
      <c r="Y135" s="5"/>
    </row>
    <row r="136" spans="1:32" ht="18" x14ac:dyDescent="0.35">
      <c r="A136" s="6"/>
      <c r="C136" s="13" t="s">
        <v>730</v>
      </c>
      <c r="D136" s="13" t="str">
        <f t="shared" si="13"/>
        <v xml:space="preserve">cle </v>
      </c>
      <c r="E136" s="13" t="str">
        <f t="shared" si="12"/>
        <v>&gt;]i7</v>
      </c>
      <c r="F136" s="21" t="s">
        <v>233</v>
      </c>
      <c r="G136" s="21" t="s">
        <v>757</v>
      </c>
      <c r="H136" s="21" t="s">
        <v>905</v>
      </c>
      <c r="I136" s="21">
        <f t="shared" si="14"/>
        <v>164</v>
      </c>
      <c r="J136" s="21"/>
      <c r="K136" s="21" t="str">
        <f t="shared" si="15"/>
        <v>-</v>
      </c>
      <c r="L136" s="15">
        <f t="shared" si="16"/>
        <v>7.7479452054794518</v>
      </c>
      <c r="O136" s="16"/>
      <c r="P136" s="16"/>
      <c r="Q136" s="16"/>
      <c r="R136" s="16"/>
      <c r="S136" s="21"/>
      <c r="T136" s="21"/>
      <c r="U136" s="21"/>
      <c r="V136" s="5">
        <v>64129</v>
      </c>
      <c r="W136" s="5">
        <v>66957</v>
      </c>
      <c r="Y136" s="5"/>
    </row>
    <row r="137" spans="1:32" ht="18" x14ac:dyDescent="0.35">
      <c r="A137" s="6">
        <v>46</v>
      </c>
      <c r="B137" t="s">
        <v>47</v>
      </c>
      <c r="C137" s="13" t="s">
        <v>477</v>
      </c>
      <c r="D137" s="13" t="str">
        <f t="shared" si="13"/>
        <v xml:space="preserve">u0f]z </v>
      </c>
      <c r="E137" s="13" t="str">
        <f t="shared" si="12"/>
        <v>&gt;]i7</v>
      </c>
      <c r="F137" s="21" t="s">
        <v>233</v>
      </c>
      <c r="G137" s="21" t="s">
        <v>756</v>
      </c>
      <c r="H137" s="21" t="s">
        <v>905</v>
      </c>
      <c r="I137" s="21">
        <f t="shared" si="14"/>
        <v>164</v>
      </c>
      <c r="J137" s="21"/>
      <c r="K137" s="21" t="str">
        <f t="shared" si="15"/>
        <v>-</v>
      </c>
      <c r="L137" s="15">
        <f t="shared" si="16"/>
        <v>48.841095890410962</v>
      </c>
      <c r="O137" s="16">
        <v>0</v>
      </c>
      <c r="P137" s="16">
        <v>3</v>
      </c>
      <c r="Q137" s="16">
        <v>1</v>
      </c>
      <c r="R137" s="16">
        <v>0</v>
      </c>
      <c r="S137" s="21" t="s">
        <v>745</v>
      </c>
      <c r="T137" s="21"/>
      <c r="U137" s="21"/>
      <c r="V137" s="5">
        <v>49130</v>
      </c>
      <c r="W137" s="5">
        <v>66957</v>
      </c>
      <c r="X137" t="s">
        <v>112</v>
      </c>
      <c r="Y137" s="5">
        <v>65840</v>
      </c>
      <c r="Z137" s="2" t="s">
        <v>2</v>
      </c>
      <c r="AA137" s="2">
        <v>4</v>
      </c>
      <c r="AB137" s="2">
        <v>3</v>
      </c>
      <c r="AC137" s="2">
        <v>1</v>
      </c>
      <c r="AD137" t="s">
        <v>242</v>
      </c>
      <c r="AE137" t="s">
        <v>268</v>
      </c>
      <c r="AF137" t="s">
        <v>245</v>
      </c>
    </row>
    <row r="138" spans="1:32" ht="18" x14ac:dyDescent="0.35">
      <c r="A138" s="6"/>
      <c r="C138" s="13" t="s">
        <v>478</v>
      </c>
      <c r="D138" s="13" t="str">
        <f t="shared" si="13"/>
        <v xml:space="preserve">/fh </v>
      </c>
      <c r="E138" s="13" t="str">
        <f t="shared" si="12"/>
        <v>&gt;]i7</v>
      </c>
      <c r="F138" s="21" t="s">
        <v>233</v>
      </c>
      <c r="G138" s="21" t="s">
        <v>757</v>
      </c>
      <c r="H138" s="21" t="s">
        <v>905</v>
      </c>
      <c r="I138" s="21">
        <f t="shared" si="14"/>
        <v>164</v>
      </c>
      <c r="J138" s="21"/>
      <c r="K138" s="21" t="str">
        <f t="shared" si="15"/>
        <v>-</v>
      </c>
      <c r="L138" s="15">
        <f t="shared" si="16"/>
        <v>20.12054794520548</v>
      </c>
      <c r="O138" s="16"/>
      <c r="P138" s="16"/>
      <c r="Q138" s="16"/>
      <c r="R138" s="16"/>
      <c r="S138" s="21"/>
      <c r="T138" s="21"/>
      <c r="U138" s="21"/>
      <c r="V138" s="5">
        <v>59613</v>
      </c>
      <c r="W138" s="5">
        <v>66957</v>
      </c>
      <c r="Y138" s="5"/>
    </row>
    <row r="139" spans="1:32" ht="18" x14ac:dyDescent="0.35">
      <c r="A139" s="6"/>
      <c r="C139" s="13" t="s">
        <v>479</v>
      </c>
      <c r="D139" s="13" t="str">
        <f t="shared" si="13"/>
        <v xml:space="preserve">lbn </v>
      </c>
      <c r="E139" s="13" t="str">
        <f t="shared" si="12"/>
        <v>&gt;]i7</v>
      </c>
      <c r="F139" s="21" t="s">
        <v>234</v>
      </c>
      <c r="G139" s="21" t="s">
        <v>756</v>
      </c>
      <c r="H139" s="21" t="s">
        <v>906</v>
      </c>
      <c r="I139" s="21">
        <f t="shared" si="14"/>
        <v>58</v>
      </c>
      <c r="J139" s="21"/>
      <c r="K139" s="21" t="str">
        <f t="shared" si="15"/>
        <v>-</v>
      </c>
      <c r="L139" s="15">
        <f t="shared" si="16"/>
        <v>51.076712328767123</v>
      </c>
      <c r="O139" s="16"/>
      <c r="P139" s="16"/>
      <c r="Q139" s="16"/>
      <c r="R139" s="16"/>
      <c r="S139" s="21"/>
      <c r="T139" s="21"/>
      <c r="U139" s="21"/>
      <c r="V139" s="5">
        <v>48314</v>
      </c>
      <c r="W139" s="5">
        <v>66957</v>
      </c>
      <c r="Y139" s="5"/>
    </row>
    <row r="140" spans="1:32" ht="18" x14ac:dyDescent="0.35">
      <c r="A140" s="6"/>
      <c r="C140" s="13" t="s">
        <v>480</v>
      </c>
      <c r="D140" s="13" t="str">
        <f t="shared" si="13"/>
        <v xml:space="preserve">;Gtf]if </v>
      </c>
      <c r="E140" s="13" t="str">
        <f t="shared" si="12"/>
        <v>&gt;]i7</v>
      </c>
      <c r="F140" s="21" t="s">
        <v>233</v>
      </c>
      <c r="G140" s="21" t="s">
        <v>757</v>
      </c>
      <c r="H140" s="21" t="s">
        <v>905</v>
      </c>
      <c r="I140" s="21">
        <f t="shared" si="14"/>
        <v>164</v>
      </c>
      <c r="J140" s="21"/>
      <c r="K140" s="21" t="str">
        <f t="shared" si="15"/>
        <v>-</v>
      </c>
      <c r="L140" s="15">
        <f t="shared" si="16"/>
        <v>21.520547945205479</v>
      </c>
      <c r="O140" s="16"/>
      <c r="P140" s="16"/>
      <c r="Q140" s="16"/>
      <c r="R140" s="16"/>
      <c r="S140" s="21"/>
      <c r="T140" s="21"/>
      <c r="U140" s="21"/>
      <c r="V140" s="5">
        <v>59102</v>
      </c>
      <c r="W140" s="5">
        <v>66957</v>
      </c>
      <c r="Y140" s="5"/>
    </row>
    <row r="141" spans="1:32" ht="18" x14ac:dyDescent="0.35">
      <c r="A141" s="6">
        <v>48</v>
      </c>
      <c r="B141" t="s">
        <v>49</v>
      </c>
      <c r="C141" s="13" t="s">
        <v>484</v>
      </c>
      <c r="D141" s="13" t="str">
        <f t="shared" si="13"/>
        <v xml:space="preserve">zf]ef </v>
      </c>
      <c r="E141" s="13" t="str">
        <f t="shared" si="12"/>
        <v>vqL</v>
      </c>
      <c r="F141" s="21" t="s">
        <v>234</v>
      </c>
      <c r="G141" s="21" t="s">
        <v>756</v>
      </c>
      <c r="H141" s="21" t="s">
        <v>905</v>
      </c>
      <c r="I141" s="21">
        <f t="shared" si="14"/>
        <v>99</v>
      </c>
      <c r="J141" s="21"/>
      <c r="K141" s="21" t="str">
        <f t="shared" si="15"/>
        <v>-</v>
      </c>
      <c r="L141" s="15">
        <f t="shared" si="16"/>
        <v>47.624657534246573</v>
      </c>
      <c r="O141" s="33">
        <v>0</v>
      </c>
      <c r="P141" s="33">
        <v>3</v>
      </c>
      <c r="Q141" s="33">
        <v>1</v>
      </c>
      <c r="R141" s="33">
        <v>0</v>
      </c>
      <c r="S141" s="29" t="s">
        <v>745</v>
      </c>
      <c r="T141" s="21"/>
      <c r="U141" s="21"/>
      <c r="V141" s="5">
        <v>49574</v>
      </c>
      <c r="W141" s="5">
        <v>66957</v>
      </c>
      <c r="X141" t="s">
        <v>110</v>
      </c>
      <c r="Y141" s="5">
        <v>65825</v>
      </c>
      <c r="Z141" s="2" t="s">
        <v>2</v>
      </c>
      <c r="AA141" s="2">
        <v>4</v>
      </c>
      <c r="AB141" s="2">
        <v>3</v>
      </c>
      <c r="AC141" s="2">
        <v>1</v>
      </c>
      <c r="AD141" t="s">
        <v>242</v>
      </c>
      <c r="AE141" t="s">
        <v>317</v>
      </c>
      <c r="AF141" t="s">
        <v>245</v>
      </c>
    </row>
    <row r="142" spans="1:32" ht="18" x14ac:dyDescent="0.35">
      <c r="A142" s="6"/>
      <c r="C142" s="13" t="s">
        <v>485</v>
      </c>
      <c r="D142" s="13" t="str">
        <f t="shared" si="13"/>
        <v xml:space="preserve">dg </v>
      </c>
      <c r="E142" s="13" t="str">
        <f t="shared" si="12"/>
        <v>vqL</v>
      </c>
      <c r="F142" s="21" t="s">
        <v>233</v>
      </c>
      <c r="G142" s="21" t="s">
        <v>756</v>
      </c>
      <c r="H142" s="21" t="s">
        <v>907</v>
      </c>
      <c r="I142" s="21">
        <f t="shared" si="14"/>
        <v>164</v>
      </c>
      <c r="J142" s="21"/>
      <c r="K142" s="21" t="str">
        <f t="shared" si="15"/>
        <v>-</v>
      </c>
      <c r="L142" s="15">
        <f t="shared" si="16"/>
        <v>52.397260273972606</v>
      </c>
      <c r="O142" s="16"/>
      <c r="P142" s="16"/>
      <c r="Q142" s="16"/>
      <c r="R142" s="16"/>
      <c r="S142" s="21"/>
      <c r="T142" s="21"/>
      <c r="U142" s="21"/>
      <c r="V142" s="5">
        <v>47832</v>
      </c>
      <c r="W142" s="5">
        <v>66957</v>
      </c>
      <c r="Y142" s="5"/>
    </row>
    <row r="143" spans="1:32" ht="18" x14ac:dyDescent="0.35">
      <c r="A143" s="6"/>
      <c r="C143" s="13" t="s">
        <v>486</v>
      </c>
      <c r="D143" s="13" t="str">
        <f t="shared" si="13"/>
        <v xml:space="preserve">l8s </v>
      </c>
      <c r="E143" s="13" t="str">
        <f t="shared" si="12"/>
        <v>vqL</v>
      </c>
      <c r="F143" s="21" t="s">
        <v>233</v>
      </c>
      <c r="G143" s="21" t="s">
        <v>757</v>
      </c>
      <c r="H143" s="21" t="s">
        <v>905</v>
      </c>
      <c r="I143" s="21">
        <f t="shared" si="14"/>
        <v>164</v>
      </c>
      <c r="J143" s="21"/>
      <c r="K143" s="21" t="str">
        <f t="shared" si="15"/>
        <v>-</v>
      </c>
      <c r="L143" s="15">
        <f t="shared" si="16"/>
        <v>27.742465753424657</v>
      </c>
      <c r="O143" s="16"/>
      <c r="P143" s="16"/>
      <c r="Q143" s="16"/>
      <c r="R143" s="16"/>
      <c r="S143" s="21"/>
      <c r="T143" s="21"/>
      <c r="U143" s="21"/>
      <c r="V143" s="5">
        <v>56831</v>
      </c>
      <c r="W143" s="5">
        <v>66957</v>
      </c>
      <c r="Y143" s="5"/>
    </row>
    <row r="144" spans="1:32" ht="18" x14ac:dyDescent="0.35">
      <c r="A144" s="6"/>
      <c r="C144" s="13" t="s">
        <v>487</v>
      </c>
      <c r="D144" s="13" t="str">
        <f t="shared" si="13"/>
        <v xml:space="preserve">ljzfn </v>
      </c>
      <c r="E144" s="13" t="str">
        <f t="shared" si="12"/>
        <v>vqL</v>
      </c>
      <c r="F144" s="21" t="s">
        <v>233</v>
      </c>
      <c r="G144" s="21" t="s">
        <v>757</v>
      </c>
      <c r="H144" s="21" t="s">
        <v>905</v>
      </c>
      <c r="I144" s="21">
        <f t="shared" si="14"/>
        <v>164</v>
      </c>
      <c r="J144" s="21"/>
      <c r="K144" s="21" t="str">
        <f t="shared" si="15"/>
        <v>-</v>
      </c>
      <c r="L144" s="15">
        <f t="shared" si="16"/>
        <v>23.55890410958904</v>
      </c>
      <c r="O144" s="16"/>
      <c r="P144" s="16"/>
      <c r="Q144" s="16"/>
      <c r="R144" s="16"/>
      <c r="S144" s="21"/>
      <c r="T144" s="21"/>
      <c r="U144" s="21"/>
      <c r="V144" s="5">
        <v>58358</v>
      </c>
      <c r="W144" s="5">
        <v>66957</v>
      </c>
      <c r="Y144" s="5"/>
    </row>
    <row r="145" spans="1:32" ht="18" x14ac:dyDescent="0.35">
      <c r="A145" s="6">
        <v>50</v>
      </c>
      <c r="B145" t="s">
        <v>51</v>
      </c>
      <c r="C145" s="13" t="s">
        <v>491</v>
      </c>
      <c r="D145" s="13" t="str">
        <f t="shared" si="13"/>
        <v xml:space="preserve">;Ltf/fd </v>
      </c>
      <c r="E145" s="13" t="str">
        <f t="shared" si="12"/>
        <v>&gt;]i7</v>
      </c>
      <c r="F145" s="21" t="s">
        <v>233</v>
      </c>
      <c r="G145" s="21" t="s">
        <v>756</v>
      </c>
      <c r="H145" s="21" t="s">
        <v>905</v>
      </c>
      <c r="I145" s="21">
        <f t="shared" si="14"/>
        <v>164</v>
      </c>
      <c r="J145" s="21"/>
      <c r="K145" s="21" t="str">
        <f t="shared" si="15"/>
        <v>-</v>
      </c>
      <c r="L145" s="15">
        <f t="shared" si="16"/>
        <v>69.06575342465753</v>
      </c>
      <c r="O145" s="16">
        <v>0</v>
      </c>
      <c r="P145" s="16">
        <v>4</v>
      </c>
      <c r="Q145" s="16">
        <v>0</v>
      </c>
      <c r="R145" s="16">
        <v>0</v>
      </c>
      <c r="S145" s="21" t="s">
        <v>745</v>
      </c>
      <c r="T145" s="21"/>
      <c r="U145" s="21"/>
      <c r="V145" s="5">
        <v>41748</v>
      </c>
      <c r="W145" s="5">
        <v>66957</v>
      </c>
      <c r="X145" t="s">
        <v>108</v>
      </c>
      <c r="Y145" s="5">
        <v>65762</v>
      </c>
      <c r="Z145" s="2" t="s">
        <v>2</v>
      </c>
      <c r="AA145" s="2">
        <v>2</v>
      </c>
      <c r="AB145" s="2">
        <v>1</v>
      </c>
      <c r="AC145" s="2">
        <v>1</v>
      </c>
      <c r="AD145" t="s">
        <v>242</v>
      </c>
      <c r="AE145" t="s">
        <v>321</v>
      </c>
      <c r="AF145" t="s">
        <v>245</v>
      </c>
    </row>
    <row r="146" spans="1:32" ht="18" x14ac:dyDescent="0.35">
      <c r="A146" s="6"/>
      <c r="C146" s="13" t="s">
        <v>492</v>
      </c>
      <c r="D146" s="13" t="str">
        <f t="shared" si="13"/>
        <v xml:space="preserve">s[i0f </v>
      </c>
      <c r="E146" s="13" t="str">
        <f t="shared" si="12"/>
        <v>&gt;]i7</v>
      </c>
      <c r="F146" s="21" t="s">
        <v>234</v>
      </c>
      <c r="G146" s="21" t="s">
        <v>756</v>
      </c>
      <c r="H146" s="21" t="s">
        <v>906</v>
      </c>
      <c r="I146" s="21">
        <f t="shared" si="14"/>
        <v>58</v>
      </c>
      <c r="J146" s="21"/>
      <c r="K146" s="21" t="str">
        <f t="shared" si="15"/>
        <v>-</v>
      </c>
      <c r="L146" s="15">
        <f t="shared" si="16"/>
        <v>65.991780821917814</v>
      </c>
      <c r="O146" s="16"/>
      <c r="P146" s="16"/>
      <c r="Q146" s="16"/>
      <c r="R146" s="16"/>
      <c r="S146" s="21"/>
      <c r="T146" s="21"/>
      <c r="U146" s="21"/>
      <c r="V146" s="5">
        <v>42870</v>
      </c>
      <c r="W146" s="5">
        <v>66957</v>
      </c>
      <c r="Y146" s="5"/>
    </row>
    <row r="147" spans="1:32" ht="18" x14ac:dyDescent="0.35">
      <c r="A147" s="6">
        <v>51</v>
      </c>
      <c r="B147" t="s">
        <v>116</v>
      </c>
      <c r="C147" s="13" t="s">
        <v>493</v>
      </c>
      <c r="D147" s="13" t="str">
        <f t="shared" si="13"/>
        <v xml:space="preserve">/d]z </v>
      </c>
      <c r="E147" s="13" t="str">
        <f t="shared" si="12"/>
        <v>l;+v8f</v>
      </c>
      <c r="F147" s="21" t="s">
        <v>233</v>
      </c>
      <c r="G147" s="21" t="s">
        <v>756</v>
      </c>
      <c r="H147" s="21" t="s">
        <v>905</v>
      </c>
      <c r="I147" s="21">
        <f t="shared" si="14"/>
        <v>164</v>
      </c>
      <c r="J147" s="21"/>
      <c r="K147" s="21" t="str">
        <f t="shared" si="15"/>
        <v>-</v>
      </c>
      <c r="L147" s="15">
        <f t="shared" si="16"/>
        <v>59.336986301369862</v>
      </c>
      <c r="O147" s="33">
        <v>0</v>
      </c>
      <c r="P147" s="33">
        <v>4</v>
      </c>
      <c r="Q147" s="33">
        <v>0</v>
      </c>
      <c r="R147" s="33">
        <v>0</v>
      </c>
      <c r="S147" s="29" t="s">
        <v>745</v>
      </c>
      <c r="T147" s="21"/>
      <c r="U147" s="21"/>
      <c r="V147" s="5">
        <v>45299</v>
      </c>
      <c r="W147" s="5">
        <v>66957</v>
      </c>
      <c r="X147" t="s">
        <v>215</v>
      </c>
      <c r="Y147" s="5">
        <v>65736</v>
      </c>
      <c r="Z147" s="2" t="s">
        <v>2</v>
      </c>
      <c r="AA147" s="2">
        <v>3</v>
      </c>
      <c r="AB147" s="2">
        <v>2</v>
      </c>
      <c r="AC147" s="2">
        <v>1</v>
      </c>
      <c r="AD147" t="s">
        <v>242</v>
      </c>
      <c r="AE147" t="s">
        <v>305</v>
      </c>
      <c r="AF147" t="s">
        <v>245</v>
      </c>
    </row>
    <row r="148" spans="1:32" ht="18" x14ac:dyDescent="0.35">
      <c r="A148" s="6"/>
      <c r="C148" s="13" t="s">
        <v>494</v>
      </c>
      <c r="D148" s="13" t="str">
        <f t="shared" si="13"/>
        <v xml:space="preserve">;Ltf </v>
      </c>
      <c r="E148" s="13" t="str">
        <f t="shared" si="12"/>
        <v>l;+v8f</v>
      </c>
      <c r="F148" s="21" t="s">
        <v>234</v>
      </c>
      <c r="G148" s="21" t="s">
        <v>756</v>
      </c>
      <c r="H148" s="21" t="s">
        <v>906</v>
      </c>
      <c r="I148" s="21">
        <f t="shared" si="14"/>
        <v>58</v>
      </c>
      <c r="J148" s="21"/>
      <c r="K148" s="21" t="str">
        <f t="shared" si="15"/>
        <v>-</v>
      </c>
      <c r="L148" s="15">
        <f t="shared" si="16"/>
        <v>51.509589041095893</v>
      </c>
      <c r="O148" s="16"/>
      <c r="P148" s="16"/>
      <c r="Q148" s="16"/>
      <c r="R148" s="16"/>
      <c r="S148" s="21"/>
      <c r="T148" s="21"/>
      <c r="U148" s="21"/>
      <c r="V148" s="5">
        <v>48156</v>
      </c>
      <c r="W148" s="5">
        <v>66957</v>
      </c>
      <c r="Y148" s="5"/>
    </row>
    <row r="149" spans="1:32" ht="18" x14ac:dyDescent="0.35">
      <c r="A149" s="6"/>
      <c r="C149" s="13" t="s">
        <v>495</v>
      </c>
      <c r="D149" s="13" t="str">
        <f t="shared" si="13"/>
        <v xml:space="preserve">lbk]z </v>
      </c>
      <c r="E149" s="13" t="str">
        <f t="shared" si="12"/>
        <v>l;+v8f</v>
      </c>
      <c r="F149" s="21" t="s">
        <v>233</v>
      </c>
      <c r="G149" s="21" t="s">
        <v>757</v>
      </c>
      <c r="H149" s="21" t="s">
        <v>905</v>
      </c>
      <c r="I149" s="21">
        <f t="shared" si="14"/>
        <v>164</v>
      </c>
      <c r="J149" s="21"/>
      <c r="K149" s="21" t="str">
        <f t="shared" si="15"/>
        <v>-</v>
      </c>
      <c r="L149" s="15">
        <f t="shared" si="16"/>
        <v>30.578082191780823</v>
      </c>
      <c r="O149" s="16"/>
      <c r="P149" s="16"/>
      <c r="Q149" s="16"/>
      <c r="R149" s="16"/>
      <c r="S149" s="21"/>
      <c r="T149" s="21"/>
      <c r="U149" s="21"/>
      <c r="V149" s="5">
        <v>55796</v>
      </c>
      <c r="W149" s="5">
        <v>66957</v>
      </c>
      <c r="Y149" s="5"/>
    </row>
    <row r="150" spans="1:32" ht="18" x14ac:dyDescent="0.35">
      <c r="A150" s="6">
        <v>52</v>
      </c>
      <c r="B150" t="s">
        <v>117</v>
      </c>
      <c r="C150" s="13" t="s">
        <v>496</v>
      </c>
      <c r="D150" s="13" t="str">
        <f t="shared" si="13"/>
        <v xml:space="preserve">l/g' </v>
      </c>
      <c r="E150" s="13" t="str">
        <f t="shared" ref="E150:E213" si="17">TRIM(RIGHT(SUBSTITUTE(C150," ",REPT(" ",255)),255))</f>
        <v>u'?ª</v>
      </c>
      <c r="F150" s="21" t="s">
        <v>234</v>
      </c>
      <c r="G150" s="21" t="s">
        <v>756</v>
      </c>
      <c r="H150" s="21" t="s">
        <v>905</v>
      </c>
      <c r="I150" s="21">
        <f t="shared" si="14"/>
        <v>99</v>
      </c>
      <c r="J150" s="21"/>
      <c r="K150" s="21" t="str">
        <f t="shared" si="15"/>
        <v>-</v>
      </c>
      <c r="L150" s="15">
        <f t="shared" si="16"/>
        <v>44.967123287671235</v>
      </c>
      <c r="O150" s="33">
        <v>0</v>
      </c>
      <c r="P150" s="33">
        <v>4</v>
      </c>
      <c r="Q150" s="33">
        <v>0</v>
      </c>
      <c r="R150" s="33">
        <v>0</v>
      </c>
      <c r="S150" s="29" t="s">
        <v>745</v>
      </c>
      <c r="T150" s="21"/>
      <c r="U150" s="21"/>
      <c r="V150" s="5">
        <v>50544</v>
      </c>
      <c r="W150" s="5">
        <v>66957</v>
      </c>
      <c r="Y150" s="5">
        <v>65695</v>
      </c>
      <c r="Z150" s="2" t="s">
        <v>2</v>
      </c>
      <c r="AA150" s="2">
        <v>4</v>
      </c>
      <c r="AB150" s="2">
        <v>2</v>
      </c>
      <c r="AC150" s="2">
        <v>2</v>
      </c>
      <c r="AD150" t="s">
        <v>242</v>
      </c>
      <c r="AE150" t="s">
        <v>309</v>
      </c>
      <c r="AF150" t="s">
        <v>245</v>
      </c>
    </row>
    <row r="151" spans="1:32" ht="18" x14ac:dyDescent="0.35">
      <c r="A151" s="6"/>
      <c r="C151" s="13" t="s">
        <v>497</v>
      </c>
      <c r="D151" s="13" t="str">
        <f t="shared" si="13"/>
        <v xml:space="preserve">k|sfz </v>
      </c>
      <c r="E151" s="13" t="str">
        <f t="shared" si="17"/>
        <v>u'?ª</v>
      </c>
      <c r="F151" s="21" t="s">
        <v>233</v>
      </c>
      <c r="G151" s="21" t="s">
        <v>756</v>
      </c>
      <c r="H151" s="21" t="s">
        <v>905</v>
      </c>
      <c r="I151" s="21">
        <f t="shared" si="14"/>
        <v>164</v>
      </c>
      <c r="J151" s="21"/>
      <c r="K151" s="21" t="str">
        <f t="shared" si="15"/>
        <v>-</v>
      </c>
      <c r="L151" s="15">
        <f t="shared" si="16"/>
        <v>48.254794520547946</v>
      </c>
      <c r="O151" s="16"/>
      <c r="P151" s="16"/>
      <c r="Q151" s="16"/>
      <c r="R151" s="16"/>
      <c r="S151" s="21"/>
      <c r="T151" s="21"/>
      <c r="U151" s="21"/>
      <c r="V151" s="5">
        <v>49344</v>
      </c>
      <c r="W151" s="5">
        <v>66957</v>
      </c>
      <c r="Y151" s="5"/>
    </row>
    <row r="152" spans="1:32" ht="18" x14ac:dyDescent="0.35">
      <c r="A152" s="6"/>
      <c r="C152" s="13" t="s">
        <v>498</v>
      </c>
      <c r="D152" s="13" t="str">
        <f t="shared" si="13"/>
        <v xml:space="preserve">k|lgz </v>
      </c>
      <c r="E152" s="13" t="str">
        <f t="shared" si="17"/>
        <v>u'?ª</v>
      </c>
      <c r="F152" s="21" t="s">
        <v>233</v>
      </c>
      <c r="G152" s="21" t="s">
        <v>757</v>
      </c>
      <c r="H152" s="21" t="s">
        <v>905</v>
      </c>
      <c r="I152" s="21">
        <f t="shared" si="14"/>
        <v>164</v>
      </c>
      <c r="J152" s="21"/>
      <c r="K152" s="21" t="str">
        <f t="shared" si="15"/>
        <v>-</v>
      </c>
      <c r="L152" s="15">
        <f t="shared" si="16"/>
        <v>20.778082191780822</v>
      </c>
      <c r="O152" s="16"/>
      <c r="P152" s="16"/>
      <c r="Q152" s="16"/>
      <c r="R152" s="16"/>
      <c r="S152" s="21"/>
      <c r="T152" s="21"/>
      <c r="U152" s="21"/>
      <c r="V152" s="5">
        <v>59373</v>
      </c>
      <c r="W152" s="5">
        <v>66957</v>
      </c>
      <c r="Y152" s="5"/>
    </row>
    <row r="153" spans="1:32" ht="18" x14ac:dyDescent="0.35">
      <c r="A153" s="6"/>
      <c r="C153" s="13" t="s">
        <v>499</v>
      </c>
      <c r="D153" s="13" t="str">
        <f t="shared" si="13"/>
        <v xml:space="preserve">l/D;f </v>
      </c>
      <c r="E153" s="13" t="str">
        <f t="shared" si="17"/>
        <v>u'?ª</v>
      </c>
      <c r="F153" s="21" t="s">
        <v>234</v>
      </c>
      <c r="G153" s="21" t="s">
        <v>757</v>
      </c>
      <c r="H153" s="21" t="s">
        <v>905</v>
      </c>
      <c r="I153" s="21">
        <f t="shared" si="14"/>
        <v>99</v>
      </c>
      <c r="J153" s="21"/>
      <c r="K153" s="21" t="str">
        <f t="shared" si="15"/>
        <v>-</v>
      </c>
      <c r="L153" s="15">
        <f t="shared" si="16"/>
        <v>10.375342465753425</v>
      </c>
      <c r="O153" s="16"/>
      <c r="P153" s="16"/>
      <c r="Q153" s="16"/>
      <c r="R153" s="16"/>
      <c r="S153" s="21"/>
      <c r="T153" s="21"/>
      <c r="U153" s="21"/>
      <c r="V153" s="5">
        <v>63170</v>
      </c>
      <c r="W153" s="5">
        <v>66957</v>
      </c>
      <c r="Y153" s="5"/>
    </row>
    <row r="154" spans="1:32" ht="18" x14ac:dyDescent="0.35">
      <c r="A154" s="6">
        <v>53</v>
      </c>
      <c r="B154" t="s">
        <v>118</v>
      </c>
      <c r="C154" s="13" t="s">
        <v>500</v>
      </c>
      <c r="D154" s="13" t="str">
        <f t="shared" si="13"/>
        <v xml:space="preserve">/Ltf </v>
      </c>
      <c r="E154" s="13" t="str">
        <f t="shared" si="17"/>
        <v>bdfO{</v>
      </c>
      <c r="F154" s="21" t="s">
        <v>234</v>
      </c>
      <c r="G154" s="21" t="s">
        <v>757</v>
      </c>
      <c r="H154" s="21" t="s">
        <v>905</v>
      </c>
      <c r="I154" s="21">
        <f t="shared" si="14"/>
        <v>99</v>
      </c>
      <c r="J154" s="21"/>
      <c r="K154" s="21" t="str">
        <f t="shared" si="15"/>
        <v>-</v>
      </c>
      <c r="L154" s="15">
        <f t="shared" si="16"/>
        <v>29.583561643835615</v>
      </c>
      <c r="O154" s="16">
        <v>0</v>
      </c>
      <c r="P154" s="16">
        <v>6</v>
      </c>
      <c r="Q154" s="16">
        <v>0</v>
      </c>
      <c r="R154" s="16">
        <v>0</v>
      </c>
      <c r="S154" s="21" t="s">
        <v>745</v>
      </c>
      <c r="T154" s="21"/>
      <c r="U154" s="21"/>
      <c r="V154" s="5">
        <v>56159</v>
      </c>
      <c r="W154" s="5">
        <v>66957</v>
      </c>
      <c r="Y154" s="5">
        <v>65644</v>
      </c>
      <c r="Z154" s="2" t="s">
        <v>2</v>
      </c>
      <c r="AA154" s="2">
        <v>3</v>
      </c>
      <c r="AB154" s="2">
        <v>1</v>
      </c>
      <c r="AC154" s="2">
        <v>2</v>
      </c>
      <c r="AD154" t="s">
        <v>242</v>
      </c>
      <c r="AE154" t="s">
        <v>310</v>
      </c>
      <c r="AF154" t="s">
        <v>245</v>
      </c>
    </row>
    <row r="155" spans="1:32" ht="18" x14ac:dyDescent="0.35">
      <c r="A155" s="6"/>
      <c r="C155" s="13" t="s">
        <v>501</v>
      </c>
      <c r="D155" s="13" t="str">
        <f t="shared" si="13"/>
        <v xml:space="preserve">l;tf </v>
      </c>
      <c r="E155" s="13" t="str">
        <f t="shared" si="17"/>
        <v>bdfO{</v>
      </c>
      <c r="F155" s="21" t="s">
        <v>234</v>
      </c>
      <c r="G155" s="21" t="s">
        <v>756</v>
      </c>
      <c r="H155" s="21" t="s">
        <v>906</v>
      </c>
      <c r="I155" s="21">
        <f t="shared" si="14"/>
        <v>58</v>
      </c>
      <c r="J155" s="21"/>
      <c r="K155" s="21" t="str">
        <f t="shared" si="15"/>
        <v>-</v>
      </c>
      <c r="L155" s="15">
        <f t="shared" si="16"/>
        <v>52.983561643835614</v>
      </c>
      <c r="O155" s="16"/>
      <c r="P155" s="16"/>
      <c r="Q155" s="16"/>
      <c r="R155" s="16"/>
      <c r="S155" s="21"/>
      <c r="T155" s="21"/>
      <c r="U155" s="21"/>
      <c r="V155" s="5">
        <v>47618</v>
      </c>
      <c r="W155" s="5">
        <v>66957</v>
      </c>
      <c r="Y155" s="5"/>
    </row>
    <row r="156" spans="1:32" ht="18" x14ac:dyDescent="0.35">
      <c r="A156" s="6"/>
      <c r="C156" s="13" t="s">
        <v>502</v>
      </c>
      <c r="D156" s="13" t="str">
        <f t="shared" si="13"/>
        <v xml:space="preserve">l/hg </v>
      </c>
      <c r="E156" s="13" t="str">
        <f t="shared" si="17"/>
        <v>bdfO{</v>
      </c>
      <c r="F156" s="21" t="s">
        <v>233</v>
      </c>
      <c r="G156" s="21" t="s">
        <v>757</v>
      </c>
      <c r="H156" s="21" t="s">
        <v>905</v>
      </c>
      <c r="I156" s="21">
        <f t="shared" si="14"/>
        <v>164</v>
      </c>
      <c r="J156" s="21"/>
      <c r="K156" s="21" t="str">
        <f t="shared" si="15"/>
        <v>-</v>
      </c>
      <c r="L156" s="15">
        <f t="shared" si="16"/>
        <v>25.016438356164382</v>
      </c>
      <c r="O156" s="16"/>
      <c r="P156" s="16"/>
      <c r="Q156" s="16"/>
      <c r="R156" s="16"/>
      <c r="S156" s="21"/>
      <c r="T156" s="21"/>
      <c r="U156" s="21"/>
      <c r="V156" s="5">
        <v>57826</v>
      </c>
      <c r="W156" s="5">
        <v>66957</v>
      </c>
      <c r="Y156" s="5"/>
    </row>
    <row r="157" spans="1:32" ht="18" x14ac:dyDescent="0.35">
      <c r="A157" s="6">
        <v>54</v>
      </c>
      <c r="B157" t="s">
        <v>119</v>
      </c>
      <c r="C157" s="13" t="s">
        <v>503</v>
      </c>
      <c r="D157" s="13" t="str">
        <f t="shared" si="13"/>
        <v xml:space="preserve">;'af; </v>
      </c>
      <c r="E157" s="13" t="str">
        <f t="shared" si="17"/>
        <v>lnDj'</v>
      </c>
      <c r="F157" s="21" t="s">
        <v>233</v>
      </c>
      <c r="G157" s="21" t="s">
        <v>756</v>
      </c>
      <c r="H157" s="21" t="s">
        <v>905</v>
      </c>
      <c r="I157" s="21">
        <f t="shared" si="14"/>
        <v>164</v>
      </c>
      <c r="J157" s="21"/>
      <c r="K157" s="21" t="str">
        <f t="shared" si="15"/>
        <v>-</v>
      </c>
      <c r="L157" s="15">
        <f t="shared" si="16"/>
        <v>58.18904109589041</v>
      </c>
      <c r="O157" s="16">
        <v>0</v>
      </c>
      <c r="P157" s="16">
        <v>7</v>
      </c>
      <c r="Q157" s="16">
        <v>0</v>
      </c>
      <c r="R157" s="16">
        <v>0</v>
      </c>
      <c r="S157" s="21" t="s">
        <v>745</v>
      </c>
      <c r="T157" s="21"/>
      <c r="U157" s="21"/>
      <c r="V157" s="5">
        <v>45718</v>
      </c>
      <c r="W157" s="5">
        <v>66957</v>
      </c>
      <c r="Y157" s="5">
        <v>65631</v>
      </c>
      <c r="Z157" s="2" t="s">
        <v>2</v>
      </c>
      <c r="AA157" s="2">
        <v>4</v>
      </c>
      <c r="AB157" s="2">
        <v>3</v>
      </c>
      <c r="AC157" s="2">
        <v>1</v>
      </c>
      <c r="AD157" t="s">
        <v>242</v>
      </c>
      <c r="AE157" t="s">
        <v>324</v>
      </c>
      <c r="AF157" t="s">
        <v>245</v>
      </c>
    </row>
    <row r="158" spans="1:32" ht="18" x14ac:dyDescent="0.35">
      <c r="A158" s="6"/>
      <c r="C158" s="13" t="s">
        <v>504</v>
      </c>
      <c r="D158" s="13" t="str">
        <f t="shared" si="13"/>
        <v xml:space="preserve">/f]hg </v>
      </c>
      <c r="E158" s="13" t="str">
        <f t="shared" si="17"/>
        <v>dfb]g</v>
      </c>
      <c r="F158" s="21" t="s">
        <v>233</v>
      </c>
      <c r="G158" s="21" t="s">
        <v>757</v>
      </c>
      <c r="H158" s="21" t="s">
        <v>905</v>
      </c>
      <c r="I158" s="21">
        <f t="shared" si="14"/>
        <v>164</v>
      </c>
      <c r="J158" s="21"/>
      <c r="K158" s="21" t="str">
        <f t="shared" si="15"/>
        <v>-</v>
      </c>
      <c r="L158" s="15">
        <f t="shared" si="16"/>
        <v>23.556164383561644</v>
      </c>
      <c r="O158" s="16"/>
      <c r="P158" s="16"/>
      <c r="Q158" s="16"/>
      <c r="R158" s="16"/>
      <c r="S158" s="21"/>
      <c r="T158" s="21"/>
      <c r="U158" s="21"/>
      <c r="V158" s="5">
        <v>58359</v>
      </c>
      <c r="W158" s="5">
        <v>66957</v>
      </c>
      <c r="Y158" s="5"/>
    </row>
    <row r="159" spans="1:32" ht="18" x14ac:dyDescent="0.35">
      <c r="A159" s="6"/>
      <c r="C159" s="13" t="s">
        <v>505</v>
      </c>
      <c r="D159" s="13" t="str">
        <f t="shared" si="13"/>
        <v xml:space="preserve">/]xg </v>
      </c>
      <c r="E159" s="13" t="str">
        <f t="shared" si="17"/>
        <v>dfb]g</v>
      </c>
      <c r="F159" s="21" t="s">
        <v>233</v>
      </c>
      <c r="G159" s="21" t="s">
        <v>757</v>
      </c>
      <c r="H159" s="21" t="s">
        <v>905</v>
      </c>
      <c r="I159" s="21">
        <f t="shared" si="14"/>
        <v>164</v>
      </c>
      <c r="J159" s="21"/>
      <c r="K159" s="21" t="str">
        <f t="shared" si="15"/>
        <v>-</v>
      </c>
      <c r="L159" s="15">
        <f t="shared" si="16"/>
        <v>18.597260273972601</v>
      </c>
      <c r="O159" s="16"/>
      <c r="P159" s="16"/>
      <c r="Q159" s="16"/>
      <c r="R159" s="16"/>
      <c r="S159" s="21"/>
      <c r="T159" s="21"/>
      <c r="U159" s="21"/>
      <c r="V159" s="5">
        <v>60169</v>
      </c>
      <c r="W159" s="5">
        <v>66957</v>
      </c>
      <c r="Y159" s="5"/>
    </row>
    <row r="160" spans="1:32" ht="18" x14ac:dyDescent="0.35">
      <c r="A160" s="6"/>
      <c r="C160" s="13" t="s">
        <v>506</v>
      </c>
      <c r="D160" s="13" t="str">
        <f t="shared" si="13"/>
        <v xml:space="preserve">k'ikf </v>
      </c>
      <c r="E160" s="13" t="str">
        <f t="shared" si="17"/>
        <v>hj]u'</v>
      </c>
      <c r="F160" s="21" t="s">
        <v>234</v>
      </c>
      <c r="G160" s="21" t="s">
        <v>756</v>
      </c>
      <c r="H160" s="21" t="s">
        <v>905</v>
      </c>
      <c r="I160" s="21">
        <f t="shared" si="14"/>
        <v>99</v>
      </c>
      <c r="J160" s="21"/>
      <c r="K160" s="21" t="str">
        <f t="shared" si="15"/>
        <v>-</v>
      </c>
      <c r="L160" s="15">
        <f t="shared" si="16"/>
        <v>45.701369863013696</v>
      </c>
      <c r="O160" s="16"/>
      <c r="P160" s="16"/>
      <c r="Q160" s="16"/>
      <c r="R160" s="16"/>
      <c r="S160" s="21"/>
      <c r="T160" s="21"/>
      <c r="U160" s="21"/>
      <c r="V160" s="5">
        <v>50276</v>
      </c>
      <c r="W160" s="5">
        <v>66957</v>
      </c>
      <c r="Y160" s="5"/>
    </row>
    <row r="161" spans="1:32" ht="18" x14ac:dyDescent="0.35">
      <c r="A161" s="6">
        <v>55</v>
      </c>
      <c r="B161" t="s">
        <v>120</v>
      </c>
      <c r="C161" s="13" t="s">
        <v>507</v>
      </c>
      <c r="D161" s="13" t="str">
        <f t="shared" si="13"/>
        <v xml:space="preserve">;'bz{g </v>
      </c>
      <c r="E161" s="13" t="str">
        <f t="shared" si="17"/>
        <v>;fksf]6f</v>
      </c>
      <c r="F161" s="21" t="s">
        <v>233</v>
      </c>
      <c r="G161" s="21" t="s">
        <v>756</v>
      </c>
      <c r="H161" s="21" t="s">
        <v>905</v>
      </c>
      <c r="I161" s="21">
        <f t="shared" si="14"/>
        <v>164</v>
      </c>
      <c r="J161" s="21"/>
      <c r="K161" s="21" t="str">
        <f t="shared" si="15"/>
        <v>-</v>
      </c>
      <c r="L161" s="15">
        <f t="shared" si="16"/>
        <v>51.778082191780825</v>
      </c>
      <c r="O161" s="16">
        <v>0</v>
      </c>
      <c r="P161" s="16">
        <v>3</v>
      </c>
      <c r="Q161" s="16">
        <v>0</v>
      </c>
      <c r="R161" s="16">
        <v>0</v>
      </c>
      <c r="S161" s="21" t="s">
        <v>745</v>
      </c>
      <c r="T161" s="21"/>
      <c r="U161" s="21"/>
      <c r="V161" s="5">
        <v>48058</v>
      </c>
      <c r="W161" s="5">
        <v>66957</v>
      </c>
      <c r="Y161" s="5">
        <v>65631</v>
      </c>
      <c r="Z161" s="2" t="s">
        <v>2</v>
      </c>
      <c r="AA161" s="2">
        <v>7</v>
      </c>
      <c r="AB161" s="2">
        <v>5</v>
      </c>
      <c r="AC161" s="2">
        <v>2</v>
      </c>
      <c r="AD161" t="s">
        <v>242</v>
      </c>
      <c r="AE161" t="s">
        <v>326</v>
      </c>
      <c r="AF161" t="s">
        <v>245</v>
      </c>
    </row>
    <row r="162" spans="1:32" ht="18" x14ac:dyDescent="0.35">
      <c r="A162" s="6"/>
      <c r="C162" s="13" t="s">
        <v>508</v>
      </c>
      <c r="D162" s="13" t="str">
        <f t="shared" si="13"/>
        <v xml:space="preserve">;"o{axfb'/ </v>
      </c>
      <c r="E162" s="13" t="str">
        <f t="shared" si="17"/>
        <v>;fksf]6f</v>
      </c>
      <c r="F162" s="21" t="s">
        <v>233</v>
      </c>
      <c r="G162" s="21" t="s">
        <v>756</v>
      </c>
      <c r="H162" s="21" t="s">
        <v>906</v>
      </c>
      <c r="I162" s="21">
        <f t="shared" si="14"/>
        <v>11</v>
      </c>
      <c r="J162" s="21"/>
      <c r="K162" s="21" t="str">
        <f t="shared" si="15"/>
        <v>-</v>
      </c>
      <c r="L162" s="15">
        <f t="shared" si="16"/>
        <v>76.271232876712332</v>
      </c>
      <c r="O162" s="16"/>
      <c r="P162" s="16"/>
      <c r="Q162" s="16"/>
      <c r="R162" s="16"/>
      <c r="S162" s="21"/>
      <c r="T162" s="21"/>
      <c r="U162" s="21"/>
      <c r="V162" s="5">
        <v>39118</v>
      </c>
      <c r="W162" s="5">
        <v>66957</v>
      </c>
      <c r="Y162" s="5"/>
    </row>
    <row r="163" spans="1:32" ht="18" x14ac:dyDescent="0.35">
      <c r="A163" s="6"/>
      <c r="C163" s="13" t="s">
        <v>509</v>
      </c>
      <c r="D163" s="13" t="str">
        <f t="shared" si="13"/>
        <v xml:space="preserve">u+uf </v>
      </c>
      <c r="E163" s="13" t="str">
        <f t="shared" si="17"/>
        <v>;fksf]6f</v>
      </c>
      <c r="F163" s="21" t="s">
        <v>234</v>
      </c>
      <c r="G163" s="21" t="s">
        <v>756</v>
      </c>
      <c r="H163" s="21" t="s">
        <v>906</v>
      </c>
      <c r="I163" s="21">
        <f t="shared" si="14"/>
        <v>58</v>
      </c>
      <c r="J163" s="21"/>
      <c r="K163" s="21" t="str">
        <f t="shared" si="15"/>
        <v>-</v>
      </c>
      <c r="L163" s="15">
        <f t="shared" si="16"/>
        <v>73.084931506849315</v>
      </c>
      <c r="O163" s="16"/>
      <c r="P163" s="16"/>
      <c r="Q163" s="16"/>
      <c r="R163" s="16"/>
      <c r="S163" s="21"/>
      <c r="T163" s="21"/>
      <c r="U163" s="21"/>
      <c r="V163" s="5">
        <v>40281</v>
      </c>
      <c r="W163" s="5">
        <v>66957</v>
      </c>
      <c r="Y163" s="5"/>
    </row>
    <row r="164" spans="1:32" ht="18" x14ac:dyDescent="0.35">
      <c r="A164" s="6"/>
      <c r="C164" s="13" t="s">
        <v>510</v>
      </c>
      <c r="D164" s="13" t="str">
        <f t="shared" si="13"/>
        <v xml:space="preserve">v]ds'df/L </v>
      </c>
      <c r="E164" s="13" t="str">
        <f t="shared" si="17"/>
        <v>-aflgof_</v>
      </c>
      <c r="F164" s="21" t="s">
        <v>234</v>
      </c>
      <c r="G164" s="21" t="s">
        <v>756</v>
      </c>
      <c r="H164" s="21" t="s">
        <v>905</v>
      </c>
      <c r="I164" s="21">
        <f t="shared" si="14"/>
        <v>99</v>
      </c>
      <c r="J164" s="21"/>
      <c r="K164" s="21" t="str">
        <f t="shared" si="15"/>
        <v>-</v>
      </c>
      <c r="L164" s="15">
        <f t="shared" si="16"/>
        <v>42.794520547945204</v>
      </c>
      <c r="O164" s="16"/>
      <c r="P164" s="16"/>
      <c r="Q164" s="16"/>
      <c r="R164" s="16"/>
      <c r="S164" s="21"/>
      <c r="T164" s="21"/>
      <c r="U164" s="21"/>
      <c r="V164" s="5">
        <v>51337</v>
      </c>
      <c r="W164" s="5">
        <v>66957</v>
      </c>
      <c r="Y164" s="5"/>
    </row>
    <row r="165" spans="1:32" ht="18" x14ac:dyDescent="0.35">
      <c r="A165" s="6"/>
      <c r="C165" s="13" t="s">
        <v>511</v>
      </c>
      <c r="D165" s="13" t="str">
        <f t="shared" si="13"/>
        <v xml:space="preserve">;'lbk </v>
      </c>
      <c r="E165" s="13" t="str">
        <f t="shared" si="17"/>
        <v>;fksf]6f</v>
      </c>
      <c r="F165" s="21" t="s">
        <v>233</v>
      </c>
      <c r="G165" s="21" t="s">
        <v>756</v>
      </c>
      <c r="H165" s="21" t="s">
        <v>906</v>
      </c>
      <c r="I165" s="21">
        <f t="shared" si="14"/>
        <v>11</v>
      </c>
      <c r="J165" s="21"/>
      <c r="K165" s="21" t="str">
        <f t="shared" si="15"/>
        <v>-</v>
      </c>
      <c r="L165" s="15">
        <f t="shared" si="16"/>
        <v>50.731506849315068</v>
      </c>
      <c r="O165" s="16"/>
      <c r="P165" s="16"/>
      <c r="Q165" s="16"/>
      <c r="R165" s="16"/>
      <c r="S165" s="21"/>
      <c r="T165" s="21"/>
      <c r="U165" s="21"/>
      <c r="V165" s="5">
        <v>48440</v>
      </c>
      <c r="W165" s="5">
        <v>66957</v>
      </c>
      <c r="Y165" s="5"/>
    </row>
    <row r="166" spans="1:32" ht="18" x14ac:dyDescent="0.35">
      <c r="A166" s="6"/>
      <c r="C166" s="13" t="s">
        <v>512</v>
      </c>
      <c r="D166" s="13" t="str">
        <f t="shared" si="13"/>
        <v xml:space="preserve">cfo'if </v>
      </c>
      <c r="E166" s="13" t="str">
        <f t="shared" si="17"/>
        <v>;fksf]6f</v>
      </c>
      <c r="F166" s="21" t="s">
        <v>233</v>
      </c>
      <c r="G166" s="21" t="s">
        <v>757</v>
      </c>
      <c r="H166" s="21" t="s">
        <v>905</v>
      </c>
      <c r="I166" s="21">
        <f t="shared" si="14"/>
        <v>164</v>
      </c>
      <c r="J166" s="21"/>
      <c r="K166" s="21" t="str">
        <f t="shared" si="15"/>
        <v>-</v>
      </c>
      <c r="L166" s="15">
        <f t="shared" si="16"/>
        <v>15.358904109589041</v>
      </c>
      <c r="O166" s="16"/>
      <c r="P166" s="16"/>
      <c r="Q166" s="16"/>
      <c r="R166" s="16"/>
      <c r="S166" s="21"/>
      <c r="T166" s="21"/>
      <c r="U166" s="21"/>
      <c r="V166" s="5">
        <v>61351</v>
      </c>
      <c r="W166" s="5">
        <v>66957</v>
      </c>
      <c r="Y166" s="5"/>
    </row>
    <row r="167" spans="1:32" ht="18" x14ac:dyDescent="0.35">
      <c r="A167" s="6"/>
      <c r="C167" s="13" t="s">
        <v>513</v>
      </c>
      <c r="D167" s="13" t="str">
        <f t="shared" si="13"/>
        <v xml:space="preserve">cleif]s </v>
      </c>
      <c r="E167" s="13" t="str">
        <f t="shared" si="17"/>
        <v>;fksf]6f</v>
      </c>
      <c r="F167" s="21" t="s">
        <v>233</v>
      </c>
      <c r="G167" s="21" t="s">
        <v>757</v>
      </c>
      <c r="H167" s="21" t="s">
        <v>906</v>
      </c>
      <c r="I167" s="21">
        <f t="shared" si="14"/>
        <v>11</v>
      </c>
      <c r="J167" s="21"/>
      <c r="K167" s="21" t="str">
        <f t="shared" si="15"/>
        <v>-</v>
      </c>
      <c r="L167" s="15">
        <f t="shared" si="16"/>
        <v>5.3452054794520549</v>
      </c>
      <c r="O167" s="16"/>
      <c r="P167" s="16"/>
      <c r="Q167" s="16"/>
      <c r="R167" s="16"/>
      <c r="S167" s="21"/>
      <c r="T167" s="21"/>
      <c r="U167" s="21"/>
      <c r="V167" s="5">
        <v>65006</v>
      </c>
      <c r="W167" s="5">
        <v>66957</v>
      </c>
      <c r="Y167" s="5"/>
    </row>
    <row r="168" spans="1:32" ht="18" x14ac:dyDescent="0.35">
      <c r="A168" s="6">
        <v>56</v>
      </c>
      <c r="B168" t="s">
        <v>121</v>
      </c>
      <c r="C168" s="13" t="s">
        <v>514</v>
      </c>
      <c r="D168" s="13" t="str">
        <f t="shared" si="13"/>
        <v xml:space="preserve">d]g'sf </v>
      </c>
      <c r="E168" s="13" t="str">
        <f t="shared" si="17"/>
        <v>&gt;]i7</v>
      </c>
      <c r="F168" s="21" t="s">
        <v>234</v>
      </c>
      <c r="G168" s="21" t="s">
        <v>756</v>
      </c>
      <c r="H168" s="21" t="s">
        <v>906</v>
      </c>
      <c r="I168" s="21">
        <f t="shared" si="14"/>
        <v>58</v>
      </c>
      <c r="J168" s="21"/>
      <c r="K168" s="21" t="str">
        <f t="shared" si="15"/>
        <v>-</v>
      </c>
      <c r="L168" s="15">
        <f t="shared" si="16"/>
        <v>41.136986301369866</v>
      </c>
      <c r="O168" s="16">
        <v>0</v>
      </c>
      <c r="P168" s="16">
        <v>3</v>
      </c>
      <c r="Q168" s="16">
        <v>2</v>
      </c>
      <c r="R168" s="16">
        <v>0</v>
      </c>
      <c r="S168" s="21" t="s">
        <v>745</v>
      </c>
      <c r="T168" s="21"/>
      <c r="U168" s="21"/>
      <c r="V168" s="5">
        <v>51942</v>
      </c>
      <c r="W168" s="5">
        <v>66957</v>
      </c>
      <c r="Y168" s="5">
        <v>65582</v>
      </c>
      <c r="Z168" s="2" t="s">
        <v>2</v>
      </c>
      <c r="AA168" s="2">
        <v>3</v>
      </c>
      <c r="AB168" s="2">
        <v>1</v>
      </c>
      <c r="AC168" s="2">
        <v>2</v>
      </c>
      <c r="AD168" t="s">
        <v>242</v>
      </c>
      <c r="AE168" t="s">
        <v>293</v>
      </c>
      <c r="AF168" t="s">
        <v>245</v>
      </c>
    </row>
    <row r="169" spans="1:32" ht="18" x14ac:dyDescent="0.35">
      <c r="A169" s="6"/>
      <c r="C169" s="13" t="s">
        <v>515</v>
      </c>
      <c r="D169" s="13" t="str">
        <f t="shared" si="13"/>
        <v xml:space="preserve">hfd'g </v>
      </c>
      <c r="E169" s="13" t="str">
        <f t="shared" si="17"/>
        <v>&gt;]i7</v>
      </c>
      <c r="F169" s="21" t="s">
        <v>233</v>
      </c>
      <c r="G169" s="21" t="s">
        <v>757</v>
      </c>
      <c r="H169" s="21" t="s">
        <v>905</v>
      </c>
      <c r="I169" s="21">
        <f t="shared" si="14"/>
        <v>164</v>
      </c>
      <c r="J169" s="21"/>
      <c r="K169" s="21" t="str">
        <f t="shared" si="15"/>
        <v>-</v>
      </c>
      <c r="L169" s="15">
        <f t="shared" si="16"/>
        <v>21.142465753424659</v>
      </c>
      <c r="O169" s="16"/>
      <c r="P169" s="16"/>
      <c r="Q169" s="16"/>
      <c r="R169" s="16"/>
      <c r="S169" s="21"/>
      <c r="T169" s="21"/>
      <c r="U169" s="21"/>
      <c r="V169" s="5">
        <v>59240</v>
      </c>
      <c r="W169" s="5">
        <v>66957</v>
      </c>
      <c r="Y169" s="5"/>
    </row>
    <row r="170" spans="1:32" ht="18" x14ac:dyDescent="0.35">
      <c r="A170" s="6"/>
      <c r="C170" s="13" t="s">
        <v>516</v>
      </c>
      <c r="D170" s="13" t="str">
        <f t="shared" si="13"/>
        <v xml:space="preserve">h]l;sf </v>
      </c>
      <c r="E170" s="13" t="str">
        <f t="shared" si="17"/>
        <v>&gt;]i7</v>
      </c>
      <c r="F170" s="21" t="s">
        <v>234</v>
      </c>
      <c r="G170" s="21" t="s">
        <v>757</v>
      </c>
      <c r="H170" s="21" t="s">
        <v>905</v>
      </c>
      <c r="I170" s="21">
        <f t="shared" si="14"/>
        <v>99</v>
      </c>
      <c r="J170" s="21"/>
      <c r="K170" s="21" t="str">
        <f t="shared" si="15"/>
        <v>-</v>
      </c>
      <c r="L170" s="15">
        <f t="shared" si="16"/>
        <v>16.435616438356163</v>
      </c>
      <c r="O170" s="16"/>
      <c r="P170" s="16"/>
      <c r="Q170" s="16"/>
      <c r="R170" s="16"/>
      <c r="S170" s="21"/>
      <c r="T170" s="21"/>
      <c r="U170" s="21"/>
      <c r="V170" s="5">
        <v>60958</v>
      </c>
      <c r="W170" s="5">
        <v>66957</v>
      </c>
      <c r="Y170" s="5"/>
    </row>
    <row r="171" spans="1:32" ht="18" x14ac:dyDescent="0.35">
      <c r="A171" s="6">
        <v>57</v>
      </c>
      <c r="B171" t="s">
        <v>122</v>
      </c>
      <c r="C171" s="13" t="s">
        <v>517</v>
      </c>
      <c r="D171" s="13" t="str">
        <f t="shared" si="13"/>
        <v xml:space="preserve">a;Gt </v>
      </c>
      <c r="E171" s="13" t="str">
        <f t="shared" si="17"/>
        <v>s]=;L</v>
      </c>
      <c r="F171" s="21" t="s">
        <v>233</v>
      </c>
      <c r="G171" s="21" t="s">
        <v>756</v>
      </c>
      <c r="H171" s="21" t="s">
        <v>905</v>
      </c>
      <c r="I171" s="21">
        <f t="shared" si="14"/>
        <v>164</v>
      </c>
      <c r="J171" s="21"/>
      <c r="K171" s="21" t="str">
        <f t="shared" si="15"/>
        <v>-</v>
      </c>
      <c r="L171" s="15">
        <f t="shared" si="16"/>
        <v>30.402739726027399</v>
      </c>
      <c r="O171" s="16">
        <v>0</v>
      </c>
      <c r="P171" s="16">
        <v>12</v>
      </c>
      <c r="Q171" s="16">
        <v>2</v>
      </c>
      <c r="R171" s="16">
        <v>0</v>
      </c>
      <c r="S171" s="21" t="s">
        <v>745</v>
      </c>
      <c r="T171" s="21"/>
      <c r="U171" s="21"/>
      <c r="V171" s="5">
        <v>55860</v>
      </c>
      <c r="W171" s="5">
        <v>66957</v>
      </c>
      <c r="Y171" s="5">
        <v>65533</v>
      </c>
      <c r="Z171" s="2" t="s">
        <v>2</v>
      </c>
      <c r="AA171" s="2">
        <v>5</v>
      </c>
      <c r="AB171" s="2">
        <v>2</v>
      </c>
      <c r="AC171" s="2">
        <v>3</v>
      </c>
      <c r="AD171" t="s">
        <v>242</v>
      </c>
      <c r="AE171" t="s">
        <v>254</v>
      </c>
      <c r="AF171" t="s">
        <v>245</v>
      </c>
    </row>
    <row r="172" spans="1:32" ht="18" x14ac:dyDescent="0.35">
      <c r="A172" s="6"/>
      <c r="C172" s="13" t="s">
        <v>518</v>
      </c>
      <c r="D172" s="13" t="str">
        <f t="shared" si="13"/>
        <v xml:space="preserve">lzj </v>
      </c>
      <c r="E172" s="13" t="str">
        <f t="shared" si="17"/>
        <v>s]=;L</v>
      </c>
      <c r="F172" s="21" t="s">
        <v>233</v>
      </c>
      <c r="G172" s="21" t="s">
        <v>756</v>
      </c>
      <c r="H172" s="21" t="s">
        <v>905</v>
      </c>
      <c r="I172" s="21">
        <f t="shared" si="14"/>
        <v>164</v>
      </c>
      <c r="J172" s="21"/>
      <c r="K172" s="21" t="str">
        <f t="shared" si="15"/>
        <v>-</v>
      </c>
      <c r="L172" s="15">
        <f t="shared" si="16"/>
        <v>53.024657534246572</v>
      </c>
      <c r="O172" s="16"/>
      <c r="P172" s="16"/>
      <c r="Q172" s="16"/>
      <c r="R172" s="16"/>
      <c r="S172" s="21"/>
      <c r="T172" s="21"/>
      <c r="U172" s="21"/>
      <c r="V172" s="5">
        <v>47603</v>
      </c>
      <c r="W172" s="5">
        <v>66957</v>
      </c>
      <c r="Y172" s="5"/>
    </row>
    <row r="173" spans="1:32" ht="18" x14ac:dyDescent="0.35">
      <c r="A173" s="6"/>
      <c r="C173" s="13" t="s">
        <v>519</v>
      </c>
      <c r="D173" s="13" t="str">
        <f t="shared" si="13"/>
        <v xml:space="preserve">cK;/f </v>
      </c>
      <c r="E173" s="13" t="str">
        <f t="shared" si="17"/>
        <v>s]=;L</v>
      </c>
      <c r="F173" s="21" t="s">
        <v>234</v>
      </c>
      <c r="G173" s="21" t="s">
        <v>756</v>
      </c>
      <c r="H173" s="21" t="s">
        <v>906</v>
      </c>
      <c r="I173" s="21">
        <f t="shared" si="14"/>
        <v>58</v>
      </c>
      <c r="J173" s="21"/>
      <c r="K173" s="21" t="str">
        <f t="shared" si="15"/>
        <v>-</v>
      </c>
      <c r="L173" s="15">
        <f t="shared" si="16"/>
        <v>53.30684931506849</v>
      </c>
      <c r="O173" s="16"/>
      <c r="P173" s="16"/>
      <c r="Q173" s="16"/>
      <c r="R173" s="16"/>
      <c r="S173" s="21"/>
      <c r="T173" s="21"/>
      <c r="U173" s="21"/>
      <c r="V173" s="5">
        <v>47500</v>
      </c>
      <c r="W173" s="5">
        <v>66957</v>
      </c>
      <c r="Y173" s="5"/>
    </row>
    <row r="174" spans="1:32" ht="18" x14ac:dyDescent="0.35">
      <c r="A174" s="6"/>
      <c r="C174" s="13" t="s">
        <v>520</v>
      </c>
      <c r="D174" s="13" t="str">
        <f t="shared" si="13"/>
        <v xml:space="preserve">gljgf </v>
      </c>
      <c r="E174" s="13" t="str">
        <f t="shared" si="17"/>
        <v>kf08]</v>
      </c>
      <c r="F174" s="21" t="s">
        <v>234</v>
      </c>
      <c r="G174" s="21" t="s">
        <v>756</v>
      </c>
      <c r="H174" s="21" t="s">
        <v>905</v>
      </c>
      <c r="I174" s="21">
        <f t="shared" si="14"/>
        <v>99</v>
      </c>
      <c r="J174" s="21"/>
      <c r="K174" s="21" t="str">
        <f t="shared" si="15"/>
        <v>-</v>
      </c>
      <c r="L174" s="15">
        <f t="shared" si="16"/>
        <v>31.4986301369863</v>
      </c>
      <c r="O174" s="16"/>
      <c r="P174" s="16"/>
      <c r="Q174" s="16"/>
      <c r="R174" s="16"/>
      <c r="S174" s="21"/>
      <c r="T174" s="21"/>
      <c r="U174" s="21"/>
      <c r="V174" s="5">
        <v>55460</v>
      </c>
      <c r="W174" s="5">
        <v>66957</v>
      </c>
      <c r="Y174" s="5"/>
    </row>
    <row r="175" spans="1:32" ht="18" x14ac:dyDescent="0.35">
      <c r="A175" s="6"/>
      <c r="C175" s="13" t="s">
        <v>521</v>
      </c>
      <c r="D175" s="13" t="str">
        <f t="shared" si="13"/>
        <v xml:space="preserve">aiff{ </v>
      </c>
      <c r="E175" s="13" t="str">
        <f t="shared" si="17"/>
        <v>s]=;L</v>
      </c>
      <c r="F175" s="21" t="s">
        <v>234</v>
      </c>
      <c r="G175" s="21" t="s">
        <v>757</v>
      </c>
      <c r="H175" s="21" t="s">
        <v>905</v>
      </c>
      <c r="I175" s="21">
        <f t="shared" si="14"/>
        <v>99</v>
      </c>
      <c r="J175" s="21"/>
      <c r="K175" s="21" t="str">
        <f t="shared" si="15"/>
        <v>-</v>
      </c>
      <c r="L175" s="15">
        <f t="shared" si="16"/>
        <v>29.197260273972603</v>
      </c>
      <c r="O175" s="16"/>
      <c r="P175" s="16"/>
      <c r="Q175" s="16"/>
      <c r="R175" s="16"/>
      <c r="S175" s="21"/>
      <c r="T175" s="21"/>
      <c r="U175" s="21"/>
      <c r="V175" s="5">
        <v>56300</v>
      </c>
      <c r="W175" s="5">
        <v>66957</v>
      </c>
      <c r="Y175" s="5"/>
    </row>
    <row r="176" spans="1:32" ht="18" x14ac:dyDescent="0.35">
      <c r="A176" s="6">
        <v>58</v>
      </c>
      <c r="B176" t="s">
        <v>123</v>
      </c>
      <c r="C176" s="13" t="s">
        <v>522</v>
      </c>
      <c r="D176" s="13" t="str">
        <f t="shared" si="13"/>
        <v xml:space="preserve">gf/fo0f </v>
      </c>
      <c r="E176" s="13" t="str">
        <f t="shared" si="17"/>
        <v>s]=;L</v>
      </c>
      <c r="F176" s="21" t="s">
        <v>233</v>
      </c>
      <c r="G176" s="21" t="s">
        <v>756</v>
      </c>
      <c r="H176" s="21" t="s">
        <v>905</v>
      </c>
      <c r="I176" s="21">
        <f t="shared" si="14"/>
        <v>164</v>
      </c>
      <c r="J176" s="21"/>
      <c r="K176" s="21" t="str">
        <f t="shared" si="15"/>
        <v>-</v>
      </c>
      <c r="L176" s="15">
        <f t="shared" si="16"/>
        <v>49.183561643835617</v>
      </c>
      <c r="O176" s="16">
        <v>0</v>
      </c>
      <c r="P176" s="16">
        <v>5</v>
      </c>
      <c r="Q176" s="16">
        <v>1</v>
      </c>
      <c r="R176" s="16">
        <v>0</v>
      </c>
      <c r="S176" s="21" t="s">
        <v>745</v>
      </c>
      <c r="T176" s="21"/>
      <c r="U176" s="21"/>
      <c r="V176" s="5">
        <v>49005</v>
      </c>
      <c r="W176" s="5">
        <v>66957</v>
      </c>
      <c r="Y176" s="5">
        <v>65527</v>
      </c>
      <c r="Z176" s="2" t="s">
        <v>2</v>
      </c>
      <c r="AA176" s="2">
        <v>5</v>
      </c>
      <c r="AB176" s="2">
        <v>3</v>
      </c>
      <c r="AC176" s="2">
        <v>2</v>
      </c>
      <c r="AD176" t="s">
        <v>242</v>
      </c>
      <c r="AE176" t="s">
        <v>254</v>
      </c>
      <c r="AF176" t="s">
        <v>245</v>
      </c>
    </row>
    <row r="177" spans="1:32" ht="18" x14ac:dyDescent="0.35">
      <c r="A177" s="6"/>
      <c r="C177" s="13" t="s">
        <v>523</v>
      </c>
      <c r="D177" s="13" t="str">
        <f t="shared" si="13"/>
        <v xml:space="preserve">lalgtf </v>
      </c>
      <c r="E177" s="13" t="str">
        <f t="shared" si="17"/>
        <v>v8\sf</v>
      </c>
      <c r="F177" s="21" t="s">
        <v>234</v>
      </c>
      <c r="G177" s="21" t="s">
        <v>756</v>
      </c>
      <c r="H177" s="21" t="s">
        <v>905</v>
      </c>
      <c r="I177" s="21">
        <f t="shared" si="14"/>
        <v>99</v>
      </c>
      <c r="J177" s="21"/>
      <c r="K177" s="21" t="str">
        <f t="shared" si="15"/>
        <v>-</v>
      </c>
      <c r="L177" s="15">
        <f t="shared" si="16"/>
        <v>35.868493150684934</v>
      </c>
      <c r="O177" s="16"/>
      <c r="P177" s="16"/>
      <c r="Q177" s="16"/>
      <c r="R177" s="16"/>
      <c r="S177" s="21"/>
      <c r="T177" s="21"/>
      <c r="U177" s="21"/>
      <c r="V177" s="5">
        <v>53865</v>
      </c>
      <c r="W177" s="5">
        <v>66957</v>
      </c>
      <c r="Y177" s="5"/>
    </row>
    <row r="178" spans="1:32" ht="18" x14ac:dyDescent="0.35">
      <c r="A178" s="6"/>
      <c r="C178" s="13" t="s">
        <v>524</v>
      </c>
      <c r="D178" s="13" t="str">
        <f t="shared" si="13"/>
        <v xml:space="preserve">c?0f </v>
      </c>
      <c r="E178" s="13" t="str">
        <f t="shared" si="17"/>
        <v>s]=;L</v>
      </c>
      <c r="F178" s="21" t="s">
        <v>233</v>
      </c>
      <c r="G178" s="21" t="s">
        <v>757</v>
      </c>
      <c r="H178" s="21" t="s">
        <v>905</v>
      </c>
      <c r="I178" s="21">
        <f t="shared" si="14"/>
        <v>164</v>
      </c>
      <c r="J178" s="21"/>
      <c r="K178" s="21" t="str">
        <f t="shared" si="15"/>
        <v>-</v>
      </c>
      <c r="L178" s="15">
        <f t="shared" si="16"/>
        <v>30.602739726027398</v>
      </c>
      <c r="O178" s="16"/>
      <c r="P178" s="16"/>
      <c r="Q178" s="16"/>
      <c r="R178" s="16"/>
      <c r="S178" s="21"/>
      <c r="T178" s="21"/>
      <c r="U178" s="21"/>
      <c r="V178" s="5">
        <v>55787</v>
      </c>
      <c r="W178" s="5">
        <v>66957</v>
      </c>
      <c r="Y178" s="5"/>
    </row>
    <row r="179" spans="1:32" ht="18" x14ac:dyDescent="0.35">
      <c r="A179" s="6"/>
      <c r="C179" s="13" t="s">
        <v>525</v>
      </c>
      <c r="D179" s="13" t="str">
        <f t="shared" si="13"/>
        <v xml:space="preserve">c?0ff </v>
      </c>
      <c r="E179" s="13" t="str">
        <f t="shared" si="17"/>
        <v>s]=;L</v>
      </c>
      <c r="F179" s="21" t="s">
        <v>234</v>
      </c>
      <c r="G179" s="21" t="s">
        <v>757</v>
      </c>
      <c r="H179" s="21" t="s">
        <v>905</v>
      </c>
      <c r="I179" s="21">
        <f t="shared" si="14"/>
        <v>99</v>
      </c>
      <c r="J179" s="21"/>
      <c r="K179" s="21" t="str">
        <f t="shared" si="15"/>
        <v>-</v>
      </c>
      <c r="L179" s="15">
        <f t="shared" si="16"/>
        <v>21.139726027397259</v>
      </c>
      <c r="O179" s="16"/>
      <c r="P179" s="16"/>
      <c r="Q179" s="16"/>
      <c r="R179" s="16"/>
      <c r="S179" s="21"/>
      <c r="T179" s="21"/>
      <c r="U179" s="21"/>
      <c r="V179" s="5">
        <v>59241</v>
      </c>
      <c r="W179" s="5">
        <v>66957</v>
      </c>
      <c r="Y179" s="5"/>
    </row>
    <row r="180" spans="1:32" ht="18" x14ac:dyDescent="0.35">
      <c r="A180" s="6"/>
      <c r="C180" s="13" t="s">
        <v>526</v>
      </c>
      <c r="D180" s="13" t="str">
        <f t="shared" si="13"/>
        <v xml:space="preserve">ljefg </v>
      </c>
      <c r="E180" s="13" t="str">
        <f t="shared" si="17"/>
        <v>s]=;L</v>
      </c>
      <c r="F180" s="21" t="s">
        <v>233</v>
      </c>
      <c r="G180" s="21" t="s">
        <v>757</v>
      </c>
      <c r="H180" s="21" t="s">
        <v>905</v>
      </c>
      <c r="I180" s="21">
        <f t="shared" si="14"/>
        <v>164</v>
      </c>
      <c r="J180" s="21"/>
      <c r="K180" s="21" t="str">
        <f t="shared" si="15"/>
        <v>-</v>
      </c>
      <c r="L180" s="15">
        <f t="shared" si="16"/>
        <v>6.7260273972602738</v>
      </c>
      <c r="O180" s="16"/>
      <c r="P180" s="16"/>
      <c r="Q180" s="16"/>
      <c r="R180" s="16"/>
      <c r="S180" s="21"/>
      <c r="T180" s="21"/>
      <c r="U180" s="21"/>
      <c r="V180" s="5">
        <v>64502</v>
      </c>
      <c r="W180" s="5">
        <v>66957</v>
      </c>
      <c r="Y180" s="5"/>
    </row>
    <row r="181" spans="1:32" ht="18" x14ac:dyDescent="0.35">
      <c r="A181" s="6">
        <v>60</v>
      </c>
      <c r="B181" t="s">
        <v>125</v>
      </c>
      <c r="C181" s="13" t="s">
        <v>529</v>
      </c>
      <c r="D181" s="13" t="str">
        <f t="shared" si="13"/>
        <v xml:space="preserve">gGb </v>
      </c>
      <c r="E181" s="13" t="str">
        <f t="shared" si="17"/>
        <v>k|;fb</v>
      </c>
      <c r="F181" s="21" t="s">
        <v>233</v>
      </c>
      <c r="G181" s="21" t="s">
        <v>756</v>
      </c>
      <c r="H181" s="21" t="s">
        <v>906</v>
      </c>
      <c r="I181" s="21">
        <f t="shared" si="14"/>
        <v>11</v>
      </c>
      <c r="J181" s="21"/>
      <c r="K181" s="21" t="str">
        <f t="shared" si="15"/>
        <v>-</v>
      </c>
      <c r="L181" s="15">
        <f t="shared" si="16"/>
        <v>64.68767123287671</v>
      </c>
      <c r="O181" s="16">
        <v>0</v>
      </c>
      <c r="P181" s="16">
        <v>8</v>
      </c>
      <c r="Q181" s="16">
        <v>0</v>
      </c>
      <c r="R181" s="16">
        <v>3</v>
      </c>
      <c r="S181" s="21" t="s">
        <v>745</v>
      </c>
      <c r="T181" s="21"/>
      <c r="U181" s="21"/>
      <c r="V181" s="5">
        <v>43346</v>
      </c>
      <c r="W181" s="5">
        <v>66957</v>
      </c>
      <c r="Y181" s="5">
        <v>65490</v>
      </c>
      <c r="Z181" s="2" t="s">
        <v>2</v>
      </c>
      <c r="AA181" s="2">
        <v>4</v>
      </c>
      <c r="AB181" s="2">
        <v>3</v>
      </c>
      <c r="AC181" s="2">
        <v>1</v>
      </c>
      <c r="AD181" t="s">
        <v>242</v>
      </c>
      <c r="AE181" t="s">
        <v>296</v>
      </c>
      <c r="AF181" t="s">
        <v>245</v>
      </c>
    </row>
    <row r="182" spans="1:32" ht="18" x14ac:dyDescent="0.35">
      <c r="A182" s="6"/>
      <c r="C182" s="13" t="s">
        <v>530</v>
      </c>
      <c r="D182" s="13" t="str">
        <f t="shared" si="13"/>
        <v xml:space="preserve">;ltif </v>
      </c>
      <c r="E182" s="13" t="str">
        <f t="shared" si="17"/>
        <v>k|;fb</v>
      </c>
      <c r="F182" s="21" t="s">
        <v>233</v>
      </c>
      <c r="G182" s="21" t="s">
        <v>756</v>
      </c>
      <c r="H182" s="21" t="s">
        <v>905</v>
      </c>
      <c r="I182" s="21">
        <f t="shared" si="14"/>
        <v>164</v>
      </c>
      <c r="J182" s="21"/>
      <c r="K182" s="21" t="str">
        <f t="shared" si="15"/>
        <v>-</v>
      </c>
      <c r="L182" s="15">
        <f t="shared" si="16"/>
        <v>45.564383561643837</v>
      </c>
      <c r="O182" s="16"/>
      <c r="P182" s="16"/>
      <c r="Q182" s="16"/>
      <c r="R182" s="16"/>
      <c r="S182" s="21"/>
      <c r="T182" s="21"/>
      <c r="U182" s="21"/>
      <c r="V182" s="5">
        <v>50326</v>
      </c>
      <c r="W182" s="5">
        <v>66957</v>
      </c>
      <c r="Y182" s="5"/>
    </row>
    <row r="183" spans="1:32" ht="18" x14ac:dyDescent="0.35">
      <c r="A183" s="6"/>
      <c r="C183" s="13" t="s">
        <v>531</v>
      </c>
      <c r="D183" s="13" t="str">
        <f t="shared" si="13"/>
        <v xml:space="preserve">cflzif </v>
      </c>
      <c r="E183" s="13" t="str">
        <f t="shared" si="17"/>
        <v>u'Ktf</v>
      </c>
      <c r="F183" s="21" t="s">
        <v>233</v>
      </c>
      <c r="G183" s="21" t="s">
        <v>757</v>
      </c>
      <c r="H183" s="21" t="s">
        <v>905</v>
      </c>
      <c r="I183" s="21">
        <f t="shared" si="14"/>
        <v>164</v>
      </c>
      <c r="J183" s="21"/>
      <c r="K183" s="21" t="str">
        <f t="shared" si="15"/>
        <v>-</v>
      </c>
      <c r="L183" s="15">
        <f t="shared" si="16"/>
        <v>34.087671232876716</v>
      </c>
      <c r="O183" s="16"/>
      <c r="P183" s="16"/>
      <c r="Q183" s="16"/>
      <c r="R183" s="16"/>
      <c r="S183" s="21"/>
      <c r="T183" s="21"/>
      <c r="U183" s="21"/>
      <c r="V183" s="5">
        <v>54515</v>
      </c>
      <c r="W183" s="5">
        <v>66957</v>
      </c>
      <c r="Y183" s="5"/>
    </row>
    <row r="184" spans="1:32" ht="18" x14ac:dyDescent="0.35">
      <c r="A184" s="6"/>
      <c r="C184" s="13" t="s">
        <v>532</v>
      </c>
      <c r="D184" s="13" t="str">
        <f t="shared" si="13"/>
        <v xml:space="preserve">k|ltdf </v>
      </c>
      <c r="E184" s="13" t="str">
        <f t="shared" si="17"/>
        <v>tfdf+u</v>
      </c>
      <c r="F184" s="21" t="s">
        <v>234</v>
      </c>
      <c r="G184" s="21" t="s">
        <v>756</v>
      </c>
      <c r="H184" s="21" t="s">
        <v>905</v>
      </c>
      <c r="I184" s="21">
        <f t="shared" si="14"/>
        <v>99</v>
      </c>
      <c r="J184" s="21"/>
      <c r="K184" s="21" t="str">
        <f t="shared" si="15"/>
        <v>-</v>
      </c>
      <c r="L184" s="15">
        <f t="shared" si="16"/>
        <v>32.646575342465752</v>
      </c>
      <c r="O184" s="16"/>
      <c r="P184" s="16"/>
      <c r="Q184" s="16"/>
      <c r="R184" s="16"/>
      <c r="S184" s="21"/>
      <c r="T184" s="21"/>
      <c r="U184" s="21"/>
      <c r="V184" s="5">
        <v>55041</v>
      </c>
      <c r="W184" s="5">
        <v>66957</v>
      </c>
      <c r="Y184" s="5"/>
    </row>
    <row r="185" spans="1:32" ht="18" x14ac:dyDescent="0.35">
      <c r="A185" s="6">
        <v>61</v>
      </c>
      <c r="B185" t="s">
        <v>126</v>
      </c>
      <c r="C185" s="13" t="s">
        <v>533</v>
      </c>
      <c r="D185" s="13" t="str">
        <f t="shared" si="13"/>
        <v xml:space="preserve">ld¶f/fd </v>
      </c>
      <c r="E185" s="13" t="str">
        <f t="shared" si="17"/>
        <v>v8\sf</v>
      </c>
      <c r="F185" s="21" t="s">
        <v>233</v>
      </c>
      <c r="G185" s="21" t="s">
        <v>756</v>
      </c>
      <c r="H185" s="21" t="s">
        <v>905</v>
      </c>
      <c r="I185" s="21">
        <f t="shared" si="14"/>
        <v>164</v>
      </c>
      <c r="J185" s="21"/>
      <c r="K185" s="21" t="str">
        <f t="shared" si="15"/>
        <v>-</v>
      </c>
      <c r="L185" s="15">
        <f t="shared" si="16"/>
        <v>44.005479452054793</v>
      </c>
      <c r="O185" s="16">
        <v>1</v>
      </c>
      <c r="P185" s="16">
        <v>4</v>
      </c>
      <c r="Q185" s="16">
        <v>0</v>
      </c>
      <c r="R185" s="16">
        <v>0</v>
      </c>
      <c r="S185" s="21" t="s">
        <v>910</v>
      </c>
      <c r="T185" s="21"/>
      <c r="U185" s="21"/>
      <c r="V185" s="5">
        <v>50895</v>
      </c>
      <c r="W185" s="5">
        <v>66957</v>
      </c>
      <c r="Y185" s="5">
        <v>65479</v>
      </c>
      <c r="Z185" s="2" t="s">
        <v>2</v>
      </c>
      <c r="AA185" s="2">
        <v>4</v>
      </c>
      <c r="AB185" s="2">
        <v>3</v>
      </c>
      <c r="AC185" s="2">
        <v>1</v>
      </c>
      <c r="AD185" t="s">
        <v>242</v>
      </c>
      <c r="AE185" t="s">
        <v>294</v>
      </c>
      <c r="AF185" t="s">
        <v>245</v>
      </c>
    </row>
    <row r="186" spans="1:32" ht="18" x14ac:dyDescent="0.35">
      <c r="A186" s="6"/>
      <c r="C186" s="13" t="s">
        <v>534</v>
      </c>
      <c r="D186" s="13" t="str">
        <f t="shared" si="13"/>
        <v xml:space="preserve">cg' </v>
      </c>
      <c r="E186" s="13" t="str">
        <f t="shared" si="17"/>
        <v>/f]Ssf</v>
      </c>
      <c r="F186" s="21" t="s">
        <v>234</v>
      </c>
      <c r="G186" s="21" t="s">
        <v>757</v>
      </c>
      <c r="H186" s="21" t="s">
        <v>905</v>
      </c>
      <c r="I186" s="21">
        <f t="shared" si="14"/>
        <v>99</v>
      </c>
      <c r="J186" s="21"/>
      <c r="K186" s="21" t="str">
        <f t="shared" si="15"/>
        <v>-</v>
      </c>
      <c r="L186" s="15">
        <f t="shared" si="16"/>
        <v>22.80821917808219</v>
      </c>
      <c r="O186" s="16"/>
      <c r="P186" s="16"/>
      <c r="Q186" s="16"/>
      <c r="R186" s="16"/>
      <c r="S186" s="21"/>
      <c r="T186" s="21"/>
      <c r="U186" s="21"/>
      <c r="V186" s="5">
        <v>58632</v>
      </c>
      <c r="W186" s="5">
        <v>66957</v>
      </c>
      <c r="Y186" s="5"/>
    </row>
    <row r="187" spans="1:32" ht="18" x14ac:dyDescent="0.35">
      <c r="A187" s="6"/>
      <c r="C187" s="13" t="s">
        <v>535</v>
      </c>
      <c r="D187" s="13" t="str">
        <f t="shared" si="13"/>
        <v xml:space="preserve">slkn </v>
      </c>
      <c r="E187" s="13" t="str">
        <f t="shared" si="17"/>
        <v>v8\sf</v>
      </c>
      <c r="F187" s="21" t="s">
        <v>233</v>
      </c>
      <c r="G187" s="21" t="s">
        <v>757</v>
      </c>
      <c r="H187" s="21" t="s">
        <v>905</v>
      </c>
      <c r="I187" s="21">
        <f t="shared" si="14"/>
        <v>164</v>
      </c>
      <c r="J187" s="21"/>
      <c r="K187" s="21" t="str">
        <f t="shared" si="15"/>
        <v>-</v>
      </c>
      <c r="L187" s="15">
        <f t="shared" si="16"/>
        <v>20.6</v>
      </c>
      <c r="O187" s="16"/>
      <c r="P187" s="16"/>
      <c r="Q187" s="16"/>
      <c r="R187" s="16"/>
      <c r="S187" s="21"/>
      <c r="T187" s="21"/>
      <c r="U187" s="21"/>
      <c r="V187" s="5">
        <v>59438</v>
      </c>
      <c r="W187" s="5">
        <v>66957</v>
      </c>
      <c r="Y187" s="5"/>
    </row>
    <row r="188" spans="1:32" ht="18" x14ac:dyDescent="0.35">
      <c r="A188" s="6"/>
      <c r="C188" s="13" t="s">
        <v>536</v>
      </c>
      <c r="D188" s="13" t="str">
        <f t="shared" si="13"/>
        <v xml:space="preserve">;'hn </v>
      </c>
      <c r="E188" s="13" t="str">
        <f t="shared" si="17"/>
        <v>v8\sf</v>
      </c>
      <c r="F188" s="21" t="s">
        <v>233</v>
      </c>
      <c r="G188" s="21" t="s">
        <v>756</v>
      </c>
      <c r="H188" s="21" t="s">
        <v>905</v>
      </c>
      <c r="I188" s="21">
        <f t="shared" si="14"/>
        <v>164</v>
      </c>
      <c r="J188" s="21"/>
      <c r="K188" s="21" t="str">
        <f t="shared" si="15"/>
        <v>-</v>
      </c>
      <c r="L188" s="15">
        <f t="shared" si="16"/>
        <v>46.893150684931506</v>
      </c>
      <c r="O188" s="16"/>
      <c r="P188" s="16"/>
      <c r="Q188" s="16"/>
      <c r="R188" s="16"/>
      <c r="S188" s="21"/>
      <c r="T188" s="21"/>
      <c r="U188" s="21"/>
      <c r="V188" s="5">
        <v>49841</v>
      </c>
      <c r="W188" s="5">
        <v>66957</v>
      </c>
      <c r="Y188" s="5"/>
    </row>
    <row r="189" spans="1:32" ht="18" x14ac:dyDescent="0.35">
      <c r="A189" s="6">
        <v>62</v>
      </c>
      <c r="B189" t="s">
        <v>127</v>
      </c>
      <c r="C189" s="13" t="s">
        <v>537</v>
      </c>
      <c r="D189" s="13" t="str">
        <f t="shared" si="13"/>
        <v xml:space="preserve">gf/fo0f </v>
      </c>
      <c r="E189" s="13" t="str">
        <f t="shared" si="17"/>
        <v>v8\sf</v>
      </c>
      <c r="F189" s="21" t="s">
        <v>233</v>
      </c>
      <c r="G189" s="21" t="s">
        <v>756</v>
      </c>
      <c r="H189" s="21" t="s">
        <v>905</v>
      </c>
      <c r="I189" s="21">
        <f t="shared" si="14"/>
        <v>164</v>
      </c>
      <c r="J189" s="21"/>
      <c r="K189" s="21" t="str">
        <f t="shared" si="15"/>
        <v>-</v>
      </c>
      <c r="L189" s="15">
        <f t="shared" si="16"/>
        <v>44.205479452054796</v>
      </c>
      <c r="O189" s="16">
        <v>1</v>
      </c>
      <c r="P189" s="16">
        <v>13</v>
      </c>
      <c r="Q189" s="16">
        <v>0</v>
      </c>
      <c r="R189" s="16">
        <v>0</v>
      </c>
      <c r="S189" s="21" t="s">
        <v>910</v>
      </c>
      <c r="T189" s="21"/>
      <c r="U189" s="21"/>
      <c r="V189" s="5">
        <v>50822</v>
      </c>
      <c r="W189" s="5">
        <v>66957</v>
      </c>
      <c r="Y189" s="5">
        <v>65478</v>
      </c>
      <c r="Z189" s="2" t="s">
        <v>2</v>
      </c>
      <c r="AA189" s="2">
        <v>4</v>
      </c>
      <c r="AB189" s="2">
        <v>3</v>
      </c>
      <c r="AC189" s="2">
        <v>1</v>
      </c>
      <c r="AD189" t="s">
        <v>242</v>
      </c>
      <c r="AE189" t="s">
        <v>294</v>
      </c>
      <c r="AF189" t="s">
        <v>245</v>
      </c>
    </row>
    <row r="190" spans="1:32" ht="18" x14ac:dyDescent="0.35">
      <c r="A190" s="6"/>
      <c r="C190" s="13" t="s">
        <v>538</v>
      </c>
      <c r="D190" s="13" t="str">
        <f t="shared" si="13"/>
        <v xml:space="preserve">;fg' </v>
      </c>
      <c r="E190" s="13" t="str">
        <f t="shared" si="17"/>
        <v>v8\sf</v>
      </c>
      <c r="F190" s="21" t="s">
        <v>234</v>
      </c>
      <c r="G190" s="21" t="s">
        <v>756</v>
      </c>
      <c r="H190" s="21" t="s">
        <v>905</v>
      </c>
      <c r="I190" s="21">
        <f t="shared" si="14"/>
        <v>99</v>
      </c>
      <c r="J190" s="21"/>
      <c r="K190" s="21" t="str">
        <f t="shared" si="15"/>
        <v>-</v>
      </c>
      <c r="L190" s="15">
        <f t="shared" si="16"/>
        <v>48.18904109589041</v>
      </c>
      <c r="O190" s="16"/>
      <c r="P190" s="16"/>
      <c r="Q190" s="16"/>
      <c r="R190" s="16"/>
      <c r="S190" s="21"/>
      <c r="T190" s="21"/>
      <c r="U190" s="21"/>
      <c r="V190" s="5">
        <v>49368</v>
      </c>
      <c r="W190" s="5">
        <v>66957</v>
      </c>
      <c r="Y190" s="5"/>
    </row>
    <row r="191" spans="1:32" ht="18" x14ac:dyDescent="0.35">
      <c r="A191" s="6"/>
      <c r="C191" s="13" t="s">
        <v>539</v>
      </c>
      <c r="D191" s="13" t="str">
        <f t="shared" si="13"/>
        <v xml:space="preserve">;fu/ </v>
      </c>
      <c r="E191" s="13" t="str">
        <f t="shared" si="17"/>
        <v>v8\sf</v>
      </c>
      <c r="F191" s="21" t="s">
        <v>233</v>
      </c>
      <c r="G191" s="21" t="s">
        <v>757</v>
      </c>
      <c r="H191" s="21" t="s">
        <v>905</v>
      </c>
      <c r="I191" s="21">
        <f t="shared" si="14"/>
        <v>164</v>
      </c>
      <c r="J191" s="21"/>
      <c r="K191" s="21" t="str">
        <f t="shared" si="15"/>
        <v>-</v>
      </c>
      <c r="L191" s="15">
        <f t="shared" si="16"/>
        <v>27.627397260273973</v>
      </c>
      <c r="O191" s="16"/>
      <c r="P191" s="16"/>
      <c r="Q191" s="16"/>
      <c r="R191" s="16"/>
      <c r="S191" s="21"/>
      <c r="T191" s="21"/>
      <c r="U191" s="21"/>
      <c r="V191" s="5">
        <v>56873</v>
      </c>
      <c r="W191" s="5">
        <v>66957</v>
      </c>
      <c r="Y191" s="5"/>
    </row>
    <row r="192" spans="1:32" ht="18" x14ac:dyDescent="0.35">
      <c r="A192" s="6"/>
      <c r="C192" s="13" t="s">
        <v>540</v>
      </c>
      <c r="D192" s="13" t="str">
        <f t="shared" si="13"/>
        <v xml:space="preserve">;fhg </v>
      </c>
      <c r="E192" s="13" t="str">
        <f t="shared" si="17"/>
        <v>v8\sf</v>
      </c>
      <c r="F192" s="21" t="s">
        <v>233</v>
      </c>
      <c r="G192" s="21" t="s">
        <v>757</v>
      </c>
      <c r="H192" s="21" t="s">
        <v>907</v>
      </c>
      <c r="I192" s="21">
        <f t="shared" si="14"/>
        <v>164</v>
      </c>
      <c r="J192" s="21"/>
      <c r="K192" s="21" t="str">
        <f t="shared" si="15"/>
        <v>-</v>
      </c>
      <c r="L192" s="15">
        <f t="shared" si="16"/>
        <v>21.238356164383561</v>
      </c>
      <c r="O192" s="16"/>
      <c r="P192" s="16"/>
      <c r="Q192" s="16"/>
      <c r="R192" s="16"/>
      <c r="S192" s="21"/>
      <c r="T192" s="21"/>
      <c r="U192" s="21"/>
      <c r="V192" s="5">
        <v>59205</v>
      </c>
      <c r="W192" s="5">
        <v>66957</v>
      </c>
      <c r="Y192" s="5"/>
    </row>
    <row r="193" spans="1:32" ht="18" x14ac:dyDescent="0.35">
      <c r="A193" s="6">
        <v>63</v>
      </c>
      <c r="B193" t="s">
        <v>128</v>
      </c>
      <c r="C193" s="13" t="s">
        <v>541</v>
      </c>
      <c r="D193" s="13" t="str">
        <f t="shared" si="13"/>
        <v xml:space="preserve">?b| </v>
      </c>
      <c r="E193" s="13" t="str">
        <f t="shared" si="17"/>
        <v>sfsL{</v>
      </c>
      <c r="F193" s="21" t="s">
        <v>233</v>
      </c>
      <c r="G193" s="21" t="s">
        <v>756</v>
      </c>
      <c r="H193" s="21" t="s">
        <v>906</v>
      </c>
      <c r="I193" s="21">
        <f t="shared" si="14"/>
        <v>11</v>
      </c>
      <c r="J193" s="21"/>
      <c r="K193" s="21" t="str">
        <f t="shared" si="15"/>
        <v>-</v>
      </c>
      <c r="L193" s="15">
        <f t="shared" si="16"/>
        <v>57.484931506849314</v>
      </c>
      <c r="O193" s="16">
        <v>6</v>
      </c>
      <c r="P193" s="16">
        <v>12</v>
      </c>
      <c r="Q193" s="16">
        <v>3</v>
      </c>
      <c r="R193" s="16">
        <v>2</v>
      </c>
      <c r="S193" s="21" t="s">
        <v>910</v>
      </c>
      <c r="T193" s="21"/>
      <c r="U193" s="21"/>
      <c r="V193" s="5">
        <v>45975</v>
      </c>
      <c r="W193" s="5">
        <v>66957</v>
      </c>
      <c r="Y193" s="5">
        <v>65466</v>
      </c>
      <c r="Z193" s="2" t="s">
        <v>2</v>
      </c>
      <c r="AA193" s="2">
        <v>4</v>
      </c>
      <c r="AB193" s="2">
        <v>1</v>
      </c>
      <c r="AC193" s="2">
        <v>3</v>
      </c>
      <c r="AD193" t="s">
        <v>242</v>
      </c>
      <c r="AE193" t="s">
        <v>311</v>
      </c>
      <c r="AF193" t="s">
        <v>245</v>
      </c>
    </row>
    <row r="194" spans="1:32" ht="18" x14ac:dyDescent="0.35">
      <c r="A194" s="6"/>
      <c r="C194" s="13" t="s">
        <v>542</v>
      </c>
      <c r="D194" s="13" t="str">
        <f t="shared" si="13"/>
        <v xml:space="preserve">rGb| </v>
      </c>
      <c r="E194" s="13" t="str">
        <f t="shared" si="17"/>
        <v>sfsL{</v>
      </c>
      <c r="F194" s="21" t="s">
        <v>234</v>
      </c>
      <c r="G194" s="21" t="s">
        <v>756</v>
      </c>
      <c r="H194" s="21" t="s">
        <v>905</v>
      </c>
      <c r="I194" s="21">
        <f t="shared" si="14"/>
        <v>99</v>
      </c>
      <c r="J194" s="21"/>
      <c r="K194" s="21" t="str">
        <f t="shared" si="15"/>
        <v>-</v>
      </c>
      <c r="L194" s="15">
        <f t="shared" si="16"/>
        <v>42.726027397260275</v>
      </c>
      <c r="O194" s="16"/>
      <c r="P194" s="16"/>
      <c r="Q194" s="16"/>
      <c r="R194" s="16"/>
      <c r="S194" s="21"/>
      <c r="T194" s="21"/>
      <c r="U194" s="21"/>
      <c r="V194" s="5">
        <v>51362</v>
      </c>
      <c r="W194" s="5">
        <v>66957</v>
      </c>
      <c r="Y194" s="5"/>
    </row>
    <row r="195" spans="1:32" ht="18" x14ac:dyDescent="0.35">
      <c r="A195" s="6"/>
      <c r="C195" s="13" t="s">
        <v>543</v>
      </c>
      <c r="D195" s="13" t="str">
        <f t="shared" si="13"/>
        <v xml:space="preserve">d]; </v>
      </c>
      <c r="E195" s="13" t="str">
        <f t="shared" si="17"/>
        <v>sfsL{</v>
      </c>
      <c r="F195" s="21" t="s">
        <v>234</v>
      </c>
      <c r="G195" s="21" t="s">
        <v>757</v>
      </c>
      <c r="H195" s="21" t="s">
        <v>905</v>
      </c>
      <c r="I195" s="21">
        <f t="shared" si="14"/>
        <v>99</v>
      </c>
      <c r="J195" s="21"/>
      <c r="K195" s="21" t="str">
        <f t="shared" si="15"/>
        <v>-</v>
      </c>
      <c r="L195" s="15">
        <f t="shared" si="16"/>
        <v>21.92876712328767</v>
      </c>
      <c r="O195" s="16"/>
      <c r="P195" s="16"/>
      <c r="Q195" s="16"/>
      <c r="R195" s="16"/>
      <c r="S195" s="21"/>
      <c r="T195" s="21"/>
      <c r="U195" s="21"/>
      <c r="V195" s="5">
        <v>58953</v>
      </c>
      <c r="W195" s="5">
        <v>66957</v>
      </c>
      <c r="Y195" s="5"/>
    </row>
    <row r="196" spans="1:32" ht="18" x14ac:dyDescent="0.35">
      <c r="A196" s="6"/>
      <c r="C196" s="13" t="s">
        <v>544</v>
      </c>
      <c r="D196" s="13" t="str">
        <f t="shared" ref="D196:D259" si="18">LEFT(C196,(FIND(" ",C196)))</f>
        <v xml:space="preserve">l6sf </v>
      </c>
      <c r="E196" s="13" t="str">
        <f t="shared" si="17"/>
        <v>sfsL{</v>
      </c>
      <c r="F196" s="21" t="s">
        <v>234</v>
      </c>
      <c r="G196" s="21" t="s">
        <v>757</v>
      </c>
      <c r="H196" s="21" t="s">
        <v>905</v>
      </c>
      <c r="I196" s="21">
        <f t="shared" ref="I196:I259" si="19">IF(L196&gt;=5,(COUNTIFS($H$4:$H$335,H196,$F$4:$F$335,F196)))</f>
        <v>99</v>
      </c>
      <c r="J196" s="21"/>
      <c r="K196" s="21" t="str">
        <f t="shared" ref="K196:K259" si="20">IF(L196&gt;=5,"-")</f>
        <v>-</v>
      </c>
      <c r="L196" s="15">
        <f t="shared" ref="L196:L259" si="21">(W196-V196)/365</f>
        <v>19.073972602739726</v>
      </c>
      <c r="O196" s="16"/>
      <c r="P196" s="16"/>
      <c r="Q196" s="16"/>
      <c r="R196" s="16"/>
      <c r="S196" s="21"/>
      <c r="T196" s="21"/>
      <c r="U196" s="21"/>
      <c r="V196" s="5">
        <v>59995</v>
      </c>
      <c r="W196" s="5">
        <v>66957</v>
      </c>
      <c r="Y196" s="5"/>
    </row>
    <row r="197" spans="1:32" ht="18" x14ac:dyDescent="0.35">
      <c r="A197" s="6">
        <v>64</v>
      </c>
      <c r="B197" t="s">
        <v>129</v>
      </c>
      <c r="C197" s="13" t="s">
        <v>545</v>
      </c>
      <c r="D197" s="13" t="str">
        <f t="shared" si="18"/>
        <v xml:space="preserve">cf]d </v>
      </c>
      <c r="E197" s="13" t="str">
        <f t="shared" si="17"/>
        <v>e08f/L</v>
      </c>
      <c r="F197" s="21" t="s">
        <v>233</v>
      </c>
      <c r="G197" s="21" t="s">
        <v>756</v>
      </c>
      <c r="H197" s="21" t="s">
        <v>905</v>
      </c>
      <c r="I197" s="21">
        <f t="shared" si="19"/>
        <v>164</v>
      </c>
      <c r="J197" s="21"/>
      <c r="K197" s="21" t="str">
        <f t="shared" si="20"/>
        <v>-</v>
      </c>
      <c r="L197" s="15">
        <f t="shared" si="21"/>
        <v>62.42739726027397</v>
      </c>
      <c r="O197" s="16">
        <v>0</v>
      </c>
      <c r="P197" s="16">
        <v>4</v>
      </c>
      <c r="Q197" s="16">
        <v>1</v>
      </c>
      <c r="R197" s="16">
        <v>0</v>
      </c>
      <c r="S197" s="21" t="s">
        <v>745</v>
      </c>
      <c r="T197" s="21"/>
      <c r="U197" s="21"/>
      <c r="V197" s="5">
        <v>44171</v>
      </c>
      <c r="W197" s="5">
        <v>66957</v>
      </c>
      <c r="Y197" s="5">
        <v>65447</v>
      </c>
      <c r="Z197" s="2" t="s">
        <v>2</v>
      </c>
      <c r="AA197" s="2">
        <v>5</v>
      </c>
      <c r="AB197" s="2">
        <v>3</v>
      </c>
      <c r="AC197" s="2">
        <v>2</v>
      </c>
      <c r="AD197" t="s">
        <v>239</v>
      </c>
      <c r="AE197" t="s">
        <v>300</v>
      </c>
      <c r="AF197" t="s">
        <v>245</v>
      </c>
    </row>
    <row r="198" spans="1:32" ht="18" x14ac:dyDescent="0.35">
      <c r="A198" s="6"/>
      <c r="C198" s="13" t="s">
        <v>546</v>
      </c>
      <c r="D198" s="13" t="str">
        <f t="shared" si="18"/>
        <v xml:space="preserve">nLnf </v>
      </c>
      <c r="E198" s="13" t="str">
        <f t="shared" si="17"/>
        <v>e08f/L</v>
      </c>
      <c r="F198" s="21" t="s">
        <v>234</v>
      </c>
      <c r="G198" s="21" t="s">
        <v>756</v>
      </c>
      <c r="H198" s="21" t="s">
        <v>906</v>
      </c>
      <c r="I198" s="21">
        <f t="shared" si="19"/>
        <v>58</v>
      </c>
      <c r="J198" s="21"/>
      <c r="K198" s="21" t="str">
        <f t="shared" si="20"/>
        <v>-</v>
      </c>
      <c r="L198" s="15">
        <f t="shared" si="21"/>
        <v>53.361643835616441</v>
      </c>
      <c r="O198" s="16"/>
      <c r="P198" s="16"/>
      <c r="Q198" s="16"/>
      <c r="R198" s="16"/>
      <c r="S198" s="21"/>
      <c r="T198" s="21"/>
      <c r="U198" s="21"/>
      <c r="V198" s="5">
        <v>47480</v>
      </c>
      <c r="W198" s="5">
        <v>66957</v>
      </c>
      <c r="Y198" s="5"/>
    </row>
    <row r="199" spans="1:32" ht="18" x14ac:dyDescent="0.35">
      <c r="A199" s="6"/>
      <c r="C199" s="13" t="s">
        <v>547</v>
      </c>
      <c r="D199" s="13" t="str">
        <f t="shared" si="18"/>
        <v xml:space="preserve">s]zj </v>
      </c>
      <c r="E199" s="13" t="str">
        <f t="shared" si="17"/>
        <v>e08f/L</v>
      </c>
      <c r="F199" s="21" t="s">
        <v>233</v>
      </c>
      <c r="G199" s="21" t="s">
        <v>756</v>
      </c>
      <c r="H199" s="21" t="s">
        <v>905</v>
      </c>
      <c r="I199" s="21">
        <f t="shared" si="19"/>
        <v>164</v>
      </c>
      <c r="J199" s="21"/>
      <c r="K199" s="21" t="str">
        <f t="shared" si="20"/>
        <v>-</v>
      </c>
      <c r="L199" s="15">
        <f t="shared" si="21"/>
        <v>35.005479452054793</v>
      </c>
      <c r="O199" s="16"/>
      <c r="P199" s="16"/>
      <c r="Q199" s="16"/>
      <c r="R199" s="16"/>
      <c r="S199" s="21"/>
      <c r="T199" s="21"/>
      <c r="U199" s="21"/>
      <c r="V199" s="5">
        <v>54180</v>
      </c>
      <c r="W199" s="5">
        <v>66957</v>
      </c>
      <c r="Y199" s="5"/>
    </row>
    <row r="200" spans="1:32" ht="18" x14ac:dyDescent="0.35">
      <c r="A200" s="6"/>
      <c r="C200" s="13" t="s">
        <v>548</v>
      </c>
      <c r="D200" s="13" t="str">
        <f t="shared" si="18"/>
        <v xml:space="preserve">cflzif </v>
      </c>
      <c r="E200" s="13" t="str">
        <f t="shared" si="17"/>
        <v>e08f/L</v>
      </c>
      <c r="F200" s="21" t="s">
        <v>233</v>
      </c>
      <c r="G200" s="21" t="s">
        <v>757</v>
      </c>
      <c r="H200" s="21" t="s">
        <v>905</v>
      </c>
      <c r="I200" s="21">
        <f t="shared" si="19"/>
        <v>164</v>
      </c>
      <c r="J200" s="21"/>
      <c r="K200" s="21" t="str">
        <f t="shared" si="20"/>
        <v>-</v>
      </c>
      <c r="L200" s="15">
        <f t="shared" si="21"/>
        <v>28.906849315068492</v>
      </c>
      <c r="O200" s="16"/>
      <c r="P200" s="16"/>
      <c r="Q200" s="16"/>
      <c r="R200" s="16"/>
      <c r="S200" s="21"/>
      <c r="T200" s="21"/>
      <c r="U200" s="21"/>
      <c r="V200" s="5">
        <v>56406</v>
      </c>
      <c r="W200" s="5">
        <v>66957</v>
      </c>
      <c r="Y200" s="5"/>
    </row>
    <row r="201" spans="1:32" ht="18" x14ac:dyDescent="0.35">
      <c r="A201" s="6"/>
      <c r="C201" s="13" t="s">
        <v>549</v>
      </c>
      <c r="D201" s="13" t="str">
        <f t="shared" si="18"/>
        <v xml:space="preserve">dlgiff </v>
      </c>
      <c r="E201" s="13" t="str">
        <f t="shared" si="17"/>
        <v>s]=;L</v>
      </c>
      <c r="F201" s="21" t="s">
        <v>234</v>
      </c>
      <c r="G201" s="21" t="s">
        <v>756</v>
      </c>
      <c r="H201" s="21" t="s">
        <v>905</v>
      </c>
      <c r="I201" s="21">
        <f t="shared" si="19"/>
        <v>99</v>
      </c>
      <c r="J201" s="21"/>
      <c r="K201" s="21" t="str">
        <f t="shared" si="20"/>
        <v>-</v>
      </c>
      <c r="L201" s="15">
        <f t="shared" si="21"/>
        <v>34.463013698630135</v>
      </c>
      <c r="O201" s="16"/>
      <c r="P201" s="16"/>
      <c r="Q201" s="16"/>
      <c r="R201" s="16"/>
      <c r="S201" s="21"/>
      <c r="T201" s="21"/>
      <c r="U201" s="21"/>
      <c r="V201" s="5">
        <v>54378</v>
      </c>
      <c r="W201" s="5">
        <v>66957</v>
      </c>
      <c r="Y201" s="5"/>
    </row>
    <row r="202" spans="1:32" ht="18" x14ac:dyDescent="0.35">
      <c r="A202" s="6">
        <v>65</v>
      </c>
      <c r="B202" t="s">
        <v>130</v>
      </c>
      <c r="C202" s="13" t="s">
        <v>550</v>
      </c>
      <c r="D202" s="13" t="str">
        <f t="shared" si="18"/>
        <v xml:space="preserve">Zofd </v>
      </c>
      <c r="E202" s="13" t="str">
        <f t="shared" si="17"/>
        <v>du/</v>
      </c>
      <c r="F202" s="21" t="s">
        <v>233</v>
      </c>
      <c r="G202" s="21" t="s">
        <v>756</v>
      </c>
      <c r="H202" s="21" t="s">
        <v>905</v>
      </c>
      <c r="I202" s="21">
        <f t="shared" si="19"/>
        <v>164</v>
      </c>
      <c r="J202" s="21"/>
      <c r="K202" s="21" t="str">
        <f t="shared" si="20"/>
        <v>-</v>
      </c>
      <c r="L202" s="15">
        <f t="shared" si="21"/>
        <v>47.742465753424661</v>
      </c>
      <c r="O202" s="16">
        <v>0</v>
      </c>
      <c r="P202" s="16">
        <v>8</v>
      </c>
      <c r="Q202" s="16">
        <v>0</v>
      </c>
      <c r="R202" s="16">
        <v>0</v>
      </c>
      <c r="S202" s="21" t="s">
        <v>745</v>
      </c>
      <c r="T202" s="21"/>
      <c r="U202" s="21"/>
      <c r="V202" s="5">
        <v>49531</v>
      </c>
      <c r="W202" s="5">
        <v>66957</v>
      </c>
      <c r="Y202" s="5">
        <v>65440</v>
      </c>
      <c r="Z202" s="2" t="s">
        <v>2</v>
      </c>
      <c r="AA202" s="2">
        <v>6</v>
      </c>
      <c r="AB202" s="2">
        <v>2</v>
      </c>
      <c r="AC202" s="2">
        <v>4</v>
      </c>
      <c r="AD202" t="s">
        <v>242</v>
      </c>
      <c r="AE202" t="s">
        <v>252</v>
      </c>
      <c r="AF202" t="s">
        <v>245</v>
      </c>
    </row>
    <row r="203" spans="1:32" ht="18" x14ac:dyDescent="0.35">
      <c r="A203" s="6"/>
      <c r="C203" s="13" t="s">
        <v>551</v>
      </c>
      <c r="D203" s="13" t="str">
        <f t="shared" si="18"/>
        <v xml:space="preserve">sNkgf </v>
      </c>
      <c r="E203" s="13" t="str">
        <f t="shared" si="17"/>
        <v>du/</v>
      </c>
      <c r="F203" s="21" t="s">
        <v>234</v>
      </c>
      <c r="G203" s="21" t="s">
        <v>756</v>
      </c>
      <c r="H203" s="21" t="s">
        <v>906</v>
      </c>
      <c r="I203" s="21">
        <f t="shared" si="19"/>
        <v>58</v>
      </c>
      <c r="J203" s="21"/>
      <c r="K203" s="21" t="str">
        <f t="shared" si="20"/>
        <v>-</v>
      </c>
      <c r="L203" s="15">
        <f t="shared" si="21"/>
        <v>44.021917808219179</v>
      </c>
      <c r="O203" s="16"/>
      <c r="P203" s="16"/>
      <c r="Q203" s="16"/>
      <c r="R203" s="16"/>
      <c r="S203" s="21"/>
      <c r="T203" s="21"/>
      <c r="U203" s="21"/>
      <c r="V203" s="5">
        <v>50889</v>
      </c>
      <c r="W203" s="5">
        <v>66957</v>
      </c>
      <c r="Y203" s="5"/>
    </row>
    <row r="204" spans="1:32" ht="18" x14ac:dyDescent="0.35">
      <c r="A204" s="6"/>
      <c r="C204" s="13" t="s">
        <v>552</v>
      </c>
      <c r="D204" s="13" t="str">
        <f t="shared" si="18"/>
        <v xml:space="preserve">;+ho </v>
      </c>
      <c r="E204" s="13" t="str">
        <f t="shared" si="17"/>
        <v>du/</v>
      </c>
      <c r="F204" s="21" t="s">
        <v>233</v>
      </c>
      <c r="G204" s="21" t="s">
        <v>756</v>
      </c>
      <c r="H204" s="21" t="s">
        <v>905</v>
      </c>
      <c r="I204" s="21">
        <f t="shared" si="19"/>
        <v>164</v>
      </c>
      <c r="J204" s="21"/>
      <c r="K204" s="21" t="str">
        <f t="shared" si="20"/>
        <v>-</v>
      </c>
      <c r="L204" s="15">
        <f t="shared" si="21"/>
        <v>32.131506849315066</v>
      </c>
      <c r="O204" s="16"/>
      <c r="P204" s="16"/>
      <c r="Q204" s="16"/>
      <c r="R204" s="16"/>
      <c r="S204" s="21"/>
      <c r="T204" s="21"/>
      <c r="U204" s="21"/>
      <c r="V204" s="5">
        <v>55229</v>
      </c>
      <c r="W204" s="5">
        <v>66957</v>
      </c>
      <c r="Y204" s="5"/>
    </row>
    <row r="205" spans="1:32" ht="18" x14ac:dyDescent="0.35">
      <c r="A205" s="6"/>
      <c r="C205" s="13" t="s">
        <v>553</v>
      </c>
      <c r="D205" s="13" t="str">
        <f t="shared" si="18"/>
        <v xml:space="preserve">k'ikf </v>
      </c>
      <c r="E205" s="13" t="str">
        <f t="shared" si="17"/>
        <v>kf7s</v>
      </c>
      <c r="F205" s="21" t="s">
        <v>234</v>
      </c>
      <c r="G205" s="21" t="s">
        <v>756</v>
      </c>
      <c r="H205" s="21" t="s">
        <v>905</v>
      </c>
      <c r="I205" s="21">
        <f t="shared" si="19"/>
        <v>99</v>
      </c>
      <c r="J205" s="21"/>
      <c r="K205" s="21" t="str">
        <f t="shared" si="20"/>
        <v>-</v>
      </c>
      <c r="L205" s="15">
        <f t="shared" si="21"/>
        <v>33.635616438356166</v>
      </c>
      <c r="O205" s="16"/>
      <c r="P205" s="16"/>
      <c r="Q205" s="16"/>
      <c r="R205" s="16"/>
      <c r="S205" s="21"/>
      <c r="T205" s="21"/>
      <c r="U205" s="21"/>
      <c r="V205" s="5">
        <v>54680</v>
      </c>
      <c r="W205" s="5">
        <v>66957</v>
      </c>
      <c r="Y205" s="5"/>
    </row>
    <row r="206" spans="1:32" ht="18" x14ac:dyDescent="0.35">
      <c r="A206" s="6"/>
      <c r="C206" s="13" t="s">
        <v>554</v>
      </c>
      <c r="D206" s="13" t="str">
        <f t="shared" si="18"/>
        <v xml:space="preserve">;ofg </v>
      </c>
      <c r="E206" s="13" t="str">
        <f t="shared" si="17"/>
        <v>du/</v>
      </c>
      <c r="F206" s="21" t="s">
        <v>234</v>
      </c>
      <c r="G206" s="21" t="s">
        <v>757</v>
      </c>
      <c r="H206" s="21" t="s">
        <v>905</v>
      </c>
      <c r="I206" s="21">
        <f t="shared" si="19"/>
        <v>99</v>
      </c>
      <c r="J206" s="21"/>
      <c r="K206" s="21" t="str">
        <f t="shared" si="20"/>
        <v>-</v>
      </c>
      <c r="L206" s="15">
        <f t="shared" si="21"/>
        <v>11.112328767123287</v>
      </c>
      <c r="O206" s="16"/>
      <c r="P206" s="16"/>
      <c r="Q206" s="16"/>
      <c r="R206" s="16"/>
      <c r="S206" s="21"/>
      <c r="T206" s="21"/>
      <c r="U206" s="21"/>
      <c r="V206" s="5">
        <v>62901</v>
      </c>
      <c r="W206" s="5">
        <v>66957</v>
      </c>
      <c r="Y206" s="5"/>
    </row>
    <row r="207" spans="1:32" ht="18" x14ac:dyDescent="0.35">
      <c r="A207" s="6"/>
      <c r="C207" s="13" t="s">
        <v>555</v>
      </c>
      <c r="D207" s="13" t="str">
        <f t="shared" si="18"/>
        <v xml:space="preserve">;fOdf]g </v>
      </c>
      <c r="E207" s="13" t="str">
        <f t="shared" si="17"/>
        <v>du/</v>
      </c>
      <c r="F207" s="21" t="s">
        <v>234</v>
      </c>
      <c r="G207" s="21" t="s">
        <v>757</v>
      </c>
      <c r="H207" s="21" t="s">
        <v>905</v>
      </c>
      <c r="I207" s="21">
        <f t="shared" si="19"/>
        <v>99</v>
      </c>
      <c r="J207" s="21"/>
      <c r="K207" s="21" t="str">
        <f t="shared" si="20"/>
        <v>-</v>
      </c>
      <c r="L207" s="15">
        <f t="shared" si="21"/>
        <v>6.6986301369863011</v>
      </c>
      <c r="O207" s="16"/>
      <c r="P207" s="16"/>
      <c r="Q207" s="16"/>
      <c r="R207" s="16"/>
      <c r="S207" s="21"/>
      <c r="T207" s="21"/>
      <c r="U207" s="21"/>
      <c r="V207" s="5">
        <v>64512</v>
      </c>
      <c r="W207" s="5">
        <v>66957</v>
      </c>
      <c r="Y207" s="5"/>
    </row>
    <row r="208" spans="1:32" ht="18" x14ac:dyDescent="0.35">
      <c r="A208" s="6">
        <v>66</v>
      </c>
      <c r="B208" t="s">
        <v>131</v>
      </c>
      <c r="C208" s="13" t="s">
        <v>556</v>
      </c>
      <c r="D208" s="13" t="str">
        <f t="shared" si="18"/>
        <v xml:space="preserve">nfn </v>
      </c>
      <c r="E208" s="13" t="str">
        <f t="shared" si="17"/>
        <v>s8]n</v>
      </c>
      <c r="F208" s="21" t="s">
        <v>233</v>
      </c>
      <c r="G208" s="21" t="s">
        <v>756</v>
      </c>
      <c r="H208" s="21" t="s">
        <v>905</v>
      </c>
      <c r="I208" s="21">
        <f t="shared" si="19"/>
        <v>164</v>
      </c>
      <c r="J208" s="21"/>
      <c r="K208" s="21" t="str">
        <f t="shared" si="20"/>
        <v>-</v>
      </c>
      <c r="L208" s="15">
        <f t="shared" si="21"/>
        <v>61.276712328767125</v>
      </c>
      <c r="O208" s="16" t="s">
        <v>748</v>
      </c>
      <c r="P208" s="16" t="s">
        <v>748</v>
      </c>
      <c r="Q208" s="16" t="s">
        <v>748</v>
      </c>
      <c r="R208" s="16" t="s">
        <v>748</v>
      </c>
      <c r="S208" s="21" t="s">
        <v>748</v>
      </c>
      <c r="T208" s="21"/>
      <c r="U208" s="21"/>
      <c r="V208" s="5">
        <v>44591</v>
      </c>
      <c r="W208" s="5">
        <v>66957</v>
      </c>
      <c r="Y208" s="5">
        <v>65369</v>
      </c>
      <c r="Z208" s="2" t="s">
        <v>2</v>
      </c>
      <c r="AA208" s="2">
        <v>3</v>
      </c>
      <c r="AB208" s="2">
        <v>2</v>
      </c>
      <c r="AC208" s="2">
        <v>1</v>
      </c>
      <c r="AD208" t="s">
        <v>242</v>
      </c>
      <c r="AE208" t="s">
        <v>292</v>
      </c>
      <c r="AF208" t="s">
        <v>245</v>
      </c>
    </row>
    <row r="209" spans="1:32" ht="18" x14ac:dyDescent="0.35">
      <c r="A209" s="6"/>
      <c r="C209" s="13" t="s">
        <v>557</v>
      </c>
      <c r="D209" s="13" t="str">
        <f t="shared" si="18"/>
        <v xml:space="preserve">1fgs'df/L </v>
      </c>
      <c r="E209" s="13" t="str">
        <f t="shared" si="17"/>
        <v>s8]n</v>
      </c>
      <c r="F209" s="21" t="s">
        <v>234</v>
      </c>
      <c r="G209" s="21" t="s">
        <v>756</v>
      </c>
      <c r="H209" s="21" t="s">
        <v>906</v>
      </c>
      <c r="I209" s="21">
        <f t="shared" si="19"/>
        <v>58</v>
      </c>
      <c r="J209" s="21"/>
      <c r="K209" s="21" t="str">
        <f t="shared" si="20"/>
        <v>-</v>
      </c>
      <c r="L209" s="15">
        <f t="shared" si="21"/>
        <v>56.18904109589041</v>
      </c>
      <c r="O209" s="16"/>
      <c r="P209" s="16"/>
      <c r="Q209" s="16"/>
      <c r="R209" s="16"/>
      <c r="S209" s="21"/>
      <c r="T209" s="21"/>
      <c r="U209" s="21"/>
      <c r="V209" s="5">
        <v>46448</v>
      </c>
      <c r="W209" s="5">
        <v>66957</v>
      </c>
      <c r="Y209" s="5"/>
    </row>
    <row r="210" spans="1:32" ht="18" x14ac:dyDescent="0.35">
      <c r="A210" s="6"/>
      <c r="C210" s="13" t="s">
        <v>558</v>
      </c>
      <c r="D210" s="13" t="str">
        <f t="shared" si="18"/>
        <v xml:space="preserve">?xg </v>
      </c>
      <c r="E210" s="13" t="str">
        <f t="shared" si="17"/>
        <v>s8]n</v>
      </c>
      <c r="F210" s="21" t="s">
        <v>233</v>
      </c>
      <c r="G210" s="21" t="s">
        <v>757</v>
      </c>
      <c r="H210" s="21" t="s">
        <v>905</v>
      </c>
      <c r="I210" s="21">
        <f t="shared" si="19"/>
        <v>164</v>
      </c>
      <c r="J210" s="21"/>
      <c r="K210" s="21" t="str">
        <f t="shared" si="20"/>
        <v>-</v>
      </c>
      <c r="L210" s="15">
        <f t="shared" si="21"/>
        <v>35.832876712328769</v>
      </c>
      <c r="O210" s="16"/>
      <c r="P210" s="16"/>
      <c r="Q210" s="16"/>
      <c r="R210" s="16"/>
      <c r="S210" s="21"/>
      <c r="T210" s="21"/>
      <c r="U210" s="21"/>
      <c r="V210" s="5">
        <v>53878</v>
      </c>
      <c r="W210" s="5">
        <v>66957</v>
      </c>
      <c r="Y210" s="5"/>
    </row>
    <row r="211" spans="1:32" ht="18" x14ac:dyDescent="0.35">
      <c r="A211" s="6">
        <v>67</v>
      </c>
      <c r="B211" t="s">
        <v>132</v>
      </c>
      <c r="C211" s="13" t="s">
        <v>559</v>
      </c>
      <c r="D211" s="13" t="str">
        <f t="shared" si="18"/>
        <v xml:space="preserve">clDasf </v>
      </c>
      <c r="E211" s="13" t="str">
        <f t="shared" si="17"/>
        <v>yfkf</v>
      </c>
      <c r="F211" s="21" t="s">
        <v>234</v>
      </c>
      <c r="G211" s="21" t="s">
        <v>756</v>
      </c>
      <c r="H211" s="21" t="s">
        <v>905</v>
      </c>
      <c r="I211" s="21">
        <f t="shared" si="19"/>
        <v>99</v>
      </c>
      <c r="J211" s="21"/>
      <c r="K211" s="21" t="str">
        <f t="shared" si="20"/>
        <v>-</v>
      </c>
      <c r="L211" s="15">
        <f t="shared" si="21"/>
        <v>38.991780821917807</v>
      </c>
      <c r="O211" s="16">
        <v>0</v>
      </c>
      <c r="P211" s="16">
        <v>3</v>
      </c>
      <c r="Q211" s="16">
        <v>0</v>
      </c>
      <c r="R211" s="16">
        <v>0</v>
      </c>
      <c r="S211" s="21" t="s">
        <v>745</v>
      </c>
      <c r="T211" s="21"/>
      <c r="U211" s="21"/>
      <c r="V211" s="5">
        <v>52725</v>
      </c>
      <c r="W211" s="5">
        <v>66957</v>
      </c>
      <c r="Y211" s="5">
        <v>65366</v>
      </c>
      <c r="Z211" s="2" t="s">
        <v>2</v>
      </c>
      <c r="AA211" s="2">
        <v>4</v>
      </c>
      <c r="AB211" s="2">
        <f>AA211-AC211</f>
        <v>2</v>
      </c>
      <c r="AC211" s="2">
        <v>2</v>
      </c>
      <c r="AD211" t="s">
        <v>242</v>
      </c>
      <c r="AE211" t="s">
        <v>235</v>
      </c>
      <c r="AF211" t="s">
        <v>245</v>
      </c>
    </row>
    <row r="212" spans="1:32" ht="18" x14ac:dyDescent="0.35">
      <c r="A212" s="6"/>
      <c r="C212" s="13" t="s">
        <v>560</v>
      </c>
      <c r="D212" s="13" t="str">
        <f t="shared" si="18"/>
        <v xml:space="preserve">lqk]Gb| </v>
      </c>
      <c r="E212" s="13" t="str">
        <f t="shared" si="17"/>
        <v>If]qL</v>
      </c>
      <c r="F212" s="21" t="s">
        <v>233</v>
      </c>
      <c r="G212" s="21" t="s">
        <v>756</v>
      </c>
      <c r="H212" s="21" t="s">
        <v>905</v>
      </c>
      <c r="I212" s="21">
        <f t="shared" si="19"/>
        <v>164</v>
      </c>
      <c r="J212" s="21"/>
      <c r="K212" s="21" t="str">
        <f t="shared" si="20"/>
        <v>-</v>
      </c>
      <c r="L212" s="15">
        <f t="shared" si="21"/>
        <v>50.515068493150686</v>
      </c>
      <c r="O212" s="16"/>
      <c r="P212" s="16"/>
      <c r="Q212" s="16"/>
      <c r="R212" s="16"/>
      <c r="S212" s="21"/>
      <c r="T212" s="21"/>
      <c r="U212" s="21"/>
      <c r="V212" s="5">
        <v>48519</v>
      </c>
      <c r="W212" s="5">
        <v>66957</v>
      </c>
      <c r="Y212" s="5"/>
    </row>
    <row r="213" spans="1:32" ht="18" x14ac:dyDescent="0.35">
      <c r="A213" s="6"/>
      <c r="C213" s="13" t="s">
        <v>561</v>
      </c>
      <c r="D213" s="13" t="str">
        <f t="shared" si="18"/>
        <v xml:space="preserve">lIflth </v>
      </c>
      <c r="E213" s="13" t="str">
        <f t="shared" si="17"/>
        <v>yfkf</v>
      </c>
      <c r="F213" s="21" t="s">
        <v>233</v>
      </c>
      <c r="G213" s="21" t="s">
        <v>757</v>
      </c>
      <c r="H213" s="21" t="s">
        <v>905</v>
      </c>
      <c r="I213" s="21">
        <f t="shared" si="19"/>
        <v>164</v>
      </c>
      <c r="J213" s="21"/>
      <c r="K213" s="21" t="str">
        <f t="shared" si="20"/>
        <v>-</v>
      </c>
      <c r="L213" s="15">
        <f t="shared" si="21"/>
        <v>30.246575342465754</v>
      </c>
      <c r="O213" s="16"/>
      <c r="P213" s="16"/>
      <c r="Q213" s="16"/>
      <c r="R213" s="16"/>
      <c r="S213" s="21"/>
      <c r="T213" s="21"/>
      <c r="U213" s="21"/>
      <c r="V213" s="5">
        <v>55917</v>
      </c>
      <c r="W213" s="5">
        <v>66957</v>
      </c>
      <c r="Y213" s="5"/>
    </row>
    <row r="214" spans="1:32" ht="18" x14ac:dyDescent="0.35">
      <c r="A214" s="6"/>
      <c r="C214" s="13" t="s">
        <v>562</v>
      </c>
      <c r="D214" s="13" t="str">
        <f t="shared" si="18"/>
        <v xml:space="preserve">ck]Iff </v>
      </c>
      <c r="E214" s="13" t="str">
        <f t="shared" ref="E214:E277" si="22">TRIM(RIGHT(SUBSTITUTE(C214," ",REPT(" ",255)),255))</f>
        <v>yfkf</v>
      </c>
      <c r="F214" s="21" t="s">
        <v>234</v>
      </c>
      <c r="G214" s="21" t="s">
        <v>757</v>
      </c>
      <c r="H214" s="21" t="s">
        <v>905</v>
      </c>
      <c r="I214" s="21">
        <f t="shared" si="19"/>
        <v>99</v>
      </c>
      <c r="J214" s="21"/>
      <c r="K214" s="21" t="str">
        <f t="shared" si="20"/>
        <v>-</v>
      </c>
      <c r="L214" s="15">
        <f t="shared" si="21"/>
        <v>16.287671232876711</v>
      </c>
      <c r="O214" s="16"/>
      <c r="P214" s="16"/>
      <c r="Q214" s="16"/>
      <c r="R214" s="16"/>
      <c r="S214" s="21"/>
      <c r="T214" s="21"/>
      <c r="U214" s="21"/>
      <c r="V214" s="5">
        <v>61012</v>
      </c>
      <c r="W214" s="5">
        <v>66957</v>
      </c>
      <c r="Y214" s="5"/>
    </row>
    <row r="215" spans="1:32" ht="18" x14ac:dyDescent="0.35">
      <c r="A215" s="6">
        <v>69</v>
      </c>
      <c r="B215" t="s">
        <v>134</v>
      </c>
      <c r="C215" s="13" t="s">
        <v>564</v>
      </c>
      <c r="D215" s="13" t="str">
        <f t="shared" si="18"/>
        <v xml:space="preserve">s]z/ </v>
      </c>
      <c r="E215" s="13" t="str">
        <f t="shared" si="22"/>
        <v>&gt;]i7</v>
      </c>
      <c r="F215" s="21" t="s">
        <v>233</v>
      </c>
      <c r="G215" s="21" t="s">
        <v>756</v>
      </c>
      <c r="H215" s="21" t="s">
        <v>905</v>
      </c>
      <c r="I215" s="21">
        <f t="shared" si="19"/>
        <v>164</v>
      </c>
      <c r="J215" s="21"/>
      <c r="K215" s="21" t="str">
        <f t="shared" si="20"/>
        <v>-</v>
      </c>
      <c r="L215" s="15">
        <f t="shared" si="21"/>
        <v>43.402739726027399</v>
      </c>
      <c r="O215" s="16">
        <v>0</v>
      </c>
      <c r="P215" s="16">
        <v>3</v>
      </c>
      <c r="Q215" s="16">
        <v>1</v>
      </c>
      <c r="R215" s="16">
        <v>0</v>
      </c>
      <c r="S215" s="21" t="s">
        <v>745</v>
      </c>
      <c r="T215" s="21"/>
      <c r="U215" s="21"/>
      <c r="V215" s="5">
        <v>51115</v>
      </c>
      <c r="W215" s="5">
        <v>66957</v>
      </c>
      <c r="Y215" s="5">
        <v>65356</v>
      </c>
      <c r="Z215" s="2" t="s">
        <v>2</v>
      </c>
      <c r="AA215" s="2">
        <v>5</v>
      </c>
      <c r="AB215" s="2">
        <v>2</v>
      </c>
      <c r="AC215" s="2">
        <v>3</v>
      </c>
      <c r="AD215" t="s">
        <v>242</v>
      </c>
      <c r="AE215" t="s">
        <v>283</v>
      </c>
      <c r="AF215" t="s">
        <v>245</v>
      </c>
    </row>
    <row r="216" spans="1:32" ht="18" x14ac:dyDescent="0.35">
      <c r="A216" s="6"/>
      <c r="C216" s="13" t="s">
        <v>565</v>
      </c>
      <c r="D216" s="13" t="str">
        <f t="shared" si="18"/>
        <v xml:space="preserve">;+lutf </v>
      </c>
      <c r="E216" s="13" t="str">
        <f t="shared" si="22"/>
        <v>&gt;]i7</v>
      </c>
      <c r="F216" s="21" t="s">
        <v>234</v>
      </c>
      <c r="G216" s="21" t="s">
        <v>756</v>
      </c>
      <c r="H216" s="21" t="s">
        <v>905</v>
      </c>
      <c r="I216" s="21">
        <f t="shared" si="19"/>
        <v>99</v>
      </c>
      <c r="J216" s="21"/>
      <c r="K216" s="21" t="str">
        <f t="shared" si="20"/>
        <v>-</v>
      </c>
      <c r="L216" s="15">
        <f t="shared" si="21"/>
        <v>41.479452054794521</v>
      </c>
      <c r="O216" s="16"/>
      <c r="P216" s="16"/>
      <c r="Q216" s="16"/>
      <c r="R216" s="16"/>
      <c r="S216" s="21"/>
      <c r="T216" s="21"/>
      <c r="U216" s="21"/>
      <c r="V216" s="5">
        <v>51817</v>
      </c>
      <c r="W216" s="5">
        <v>66957</v>
      </c>
      <c r="Y216" s="5"/>
    </row>
    <row r="217" spans="1:32" ht="18" x14ac:dyDescent="0.35">
      <c r="A217" s="6"/>
      <c r="C217" s="13" t="s">
        <v>566</v>
      </c>
      <c r="D217" s="13" t="str">
        <f t="shared" si="18"/>
        <v xml:space="preserve">;ljgf </v>
      </c>
      <c r="E217" s="13" t="str">
        <f t="shared" si="22"/>
        <v>&gt;]i7</v>
      </c>
      <c r="F217" s="21" t="s">
        <v>234</v>
      </c>
      <c r="G217" s="21" t="s">
        <v>757</v>
      </c>
      <c r="H217" s="21" t="s">
        <v>905</v>
      </c>
      <c r="I217" s="21">
        <f t="shared" si="19"/>
        <v>99</v>
      </c>
      <c r="J217" s="21"/>
      <c r="K217" s="21" t="str">
        <f t="shared" si="20"/>
        <v>-</v>
      </c>
      <c r="L217" s="15">
        <f t="shared" si="21"/>
        <v>21.104109589041094</v>
      </c>
      <c r="O217" s="16"/>
      <c r="P217" s="16"/>
      <c r="Q217" s="16"/>
      <c r="R217" s="16"/>
      <c r="S217" s="21"/>
      <c r="T217" s="21"/>
      <c r="U217" s="21"/>
      <c r="V217" s="5">
        <v>59254</v>
      </c>
      <c r="W217" s="5">
        <v>66957</v>
      </c>
      <c r="Y217" s="5"/>
    </row>
    <row r="218" spans="1:32" ht="18" x14ac:dyDescent="0.35">
      <c r="A218" s="6"/>
      <c r="C218" s="13" t="s">
        <v>567</v>
      </c>
      <c r="D218" s="13" t="str">
        <f t="shared" si="18"/>
        <v xml:space="preserve">;lngf </v>
      </c>
      <c r="E218" s="13" t="str">
        <f t="shared" si="22"/>
        <v>&gt;]i7</v>
      </c>
      <c r="F218" s="21" t="s">
        <v>234</v>
      </c>
      <c r="G218" s="21" t="s">
        <v>757</v>
      </c>
      <c r="H218" s="21" t="s">
        <v>905</v>
      </c>
      <c r="I218" s="21">
        <f t="shared" si="19"/>
        <v>99</v>
      </c>
      <c r="J218" s="21"/>
      <c r="K218" s="21" t="str">
        <f t="shared" si="20"/>
        <v>-</v>
      </c>
      <c r="L218" s="15">
        <f t="shared" si="21"/>
        <v>14.331506849315069</v>
      </c>
      <c r="O218" s="16"/>
      <c r="P218" s="16"/>
      <c r="Q218" s="16"/>
      <c r="R218" s="16"/>
      <c r="S218" s="21"/>
      <c r="T218" s="21"/>
      <c r="U218" s="21"/>
      <c r="V218" s="5">
        <v>61726</v>
      </c>
      <c r="W218" s="5">
        <v>66957</v>
      </c>
      <c r="Y218" s="5"/>
    </row>
    <row r="219" spans="1:32" ht="18" x14ac:dyDescent="0.35">
      <c r="A219" s="6"/>
      <c r="C219" s="13" t="s">
        <v>568</v>
      </c>
      <c r="D219" s="13" t="str">
        <f t="shared" si="18"/>
        <v xml:space="preserve">/f]zg </v>
      </c>
      <c r="E219" s="13" t="str">
        <f t="shared" si="22"/>
        <v>&gt;]i7</v>
      </c>
      <c r="F219" s="21" t="s">
        <v>233</v>
      </c>
      <c r="G219" s="21" t="s">
        <v>757</v>
      </c>
      <c r="H219" s="21" t="s">
        <v>905</v>
      </c>
      <c r="I219" s="21">
        <f t="shared" si="19"/>
        <v>164</v>
      </c>
      <c r="J219" s="21"/>
      <c r="K219" s="21" t="str">
        <f t="shared" si="20"/>
        <v>-</v>
      </c>
      <c r="L219" s="15">
        <f t="shared" si="21"/>
        <v>12.668493150684931</v>
      </c>
      <c r="O219" s="16"/>
      <c r="P219" s="16"/>
      <c r="Q219" s="16"/>
      <c r="R219" s="16"/>
      <c r="S219" s="21"/>
      <c r="T219" s="21"/>
      <c r="U219" s="21"/>
      <c r="V219" s="5">
        <v>62333</v>
      </c>
      <c r="W219" s="5">
        <v>66957</v>
      </c>
      <c r="Y219" s="5"/>
    </row>
    <row r="220" spans="1:32" ht="18" x14ac:dyDescent="0.35">
      <c r="A220" s="6">
        <v>71</v>
      </c>
      <c r="B220" t="s">
        <v>136</v>
      </c>
      <c r="C220" s="13" t="s">
        <v>573</v>
      </c>
      <c r="D220" s="13" t="str">
        <f t="shared" si="18"/>
        <v xml:space="preserve">af;'b]a </v>
      </c>
      <c r="E220" s="13" t="str">
        <f t="shared" si="22"/>
        <v>dNn</v>
      </c>
      <c r="F220" s="21" t="s">
        <v>233</v>
      </c>
      <c r="G220" s="21" t="s">
        <v>756</v>
      </c>
      <c r="H220" s="21" t="s">
        <v>905</v>
      </c>
      <c r="I220" s="21">
        <f t="shared" si="19"/>
        <v>164</v>
      </c>
      <c r="J220" s="21"/>
      <c r="K220" s="21" t="str">
        <f t="shared" si="20"/>
        <v>-</v>
      </c>
      <c r="L220" s="15">
        <f t="shared" si="21"/>
        <v>62.838356164383562</v>
      </c>
      <c r="O220" s="16">
        <v>0</v>
      </c>
      <c r="P220" s="16">
        <v>1</v>
      </c>
      <c r="Q220" s="16">
        <v>0</v>
      </c>
      <c r="R220" s="16">
        <v>0</v>
      </c>
      <c r="S220" s="21" t="s">
        <v>745</v>
      </c>
      <c r="T220" s="21"/>
      <c r="U220" s="21"/>
      <c r="V220" s="5">
        <v>44021</v>
      </c>
      <c r="W220" s="5">
        <v>66957</v>
      </c>
      <c r="Y220" s="5">
        <v>65350</v>
      </c>
      <c r="Z220" s="2" t="s">
        <v>2</v>
      </c>
      <c r="AA220" s="2">
        <v>2</v>
      </c>
      <c r="AB220" s="2">
        <v>1</v>
      </c>
      <c r="AC220" s="2">
        <v>1</v>
      </c>
      <c r="AD220" t="s">
        <v>242</v>
      </c>
      <c r="AE220" t="s">
        <v>254</v>
      </c>
      <c r="AF220" t="s">
        <v>245</v>
      </c>
    </row>
    <row r="221" spans="1:32" ht="18" x14ac:dyDescent="0.35">
      <c r="A221" s="6"/>
      <c r="C221" s="13" t="s">
        <v>574</v>
      </c>
      <c r="D221" s="13" t="str">
        <f t="shared" si="18"/>
        <v xml:space="preserve">rËf </v>
      </c>
      <c r="E221" s="13" t="str">
        <f t="shared" si="22"/>
        <v>&gt;]i7</v>
      </c>
      <c r="F221" s="21" t="s">
        <v>234</v>
      </c>
      <c r="G221" s="21" t="s">
        <v>756</v>
      </c>
      <c r="H221" s="21" t="s">
        <v>906</v>
      </c>
      <c r="I221" s="21">
        <f t="shared" si="19"/>
        <v>58</v>
      </c>
      <c r="J221" s="21"/>
      <c r="K221" s="21" t="str">
        <f t="shared" si="20"/>
        <v>-</v>
      </c>
      <c r="L221" s="15">
        <f t="shared" si="21"/>
        <v>56.238356164383561</v>
      </c>
      <c r="O221" s="16"/>
      <c r="P221" s="16"/>
      <c r="Q221" s="16"/>
      <c r="R221" s="16"/>
      <c r="S221" s="21"/>
      <c r="T221" s="21"/>
      <c r="U221" s="21"/>
      <c r="V221" s="5">
        <v>46430</v>
      </c>
      <c r="W221" s="5">
        <v>66957</v>
      </c>
      <c r="Y221" s="5"/>
    </row>
    <row r="222" spans="1:32" ht="18" x14ac:dyDescent="0.35">
      <c r="A222" s="6">
        <v>72</v>
      </c>
      <c r="B222" t="s">
        <v>137</v>
      </c>
      <c r="C222" s="13" t="s">
        <v>575</v>
      </c>
      <c r="D222" s="13" t="str">
        <f t="shared" si="18"/>
        <v xml:space="preserve">lxt]]Gb| </v>
      </c>
      <c r="E222" s="13" t="str">
        <f t="shared" si="22"/>
        <v>If]qL</v>
      </c>
      <c r="F222" s="21" t="s">
        <v>233</v>
      </c>
      <c r="G222" s="21" t="s">
        <v>756</v>
      </c>
      <c r="H222" s="21" t="s">
        <v>905</v>
      </c>
      <c r="I222" s="21">
        <f t="shared" si="19"/>
        <v>164</v>
      </c>
      <c r="J222" s="21"/>
      <c r="K222" s="21" t="str">
        <f t="shared" si="20"/>
        <v>-</v>
      </c>
      <c r="L222" s="15">
        <f t="shared" si="21"/>
        <v>46.775342465753425</v>
      </c>
      <c r="O222" s="16">
        <v>0</v>
      </c>
      <c r="P222" s="16">
        <v>3</v>
      </c>
      <c r="Q222" s="16">
        <v>0</v>
      </c>
      <c r="R222" s="16">
        <v>0</v>
      </c>
      <c r="S222" s="21" t="s">
        <v>745</v>
      </c>
      <c r="T222" s="21"/>
      <c r="U222" s="21"/>
      <c r="V222" s="5">
        <v>49884</v>
      </c>
      <c r="W222" s="5">
        <v>66957</v>
      </c>
      <c r="Y222" s="5">
        <v>65328</v>
      </c>
      <c r="Z222" s="2" t="s">
        <v>2</v>
      </c>
      <c r="AA222" s="2">
        <v>4</v>
      </c>
      <c r="AB222" s="2">
        <v>3</v>
      </c>
      <c r="AC222" s="2">
        <v>1</v>
      </c>
      <c r="AD222" t="s">
        <v>242</v>
      </c>
      <c r="AE222" t="s">
        <v>270</v>
      </c>
      <c r="AF222" t="s">
        <v>245</v>
      </c>
    </row>
    <row r="223" spans="1:32" ht="18" x14ac:dyDescent="0.35">
      <c r="A223" s="6"/>
      <c r="C223" s="13" t="s">
        <v>576</v>
      </c>
      <c r="D223" s="13" t="str">
        <f t="shared" si="18"/>
        <v xml:space="preserve">cGh' </v>
      </c>
      <c r="E223" s="13" t="str">
        <f t="shared" si="22"/>
        <v>;'a]bL</v>
      </c>
      <c r="F223" s="21" t="s">
        <v>234</v>
      </c>
      <c r="G223" s="21" t="s">
        <v>756</v>
      </c>
      <c r="H223" s="21" t="s">
        <v>905</v>
      </c>
      <c r="I223" s="21">
        <f t="shared" si="19"/>
        <v>99</v>
      </c>
      <c r="J223" s="21"/>
      <c r="K223" s="21" t="str">
        <f t="shared" si="20"/>
        <v>-</v>
      </c>
      <c r="L223" s="15">
        <f t="shared" si="21"/>
        <v>42.980821917808221</v>
      </c>
      <c r="O223" s="16"/>
      <c r="P223" s="16"/>
      <c r="Q223" s="16"/>
      <c r="R223" s="16"/>
      <c r="S223" s="21"/>
      <c r="T223" s="21"/>
      <c r="U223" s="21"/>
      <c r="V223" s="5">
        <v>51269</v>
      </c>
      <c r="W223" s="5">
        <v>66957</v>
      </c>
      <c r="Y223" s="5"/>
    </row>
    <row r="224" spans="1:32" ht="18" x14ac:dyDescent="0.35">
      <c r="A224" s="6"/>
      <c r="C224" s="13" t="s">
        <v>577</v>
      </c>
      <c r="D224" s="13" t="str">
        <f t="shared" si="18"/>
        <v xml:space="preserve">xlif{t </v>
      </c>
      <c r="E224" s="13" t="str">
        <f t="shared" si="22"/>
        <v>If]qL</v>
      </c>
      <c r="F224" s="21" t="s">
        <v>233</v>
      </c>
      <c r="G224" s="21" t="s">
        <v>757</v>
      </c>
      <c r="H224" s="21" t="s">
        <v>905</v>
      </c>
      <c r="I224" s="21">
        <f t="shared" si="19"/>
        <v>164</v>
      </c>
      <c r="J224" s="21"/>
      <c r="K224" s="21" t="str">
        <f t="shared" si="20"/>
        <v>-</v>
      </c>
      <c r="L224" s="15">
        <f t="shared" si="21"/>
        <v>14.263013698630138</v>
      </c>
      <c r="O224" s="16"/>
      <c r="P224" s="16"/>
      <c r="Q224" s="16"/>
      <c r="R224" s="16"/>
      <c r="S224" s="21"/>
      <c r="T224" s="21"/>
      <c r="U224" s="21"/>
      <c r="V224" s="5">
        <v>61751</v>
      </c>
      <c r="W224" s="5">
        <v>66957</v>
      </c>
      <c r="Y224" s="5"/>
    </row>
    <row r="225" spans="1:32" ht="18" x14ac:dyDescent="0.35">
      <c r="A225" s="6"/>
      <c r="C225" s="13" t="s">
        <v>578</v>
      </c>
      <c r="D225" s="13" t="str">
        <f t="shared" si="18"/>
        <v xml:space="preserve">cfudg </v>
      </c>
      <c r="E225" s="13" t="str">
        <f t="shared" si="22"/>
        <v>If]qL</v>
      </c>
      <c r="F225" s="21" t="s">
        <v>233</v>
      </c>
      <c r="G225" s="21" t="s">
        <v>757</v>
      </c>
      <c r="H225" s="21" t="s">
        <v>905</v>
      </c>
      <c r="I225" s="21">
        <f t="shared" si="19"/>
        <v>164</v>
      </c>
      <c r="J225" s="21"/>
      <c r="K225" s="21" t="str">
        <f t="shared" si="20"/>
        <v>-</v>
      </c>
      <c r="L225" s="15">
        <f t="shared" si="21"/>
        <v>8.3534246575342461</v>
      </c>
      <c r="O225" s="16"/>
      <c r="P225" s="16"/>
      <c r="Q225" s="16"/>
      <c r="R225" s="16"/>
      <c r="S225" s="21"/>
      <c r="T225" s="21"/>
      <c r="U225" s="21"/>
      <c r="V225" s="5">
        <v>63908</v>
      </c>
      <c r="W225" s="5">
        <v>66957</v>
      </c>
      <c r="Y225" s="5"/>
    </row>
    <row r="226" spans="1:32" ht="18" x14ac:dyDescent="0.35">
      <c r="A226" s="6">
        <v>73</v>
      </c>
      <c r="B226" t="s">
        <v>138</v>
      </c>
      <c r="C226" s="13" t="s">
        <v>579</v>
      </c>
      <c r="D226" s="13" t="str">
        <f t="shared" si="18"/>
        <v xml:space="preserve">lbAof </v>
      </c>
      <c r="E226" s="13" t="str">
        <f t="shared" si="22"/>
        <v>uf}td</v>
      </c>
      <c r="F226" s="21" t="s">
        <v>234</v>
      </c>
      <c r="G226" s="21" t="s">
        <v>756</v>
      </c>
      <c r="H226" s="21" t="s">
        <v>905</v>
      </c>
      <c r="I226" s="21">
        <f t="shared" si="19"/>
        <v>99</v>
      </c>
      <c r="J226" s="21"/>
      <c r="K226" s="21" t="str">
        <f t="shared" si="20"/>
        <v>-</v>
      </c>
      <c r="L226" s="15">
        <f t="shared" si="21"/>
        <v>34.452054794520549</v>
      </c>
      <c r="O226" s="16">
        <v>0</v>
      </c>
      <c r="P226" s="16">
        <v>5</v>
      </c>
      <c r="Q226" s="16">
        <v>2</v>
      </c>
      <c r="R226" s="16">
        <v>0</v>
      </c>
      <c r="S226" s="21" t="s">
        <v>745</v>
      </c>
      <c r="T226" s="21"/>
      <c r="U226" s="21"/>
      <c r="V226" s="5">
        <v>54382</v>
      </c>
      <c r="W226" s="5">
        <v>66957</v>
      </c>
      <c r="Y226" s="5">
        <v>65306</v>
      </c>
      <c r="Z226" s="2" t="s">
        <v>2</v>
      </c>
      <c r="AA226" s="2">
        <v>4</v>
      </c>
      <c r="AB226" s="2">
        <v>2</v>
      </c>
      <c r="AC226" s="2">
        <v>2</v>
      </c>
      <c r="AD226" t="s">
        <v>242</v>
      </c>
      <c r="AE226" t="s">
        <v>263</v>
      </c>
      <c r="AF226" t="s">
        <v>245</v>
      </c>
    </row>
    <row r="227" spans="1:32" ht="18" x14ac:dyDescent="0.35">
      <c r="A227" s="6"/>
      <c r="C227" s="13" t="s">
        <v>580</v>
      </c>
      <c r="D227" s="13" t="str">
        <f t="shared" si="18"/>
        <v xml:space="preserve">k|sfz </v>
      </c>
      <c r="E227" s="13" t="str">
        <f t="shared" si="22"/>
        <v>uf}td</v>
      </c>
      <c r="F227" s="21" t="s">
        <v>233</v>
      </c>
      <c r="G227" s="21" t="s">
        <v>756</v>
      </c>
      <c r="H227" s="21" t="s">
        <v>905</v>
      </c>
      <c r="I227" s="21">
        <f t="shared" si="19"/>
        <v>164</v>
      </c>
      <c r="J227" s="21"/>
      <c r="K227" s="21" t="str">
        <f t="shared" si="20"/>
        <v>-</v>
      </c>
      <c r="L227" s="15">
        <f t="shared" si="21"/>
        <v>43.413698630136984</v>
      </c>
      <c r="O227" s="16"/>
      <c r="P227" s="16"/>
      <c r="Q227" s="16"/>
      <c r="R227" s="16"/>
      <c r="S227" s="21"/>
      <c r="T227" s="21"/>
      <c r="U227" s="21"/>
      <c r="V227" s="5">
        <v>51111</v>
      </c>
      <c r="W227" s="5">
        <v>66957</v>
      </c>
      <c r="Y227" s="5"/>
    </row>
    <row r="228" spans="1:32" ht="18" x14ac:dyDescent="0.35">
      <c r="A228" s="6"/>
      <c r="C228" s="13" t="s">
        <v>581</v>
      </c>
      <c r="D228" s="13" t="str">
        <f t="shared" si="18"/>
        <v xml:space="preserve">k|Ghn </v>
      </c>
      <c r="E228" s="13" t="str">
        <f t="shared" si="22"/>
        <v>uf}td</v>
      </c>
      <c r="F228" s="21" t="s">
        <v>233</v>
      </c>
      <c r="G228" s="21" t="s">
        <v>757</v>
      </c>
      <c r="H228" s="21" t="s">
        <v>905</v>
      </c>
      <c r="I228" s="21">
        <f t="shared" si="19"/>
        <v>164</v>
      </c>
      <c r="J228" s="21"/>
      <c r="K228" s="21" t="str">
        <f t="shared" si="20"/>
        <v>-</v>
      </c>
      <c r="L228" s="15">
        <f t="shared" si="21"/>
        <v>16.846575342465755</v>
      </c>
      <c r="O228" s="16"/>
      <c r="P228" s="16"/>
      <c r="Q228" s="16"/>
      <c r="R228" s="16"/>
      <c r="S228" s="21"/>
      <c r="T228" s="21"/>
      <c r="U228" s="21"/>
      <c r="V228" s="5">
        <v>60808</v>
      </c>
      <c r="W228" s="5">
        <v>66957</v>
      </c>
      <c r="Y228" s="5"/>
    </row>
    <row r="229" spans="1:32" ht="18" x14ac:dyDescent="0.35">
      <c r="A229" s="6"/>
      <c r="C229" s="13" t="s">
        <v>582</v>
      </c>
      <c r="D229" s="13" t="str">
        <f t="shared" si="18"/>
        <v xml:space="preserve">k|z+;f </v>
      </c>
      <c r="E229" s="13" t="str">
        <f t="shared" si="22"/>
        <v>uf}td</v>
      </c>
      <c r="F229" s="21" t="s">
        <v>234</v>
      </c>
      <c r="G229" s="21" t="s">
        <v>757</v>
      </c>
      <c r="H229" s="21" t="s">
        <v>905</v>
      </c>
      <c r="I229" s="21">
        <f t="shared" si="19"/>
        <v>99</v>
      </c>
      <c r="J229" s="21"/>
      <c r="K229" s="21" t="str">
        <f t="shared" si="20"/>
        <v>-</v>
      </c>
      <c r="L229" s="15">
        <f t="shared" si="21"/>
        <v>12.191780821917808</v>
      </c>
      <c r="O229" s="16"/>
      <c r="P229" s="16"/>
      <c r="Q229" s="16"/>
      <c r="R229" s="16"/>
      <c r="S229" s="21"/>
      <c r="T229" s="21"/>
      <c r="U229" s="21"/>
      <c r="V229" s="5">
        <v>62507</v>
      </c>
      <c r="W229" s="5">
        <v>66957</v>
      </c>
      <c r="Y229" s="5"/>
    </row>
    <row r="230" spans="1:32" ht="18" x14ac:dyDescent="0.35">
      <c r="A230" s="6">
        <v>74</v>
      </c>
      <c r="B230" t="s">
        <v>139</v>
      </c>
      <c r="C230" s="13" t="s">
        <v>583</v>
      </c>
      <c r="D230" s="13" t="str">
        <f t="shared" si="18"/>
        <v xml:space="preserve">ofbj </v>
      </c>
      <c r="E230" s="13" t="str">
        <f t="shared" si="22"/>
        <v>af;sf]6f</v>
      </c>
      <c r="F230" s="21" t="s">
        <v>233</v>
      </c>
      <c r="G230" s="21" t="s">
        <v>756</v>
      </c>
      <c r="H230" s="21" t="s">
        <v>905</v>
      </c>
      <c r="I230" s="21">
        <f t="shared" si="19"/>
        <v>164</v>
      </c>
      <c r="J230" s="21"/>
      <c r="K230" s="21" t="str">
        <f t="shared" si="20"/>
        <v>-</v>
      </c>
      <c r="L230" s="15">
        <f t="shared" si="21"/>
        <v>63.441095890410956</v>
      </c>
      <c r="O230" s="16" t="s">
        <v>748</v>
      </c>
      <c r="P230" s="16" t="s">
        <v>748</v>
      </c>
      <c r="Q230" s="16" t="s">
        <v>748</v>
      </c>
      <c r="R230" s="16" t="s">
        <v>748</v>
      </c>
      <c r="S230" s="21" t="s">
        <v>748</v>
      </c>
      <c r="T230" s="21"/>
      <c r="U230" s="21"/>
      <c r="V230" s="5">
        <v>43801</v>
      </c>
      <c r="W230" s="5">
        <v>66957</v>
      </c>
      <c r="Y230" s="5">
        <v>65304</v>
      </c>
      <c r="Z230" s="2" t="s">
        <v>2</v>
      </c>
      <c r="AA230" s="2">
        <v>1</v>
      </c>
      <c r="AB230" s="2">
        <v>1</v>
      </c>
      <c r="AD230" t="s">
        <v>242</v>
      </c>
      <c r="AE230" t="s">
        <v>334</v>
      </c>
      <c r="AF230" t="s">
        <v>245</v>
      </c>
    </row>
    <row r="231" spans="1:32" ht="18" x14ac:dyDescent="0.35">
      <c r="A231" s="6">
        <v>75</v>
      </c>
      <c r="B231" t="s">
        <v>140</v>
      </c>
      <c r="C231" s="13" t="s">
        <v>584</v>
      </c>
      <c r="D231" s="13" t="str">
        <f t="shared" si="18"/>
        <v xml:space="preserve">hfgsL </v>
      </c>
      <c r="E231" s="13" t="str">
        <f t="shared" si="22"/>
        <v>v8\sf</v>
      </c>
      <c r="F231" s="21" t="s">
        <v>234</v>
      </c>
      <c r="G231" s="21" t="s">
        <v>757</v>
      </c>
      <c r="H231" s="21" t="s">
        <v>905</v>
      </c>
      <c r="I231" s="21">
        <f t="shared" si="19"/>
        <v>99</v>
      </c>
      <c r="J231" s="21"/>
      <c r="K231" s="21" t="str">
        <f t="shared" si="20"/>
        <v>-</v>
      </c>
      <c r="L231" s="15">
        <f t="shared" si="21"/>
        <v>36.860273972602741</v>
      </c>
      <c r="O231" s="16">
        <v>0</v>
      </c>
      <c r="P231" s="16">
        <v>3</v>
      </c>
      <c r="Q231" s="16">
        <v>2</v>
      </c>
      <c r="R231" s="16">
        <v>0</v>
      </c>
      <c r="S231" s="21" t="s">
        <v>745</v>
      </c>
      <c r="T231" s="21"/>
      <c r="U231" s="21"/>
      <c r="V231" s="5">
        <v>53503</v>
      </c>
      <c r="W231" s="5">
        <v>66957</v>
      </c>
      <c r="Y231" s="5">
        <v>65302</v>
      </c>
      <c r="Z231" s="2" t="s">
        <v>2</v>
      </c>
      <c r="AA231" s="2">
        <v>3</v>
      </c>
      <c r="AB231" s="2">
        <v>2</v>
      </c>
      <c r="AC231" s="2">
        <v>1</v>
      </c>
      <c r="AD231" t="s">
        <v>241</v>
      </c>
      <c r="AE231" t="s">
        <v>273</v>
      </c>
      <c r="AF231" t="s">
        <v>245</v>
      </c>
    </row>
    <row r="232" spans="1:32" ht="18" x14ac:dyDescent="0.35">
      <c r="A232" s="6"/>
      <c r="C232" s="13" t="s">
        <v>585</v>
      </c>
      <c r="D232" s="13" t="str">
        <f t="shared" si="18"/>
        <v xml:space="preserve">lr/fu </v>
      </c>
      <c r="E232" s="13" t="str">
        <f t="shared" si="22"/>
        <v>v8\sf</v>
      </c>
      <c r="F232" s="21" t="s">
        <v>233</v>
      </c>
      <c r="G232" s="21" t="s">
        <v>757</v>
      </c>
      <c r="H232" s="21" t="s">
        <v>905</v>
      </c>
      <c r="I232" s="21">
        <f t="shared" si="19"/>
        <v>164</v>
      </c>
      <c r="J232" s="21"/>
      <c r="K232" s="21" t="str">
        <f t="shared" si="20"/>
        <v>-</v>
      </c>
      <c r="L232" s="15">
        <f t="shared" si="21"/>
        <v>27.12876712328767</v>
      </c>
      <c r="O232" s="16"/>
      <c r="P232" s="16"/>
      <c r="Q232" s="16"/>
      <c r="R232" s="16"/>
      <c r="S232" s="21"/>
      <c r="T232" s="21"/>
      <c r="U232" s="21"/>
      <c r="V232" s="5">
        <v>57055</v>
      </c>
      <c r="W232" s="5">
        <v>66957</v>
      </c>
      <c r="Y232" s="5"/>
    </row>
    <row r="233" spans="1:32" ht="18" x14ac:dyDescent="0.35">
      <c r="A233" s="6"/>
      <c r="C233" s="13" t="s">
        <v>586</v>
      </c>
      <c r="D233" s="13" t="str">
        <f t="shared" si="18"/>
        <v xml:space="preserve">sljtf </v>
      </c>
      <c r="E233" s="13" t="str">
        <f t="shared" si="22"/>
        <v>v8\sf</v>
      </c>
      <c r="F233" s="21" t="s">
        <v>234</v>
      </c>
      <c r="G233" s="21" t="s">
        <v>757</v>
      </c>
      <c r="H233" s="21" t="s">
        <v>905</v>
      </c>
      <c r="I233" s="21">
        <f t="shared" si="19"/>
        <v>99</v>
      </c>
      <c r="J233" s="21"/>
      <c r="K233" s="21" t="str">
        <f t="shared" si="20"/>
        <v>-</v>
      </c>
      <c r="L233" s="15">
        <f t="shared" si="21"/>
        <v>34.178082191780824</v>
      </c>
      <c r="O233" s="16"/>
      <c r="P233" s="16"/>
      <c r="Q233" s="16"/>
      <c r="R233" s="16"/>
      <c r="S233" s="21"/>
      <c r="T233" s="21"/>
      <c r="U233" s="21"/>
      <c r="V233" s="5">
        <v>54482</v>
      </c>
      <c r="W233" s="5">
        <v>66957</v>
      </c>
      <c r="Y233" s="5"/>
    </row>
    <row r="234" spans="1:32" ht="18" x14ac:dyDescent="0.35">
      <c r="A234" s="6">
        <v>76</v>
      </c>
      <c r="B234" t="s">
        <v>141</v>
      </c>
      <c r="C234" s="13" t="s">
        <v>587</v>
      </c>
      <c r="D234" s="13" t="str">
        <f t="shared" si="18"/>
        <v xml:space="preserve">lzj </v>
      </c>
      <c r="E234" s="13" t="str">
        <f t="shared" si="22"/>
        <v>r'8fn</v>
      </c>
      <c r="F234" s="21" t="s">
        <v>233</v>
      </c>
      <c r="G234" s="21" t="s">
        <v>756</v>
      </c>
      <c r="H234" s="21" t="s">
        <v>905</v>
      </c>
      <c r="I234" s="21">
        <f t="shared" si="19"/>
        <v>164</v>
      </c>
      <c r="J234" s="21"/>
      <c r="K234" s="21" t="str">
        <f t="shared" si="20"/>
        <v>-</v>
      </c>
      <c r="L234" s="15">
        <f t="shared" si="21"/>
        <v>54.484931506849314</v>
      </c>
      <c r="O234" s="16">
        <v>0</v>
      </c>
      <c r="P234" s="16">
        <v>4</v>
      </c>
      <c r="Q234" s="16">
        <v>0</v>
      </c>
      <c r="R234" s="16">
        <v>0</v>
      </c>
      <c r="S234" s="21" t="s">
        <v>745</v>
      </c>
      <c r="T234" s="21"/>
      <c r="U234" s="21"/>
      <c r="V234" s="5">
        <v>47070</v>
      </c>
      <c r="W234" s="5">
        <v>66957</v>
      </c>
      <c r="Y234" s="5">
        <v>65291</v>
      </c>
      <c r="Z234" s="2" t="s">
        <v>2</v>
      </c>
      <c r="AA234" s="2">
        <v>4</v>
      </c>
      <c r="AB234" s="2">
        <v>1</v>
      </c>
      <c r="AC234" s="2">
        <v>3</v>
      </c>
      <c r="AD234" t="s">
        <v>242</v>
      </c>
      <c r="AE234" t="s">
        <v>316</v>
      </c>
      <c r="AF234" t="s">
        <v>245</v>
      </c>
    </row>
    <row r="235" spans="1:32" ht="18" x14ac:dyDescent="0.35">
      <c r="A235" s="6"/>
      <c r="C235" s="13" t="s">
        <v>588</v>
      </c>
      <c r="D235" s="13" t="str">
        <f t="shared" si="18"/>
        <v xml:space="preserve">;+uLtf </v>
      </c>
      <c r="E235" s="13" t="str">
        <f t="shared" si="22"/>
        <v>r'8fn</v>
      </c>
      <c r="F235" s="21" t="s">
        <v>234</v>
      </c>
      <c r="G235" s="21" t="s">
        <v>756</v>
      </c>
      <c r="H235" s="21" t="s">
        <v>906</v>
      </c>
      <c r="I235" s="21">
        <f t="shared" si="19"/>
        <v>58</v>
      </c>
      <c r="J235" s="21"/>
      <c r="K235" s="21" t="str">
        <f t="shared" si="20"/>
        <v>-</v>
      </c>
      <c r="L235" s="15">
        <f t="shared" si="21"/>
        <v>42.339726027397262</v>
      </c>
      <c r="O235" s="16"/>
      <c r="P235" s="16"/>
      <c r="Q235" s="16"/>
      <c r="R235" s="16"/>
      <c r="S235" s="21"/>
      <c r="T235" s="21"/>
      <c r="U235" s="21"/>
      <c r="V235" s="5">
        <v>51503</v>
      </c>
      <c r="W235" s="5">
        <v>66957</v>
      </c>
      <c r="Y235" s="5"/>
    </row>
    <row r="236" spans="1:32" ht="18" x14ac:dyDescent="0.35">
      <c r="A236" s="6"/>
      <c r="C236" s="13" t="s">
        <v>589</v>
      </c>
      <c r="D236" s="13" t="str">
        <f t="shared" si="18"/>
        <v xml:space="preserve">cl:dtf </v>
      </c>
      <c r="E236" s="13" t="str">
        <f t="shared" si="22"/>
        <v>r'8fn</v>
      </c>
      <c r="F236" s="21" t="s">
        <v>234</v>
      </c>
      <c r="G236" s="21" t="s">
        <v>757</v>
      </c>
      <c r="H236" s="21" t="s">
        <v>905</v>
      </c>
      <c r="I236" s="21">
        <f t="shared" si="19"/>
        <v>99</v>
      </c>
      <c r="J236" s="21"/>
      <c r="K236" s="21" t="str">
        <f t="shared" si="20"/>
        <v>-</v>
      </c>
      <c r="L236" s="15">
        <f t="shared" si="21"/>
        <v>29.972602739726028</v>
      </c>
      <c r="O236" s="16"/>
      <c r="P236" s="16"/>
      <c r="Q236" s="16"/>
      <c r="R236" s="16"/>
      <c r="S236" s="21"/>
      <c r="T236" s="21"/>
      <c r="U236" s="21"/>
      <c r="V236" s="5">
        <v>56017</v>
      </c>
      <c r="W236" s="5">
        <v>66957</v>
      </c>
      <c r="Y236" s="5"/>
    </row>
    <row r="237" spans="1:32" ht="18" x14ac:dyDescent="0.35">
      <c r="A237" s="6"/>
      <c r="C237" s="13" t="s">
        <v>590</v>
      </c>
      <c r="D237" s="13" t="str">
        <f t="shared" si="18"/>
        <v xml:space="preserve">k|]/0ff </v>
      </c>
      <c r="E237" s="13" t="str">
        <f t="shared" si="22"/>
        <v>r'8fn</v>
      </c>
      <c r="F237" s="21" t="s">
        <v>234</v>
      </c>
      <c r="G237" s="21" t="s">
        <v>757</v>
      </c>
      <c r="H237" s="21" t="s">
        <v>905</v>
      </c>
      <c r="I237" s="21">
        <f t="shared" si="19"/>
        <v>99</v>
      </c>
      <c r="J237" s="21"/>
      <c r="K237" s="21" t="str">
        <f t="shared" si="20"/>
        <v>-</v>
      </c>
      <c r="L237" s="15">
        <f t="shared" si="21"/>
        <v>22.816438356164383</v>
      </c>
      <c r="O237" s="16"/>
      <c r="P237" s="16"/>
      <c r="Q237" s="16"/>
      <c r="R237" s="16"/>
      <c r="S237" s="21"/>
      <c r="T237" s="21"/>
      <c r="U237" s="21"/>
      <c r="V237" s="5">
        <v>58629</v>
      </c>
      <c r="W237" s="5">
        <v>66957</v>
      </c>
      <c r="Y237" s="5"/>
    </row>
    <row r="238" spans="1:32" ht="18" x14ac:dyDescent="0.35">
      <c r="A238" s="6">
        <v>77</v>
      </c>
      <c r="B238" t="s">
        <v>142</v>
      </c>
      <c r="C238" s="13" t="s">
        <v>591</v>
      </c>
      <c r="D238" s="13" t="str">
        <f t="shared" si="18"/>
        <v xml:space="preserve">lg? </v>
      </c>
      <c r="E238" s="13" t="str">
        <f t="shared" si="22"/>
        <v>ljZjsdf{</v>
      </c>
      <c r="F238" s="21" t="s">
        <v>234</v>
      </c>
      <c r="G238" s="21" t="s">
        <v>756</v>
      </c>
      <c r="H238" s="21" t="s">
        <v>906</v>
      </c>
      <c r="I238" s="21">
        <f t="shared" si="19"/>
        <v>58</v>
      </c>
      <c r="J238" s="21"/>
      <c r="K238" s="21" t="str">
        <f t="shared" si="20"/>
        <v>-</v>
      </c>
      <c r="L238" s="15">
        <f t="shared" si="21"/>
        <v>44.482191780821921</v>
      </c>
      <c r="O238" s="33">
        <v>0</v>
      </c>
      <c r="P238" s="33">
        <v>3</v>
      </c>
      <c r="Q238" s="33">
        <v>2</v>
      </c>
      <c r="R238" s="33">
        <v>0</v>
      </c>
      <c r="S238" s="29" t="s">
        <v>745</v>
      </c>
      <c r="T238" s="21"/>
      <c r="U238" s="21"/>
      <c r="V238" s="5">
        <v>50721</v>
      </c>
      <c r="W238" s="5">
        <v>66957</v>
      </c>
      <c r="Y238" s="5">
        <v>65290</v>
      </c>
      <c r="Z238" s="2" t="s">
        <v>2</v>
      </c>
      <c r="AA238" s="2">
        <v>3</v>
      </c>
      <c r="AB238" s="2">
        <v>2</v>
      </c>
      <c r="AC238" s="2">
        <v>1</v>
      </c>
      <c r="AD238" t="s">
        <v>242</v>
      </c>
      <c r="AE238" t="s">
        <v>299</v>
      </c>
      <c r="AF238" t="s">
        <v>245</v>
      </c>
    </row>
    <row r="239" spans="1:32" ht="18" x14ac:dyDescent="0.35">
      <c r="A239" s="6"/>
      <c r="C239" s="13" t="s">
        <v>482</v>
      </c>
      <c r="D239" s="13" t="str">
        <f t="shared" si="18"/>
        <v xml:space="preserve">6]s </v>
      </c>
      <c r="E239" s="13" t="str">
        <f t="shared" si="22"/>
        <v>ljZjsdf{</v>
      </c>
      <c r="F239" s="21" t="s">
        <v>233</v>
      </c>
      <c r="G239" s="21" t="s">
        <v>756</v>
      </c>
      <c r="H239" s="21" t="s">
        <v>905</v>
      </c>
      <c r="I239" s="21">
        <f t="shared" si="19"/>
        <v>164</v>
      </c>
      <c r="J239" s="21"/>
      <c r="K239" s="21" t="str">
        <f t="shared" si="20"/>
        <v>-</v>
      </c>
      <c r="L239" s="15">
        <f t="shared" si="21"/>
        <v>45.56712328767123</v>
      </c>
      <c r="O239" s="16"/>
      <c r="P239" s="16"/>
      <c r="Q239" s="16"/>
      <c r="R239" s="16"/>
      <c r="S239" s="21"/>
      <c r="T239" s="21"/>
      <c r="U239" s="21"/>
      <c r="V239" s="5">
        <v>50325</v>
      </c>
      <c r="W239" s="5">
        <v>66957</v>
      </c>
      <c r="Y239" s="5"/>
    </row>
    <row r="240" spans="1:32" ht="18" x14ac:dyDescent="0.35">
      <c r="A240" s="6"/>
      <c r="C240" s="13" t="s">
        <v>592</v>
      </c>
      <c r="D240" s="13" t="str">
        <f t="shared" si="18"/>
        <v xml:space="preserve">lg;fg </v>
      </c>
      <c r="E240" s="13" t="str">
        <f t="shared" si="22"/>
        <v>uxt/fh</v>
      </c>
      <c r="F240" s="21" t="s">
        <v>233</v>
      </c>
      <c r="G240" s="21" t="s">
        <v>757</v>
      </c>
      <c r="H240" s="21" t="s">
        <v>905</v>
      </c>
      <c r="I240" s="21">
        <f t="shared" si="19"/>
        <v>164</v>
      </c>
      <c r="J240" s="21"/>
      <c r="K240" s="21" t="str">
        <f t="shared" si="20"/>
        <v>-</v>
      </c>
      <c r="L240" s="15">
        <f t="shared" si="21"/>
        <v>21.717808219178082</v>
      </c>
      <c r="O240" s="16"/>
      <c r="P240" s="16"/>
      <c r="Q240" s="16"/>
      <c r="R240" s="16"/>
      <c r="S240" s="21"/>
      <c r="T240" s="21"/>
      <c r="U240" s="21"/>
      <c r="V240" s="5">
        <v>59030</v>
      </c>
      <c r="W240" s="5">
        <v>66957</v>
      </c>
      <c r="Y240" s="5"/>
    </row>
    <row r="241" spans="1:32" ht="18" x14ac:dyDescent="0.35">
      <c r="A241" s="6">
        <v>78</v>
      </c>
      <c r="B241" t="s">
        <v>143</v>
      </c>
      <c r="C241" s="13" t="s">
        <v>593</v>
      </c>
      <c r="D241" s="13" t="str">
        <f t="shared" si="18"/>
        <v xml:space="preserve">s'zn </v>
      </c>
      <c r="E241" s="13" t="str">
        <f t="shared" si="22"/>
        <v>wfdL</v>
      </c>
      <c r="F241" s="21" t="s">
        <v>233</v>
      </c>
      <c r="G241" s="21" t="s">
        <v>756</v>
      </c>
      <c r="H241" s="21" t="s">
        <v>905</v>
      </c>
      <c r="I241" s="21">
        <f t="shared" si="19"/>
        <v>164</v>
      </c>
      <c r="J241" s="21"/>
      <c r="K241" s="21" t="str">
        <f t="shared" si="20"/>
        <v>-</v>
      </c>
      <c r="L241" s="15">
        <f t="shared" si="21"/>
        <v>51.326027397260276</v>
      </c>
      <c r="O241" s="16">
        <v>0</v>
      </c>
      <c r="P241" s="16">
        <v>3</v>
      </c>
      <c r="Q241" s="16">
        <v>0</v>
      </c>
      <c r="R241" s="16">
        <v>0</v>
      </c>
      <c r="S241" s="21" t="s">
        <v>745</v>
      </c>
      <c r="T241" s="21"/>
      <c r="U241" s="21"/>
      <c r="V241" s="5">
        <v>48223</v>
      </c>
      <c r="W241" s="5">
        <v>66957</v>
      </c>
      <c r="Y241" s="5">
        <v>65287</v>
      </c>
      <c r="Z241" s="2" t="s">
        <v>2</v>
      </c>
      <c r="AA241" s="2">
        <v>3</v>
      </c>
      <c r="AB241" s="2">
        <v>2</v>
      </c>
      <c r="AC241" s="2">
        <v>1</v>
      </c>
      <c r="AD241" t="s">
        <v>242</v>
      </c>
      <c r="AE241" t="s">
        <v>291</v>
      </c>
      <c r="AF241" t="s">
        <v>245</v>
      </c>
    </row>
    <row r="242" spans="1:32" ht="18" x14ac:dyDescent="0.35">
      <c r="A242" s="6"/>
      <c r="C242" s="13" t="s">
        <v>594</v>
      </c>
      <c r="D242" s="13" t="str">
        <f t="shared" si="18"/>
        <v xml:space="preserve">&gt;LdtL </v>
      </c>
      <c r="E242" s="13" t="str">
        <f t="shared" si="22"/>
        <v>wfdL</v>
      </c>
      <c r="F242" s="21" t="s">
        <v>234</v>
      </c>
      <c r="G242" s="21" t="s">
        <v>756</v>
      </c>
      <c r="H242" s="21" t="s">
        <v>906</v>
      </c>
      <c r="I242" s="21">
        <f t="shared" si="19"/>
        <v>58</v>
      </c>
      <c r="J242" s="21"/>
      <c r="K242" s="21" t="str">
        <f t="shared" si="20"/>
        <v>-</v>
      </c>
      <c r="L242" s="15">
        <f t="shared" si="21"/>
        <v>45.073972602739723</v>
      </c>
      <c r="O242" s="16"/>
      <c r="P242" s="16"/>
      <c r="Q242" s="16"/>
      <c r="R242" s="16"/>
      <c r="S242" s="21"/>
      <c r="T242" s="21"/>
      <c r="U242" s="21"/>
      <c r="V242" s="5">
        <v>50505</v>
      </c>
      <c r="W242" s="5">
        <v>66957</v>
      </c>
      <c r="Y242" s="5"/>
    </row>
    <row r="243" spans="1:32" ht="18" x14ac:dyDescent="0.35">
      <c r="A243" s="6"/>
      <c r="C243" s="13" t="s">
        <v>595</v>
      </c>
      <c r="D243" s="13" t="str">
        <f t="shared" si="18"/>
        <v xml:space="preserve">gljg </v>
      </c>
      <c r="E243" s="13" t="str">
        <f t="shared" si="22"/>
        <v>wfdL</v>
      </c>
      <c r="F243" s="21" t="s">
        <v>233</v>
      </c>
      <c r="G243" s="21" t="s">
        <v>757</v>
      </c>
      <c r="H243" s="21" t="s">
        <v>905</v>
      </c>
      <c r="I243" s="21">
        <f t="shared" si="19"/>
        <v>164</v>
      </c>
      <c r="J243" s="21"/>
      <c r="K243" s="21" t="str">
        <f t="shared" si="20"/>
        <v>-</v>
      </c>
      <c r="L243" s="15">
        <f t="shared" si="21"/>
        <v>24.076712328767123</v>
      </c>
      <c r="O243" s="16"/>
      <c r="P243" s="16"/>
      <c r="Q243" s="16"/>
      <c r="R243" s="16"/>
      <c r="S243" s="21"/>
      <c r="T243" s="21"/>
      <c r="U243" s="21"/>
      <c r="V243" s="5">
        <v>58169</v>
      </c>
      <c r="W243" s="5">
        <v>66957</v>
      </c>
      <c r="Y243" s="5"/>
    </row>
    <row r="244" spans="1:32" ht="18" x14ac:dyDescent="0.35">
      <c r="A244" s="6">
        <v>81</v>
      </c>
      <c r="B244" t="s">
        <v>146</v>
      </c>
      <c r="C244" s="13" t="s">
        <v>604</v>
      </c>
      <c r="D244" s="13" t="str">
        <f t="shared" si="18"/>
        <v xml:space="preserve">hLt </v>
      </c>
      <c r="E244" s="13" t="str">
        <f t="shared" si="22"/>
        <v>a'9fyf]sL</v>
      </c>
      <c r="F244" s="21" t="s">
        <v>233</v>
      </c>
      <c r="G244" s="21" t="s">
        <v>756</v>
      </c>
      <c r="H244" s="21" t="s">
        <v>905</v>
      </c>
      <c r="I244" s="21">
        <f t="shared" si="19"/>
        <v>164</v>
      </c>
      <c r="J244" s="21"/>
      <c r="K244" s="21" t="str">
        <f t="shared" si="20"/>
        <v>-</v>
      </c>
      <c r="L244" s="15">
        <f t="shared" si="21"/>
        <v>37.452054794520549</v>
      </c>
      <c r="O244" s="16" t="s">
        <v>748</v>
      </c>
      <c r="P244" s="16" t="s">
        <v>748</v>
      </c>
      <c r="Q244" s="16" t="s">
        <v>748</v>
      </c>
      <c r="R244" s="16" t="s">
        <v>748</v>
      </c>
      <c r="S244" s="21" t="s">
        <v>748</v>
      </c>
      <c r="T244" s="21"/>
      <c r="U244" s="21"/>
      <c r="V244" s="5">
        <v>53287</v>
      </c>
      <c r="W244" s="5">
        <v>66957</v>
      </c>
      <c r="Y244" s="5">
        <v>65146</v>
      </c>
      <c r="Z244" s="2" t="s">
        <v>2</v>
      </c>
      <c r="AA244" s="2">
        <v>4</v>
      </c>
      <c r="AB244" s="2">
        <v>2</v>
      </c>
      <c r="AC244" s="2">
        <v>2</v>
      </c>
      <c r="AD244" t="s">
        <v>242</v>
      </c>
      <c r="AE244" t="s">
        <v>277</v>
      </c>
      <c r="AF244" t="s">
        <v>245</v>
      </c>
    </row>
    <row r="245" spans="1:32" ht="18" x14ac:dyDescent="0.35">
      <c r="A245" s="6"/>
      <c r="C245" s="13" t="s">
        <v>605</v>
      </c>
      <c r="D245" s="13" t="str">
        <f t="shared" si="18"/>
        <v xml:space="preserve">l/tf </v>
      </c>
      <c r="E245" s="13" t="str">
        <f t="shared" si="22"/>
        <v>s]=;L</v>
      </c>
      <c r="F245" s="21" t="s">
        <v>234</v>
      </c>
      <c r="G245" s="21" t="s">
        <v>756</v>
      </c>
      <c r="H245" s="21" t="s">
        <v>905</v>
      </c>
      <c r="I245" s="21">
        <f t="shared" si="19"/>
        <v>99</v>
      </c>
      <c r="J245" s="21"/>
      <c r="K245" s="21" t="str">
        <f t="shared" si="20"/>
        <v>-</v>
      </c>
      <c r="L245" s="15">
        <f t="shared" si="21"/>
        <v>35.504109589041093</v>
      </c>
      <c r="O245" s="16"/>
      <c r="P245" s="16"/>
      <c r="Q245" s="16"/>
      <c r="R245" s="16"/>
      <c r="S245" s="21"/>
      <c r="T245" s="21"/>
      <c r="U245" s="21"/>
      <c r="V245" s="5">
        <v>53998</v>
      </c>
      <c r="W245" s="5">
        <v>66957</v>
      </c>
      <c r="Y245" s="5"/>
    </row>
    <row r="246" spans="1:32" ht="18" x14ac:dyDescent="0.35">
      <c r="A246" s="6"/>
      <c r="C246" s="13" t="s">
        <v>606</v>
      </c>
      <c r="D246" s="13" t="str">
        <f t="shared" si="18"/>
        <v xml:space="preserve">s[idf </v>
      </c>
      <c r="E246" s="13" t="str">
        <f t="shared" si="22"/>
        <v>a'9fyf]sL</v>
      </c>
      <c r="F246" s="21" t="s">
        <v>234</v>
      </c>
      <c r="G246" s="21" t="s">
        <v>757</v>
      </c>
      <c r="H246" s="21" t="s">
        <v>905</v>
      </c>
      <c r="I246" s="21">
        <f t="shared" si="19"/>
        <v>99</v>
      </c>
      <c r="J246" s="21"/>
      <c r="K246" s="21" t="str">
        <f t="shared" si="20"/>
        <v>-</v>
      </c>
      <c r="L246" s="15">
        <f t="shared" si="21"/>
        <v>11.764383561643836</v>
      </c>
      <c r="O246" s="16"/>
      <c r="P246" s="16"/>
      <c r="Q246" s="16"/>
      <c r="R246" s="16"/>
      <c r="S246" s="21"/>
      <c r="T246" s="21"/>
      <c r="U246" s="21"/>
      <c r="V246" s="5">
        <v>62663</v>
      </c>
      <c r="W246" s="5">
        <v>66957</v>
      </c>
      <c r="Y246" s="5"/>
    </row>
    <row r="247" spans="1:32" ht="18" x14ac:dyDescent="0.35">
      <c r="A247" s="6"/>
      <c r="C247" s="13" t="s">
        <v>607</v>
      </c>
      <c r="D247" s="13" t="str">
        <f t="shared" si="18"/>
        <v xml:space="preserve">k|lht </v>
      </c>
      <c r="E247" s="13" t="str">
        <f t="shared" si="22"/>
        <v>a'9fyf]sL</v>
      </c>
      <c r="F247" s="21" t="s">
        <v>233</v>
      </c>
      <c r="G247" s="21" t="s">
        <v>757</v>
      </c>
      <c r="H247" s="21" t="s">
        <v>905</v>
      </c>
      <c r="I247" s="21">
        <f t="shared" si="19"/>
        <v>164</v>
      </c>
      <c r="J247" s="21"/>
      <c r="K247" s="21" t="str">
        <f t="shared" si="20"/>
        <v>-</v>
      </c>
      <c r="L247" s="15">
        <f t="shared" si="21"/>
        <v>6.8739726027397259</v>
      </c>
      <c r="O247" s="16"/>
      <c r="P247" s="16"/>
      <c r="Q247" s="16"/>
      <c r="R247" s="16"/>
      <c r="S247" s="21"/>
      <c r="T247" s="21"/>
      <c r="U247" s="21"/>
      <c r="V247" s="5">
        <v>64448</v>
      </c>
      <c r="W247" s="5">
        <v>66957</v>
      </c>
      <c r="Y247" s="5"/>
    </row>
    <row r="248" spans="1:32" ht="18" x14ac:dyDescent="0.35">
      <c r="A248" s="6">
        <v>82</v>
      </c>
      <c r="B248" t="s">
        <v>147</v>
      </c>
      <c r="C248" s="13" t="s">
        <v>608</v>
      </c>
      <c r="D248" s="13" t="str">
        <f t="shared" si="18"/>
        <v xml:space="preserve">zld{nf </v>
      </c>
      <c r="E248" s="13" t="str">
        <f t="shared" si="22"/>
        <v>uf}td</v>
      </c>
      <c r="F248" s="21" t="s">
        <v>234</v>
      </c>
      <c r="G248" s="21" t="s">
        <v>756</v>
      </c>
      <c r="H248" s="21" t="s">
        <v>905</v>
      </c>
      <c r="I248" s="21">
        <f t="shared" si="19"/>
        <v>99</v>
      </c>
      <c r="J248" s="21"/>
      <c r="K248" s="21" t="str">
        <f t="shared" si="20"/>
        <v>-</v>
      </c>
      <c r="L248" s="15">
        <f t="shared" si="21"/>
        <v>37.791780821917811</v>
      </c>
      <c r="O248" s="16" t="s">
        <v>748</v>
      </c>
      <c r="P248" s="16" t="s">
        <v>748</v>
      </c>
      <c r="Q248" s="16" t="s">
        <v>748</v>
      </c>
      <c r="R248" s="16" t="s">
        <v>748</v>
      </c>
      <c r="S248" s="21" t="s">
        <v>748</v>
      </c>
      <c r="T248" s="21"/>
      <c r="U248" s="21"/>
      <c r="V248" s="5">
        <v>53163</v>
      </c>
      <c r="W248" s="5">
        <v>66957</v>
      </c>
      <c r="Y248" s="5">
        <v>64977</v>
      </c>
      <c r="Z248" s="2" t="s">
        <v>2</v>
      </c>
      <c r="AA248" s="2">
        <v>2</v>
      </c>
      <c r="AB248" s="2">
        <v>1</v>
      </c>
      <c r="AC248" s="2">
        <v>1</v>
      </c>
      <c r="AD248" t="s">
        <v>240</v>
      </c>
      <c r="AE248" t="s">
        <v>315</v>
      </c>
      <c r="AF248" t="s">
        <v>245</v>
      </c>
    </row>
    <row r="249" spans="1:32" ht="18" x14ac:dyDescent="0.35">
      <c r="A249" s="6"/>
      <c r="C249" s="13" t="s">
        <v>609</v>
      </c>
      <c r="D249" s="13" t="str">
        <f t="shared" si="18"/>
        <v xml:space="preserve">ljsf;s </v>
      </c>
      <c r="E249" s="13" t="str">
        <f t="shared" si="22"/>
        <v>lu/L</v>
      </c>
      <c r="F249" s="21" t="s">
        <v>233</v>
      </c>
      <c r="G249" s="21" t="s">
        <v>757</v>
      </c>
      <c r="H249" s="21" t="s">
        <v>905</v>
      </c>
      <c r="I249" s="21">
        <f t="shared" si="19"/>
        <v>164</v>
      </c>
      <c r="J249" s="21"/>
      <c r="K249" s="21" t="str">
        <f t="shared" si="20"/>
        <v>-</v>
      </c>
      <c r="L249" s="15">
        <f t="shared" si="21"/>
        <v>11.602739726027398</v>
      </c>
      <c r="O249" s="16"/>
      <c r="P249" s="16"/>
      <c r="Q249" s="16"/>
      <c r="R249" s="16"/>
      <c r="S249" s="21"/>
      <c r="T249" s="21"/>
      <c r="U249" s="21"/>
      <c r="V249" s="5">
        <v>62722</v>
      </c>
      <c r="W249" s="5">
        <v>66957</v>
      </c>
      <c r="Y249" s="5"/>
    </row>
    <row r="250" spans="1:32" ht="18" x14ac:dyDescent="0.35">
      <c r="A250" s="6">
        <v>84</v>
      </c>
      <c r="B250" t="s">
        <v>149</v>
      </c>
      <c r="C250" s="13" t="s">
        <v>614</v>
      </c>
      <c r="D250" s="13" t="str">
        <f t="shared" si="18"/>
        <v xml:space="preserve">v8\u </v>
      </c>
      <c r="E250" s="13" t="str">
        <f t="shared" si="22"/>
        <v>&gt;]i7</v>
      </c>
      <c r="F250" s="21" t="s">
        <v>233</v>
      </c>
      <c r="G250" s="21" t="s">
        <v>756</v>
      </c>
      <c r="H250" s="21" t="s">
        <v>905</v>
      </c>
      <c r="I250" s="21">
        <f t="shared" si="19"/>
        <v>164</v>
      </c>
      <c r="J250" s="21"/>
      <c r="K250" s="21" t="str">
        <f t="shared" si="20"/>
        <v>-</v>
      </c>
      <c r="L250" s="15">
        <f t="shared" si="21"/>
        <v>46.334246575342469</v>
      </c>
      <c r="O250" s="16">
        <v>2</v>
      </c>
      <c r="P250" s="16">
        <v>6</v>
      </c>
      <c r="Q250" s="16">
        <v>1</v>
      </c>
      <c r="R250" s="16">
        <v>1</v>
      </c>
      <c r="S250" s="21" t="s">
        <v>910</v>
      </c>
      <c r="T250" s="21"/>
      <c r="U250" s="21"/>
      <c r="V250" s="5">
        <v>50045</v>
      </c>
      <c r="W250" s="5">
        <v>66957</v>
      </c>
      <c r="Y250" s="5">
        <v>64887</v>
      </c>
      <c r="Z250" s="2" t="s">
        <v>2</v>
      </c>
      <c r="AA250" s="2">
        <v>4</v>
      </c>
      <c r="AB250" s="2">
        <v>2</v>
      </c>
      <c r="AC250" s="2">
        <v>2</v>
      </c>
      <c r="AD250" t="s">
        <v>242</v>
      </c>
      <c r="AE250" t="s">
        <v>286</v>
      </c>
      <c r="AF250" t="s">
        <v>245</v>
      </c>
    </row>
    <row r="251" spans="1:32" ht="18" x14ac:dyDescent="0.35">
      <c r="A251" s="6"/>
      <c r="C251" s="13" t="s">
        <v>615</v>
      </c>
      <c r="D251" s="13" t="str">
        <f t="shared" si="18"/>
        <v xml:space="preserve">cl:dtf </v>
      </c>
      <c r="E251" s="13" t="str">
        <f t="shared" si="22"/>
        <v>&gt;]i7</v>
      </c>
      <c r="F251" s="21" t="s">
        <v>234</v>
      </c>
      <c r="G251" s="21" t="s">
        <v>756</v>
      </c>
      <c r="H251" s="21" t="s">
        <v>906</v>
      </c>
      <c r="I251" s="21">
        <f t="shared" si="19"/>
        <v>58</v>
      </c>
      <c r="J251" s="21"/>
      <c r="K251" s="21" t="str">
        <f t="shared" si="20"/>
        <v>-</v>
      </c>
      <c r="L251" s="15">
        <f t="shared" si="21"/>
        <v>43.893150684931506</v>
      </c>
      <c r="O251" s="16"/>
      <c r="P251" s="16"/>
      <c r="Q251" s="16"/>
      <c r="R251" s="16"/>
      <c r="S251" s="21"/>
      <c r="T251" s="21"/>
      <c r="U251" s="21"/>
      <c r="V251" s="5">
        <v>50936</v>
      </c>
      <c r="W251" s="5">
        <v>66957</v>
      </c>
      <c r="Y251" s="5"/>
    </row>
    <row r="252" spans="1:32" ht="18" x14ac:dyDescent="0.35">
      <c r="A252" s="6"/>
      <c r="C252" s="13" t="s">
        <v>616</v>
      </c>
      <c r="D252" s="13" t="str">
        <f t="shared" si="18"/>
        <v xml:space="preserve">cldt </v>
      </c>
      <c r="E252" s="13" t="str">
        <f t="shared" si="22"/>
        <v>&gt;]i7</v>
      </c>
      <c r="F252" s="21" t="s">
        <v>233</v>
      </c>
      <c r="G252" s="21" t="s">
        <v>757</v>
      </c>
      <c r="H252" s="21" t="s">
        <v>905</v>
      </c>
      <c r="I252" s="21">
        <f t="shared" si="19"/>
        <v>164</v>
      </c>
      <c r="J252" s="21"/>
      <c r="K252" s="21" t="str">
        <f t="shared" si="20"/>
        <v>-</v>
      </c>
      <c r="L252" s="15">
        <f t="shared" si="21"/>
        <v>22.761643835616439</v>
      </c>
      <c r="O252" s="16"/>
      <c r="P252" s="16"/>
      <c r="Q252" s="16"/>
      <c r="R252" s="16"/>
      <c r="S252" s="21"/>
      <c r="T252" s="21"/>
      <c r="U252" s="21"/>
      <c r="V252" s="5">
        <v>58649</v>
      </c>
      <c r="W252" s="5">
        <v>66957</v>
      </c>
      <c r="Y252" s="5"/>
    </row>
    <row r="253" spans="1:32" ht="18" x14ac:dyDescent="0.35">
      <c r="A253" s="6"/>
      <c r="C253" s="13" t="s">
        <v>617</v>
      </c>
      <c r="D253" s="13" t="str">
        <f t="shared" si="18"/>
        <v xml:space="preserve">;'l:dtf </v>
      </c>
      <c r="E253" s="13" t="str">
        <f t="shared" si="22"/>
        <v>&gt;]i7</v>
      </c>
      <c r="F253" s="21" t="s">
        <v>234</v>
      </c>
      <c r="G253" s="21" t="s">
        <v>757</v>
      </c>
      <c r="H253" s="21" t="s">
        <v>905</v>
      </c>
      <c r="I253" s="21">
        <f t="shared" si="19"/>
        <v>99</v>
      </c>
      <c r="J253" s="21"/>
      <c r="K253" s="21" t="str">
        <f t="shared" si="20"/>
        <v>-</v>
      </c>
      <c r="L253" s="15">
        <f t="shared" si="21"/>
        <v>20.339726027397262</v>
      </c>
      <c r="O253" s="16"/>
      <c r="P253" s="16"/>
      <c r="Q253" s="16"/>
      <c r="R253" s="16"/>
      <c r="S253" s="21"/>
      <c r="T253" s="21"/>
      <c r="U253" s="21"/>
      <c r="V253" s="5">
        <v>59533</v>
      </c>
      <c r="W253" s="5">
        <v>66957</v>
      </c>
      <c r="Y253" s="5"/>
    </row>
    <row r="254" spans="1:32" ht="18" x14ac:dyDescent="0.35">
      <c r="A254" s="6">
        <v>86</v>
      </c>
      <c r="B254" t="s">
        <v>45</v>
      </c>
      <c r="C254" s="13" t="s">
        <v>622</v>
      </c>
      <c r="D254" s="13" t="str">
        <f t="shared" si="18"/>
        <v xml:space="preserve">clgtf </v>
      </c>
      <c r="E254" s="13" t="str">
        <f t="shared" si="22"/>
        <v>tfdfª</v>
      </c>
      <c r="F254" s="21" t="s">
        <v>234</v>
      </c>
      <c r="G254" s="21" t="s">
        <v>756</v>
      </c>
      <c r="H254" s="21" t="s">
        <v>906</v>
      </c>
      <c r="I254" s="21">
        <f t="shared" si="19"/>
        <v>58</v>
      </c>
      <c r="J254" s="21"/>
      <c r="K254" s="21" t="str">
        <f t="shared" si="20"/>
        <v>-</v>
      </c>
      <c r="L254" s="15">
        <f t="shared" si="21"/>
        <v>52.339726027397262</v>
      </c>
      <c r="O254" s="16">
        <v>0</v>
      </c>
      <c r="P254" s="16">
        <v>5</v>
      </c>
      <c r="Q254" s="16">
        <v>1</v>
      </c>
      <c r="R254" s="16">
        <v>2</v>
      </c>
      <c r="S254" s="21" t="s">
        <v>745</v>
      </c>
      <c r="T254" s="21"/>
      <c r="U254" s="21"/>
      <c r="V254" s="5">
        <v>47853</v>
      </c>
      <c r="W254" s="5">
        <v>66957</v>
      </c>
      <c r="Y254" s="5">
        <v>64618</v>
      </c>
      <c r="Z254" s="2" t="s">
        <v>2</v>
      </c>
      <c r="AA254" s="2">
        <v>4</v>
      </c>
      <c r="AB254" s="2">
        <v>3</v>
      </c>
      <c r="AC254" s="2">
        <v>1</v>
      </c>
      <c r="AD254" t="s">
        <v>241</v>
      </c>
      <c r="AE254" t="s">
        <v>250</v>
      </c>
      <c r="AF254" t="s">
        <v>245</v>
      </c>
    </row>
    <row r="255" spans="1:32" ht="18" x14ac:dyDescent="0.35">
      <c r="A255" s="6"/>
      <c r="C255" s="13" t="s">
        <v>623</v>
      </c>
      <c r="D255" s="13" t="str">
        <f t="shared" si="18"/>
        <v xml:space="preserve">k]Daf </v>
      </c>
      <c r="E255" s="13" t="str">
        <f t="shared" si="22"/>
        <v>tfdfª</v>
      </c>
      <c r="F255" s="21" t="s">
        <v>233</v>
      </c>
      <c r="G255" s="21" t="s">
        <v>756</v>
      </c>
      <c r="H255" s="21" t="s">
        <v>905</v>
      </c>
      <c r="I255" s="21">
        <f t="shared" si="19"/>
        <v>164</v>
      </c>
      <c r="J255" s="21"/>
      <c r="K255" s="21" t="str">
        <f t="shared" si="20"/>
        <v>-</v>
      </c>
      <c r="L255" s="15">
        <f t="shared" si="21"/>
        <v>59.197260273972603</v>
      </c>
      <c r="O255" s="16"/>
      <c r="P255" s="16"/>
      <c r="Q255" s="16"/>
      <c r="R255" s="16"/>
      <c r="S255" s="21"/>
      <c r="T255" s="21"/>
      <c r="U255" s="21"/>
      <c r="V255" s="5">
        <v>45350</v>
      </c>
      <c r="W255" s="5">
        <v>66957</v>
      </c>
      <c r="Y255" s="5"/>
    </row>
    <row r="256" spans="1:32" ht="18" x14ac:dyDescent="0.35">
      <c r="A256" s="6"/>
      <c r="C256" s="13" t="s">
        <v>624</v>
      </c>
      <c r="D256" s="13" t="str">
        <f t="shared" si="18"/>
        <v xml:space="preserve">las|d </v>
      </c>
      <c r="E256" s="13" t="str">
        <f t="shared" si="22"/>
        <v>tfdfª</v>
      </c>
      <c r="F256" s="21" t="s">
        <v>233</v>
      </c>
      <c r="G256" s="21" t="s">
        <v>757</v>
      </c>
      <c r="H256" s="21" t="s">
        <v>905</v>
      </c>
      <c r="I256" s="21">
        <f t="shared" si="19"/>
        <v>164</v>
      </c>
      <c r="J256" s="21"/>
      <c r="K256" s="21" t="str">
        <f t="shared" si="20"/>
        <v>-</v>
      </c>
      <c r="L256" s="15">
        <f t="shared" si="21"/>
        <v>33.172602739726024</v>
      </c>
      <c r="O256" s="16"/>
      <c r="P256" s="16"/>
      <c r="Q256" s="16"/>
      <c r="R256" s="16"/>
      <c r="S256" s="21"/>
      <c r="T256" s="21"/>
      <c r="U256" s="21"/>
      <c r="V256" s="5">
        <v>54849</v>
      </c>
      <c r="W256" s="5">
        <v>66957</v>
      </c>
      <c r="Y256" s="5"/>
    </row>
    <row r="257" spans="1:32" ht="18" x14ac:dyDescent="0.35">
      <c r="A257" s="6"/>
      <c r="C257" s="13" t="s">
        <v>625</v>
      </c>
      <c r="D257" s="13" t="str">
        <f t="shared" si="18"/>
        <v xml:space="preserve">;+lha </v>
      </c>
      <c r="E257" s="13" t="str">
        <f t="shared" si="22"/>
        <v>tfdfª</v>
      </c>
      <c r="F257" s="21" t="s">
        <v>233</v>
      </c>
      <c r="G257" s="21" t="s">
        <v>757</v>
      </c>
      <c r="H257" s="21" t="s">
        <v>905</v>
      </c>
      <c r="I257" s="21">
        <f t="shared" si="19"/>
        <v>164</v>
      </c>
      <c r="J257" s="21"/>
      <c r="K257" s="21" t="str">
        <f t="shared" si="20"/>
        <v>-</v>
      </c>
      <c r="L257" s="15">
        <f t="shared" si="21"/>
        <v>30.980821917808218</v>
      </c>
      <c r="O257" s="16"/>
      <c r="P257" s="16"/>
      <c r="Q257" s="16"/>
      <c r="R257" s="16"/>
      <c r="S257" s="21"/>
      <c r="T257" s="21"/>
      <c r="U257" s="21"/>
      <c r="V257" s="5">
        <v>55649</v>
      </c>
      <c r="W257" s="5">
        <v>66957</v>
      </c>
      <c r="Y257" s="5"/>
    </row>
    <row r="258" spans="1:32" ht="18" x14ac:dyDescent="0.35">
      <c r="A258" s="6">
        <v>87</v>
      </c>
      <c r="B258" t="s">
        <v>151</v>
      </c>
      <c r="C258" s="13" t="s">
        <v>626</v>
      </c>
      <c r="D258" s="13" t="str">
        <f t="shared" si="18"/>
        <v xml:space="preserve">k'gd </v>
      </c>
      <c r="E258" s="13" t="str">
        <f t="shared" si="22"/>
        <v>ld&gt;</v>
      </c>
      <c r="F258" s="21" t="s">
        <v>234</v>
      </c>
      <c r="G258" s="21" t="s">
        <v>756</v>
      </c>
      <c r="H258" s="21" t="s">
        <v>905</v>
      </c>
      <c r="I258" s="21">
        <f t="shared" si="19"/>
        <v>99</v>
      </c>
      <c r="J258" s="21"/>
      <c r="K258" s="21" t="str">
        <f t="shared" si="20"/>
        <v>-</v>
      </c>
      <c r="L258" s="15">
        <f t="shared" si="21"/>
        <v>44.709589041095889</v>
      </c>
      <c r="O258" s="16" t="s">
        <v>748</v>
      </c>
      <c r="P258" s="16" t="s">
        <v>748</v>
      </c>
      <c r="Q258" s="16" t="s">
        <v>748</v>
      </c>
      <c r="R258" s="16" t="s">
        <v>748</v>
      </c>
      <c r="S258" s="21" t="s">
        <v>748</v>
      </c>
      <c r="T258" s="21"/>
      <c r="U258" s="21"/>
      <c r="V258" s="5">
        <v>50638</v>
      </c>
      <c r="W258" s="5">
        <v>66957</v>
      </c>
      <c r="Y258" s="5">
        <v>64618</v>
      </c>
      <c r="Z258" s="2" t="s">
        <v>2</v>
      </c>
      <c r="AA258" s="2">
        <v>1</v>
      </c>
      <c r="AC258" s="2">
        <v>1</v>
      </c>
      <c r="AD258" t="s">
        <v>242</v>
      </c>
      <c r="AE258" t="s">
        <v>301</v>
      </c>
      <c r="AF258" t="s">
        <v>245</v>
      </c>
    </row>
    <row r="259" spans="1:32" ht="18" x14ac:dyDescent="0.35">
      <c r="A259" s="6">
        <v>88</v>
      </c>
      <c r="B259" t="s">
        <v>152</v>
      </c>
      <c r="C259" s="13" t="s">
        <v>627</v>
      </c>
      <c r="D259" s="13" t="str">
        <f t="shared" si="18"/>
        <v xml:space="preserve">s]bf/ </v>
      </c>
      <c r="E259" s="13" t="str">
        <f t="shared" si="22"/>
        <v>yfkf</v>
      </c>
      <c r="F259" s="21" t="s">
        <v>233</v>
      </c>
      <c r="G259" s="21" t="s">
        <v>756</v>
      </c>
      <c r="H259" s="21" t="s">
        <v>905</v>
      </c>
      <c r="I259" s="21">
        <f t="shared" si="19"/>
        <v>164</v>
      </c>
      <c r="J259" s="21"/>
      <c r="K259" s="21" t="str">
        <f t="shared" si="20"/>
        <v>-</v>
      </c>
      <c r="L259" s="15">
        <f t="shared" si="21"/>
        <v>58.126027397260273</v>
      </c>
      <c r="O259" s="16">
        <v>0</v>
      </c>
      <c r="P259" s="16">
        <v>4</v>
      </c>
      <c r="Q259" s="16">
        <v>0</v>
      </c>
      <c r="R259" s="20">
        <v>2</v>
      </c>
      <c r="S259" s="21" t="s">
        <v>745</v>
      </c>
      <c r="T259" s="21"/>
      <c r="U259" s="21"/>
      <c r="V259" s="5">
        <v>45741</v>
      </c>
      <c r="W259" s="5">
        <v>66957</v>
      </c>
      <c r="Y259" s="5">
        <v>64571</v>
      </c>
      <c r="Z259" s="2" t="s">
        <v>2</v>
      </c>
      <c r="AA259" s="2">
        <v>5</v>
      </c>
      <c r="AB259" s="2">
        <v>3</v>
      </c>
      <c r="AC259" s="2">
        <v>2</v>
      </c>
      <c r="AD259" t="s">
        <v>242</v>
      </c>
      <c r="AE259" t="s">
        <v>281</v>
      </c>
      <c r="AF259" t="s">
        <v>245</v>
      </c>
    </row>
    <row r="260" spans="1:32" ht="18" x14ac:dyDescent="0.35">
      <c r="A260" s="6"/>
      <c r="C260" s="13" t="s">
        <v>628</v>
      </c>
      <c r="D260" s="13" t="str">
        <f t="shared" ref="D260:D323" si="23">LEFT(C260,(FIND(" ",C260)))</f>
        <v xml:space="preserve">ljzfn </v>
      </c>
      <c r="E260" s="13" t="str">
        <f t="shared" si="22"/>
        <v>yfkf</v>
      </c>
      <c r="F260" s="21" t="s">
        <v>233</v>
      </c>
      <c r="G260" s="21" t="s">
        <v>757</v>
      </c>
      <c r="H260" s="21" t="s">
        <v>905</v>
      </c>
      <c r="I260" s="21">
        <f t="shared" ref="I260:I323" si="24">IF(L260&gt;=5,(COUNTIFS($H$4:$H$335,H260,$F$4:$F$335,F260)))</f>
        <v>164</v>
      </c>
      <c r="J260" s="21"/>
      <c r="K260" s="21" t="str">
        <f t="shared" ref="K260:K323" si="25">IF(L260&gt;=5,"-")</f>
        <v>-</v>
      </c>
      <c r="L260" s="15">
        <f t="shared" ref="L260:L323" si="26">(W260-V260)/365</f>
        <v>31.054794520547944</v>
      </c>
      <c r="O260" s="16"/>
      <c r="P260" s="16"/>
      <c r="Q260" s="16"/>
      <c r="R260" s="16"/>
      <c r="S260" s="21"/>
      <c r="T260" s="21"/>
      <c r="U260" s="21"/>
      <c r="V260" s="5">
        <v>55622</v>
      </c>
      <c r="W260" s="5">
        <v>66957</v>
      </c>
      <c r="Y260" s="5"/>
    </row>
    <row r="261" spans="1:32" ht="18" x14ac:dyDescent="0.35">
      <c r="A261" s="6"/>
      <c r="C261" s="13" t="s">
        <v>629</v>
      </c>
      <c r="D261" s="13" t="str">
        <f t="shared" si="23"/>
        <v xml:space="preserve">jiff{ </v>
      </c>
      <c r="E261" s="13" t="str">
        <f t="shared" si="22"/>
        <v>yfkf</v>
      </c>
      <c r="F261" s="21" t="s">
        <v>234</v>
      </c>
      <c r="G261" s="21" t="s">
        <v>757</v>
      </c>
      <c r="H261" s="21" t="s">
        <v>905</v>
      </c>
      <c r="I261" s="21">
        <f t="shared" si="24"/>
        <v>99</v>
      </c>
      <c r="J261" s="21"/>
      <c r="K261" s="21" t="str">
        <f t="shared" si="25"/>
        <v>-</v>
      </c>
      <c r="L261" s="15">
        <f t="shared" si="26"/>
        <v>28.641095890410959</v>
      </c>
      <c r="O261" s="16"/>
      <c r="P261" s="16"/>
      <c r="Q261" s="16"/>
      <c r="R261" s="16"/>
      <c r="S261" s="21"/>
      <c r="T261" s="21"/>
      <c r="U261" s="21"/>
      <c r="V261" s="5">
        <v>56503</v>
      </c>
      <c r="W261" s="5">
        <v>66957</v>
      </c>
      <c r="Y261" s="5"/>
    </row>
    <row r="262" spans="1:32" ht="18" x14ac:dyDescent="0.35">
      <c r="A262" s="6"/>
      <c r="C262" s="13" t="s">
        <v>630</v>
      </c>
      <c r="D262" s="13" t="str">
        <f t="shared" si="23"/>
        <v xml:space="preserve">/f]lhgf </v>
      </c>
      <c r="E262" s="13" t="str">
        <f t="shared" si="22"/>
        <v>yfkf</v>
      </c>
      <c r="F262" s="21" t="s">
        <v>234</v>
      </c>
      <c r="G262" s="21" t="s">
        <v>756</v>
      </c>
      <c r="H262" s="21" t="s">
        <v>905</v>
      </c>
      <c r="I262" s="21">
        <f t="shared" si="24"/>
        <v>99</v>
      </c>
      <c r="J262" s="21"/>
      <c r="K262" s="21" t="str">
        <f t="shared" si="25"/>
        <v>-</v>
      </c>
      <c r="L262" s="15">
        <f t="shared" si="26"/>
        <v>52.9972602739726</v>
      </c>
      <c r="O262" s="16"/>
      <c r="P262" s="16"/>
      <c r="Q262" s="16"/>
      <c r="R262" s="16"/>
      <c r="S262" s="21"/>
      <c r="T262" s="21"/>
      <c r="U262" s="21"/>
      <c r="V262" s="5">
        <v>47613</v>
      </c>
      <c r="W262" s="5">
        <v>66957</v>
      </c>
      <c r="Y262" s="5"/>
    </row>
    <row r="263" spans="1:32" ht="18" x14ac:dyDescent="0.35">
      <c r="A263" s="6"/>
      <c r="C263" s="13" t="s">
        <v>631</v>
      </c>
      <c r="D263" s="13" t="str">
        <f t="shared" si="23"/>
        <v xml:space="preserve">ljjz </v>
      </c>
      <c r="E263" s="13" t="str">
        <f t="shared" si="22"/>
        <v>yfkf</v>
      </c>
      <c r="F263" s="21" t="s">
        <v>233</v>
      </c>
      <c r="G263" s="21" t="s">
        <v>757</v>
      </c>
      <c r="H263" s="21" t="s">
        <v>905</v>
      </c>
      <c r="I263" s="21">
        <f t="shared" si="24"/>
        <v>164</v>
      </c>
      <c r="J263" s="21"/>
      <c r="K263" s="21" t="str">
        <f t="shared" si="25"/>
        <v>-</v>
      </c>
      <c r="L263" s="15">
        <f t="shared" si="26"/>
        <v>23.641095890410959</v>
      </c>
      <c r="O263" s="16"/>
      <c r="P263" s="16"/>
      <c r="Q263" s="16"/>
      <c r="R263" s="16"/>
      <c r="S263" s="21"/>
      <c r="T263" s="21"/>
      <c r="U263" s="21"/>
      <c r="V263" s="5">
        <v>58328</v>
      </c>
      <c r="W263" s="5">
        <v>66957</v>
      </c>
      <c r="Y263" s="5"/>
    </row>
    <row r="264" spans="1:32" ht="18" x14ac:dyDescent="0.35">
      <c r="A264" s="6">
        <v>90</v>
      </c>
      <c r="B264" t="s">
        <v>154</v>
      </c>
      <c r="C264" s="13" t="s">
        <v>636</v>
      </c>
      <c r="D264" s="13" t="str">
        <f t="shared" si="23"/>
        <v xml:space="preserve">k'?iff]Qd </v>
      </c>
      <c r="E264" s="13" t="str">
        <f t="shared" si="22"/>
        <v>v8\sf</v>
      </c>
      <c r="F264" s="21" t="s">
        <v>233</v>
      </c>
      <c r="G264" s="21" t="s">
        <v>756</v>
      </c>
      <c r="H264" s="21" t="s">
        <v>905</v>
      </c>
      <c r="I264" s="21">
        <f t="shared" si="24"/>
        <v>164</v>
      </c>
      <c r="J264" s="21"/>
      <c r="K264" s="21" t="str">
        <f t="shared" si="25"/>
        <v>-</v>
      </c>
      <c r="L264" s="15">
        <f t="shared" si="26"/>
        <v>55.610958904109587</v>
      </c>
      <c r="O264" s="16">
        <v>1</v>
      </c>
      <c r="P264" s="16">
        <v>5</v>
      </c>
      <c r="Q264" s="16">
        <v>0</v>
      </c>
      <c r="R264" s="16">
        <v>0</v>
      </c>
      <c r="S264" s="21" t="s">
        <v>910</v>
      </c>
      <c r="T264" s="21"/>
      <c r="U264" s="21"/>
      <c r="V264" s="5">
        <v>46659</v>
      </c>
      <c r="W264" s="5">
        <v>66957</v>
      </c>
      <c r="Y264" s="5">
        <v>64446</v>
      </c>
      <c r="Z264" s="2" t="s">
        <v>2</v>
      </c>
      <c r="AA264" s="2">
        <v>4</v>
      </c>
      <c r="AB264" s="2">
        <v>1</v>
      </c>
      <c r="AC264" s="2">
        <v>3</v>
      </c>
      <c r="AD264" t="s">
        <v>242</v>
      </c>
      <c r="AE264" t="s">
        <v>294</v>
      </c>
      <c r="AF264" t="s">
        <v>245</v>
      </c>
    </row>
    <row r="265" spans="1:32" ht="18" x14ac:dyDescent="0.35">
      <c r="A265" s="6"/>
      <c r="C265" s="13" t="s">
        <v>637</v>
      </c>
      <c r="D265" s="13" t="str">
        <f t="shared" si="23"/>
        <v xml:space="preserve">;'lznf </v>
      </c>
      <c r="E265" s="13" t="str">
        <f t="shared" si="22"/>
        <v>v8\sf</v>
      </c>
      <c r="F265" s="21" t="s">
        <v>234</v>
      </c>
      <c r="G265" s="21" t="s">
        <v>756</v>
      </c>
      <c r="H265" s="21" t="s">
        <v>906</v>
      </c>
      <c r="I265" s="21">
        <f t="shared" si="24"/>
        <v>58</v>
      </c>
      <c r="J265" s="21"/>
      <c r="K265" s="21" t="str">
        <f t="shared" si="25"/>
        <v>-</v>
      </c>
      <c r="L265" s="15">
        <f t="shared" si="26"/>
        <v>51.843835616438355</v>
      </c>
      <c r="O265" s="16"/>
      <c r="P265" s="16"/>
      <c r="Q265" s="16"/>
      <c r="R265" s="16"/>
      <c r="S265" s="21"/>
      <c r="T265" s="21"/>
      <c r="U265" s="21"/>
      <c r="V265" s="5">
        <v>48034</v>
      </c>
      <c r="W265" s="5">
        <v>66957</v>
      </c>
      <c r="Y265" s="5"/>
    </row>
    <row r="266" spans="1:32" ht="18" x14ac:dyDescent="0.35">
      <c r="A266" s="6"/>
      <c r="C266" s="13" t="s">
        <v>638</v>
      </c>
      <c r="D266" s="13" t="str">
        <f t="shared" si="23"/>
        <v xml:space="preserve">k'ikf </v>
      </c>
      <c r="E266" s="13" t="str">
        <f t="shared" si="22"/>
        <v>v8\sf</v>
      </c>
      <c r="F266" s="21" t="s">
        <v>234</v>
      </c>
      <c r="G266" s="21" t="s">
        <v>757</v>
      </c>
      <c r="H266" s="21" t="s">
        <v>905</v>
      </c>
      <c r="I266" s="21">
        <f t="shared" si="24"/>
        <v>99</v>
      </c>
      <c r="J266" s="21"/>
      <c r="K266" s="21" t="str">
        <f t="shared" si="25"/>
        <v>-</v>
      </c>
      <c r="L266" s="15">
        <f t="shared" si="26"/>
        <v>29.605479452054794</v>
      </c>
      <c r="O266" s="16"/>
      <c r="P266" s="16"/>
      <c r="Q266" s="16"/>
      <c r="R266" s="16"/>
      <c r="S266" s="21"/>
      <c r="T266" s="21"/>
      <c r="U266" s="21"/>
      <c r="V266" s="5">
        <v>56151</v>
      </c>
      <c r="W266" s="5">
        <v>66957</v>
      </c>
      <c r="Y266" s="5"/>
    </row>
    <row r="267" spans="1:32" ht="18" x14ac:dyDescent="0.35">
      <c r="A267" s="6"/>
      <c r="C267" s="13" t="s">
        <v>639</v>
      </c>
      <c r="D267" s="13" t="str">
        <f t="shared" si="23"/>
        <v xml:space="preserve">k'is/ </v>
      </c>
      <c r="E267" s="13" t="str">
        <f t="shared" si="22"/>
        <v>v8\sf</v>
      </c>
      <c r="F267" s="21" t="s">
        <v>233</v>
      </c>
      <c r="G267" s="21" t="s">
        <v>757</v>
      </c>
      <c r="H267" s="21" t="s">
        <v>905</v>
      </c>
      <c r="I267" s="21">
        <f t="shared" si="24"/>
        <v>164</v>
      </c>
      <c r="J267" s="21"/>
      <c r="K267" s="21" t="str">
        <f t="shared" si="25"/>
        <v>-</v>
      </c>
      <c r="L267" s="15">
        <f t="shared" si="26"/>
        <v>26.709589041095889</v>
      </c>
      <c r="O267" s="16"/>
      <c r="P267" s="16"/>
      <c r="Q267" s="16"/>
      <c r="R267" s="16"/>
      <c r="S267" s="21"/>
      <c r="T267" s="21"/>
      <c r="U267" s="21"/>
      <c r="V267" s="5">
        <v>57208</v>
      </c>
      <c r="W267" s="5">
        <v>66957</v>
      </c>
      <c r="Y267" s="5"/>
    </row>
    <row r="268" spans="1:32" ht="18" x14ac:dyDescent="0.35">
      <c r="A268" s="6">
        <v>91</v>
      </c>
      <c r="B268" t="s">
        <v>155</v>
      </c>
      <c r="C268" s="13" t="s">
        <v>640</v>
      </c>
      <c r="D268" s="13" t="str">
        <f t="shared" si="23"/>
        <v xml:space="preserve">Rofd' </v>
      </c>
      <c r="E268" s="13" t="str">
        <f t="shared" si="22"/>
        <v>rf}w/L</v>
      </c>
      <c r="F268" s="21" t="s">
        <v>233</v>
      </c>
      <c r="G268" s="21" t="s">
        <v>756</v>
      </c>
      <c r="H268" s="21" t="s">
        <v>905</v>
      </c>
      <c r="I268" s="21">
        <f t="shared" si="24"/>
        <v>164</v>
      </c>
      <c r="J268" s="21"/>
      <c r="K268" s="21" t="str">
        <f t="shared" si="25"/>
        <v>-</v>
      </c>
      <c r="L268" s="15">
        <f t="shared" si="26"/>
        <v>59.750684931506846</v>
      </c>
      <c r="O268" s="16">
        <v>1</v>
      </c>
      <c r="P268" s="16">
        <v>6</v>
      </c>
      <c r="Q268" s="16">
        <f>2</f>
        <v>2</v>
      </c>
      <c r="R268" s="16">
        <f>2</f>
        <v>2</v>
      </c>
      <c r="S268" s="21" t="s">
        <v>910</v>
      </c>
      <c r="T268" s="21"/>
      <c r="U268" s="21"/>
      <c r="V268" s="5">
        <v>45148</v>
      </c>
      <c r="W268" s="5">
        <v>66957</v>
      </c>
      <c r="Y268" s="5">
        <v>64444</v>
      </c>
      <c r="Z268" s="2" t="s">
        <v>2</v>
      </c>
      <c r="AA268" s="2">
        <v>4</v>
      </c>
      <c r="AB268" s="2">
        <v>3</v>
      </c>
      <c r="AC268" s="2">
        <v>1</v>
      </c>
      <c r="AD268" t="s">
        <v>242</v>
      </c>
      <c r="AE268" t="s">
        <v>262</v>
      </c>
      <c r="AF268" t="s">
        <v>245</v>
      </c>
    </row>
    <row r="269" spans="1:32" ht="18" x14ac:dyDescent="0.35">
      <c r="A269" s="6"/>
      <c r="C269" s="13" t="s">
        <v>641</v>
      </c>
      <c r="D269" s="13" t="str">
        <f t="shared" si="23"/>
        <v xml:space="preserve">lg/h </v>
      </c>
      <c r="E269" s="13" t="str">
        <f t="shared" si="22"/>
        <v>rf}w/L</v>
      </c>
      <c r="F269" s="21" t="s">
        <v>233</v>
      </c>
      <c r="G269" s="21" t="s">
        <v>757</v>
      </c>
      <c r="H269" s="21" t="s">
        <v>905</v>
      </c>
      <c r="I269" s="21">
        <f t="shared" si="24"/>
        <v>164</v>
      </c>
      <c r="J269" s="21"/>
      <c r="K269" s="21" t="str">
        <f t="shared" si="25"/>
        <v>-</v>
      </c>
      <c r="L269" s="15">
        <f t="shared" si="26"/>
        <v>30.416438356164385</v>
      </c>
      <c r="O269" s="16"/>
      <c r="P269" s="16"/>
      <c r="Q269" s="16"/>
      <c r="R269" s="16"/>
      <c r="S269" s="21"/>
      <c r="T269" s="21"/>
      <c r="U269" s="21"/>
      <c r="V269" s="5">
        <v>55855</v>
      </c>
      <c r="W269" s="5">
        <v>66957</v>
      </c>
      <c r="Y269" s="5"/>
    </row>
    <row r="270" spans="1:32" ht="18" x14ac:dyDescent="0.35">
      <c r="A270" s="6"/>
      <c r="C270" s="13" t="s">
        <v>642</v>
      </c>
      <c r="D270" s="13" t="str">
        <f t="shared" si="23"/>
        <v xml:space="preserve">lgzfGt </v>
      </c>
      <c r="E270" s="13" t="str">
        <f t="shared" si="22"/>
        <v>rf}w/L</v>
      </c>
      <c r="F270" s="21" t="s">
        <v>233</v>
      </c>
      <c r="G270" s="21" t="s">
        <v>757</v>
      </c>
      <c r="H270" s="21" t="s">
        <v>905</v>
      </c>
      <c r="I270" s="21">
        <f t="shared" si="24"/>
        <v>164</v>
      </c>
      <c r="J270" s="21"/>
      <c r="K270" s="21" t="str">
        <f t="shared" si="25"/>
        <v>-</v>
      </c>
      <c r="L270" s="15">
        <f t="shared" si="26"/>
        <v>22.758904109589039</v>
      </c>
      <c r="O270" s="16"/>
      <c r="P270" s="16"/>
      <c r="Q270" s="16"/>
      <c r="R270" s="16"/>
      <c r="S270" s="21"/>
      <c r="T270" s="21"/>
      <c r="U270" s="21"/>
      <c r="V270" s="5">
        <v>58650</v>
      </c>
      <c r="W270" s="5">
        <v>66957</v>
      </c>
      <c r="Y270" s="5"/>
    </row>
    <row r="271" spans="1:32" ht="18" x14ac:dyDescent="0.35">
      <c r="A271" s="6"/>
      <c r="C271" s="13" t="s">
        <v>643</v>
      </c>
      <c r="D271" s="13" t="str">
        <f t="shared" si="23"/>
        <v xml:space="preserve">e'jg </v>
      </c>
      <c r="E271" s="13" t="str">
        <f t="shared" si="22"/>
        <v>rf}w/L</v>
      </c>
      <c r="F271" s="21" t="s">
        <v>234</v>
      </c>
      <c r="G271" s="21" t="s">
        <v>756</v>
      </c>
      <c r="H271" s="21" t="s">
        <v>906</v>
      </c>
      <c r="I271" s="21">
        <f t="shared" si="24"/>
        <v>58</v>
      </c>
      <c r="J271" s="21"/>
      <c r="K271" s="21" t="str">
        <f t="shared" si="25"/>
        <v>-</v>
      </c>
      <c r="L271" s="15">
        <f t="shared" si="26"/>
        <v>51.063013698630137</v>
      </c>
      <c r="O271" s="16"/>
      <c r="P271" s="16"/>
      <c r="Q271" s="16"/>
      <c r="R271" s="16"/>
      <c r="S271" s="21"/>
      <c r="T271" s="21"/>
      <c r="U271" s="21"/>
      <c r="V271" s="5">
        <v>48319</v>
      </c>
      <c r="W271" s="5">
        <v>66957</v>
      </c>
      <c r="Y271" s="5"/>
    </row>
    <row r="272" spans="1:32" ht="18" x14ac:dyDescent="0.35">
      <c r="A272" s="6">
        <v>92</v>
      </c>
      <c r="B272" t="s">
        <v>156</v>
      </c>
      <c r="C272" s="13" t="s">
        <v>644</v>
      </c>
      <c r="D272" s="13" t="str">
        <f t="shared" si="23"/>
        <v xml:space="preserve">l8NnL </v>
      </c>
      <c r="E272" s="13" t="str">
        <f t="shared" si="22"/>
        <v>&gt;]i7</v>
      </c>
      <c r="F272" s="21" t="s">
        <v>234</v>
      </c>
      <c r="G272" s="21" t="s">
        <v>756</v>
      </c>
      <c r="H272" s="21" t="s">
        <v>906</v>
      </c>
      <c r="I272" s="21">
        <f t="shared" si="24"/>
        <v>58</v>
      </c>
      <c r="J272" s="21"/>
      <c r="K272" s="21" t="str">
        <f t="shared" si="25"/>
        <v>-</v>
      </c>
      <c r="L272" s="15">
        <f t="shared" si="26"/>
        <v>47.073972602739723</v>
      </c>
      <c r="O272" s="16">
        <v>0</v>
      </c>
      <c r="P272" s="16">
        <v>8</v>
      </c>
      <c r="Q272" s="16">
        <v>0</v>
      </c>
      <c r="R272" s="16">
        <v>0</v>
      </c>
      <c r="S272" s="21" t="s">
        <v>745</v>
      </c>
      <c r="T272" s="21"/>
      <c r="U272" s="21"/>
      <c r="V272" s="5">
        <v>49775</v>
      </c>
      <c r="W272" s="5">
        <v>66957</v>
      </c>
      <c r="Y272" s="5">
        <v>64424</v>
      </c>
      <c r="Z272" s="2" t="s">
        <v>2</v>
      </c>
      <c r="AA272" s="2">
        <v>4</v>
      </c>
      <c r="AB272" s="2">
        <v>2</v>
      </c>
      <c r="AC272" s="2">
        <v>2</v>
      </c>
      <c r="AD272" t="s">
        <v>242</v>
      </c>
      <c r="AE272" t="s">
        <v>265</v>
      </c>
      <c r="AF272" t="s">
        <v>245</v>
      </c>
    </row>
    <row r="273" spans="1:32" ht="18" x14ac:dyDescent="0.35">
      <c r="A273" s="6"/>
      <c r="C273" s="13" t="s">
        <v>645</v>
      </c>
      <c r="D273" s="13" t="str">
        <f t="shared" si="23"/>
        <v xml:space="preserve">k|]d </v>
      </c>
      <c r="E273" s="13" t="str">
        <f t="shared" si="22"/>
        <v>&gt;]i7</v>
      </c>
      <c r="F273" s="21" t="s">
        <v>233</v>
      </c>
      <c r="G273" s="21" t="s">
        <v>756</v>
      </c>
      <c r="H273" s="21" t="s">
        <v>905</v>
      </c>
      <c r="I273" s="21">
        <f t="shared" si="24"/>
        <v>164</v>
      </c>
      <c r="J273" s="21"/>
      <c r="K273" s="21" t="str">
        <f t="shared" si="25"/>
        <v>-</v>
      </c>
      <c r="L273" s="15">
        <f t="shared" si="26"/>
        <v>62.156164383561645</v>
      </c>
      <c r="O273" s="16"/>
      <c r="P273" s="16"/>
      <c r="Q273" s="16"/>
      <c r="R273" s="16"/>
      <c r="S273" s="21"/>
      <c r="T273" s="21"/>
      <c r="U273" s="21"/>
      <c r="V273" s="5">
        <v>44270</v>
      </c>
      <c r="W273" s="5">
        <v>66957</v>
      </c>
      <c r="Y273" s="5"/>
    </row>
    <row r="274" spans="1:32" ht="18" x14ac:dyDescent="0.35">
      <c r="A274" s="6"/>
      <c r="C274" s="13" t="s">
        <v>646</v>
      </c>
      <c r="D274" s="13" t="str">
        <f t="shared" si="23"/>
        <v xml:space="preserve">k'gd </v>
      </c>
      <c r="E274" s="13" t="str">
        <f t="shared" si="22"/>
        <v>&gt;]i7</v>
      </c>
      <c r="F274" s="21" t="s">
        <v>234</v>
      </c>
      <c r="G274" s="21" t="s">
        <v>757</v>
      </c>
      <c r="H274" s="21" t="s">
        <v>905</v>
      </c>
      <c r="I274" s="21">
        <f t="shared" si="24"/>
        <v>99</v>
      </c>
      <c r="J274" s="21"/>
      <c r="K274" s="21" t="str">
        <f t="shared" si="25"/>
        <v>-</v>
      </c>
      <c r="L274" s="15">
        <f t="shared" si="26"/>
        <v>25.246575342465754</v>
      </c>
      <c r="O274" s="16"/>
      <c r="P274" s="16"/>
      <c r="Q274" s="16"/>
      <c r="R274" s="16"/>
      <c r="S274" s="21"/>
      <c r="T274" s="21"/>
      <c r="U274" s="21"/>
      <c r="V274" s="5">
        <v>57742</v>
      </c>
      <c r="W274" s="5">
        <v>66957</v>
      </c>
      <c r="Y274" s="5"/>
    </row>
    <row r="275" spans="1:32" ht="18" x14ac:dyDescent="0.35">
      <c r="A275" s="6"/>
      <c r="C275" s="13" t="s">
        <v>647</v>
      </c>
      <c r="D275" s="13" t="str">
        <f t="shared" si="23"/>
        <v xml:space="preserve">k|lbk </v>
      </c>
      <c r="E275" s="13" t="str">
        <f t="shared" si="22"/>
        <v>&gt;]i7</v>
      </c>
      <c r="F275" s="21" t="s">
        <v>233</v>
      </c>
      <c r="G275" s="21" t="s">
        <v>757</v>
      </c>
      <c r="H275" s="21" t="s">
        <v>905</v>
      </c>
      <c r="I275" s="21">
        <f t="shared" si="24"/>
        <v>164</v>
      </c>
      <c r="J275" s="21"/>
      <c r="K275" s="21" t="str">
        <f t="shared" si="25"/>
        <v>-</v>
      </c>
      <c r="L275" s="15">
        <f t="shared" si="26"/>
        <v>20.646575342465752</v>
      </c>
      <c r="O275" s="16"/>
      <c r="P275" s="16"/>
      <c r="Q275" s="16"/>
      <c r="R275" s="16"/>
      <c r="S275" s="21"/>
      <c r="T275" s="21"/>
      <c r="U275" s="21"/>
      <c r="V275" s="5">
        <v>59421</v>
      </c>
      <c r="W275" s="5">
        <v>66957</v>
      </c>
      <c r="Y275" s="5"/>
    </row>
    <row r="276" spans="1:32" ht="18" x14ac:dyDescent="0.35">
      <c r="A276" s="6">
        <v>93</v>
      </c>
      <c r="B276" t="s">
        <v>157</v>
      </c>
      <c r="C276" s="13" t="s">
        <v>648</v>
      </c>
      <c r="D276" s="13" t="str">
        <f t="shared" si="23"/>
        <v xml:space="preserve">o1 </v>
      </c>
      <c r="E276" s="13" t="str">
        <f t="shared" si="22"/>
        <v>j/fn</v>
      </c>
      <c r="F276" s="21" t="s">
        <v>233</v>
      </c>
      <c r="G276" s="21" t="s">
        <v>756</v>
      </c>
      <c r="H276" s="21" t="s">
        <v>905</v>
      </c>
      <c r="I276" s="21">
        <f t="shared" si="24"/>
        <v>164</v>
      </c>
      <c r="J276" s="21"/>
      <c r="K276" s="21" t="str">
        <f t="shared" si="25"/>
        <v>-</v>
      </c>
      <c r="L276" s="15">
        <f t="shared" si="26"/>
        <v>39.731506849315068</v>
      </c>
      <c r="O276" s="16">
        <v>1</v>
      </c>
      <c r="P276" s="16">
        <v>0</v>
      </c>
      <c r="Q276" s="16">
        <v>3</v>
      </c>
      <c r="R276" s="16">
        <v>0</v>
      </c>
      <c r="S276" s="21" t="s">
        <v>910</v>
      </c>
      <c r="T276" s="21"/>
      <c r="U276" s="21"/>
      <c r="V276" s="5">
        <v>52455</v>
      </c>
      <c r="W276" s="5">
        <v>66957</v>
      </c>
      <c r="Y276" s="5">
        <v>64395</v>
      </c>
      <c r="Z276" s="2" t="s">
        <v>2</v>
      </c>
      <c r="AA276" s="2">
        <v>2</v>
      </c>
      <c r="AB276" s="2">
        <v>1</v>
      </c>
      <c r="AC276" s="2">
        <v>1</v>
      </c>
      <c r="AD276" t="s">
        <v>242</v>
      </c>
      <c r="AE276" t="s">
        <v>335</v>
      </c>
      <c r="AF276" t="s">
        <v>245</v>
      </c>
    </row>
    <row r="277" spans="1:32" ht="18" x14ac:dyDescent="0.35">
      <c r="A277" s="6"/>
      <c r="C277" s="13" t="s">
        <v>649</v>
      </c>
      <c r="D277" s="13" t="str">
        <f t="shared" si="23"/>
        <v xml:space="preserve">/df </v>
      </c>
      <c r="E277" s="13" t="str">
        <f t="shared" si="22"/>
        <v>&gt;]i7</v>
      </c>
      <c r="F277" s="21" t="s">
        <v>234</v>
      </c>
      <c r="G277" s="21" t="s">
        <v>756</v>
      </c>
      <c r="H277" s="21" t="s">
        <v>905</v>
      </c>
      <c r="I277" s="21">
        <f t="shared" si="24"/>
        <v>99</v>
      </c>
      <c r="J277" s="21"/>
      <c r="K277" s="21" t="str">
        <f t="shared" si="25"/>
        <v>-</v>
      </c>
      <c r="L277" s="15">
        <f t="shared" si="26"/>
        <v>35.895890410958906</v>
      </c>
      <c r="O277" s="16"/>
      <c r="P277" s="16"/>
      <c r="Q277" s="16"/>
      <c r="R277" s="16"/>
      <c r="S277" s="21"/>
      <c r="T277" s="21"/>
      <c r="U277" s="21"/>
      <c r="V277" s="5">
        <v>53855</v>
      </c>
      <c r="W277" s="5">
        <v>66957</v>
      </c>
      <c r="Y277" s="5"/>
    </row>
    <row r="278" spans="1:32" ht="18" x14ac:dyDescent="0.35">
      <c r="A278" s="6">
        <v>94</v>
      </c>
      <c r="B278" t="s">
        <v>158</v>
      </c>
      <c r="C278" s="13" t="s">
        <v>650</v>
      </c>
      <c r="D278" s="13" t="str">
        <f t="shared" si="23"/>
        <v xml:space="preserve">;f]d </v>
      </c>
      <c r="E278" s="13" t="str">
        <f t="shared" ref="E278:E335" si="27">TRIM(RIGHT(SUBSTITUTE(C278," ",REPT(" ",255)),255))</f>
        <v>/fO{</v>
      </c>
      <c r="F278" s="21" t="s">
        <v>233</v>
      </c>
      <c r="G278" s="21" t="s">
        <v>756</v>
      </c>
      <c r="H278" s="21" t="s">
        <v>905</v>
      </c>
      <c r="I278" s="21">
        <f t="shared" si="24"/>
        <v>164</v>
      </c>
      <c r="J278" s="21"/>
      <c r="K278" s="21" t="str">
        <f t="shared" si="25"/>
        <v>-</v>
      </c>
      <c r="L278" s="15">
        <f t="shared" si="26"/>
        <v>56.457534246575342</v>
      </c>
      <c r="O278" s="33">
        <v>0</v>
      </c>
      <c r="P278" s="33">
        <v>5</v>
      </c>
      <c r="Q278" s="33">
        <v>0</v>
      </c>
      <c r="R278" s="33">
        <v>0</v>
      </c>
      <c r="S278" s="29" t="s">
        <v>745</v>
      </c>
      <c r="T278" s="21"/>
      <c r="U278" s="21"/>
      <c r="V278" s="5">
        <v>46350</v>
      </c>
      <c r="W278" s="5">
        <v>66957</v>
      </c>
      <c r="Y278" s="5">
        <v>64320</v>
      </c>
      <c r="Z278" s="2" t="s">
        <v>2</v>
      </c>
      <c r="AA278" s="2">
        <v>4</v>
      </c>
      <c r="AB278" s="2">
        <v>1</v>
      </c>
      <c r="AC278" s="2">
        <v>3</v>
      </c>
      <c r="AD278" t="s">
        <v>241</v>
      </c>
      <c r="AE278" t="s">
        <v>323</v>
      </c>
      <c r="AF278" t="s">
        <v>245</v>
      </c>
    </row>
    <row r="279" spans="1:32" ht="18" x14ac:dyDescent="0.35">
      <c r="A279" s="6"/>
      <c r="C279" s="13" t="s">
        <v>651</v>
      </c>
      <c r="D279" s="13" t="str">
        <f t="shared" si="23"/>
        <v xml:space="preserve">vf]l/gf </v>
      </c>
      <c r="E279" s="13" t="str">
        <f t="shared" si="27"/>
        <v>/fO{</v>
      </c>
      <c r="F279" s="21" t="s">
        <v>234</v>
      </c>
      <c r="G279" s="21" t="s">
        <v>757</v>
      </c>
      <c r="H279" s="21" t="s">
        <v>905</v>
      </c>
      <c r="I279" s="21">
        <f t="shared" si="24"/>
        <v>99</v>
      </c>
      <c r="J279" s="21"/>
      <c r="K279" s="21" t="str">
        <f t="shared" si="25"/>
        <v>-</v>
      </c>
      <c r="L279" s="15">
        <f t="shared" si="26"/>
        <v>29.830136986301369</v>
      </c>
      <c r="O279" s="16"/>
      <c r="P279" s="16"/>
      <c r="Q279" s="16"/>
      <c r="R279" s="16"/>
      <c r="S279" s="21"/>
      <c r="T279" s="21"/>
      <c r="U279" s="21"/>
      <c r="V279" s="5">
        <v>56069</v>
      </c>
      <c r="W279" s="5">
        <v>66957</v>
      </c>
      <c r="Y279" s="5"/>
    </row>
    <row r="280" spans="1:32" ht="18" x14ac:dyDescent="0.35">
      <c r="A280" s="6"/>
      <c r="C280" s="13" t="s">
        <v>652</v>
      </c>
      <c r="D280" s="13" t="str">
        <f t="shared" si="23"/>
        <v xml:space="preserve">s?0ff </v>
      </c>
      <c r="E280" s="13" t="str">
        <f t="shared" si="27"/>
        <v>/fO{</v>
      </c>
      <c r="F280" s="21" t="s">
        <v>234</v>
      </c>
      <c r="G280" s="21" t="s">
        <v>757</v>
      </c>
      <c r="H280" s="21" t="s">
        <v>905</v>
      </c>
      <c r="I280" s="21">
        <f t="shared" si="24"/>
        <v>99</v>
      </c>
      <c r="J280" s="21"/>
      <c r="K280" s="21" t="str">
        <f t="shared" si="25"/>
        <v>-</v>
      </c>
      <c r="L280" s="15">
        <f t="shared" si="26"/>
        <v>25.095890410958905</v>
      </c>
      <c r="O280" s="16"/>
      <c r="P280" s="16"/>
      <c r="Q280" s="16"/>
      <c r="R280" s="16"/>
      <c r="S280" s="21"/>
      <c r="T280" s="21"/>
      <c r="U280" s="21"/>
      <c r="V280" s="5">
        <v>57797</v>
      </c>
      <c r="W280" s="5">
        <v>66957</v>
      </c>
      <c r="Y280" s="5"/>
    </row>
    <row r="281" spans="1:32" ht="18" x14ac:dyDescent="0.35">
      <c r="A281" s="6"/>
      <c r="C281" s="13" t="s">
        <v>653</v>
      </c>
      <c r="D281" s="13" t="str">
        <f t="shared" si="23"/>
        <v xml:space="preserve">hf]/dtL </v>
      </c>
      <c r="E281" s="13" t="str">
        <f t="shared" si="27"/>
        <v>/fO{</v>
      </c>
      <c r="F281" s="21" t="s">
        <v>234</v>
      </c>
      <c r="G281" s="21" t="s">
        <v>756</v>
      </c>
      <c r="H281" s="21" t="s">
        <v>906</v>
      </c>
      <c r="I281" s="21">
        <f t="shared" si="24"/>
        <v>58</v>
      </c>
      <c r="J281" s="21"/>
      <c r="K281" s="21" t="str">
        <f t="shared" si="25"/>
        <v>-</v>
      </c>
      <c r="L281" s="15">
        <f t="shared" si="26"/>
        <v>59.5013698630137</v>
      </c>
      <c r="O281" s="16"/>
      <c r="P281" s="16"/>
      <c r="Q281" s="16"/>
      <c r="R281" s="16"/>
      <c r="S281" s="21"/>
      <c r="T281" s="21"/>
      <c r="U281" s="21"/>
      <c r="V281" s="5">
        <v>45239</v>
      </c>
      <c r="W281" s="5">
        <v>66957</v>
      </c>
      <c r="Y281" s="5"/>
    </row>
    <row r="282" spans="1:32" ht="18" x14ac:dyDescent="0.35">
      <c r="A282" s="6">
        <v>95</v>
      </c>
      <c r="B282" t="s">
        <v>159</v>
      </c>
      <c r="C282" s="13" t="s">
        <v>654</v>
      </c>
      <c r="D282" s="13" t="str">
        <f t="shared" si="23"/>
        <v xml:space="preserve">/fdnfn </v>
      </c>
      <c r="E282" s="13" t="str">
        <f t="shared" si="27"/>
        <v>l3ld/]</v>
      </c>
      <c r="F282" s="21" t="s">
        <v>233</v>
      </c>
      <c r="G282" s="21" t="s">
        <v>756</v>
      </c>
      <c r="H282" s="21" t="s">
        <v>905</v>
      </c>
      <c r="I282" s="21">
        <f t="shared" si="24"/>
        <v>164</v>
      </c>
      <c r="J282" s="21"/>
      <c r="K282" s="21" t="str">
        <f t="shared" si="25"/>
        <v>-</v>
      </c>
      <c r="L282" s="15">
        <f t="shared" si="26"/>
        <v>81.454794520547949</v>
      </c>
      <c r="O282" s="16">
        <v>0</v>
      </c>
      <c r="P282" s="16">
        <v>3</v>
      </c>
      <c r="Q282" s="16">
        <v>3</v>
      </c>
      <c r="R282" s="16">
        <v>0</v>
      </c>
      <c r="S282" s="21" t="s">
        <v>745</v>
      </c>
      <c r="T282" s="21"/>
      <c r="U282" s="21"/>
      <c r="V282" s="5">
        <v>37226</v>
      </c>
      <c r="W282" s="5">
        <v>66957</v>
      </c>
      <c r="Y282" s="5">
        <v>64167</v>
      </c>
      <c r="Z282" s="2" t="s">
        <v>2</v>
      </c>
      <c r="AA282" s="2">
        <v>2</v>
      </c>
      <c r="AB282" s="2">
        <v>1</v>
      </c>
      <c r="AC282" s="2">
        <v>1</v>
      </c>
      <c r="AD282" t="s">
        <v>242</v>
      </c>
      <c r="AE282" t="s">
        <v>306</v>
      </c>
      <c r="AF282" t="s">
        <v>245</v>
      </c>
    </row>
    <row r="283" spans="1:32" ht="18" x14ac:dyDescent="0.35">
      <c r="A283" s="6"/>
      <c r="C283" s="13" t="s">
        <v>409</v>
      </c>
      <c r="D283" s="13" t="str">
        <f t="shared" si="23"/>
        <v xml:space="preserve">ltndfof </v>
      </c>
      <c r="E283" s="13" t="str">
        <f t="shared" si="27"/>
        <v>l3ld/]</v>
      </c>
      <c r="F283" s="21" t="s">
        <v>234</v>
      </c>
      <c r="G283" s="21" t="s">
        <v>756</v>
      </c>
      <c r="H283" s="21" t="s">
        <v>906</v>
      </c>
      <c r="I283" s="21">
        <f t="shared" si="24"/>
        <v>58</v>
      </c>
      <c r="J283" s="21"/>
      <c r="K283" s="21" t="str">
        <f t="shared" si="25"/>
        <v>-</v>
      </c>
      <c r="L283" s="15">
        <f t="shared" si="26"/>
        <v>76.452054794520549</v>
      </c>
      <c r="O283" s="16"/>
      <c r="P283" s="16"/>
      <c r="Q283" s="16"/>
      <c r="R283" s="16"/>
      <c r="S283" s="21"/>
      <c r="T283" s="21"/>
      <c r="U283" s="21"/>
      <c r="V283" s="5">
        <v>39052</v>
      </c>
      <c r="W283" s="5">
        <v>66957</v>
      </c>
      <c r="Y283" s="5"/>
    </row>
    <row r="284" spans="1:32" ht="18" x14ac:dyDescent="0.35">
      <c r="A284" s="6">
        <v>97</v>
      </c>
      <c r="B284" t="s">
        <v>161</v>
      </c>
      <c r="C284" s="13" t="s">
        <v>660</v>
      </c>
      <c r="D284" s="13" t="str">
        <f t="shared" si="23"/>
        <v xml:space="preserve">5]q </v>
      </c>
      <c r="E284" s="13" t="str">
        <f t="shared" si="27"/>
        <v>&gt;]i7</v>
      </c>
      <c r="F284" s="21" t="s">
        <v>233</v>
      </c>
      <c r="G284" s="21" t="s">
        <v>756</v>
      </c>
      <c r="H284" s="21" t="s">
        <v>905</v>
      </c>
      <c r="I284" s="21">
        <f t="shared" si="24"/>
        <v>164</v>
      </c>
      <c r="J284" s="21"/>
      <c r="K284" s="21" t="str">
        <f t="shared" si="25"/>
        <v>-</v>
      </c>
      <c r="L284" s="15">
        <f t="shared" si="26"/>
        <v>59.457534246575342</v>
      </c>
      <c r="O284" s="33">
        <v>1</v>
      </c>
      <c r="P284" s="33">
        <v>3</v>
      </c>
      <c r="Q284" s="33">
        <v>0</v>
      </c>
      <c r="R284" s="33">
        <v>2</v>
      </c>
      <c r="S284" s="29" t="s">
        <v>744</v>
      </c>
      <c r="T284" s="21"/>
      <c r="U284" s="21"/>
      <c r="V284" s="5">
        <v>45255</v>
      </c>
      <c r="W284" s="5">
        <v>66957</v>
      </c>
      <c r="Y284" s="5">
        <v>64099</v>
      </c>
      <c r="Z284" s="2" t="s">
        <v>2</v>
      </c>
      <c r="AA284" s="2">
        <v>5</v>
      </c>
      <c r="AB284" s="2">
        <v>3</v>
      </c>
      <c r="AC284" s="2">
        <v>2</v>
      </c>
      <c r="AD284" t="s">
        <v>242</v>
      </c>
      <c r="AE284" t="s">
        <v>284</v>
      </c>
      <c r="AF284" t="s">
        <v>245</v>
      </c>
    </row>
    <row r="285" spans="1:32" ht="18" x14ac:dyDescent="0.35">
      <c r="A285" s="6"/>
      <c r="C285" s="13" t="s">
        <v>661</v>
      </c>
      <c r="D285" s="13" t="str">
        <f t="shared" si="23"/>
        <v xml:space="preserve">;]tL </v>
      </c>
      <c r="E285" s="13" t="str">
        <f t="shared" si="27"/>
        <v>&gt;]i7</v>
      </c>
      <c r="F285" s="21" t="s">
        <v>234</v>
      </c>
      <c r="G285" s="21" t="s">
        <v>756</v>
      </c>
      <c r="H285" s="21" t="s">
        <v>906</v>
      </c>
      <c r="I285" s="21">
        <f t="shared" si="24"/>
        <v>58</v>
      </c>
      <c r="J285" s="21"/>
      <c r="K285" s="21" t="str">
        <f t="shared" si="25"/>
        <v>-</v>
      </c>
      <c r="L285" s="15">
        <f t="shared" si="26"/>
        <v>54.821917808219176</v>
      </c>
      <c r="O285" s="16"/>
      <c r="P285" s="16"/>
      <c r="Q285" s="16"/>
      <c r="R285" s="16"/>
      <c r="S285" s="21"/>
      <c r="T285" s="21"/>
      <c r="U285" s="21"/>
      <c r="V285" s="5">
        <v>46947</v>
      </c>
      <c r="W285" s="5">
        <v>66957</v>
      </c>
      <c r="Y285" s="5"/>
    </row>
    <row r="286" spans="1:32" ht="18" x14ac:dyDescent="0.35">
      <c r="A286" s="6"/>
      <c r="C286" s="13" t="s">
        <v>662</v>
      </c>
      <c r="D286" s="13" t="str">
        <f t="shared" si="23"/>
        <v xml:space="preserve">Vofg </v>
      </c>
      <c r="E286" s="13" t="str">
        <f t="shared" si="27"/>
        <v>&gt;]i7</v>
      </c>
      <c r="F286" s="21" t="s">
        <v>233</v>
      </c>
      <c r="G286" s="21" t="s">
        <v>757</v>
      </c>
      <c r="H286" s="21" t="s">
        <v>905</v>
      </c>
      <c r="I286" s="21">
        <f t="shared" si="24"/>
        <v>164</v>
      </c>
      <c r="J286" s="21"/>
      <c r="K286" s="21" t="str">
        <f t="shared" si="25"/>
        <v>-</v>
      </c>
      <c r="L286" s="15">
        <f t="shared" si="26"/>
        <v>32.438356164383563</v>
      </c>
      <c r="O286" s="16"/>
      <c r="P286" s="16"/>
      <c r="Q286" s="16"/>
      <c r="R286" s="16"/>
      <c r="S286" s="21"/>
      <c r="T286" s="21"/>
      <c r="U286" s="21"/>
      <c r="V286" s="5">
        <v>55117</v>
      </c>
      <c r="W286" s="5">
        <v>66957</v>
      </c>
      <c r="Y286" s="5"/>
    </row>
    <row r="287" spans="1:32" ht="18" x14ac:dyDescent="0.35">
      <c r="A287" s="6"/>
      <c r="C287" s="13" t="s">
        <v>663</v>
      </c>
      <c r="D287" s="13" t="str">
        <f t="shared" si="23"/>
        <v xml:space="preserve">clgz </v>
      </c>
      <c r="E287" s="13" t="str">
        <f t="shared" si="27"/>
        <v>&gt;]i7</v>
      </c>
      <c r="F287" s="21" t="s">
        <v>233</v>
      </c>
      <c r="G287" s="21" t="s">
        <v>757</v>
      </c>
      <c r="H287" s="21" t="s">
        <v>905</v>
      </c>
      <c r="I287" s="21">
        <f t="shared" si="24"/>
        <v>164</v>
      </c>
      <c r="J287" s="21"/>
      <c r="K287" s="21" t="str">
        <f t="shared" si="25"/>
        <v>-</v>
      </c>
      <c r="L287" s="15">
        <f t="shared" si="26"/>
        <v>28.715068493150685</v>
      </c>
      <c r="O287" s="16"/>
      <c r="P287" s="16"/>
      <c r="Q287" s="16"/>
      <c r="R287" s="16"/>
      <c r="S287" s="21"/>
      <c r="T287" s="21"/>
      <c r="U287" s="21"/>
      <c r="V287" s="5">
        <v>56476</v>
      </c>
      <c r="W287" s="5">
        <v>66957</v>
      </c>
      <c r="Y287" s="5"/>
    </row>
    <row r="288" spans="1:32" ht="18" x14ac:dyDescent="0.35">
      <c r="A288" s="6"/>
      <c r="C288" s="13" t="s">
        <v>664</v>
      </c>
      <c r="D288" s="13" t="str">
        <f t="shared" si="23"/>
        <v xml:space="preserve">clgzf </v>
      </c>
      <c r="E288" s="13" t="str">
        <f t="shared" si="27"/>
        <v>&gt;]i7</v>
      </c>
      <c r="F288" s="21" t="s">
        <v>234</v>
      </c>
      <c r="G288" s="21" t="s">
        <v>757</v>
      </c>
      <c r="H288" s="21" t="s">
        <v>905</v>
      </c>
      <c r="I288" s="21">
        <f t="shared" si="24"/>
        <v>99</v>
      </c>
      <c r="J288" s="21"/>
      <c r="K288" s="21" t="str">
        <f t="shared" si="25"/>
        <v>-</v>
      </c>
      <c r="L288" s="15">
        <f t="shared" si="26"/>
        <v>23.339726027397262</v>
      </c>
      <c r="O288" s="16"/>
      <c r="P288" s="16"/>
      <c r="Q288" s="16"/>
      <c r="R288" s="16"/>
      <c r="S288" s="21"/>
      <c r="T288" s="21"/>
      <c r="U288" s="21"/>
      <c r="V288" s="5">
        <v>58438</v>
      </c>
      <c r="W288" s="5">
        <v>66957</v>
      </c>
      <c r="Y288" s="5"/>
    </row>
    <row r="289" spans="1:32" ht="18" x14ac:dyDescent="0.35">
      <c r="A289" s="6">
        <v>99</v>
      </c>
      <c r="B289" t="s">
        <v>163</v>
      </c>
      <c r="C289" s="13" t="s">
        <v>665</v>
      </c>
      <c r="D289" s="13" t="str">
        <f t="shared" si="23"/>
        <v xml:space="preserve">s]zj </v>
      </c>
      <c r="E289" s="13" t="str">
        <f t="shared" si="27"/>
        <v>&gt;]i7</v>
      </c>
      <c r="F289" s="21" t="s">
        <v>233</v>
      </c>
      <c r="G289" s="21" t="s">
        <v>756</v>
      </c>
      <c r="H289" s="21" t="s">
        <v>905</v>
      </c>
      <c r="I289" s="21">
        <f t="shared" si="24"/>
        <v>164</v>
      </c>
      <c r="J289" s="21"/>
      <c r="K289" s="21" t="str">
        <f t="shared" si="25"/>
        <v>-</v>
      </c>
      <c r="L289" s="15">
        <f t="shared" si="26"/>
        <v>67.523287671232879</v>
      </c>
      <c r="O289" s="16">
        <v>0</v>
      </c>
      <c r="P289" s="16">
        <v>5</v>
      </c>
      <c r="Q289" s="16">
        <v>3</v>
      </c>
      <c r="R289" s="16">
        <v>0</v>
      </c>
      <c r="S289" s="21" t="s">
        <v>745</v>
      </c>
      <c r="T289" s="21"/>
      <c r="U289" s="21"/>
      <c r="V289" s="5">
        <v>42311</v>
      </c>
      <c r="W289" s="5">
        <v>66957</v>
      </c>
      <c r="Y289" s="5">
        <v>63997</v>
      </c>
      <c r="Z289" s="2" t="s">
        <v>2</v>
      </c>
      <c r="AA289" s="2">
        <v>4</v>
      </c>
      <c r="AB289" s="2">
        <v>2</v>
      </c>
      <c r="AC289" s="2">
        <v>2</v>
      </c>
      <c r="AD289" t="s">
        <v>242</v>
      </c>
      <c r="AE289" t="s">
        <v>282</v>
      </c>
      <c r="AF289" t="s">
        <v>245</v>
      </c>
    </row>
    <row r="290" spans="1:32" ht="18" x14ac:dyDescent="0.35">
      <c r="A290" s="6"/>
      <c r="C290" s="13" t="s">
        <v>666</v>
      </c>
      <c r="D290" s="13" t="str">
        <f t="shared" si="23"/>
        <v xml:space="preserve">lutf </v>
      </c>
      <c r="E290" s="13" t="str">
        <f t="shared" si="27"/>
        <v>&gt;]i7</v>
      </c>
      <c r="F290" s="21" t="s">
        <v>234</v>
      </c>
      <c r="G290" s="21" t="s">
        <v>756</v>
      </c>
      <c r="H290" s="21" t="s">
        <v>905</v>
      </c>
      <c r="I290" s="21">
        <f t="shared" si="24"/>
        <v>99</v>
      </c>
      <c r="J290" s="21"/>
      <c r="K290" s="21" t="str">
        <f t="shared" si="25"/>
        <v>-</v>
      </c>
      <c r="L290" s="15">
        <f t="shared" si="26"/>
        <v>55.509589041095893</v>
      </c>
      <c r="O290" s="16"/>
      <c r="P290" s="16"/>
      <c r="Q290" s="16"/>
      <c r="R290" s="16"/>
      <c r="S290" s="21"/>
      <c r="T290" s="21"/>
      <c r="U290" s="21"/>
      <c r="V290" s="5">
        <v>46696</v>
      </c>
      <c r="W290" s="5">
        <v>66957</v>
      </c>
      <c r="Y290" s="5"/>
    </row>
    <row r="291" spans="1:32" ht="18" x14ac:dyDescent="0.35">
      <c r="A291" s="6"/>
      <c r="C291" s="13" t="s">
        <v>667</v>
      </c>
      <c r="D291" s="13" t="str">
        <f t="shared" si="23"/>
        <v xml:space="preserve">;l/g </v>
      </c>
      <c r="E291" s="13" t="str">
        <f t="shared" si="27"/>
        <v>&gt;]i7</v>
      </c>
      <c r="F291" s="21" t="s">
        <v>234</v>
      </c>
      <c r="G291" s="21" t="s">
        <v>757</v>
      </c>
      <c r="H291" s="21" t="s">
        <v>905</v>
      </c>
      <c r="I291" s="21">
        <f t="shared" si="24"/>
        <v>99</v>
      </c>
      <c r="J291" s="21"/>
      <c r="K291" s="21" t="str">
        <f t="shared" si="25"/>
        <v>-</v>
      </c>
      <c r="L291" s="15">
        <f t="shared" si="26"/>
        <v>33.704109589041096</v>
      </c>
      <c r="O291" s="16"/>
      <c r="P291" s="16"/>
      <c r="Q291" s="16"/>
      <c r="R291" s="16"/>
      <c r="S291" s="21"/>
      <c r="T291" s="21"/>
      <c r="U291" s="21"/>
      <c r="V291" s="5">
        <v>54655</v>
      </c>
      <c r="W291" s="5">
        <v>66957</v>
      </c>
      <c r="Y291" s="5"/>
    </row>
    <row r="292" spans="1:32" ht="18" x14ac:dyDescent="0.35">
      <c r="A292" s="6"/>
      <c r="C292" s="13" t="s">
        <v>668</v>
      </c>
      <c r="D292" s="13" t="str">
        <f t="shared" si="23"/>
        <v xml:space="preserve">;lng </v>
      </c>
      <c r="E292" s="13" t="str">
        <f t="shared" si="27"/>
        <v>&gt;]i7</v>
      </c>
      <c r="F292" s="21" t="s">
        <v>233</v>
      </c>
      <c r="G292" s="21" t="s">
        <v>757</v>
      </c>
      <c r="H292" s="21" t="s">
        <v>905</v>
      </c>
      <c r="I292" s="21">
        <f t="shared" si="24"/>
        <v>164</v>
      </c>
      <c r="J292" s="21"/>
      <c r="K292" s="21" t="str">
        <f t="shared" si="25"/>
        <v>-</v>
      </c>
      <c r="L292" s="15">
        <f t="shared" si="26"/>
        <v>36.046575342465751</v>
      </c>
      <c r="O292" s="16"/>
      <c r="P292" s="16"/>
      <c r="Q292" s="16"/>
      <c r="R292" s="16"/>
      <c r="S292" s="21"/>
      <c r="T292" s="21"/>
      <c r="U292" s="21"/>
      <c r="V292" s="5">
        <v>53800</v>
      </c>
      <c r="W292" s="5">
        <v>66957</v>
      </c>
      <c r="Y292" s="5"/>
    </row>
    <row r="293" spans="1:32" ht="18" x14ac:dyDescent="0.35">
      <c r="A293" s="6">
        <v>100</v>
      </c>
      <c r="B293" t="s">
        <v>164</v>
      </c>
      <c r="C293" s="13" t="s">
        <v>669</v>
      </c>
      <c r="D293" s="13" t="str">
        <f t="shared" si="23"/>
        <v xml:space="preserve">u+uf/fd </v>
      </c>
      <c r="E293" s="13" t="str">
        <f t="shared" si="27"/>
        <v>8+uf]n</v>
      </c>
      <c r="F293" s="21" t="s">
        <v>233</v>
      </c>
      <c r="G293" s="21" t="s">
        <v>756</v>
      </c>
      <c r="H293" s="21" t="s">
        <v>905</v>
      </c>
      <c r="I293" s="21">
        <f t="shared" si="24"/>
        <v>164</v>
      </c>
      <c r="J293" s="21"/>
      <c r="K293" s="21" t="str">
        <f t="shared" si="25"/>
        <v>-</v>
      </c>
      <c r="L293" s="15">
        <f t="shared" si="26"/>
        <v>84.205479452054789</v>
      </c>
      <c r="O293" s="16" t="s">
        <v>748</v>
      </c>
      <c r="P293" s="16" t="s">
        <v>748</v>
      </c>
      <c r="Q293" s="16" t="s">
        <v>748</v>
      </c>
      <c r="R293" s="16" t="s">
        <v>748</v>
      </c>
      <c r="S293" s="21" t="s">
        <v>748</v>
      </c>
      <c r="T293" s="21"/>
      <c r="U293" s="21"/>
      <c r="V293" s="5">
        <v>36222</v>
      </c>
      <c r="W293" s="5">
        <v>66957</v>
      </c>
      <c r="X293" t="s">
        <v>214</v>
      </c>
      <c r="Y293" s="5">
        <v>63944</v>
      </c>
      <c r="Z293" s="2" t="s">
        <v>2</v>
      </c>
      <c r="AA293" s="2">
        <v>2</v>
      </c>
      <c r="AB293" s="2">
        <v>1</v>
      </c>
      <c r="AC293" s="2">
        <v>1</v>
      </c>
      <c r="AD293" t="s">
        <v>242</v>
      </c>
      <c r="AE293" t="s">
        <v>269</v>
      </c>
      <c r="AF293" t="s">
        <v>245</v>
      </c>
    </row>
    <row r="294" spans="1:32" ht="18" x14ac:dyDescent="0.35">
      <c r="A294" s="6"/>
      <c r="C294" s="13" t="s">
        <v>670</v>
      </c>
      <c r="D294" s="13" t="str">
        <f t="shared" si="23"/>
        <v xml:space="preserve">sfnLdfof </v>
      </c>
      <c r="E294" s="13" t="str">
        <f t="shared" si="27"/>
        <v>8+uf]n</v>
      </c>
      <c r="F294" s="21" t="s">
        <v>234</v>
      </c>
      <c r="G294" s="21" t="s">
        <v>756</v>
      </c>
      <c r="H294" s="21" t="s">
        <v>906</v>
      </c>
      <c r="I294" s="21">
        <f t="shared" si="24"/>
        <v>58</v>
      </c>
      <c r="J294" s="21"/>
      <c r="K294" s="21" t="str">
        <f t="shared" si="25"/>
        <v>-</v>
      </c>
      <c r="L294" s="15">
        <f t="shared" si="26"/>
        <v>149.04931506849314</v>
      </c>
      <c r="O294" s="16"/>
      <c r="P294" s="16"/>
      <c r="Q294" s="16"/>
      <c r="R294" s="16"/>
      <c r="S294" s="21"/>
      <c r="T294" s="21"/>
      <c r="U294" s="21"/>
      <c r="V294" s="5">
        <v>12554</v>
      </c>
      <c r="W294" s="5">
        <v>66957</v>
      </c>
      <c r="Y294" s="5"/>
    </row>
    <row r="295" spans="1:32" ht="18" x14ac:dyDescent="0.35">
      <c r="A295" s="6">
        <v>101</v>
      </c>
      <c r="B295" t="s">
        <v>216</v>
      </c>
      <c r="C295" s="13" t="s">
        <v>671</v>
      </c>
      <c r="D295" s="13" t="str">
        <f t="shared" si="23"/>
        <v xml:space="preserve">g/Wjh </v>
      </c>
      <c r="E295" s="13" t="str">
        <f t="shared" si="27"/>
        <v>yfkf</v>
      </c>
      <c r="F295" s="21" t="s">
        <v>233</v>
      </c>
      <c r="G295" s="21" t="s">
        <v>756</v>
      </c>
      <c r="H295" s="21" t="s">
        <v>905</v>
      </c>
      <c r="I295" s="21">
        <f t="shared" si="24"/>
        <v>164</v>
      </c>
      <c r="J295" s="21"/>
      <c r="K295" s="21" t="str">
        <f t="shared" si="25"/>
        <v>-</v>
      </c>
      <c r="L295" s="15">
        <f t="shared" si="26"/>
        <v>47.323287671232876</v>
      </c>
      <c r="O295" s="16">
        <v>0</v>
      </c>
      <c r="P295" s="16">
        <v>5</v>
      </c>
      <c r="Q295" s="16">
        <v>1</v>
      </c>
      <c r="R295" s="16">
        <v>0</v>
      </c>
      <c r="S295" s="21" t="s">
        <v>745</v>
      </c>
      <c r="T295" s="21"/>
      <c r="U295" s="21"/>
      <c r="V295" s="5">
        <v>49684</v>
      </c>
      <c r="W295" s="5">
        <v>66957</v>
      </c>
      <c r="X295" t="s">
        <v>230</v>
      </c>
      <c r="Y295" s="5">
        <v>63928</v>
      </c>
      <c r="Z295" s="2" t="s">
        <v>2</v>
      </c>
      <c r="AA295" s="2">
        <v>4</v>
      </c>
      <c r="AB295" s="2">
        <v>2</v>
      </c>
      <c r="AC295" s="2">
        <v>2</v>
      </c>
      <c r="AD295" t="s">
        <v>237</v>
      </c>
      <c r="AE295" t="s">
        <v>297</v>
      </c>
      <c r="AF295" t="s">
        <v>245</v>
      </c>
    </row>
    <row r="296" spans="1:32" ht="18" x14ac:dyDescent="0.35">
      <c r="A296" s="6"/>
      <c r="C296" s="13" t="s">
        <v>672</v>
      </c>
      <c r="D296" s="13" t="str">
        <f t="shared" si="23"/>
        <v xml:space="preserve">;+lutf </v>
      </c>
      <c r="E296" s="13" t="str">
        <f t="shared" si="27"/>
        <v>yfkf</v>
      </c>
      <c r="F296" s="21" t="s">
        <v>234</v>
      </c>
      <c r="G296" s="21" t="s">
        <v>756</v>
      </c>
      <c r="H296" s="21" t="s">
        <v>905</v>
      </c>
      <c r="I296" s="21">
        <f t="shared" si="24"/>
        <v>99</v>
      </c>
      <c r="J296" s="21"/>
      <c r="K296" s="21" t="str">
        <f t="shared" si="25"/>
        <v>-</v>
      </c>
      <c r="L296" s="15">
        <f t="shared" si="26"/>
        <v>44.098630136986301</v>
      </c>
      <c r="O296" s="16"/>
      <c r="P296" s="16"/>
      <c r="Q296" s="16"/>
      <c r="R296" s="16"/>
      <c r="S296" s="21"/>
      <c r="T296" s="21"/>
      <c r="U296" s="21"/>
      <c r="V296" s="5">
        <v>50861</v>
      </c>
      <c r="W296" s="5">
        <v>66957</v>
      </c>
      <c r="Y296" s="5"/>
    </row>
    <row r="297" spans="1:32" ht="18" x14ac:dyDescent="0.35">
      <c r="A297" s="6"/>
      <c r="C297" s="13" t="s">
        <v>673</v>
      </c>
      <c r="D297" s="13" t="str">
        <f t="shared" si="23"/>
        <v xml:space="preserve">g/dfof </v>
      </c>
      <c r="E297" s="13" t="str">
        <f t="shared" si="27"/>
        <v>yfkf</v>
      </c>
      <c r="F297" s="21" t="s">
        <v>234</v>
      </c>
      <c r="G297" s="21" t="s">
        <v>756</v>
      </c>
      <c r="H297" s="21" t="s">
        <v>906</v>
      </c>
      <c r="I297" s="21">
        <f t="shared" si="24"/>
        <v>58</v>
      </c>
      <c r="J297" s="21"/>
      <c r="K297" s="21" t="str">
        <f t="shared" si="25"/>
        <v>-</v>
      </c>
      <c r="L297" s="15">
        <f t="shared" si="26"/>
        <v>75.331506849315062</v>
      </c>
      <c r="O297" s="16"/>
      <c r="P297" s="16"/>
      <c r="Q297" s="16"/>
      <c r="R297" s="16"/>
      <c r="S297" s="21"/>
      <c r="T297" s="21"/>
      <c r="U297" s="21"/>
      <c r="V297" s="5">
        <v>39461</v>
      </c>
      <c r="W297" s="5">
        <v>66957</v>
      </c>
      <c r="Y297" s="5"/>
    </row>
    <row r="298" spans="1:32" ht="18" x14ac:dyDescent="0.35">
      <c r="A298" s="6"/>
      <c r="C298" s="13" t="s">
        <v>674</v>
      </c>
      <c r="D298" s="13" t="str">
        <f t="shared" si="23"/>
        <v xml:space="preserve">;ld/ </v>
      </c>
      <c r="E298" s="13" t="str">
        <f t="shared" si="27"/>
        <v>yfkf</v>
      </c>
      <c r="F298" s="21" t="s">
        <v>233</v>
      </c>
      <c r="G298" s="21" t="s">
        <v>757</v>
      </c>
      <c r="H298" s="21" t="s">
        <v>905</v>
      </c>
      <c r="I298" s="21">
        <f t="shared" si="24"/>
        <v>164</v>
      </c>
      <c r="J298" s="21"/>
      <c r="K298" s="21" t="str">
        <f t="shared" si="25"/>
        <v>-</v>
      </c>
      <c r="L298" s="15">
        <f t="shared" si="26"/>
        <v>23.945205479452056</v>
      </c>
      <c r="O298" s="16"/>
      <c r="P298" s="16"/>
      <c r="Q298" s="16"/>
      <c r="R298" s="16"/>
      <c r="S298" s="21"/>
      <c r="T298" s="21"/>
      <c r="U298" s="21"/>
      <c r="V298" s="5">
        <v>58217</v>
      </c>
      <c r="W298" s="5">
        <v>66957</v>
      </c>
      <c r="Y298" s="5"/>
    </row>
    <row r="299" spans="1:32" ht="18" x14ac:dyDescent="0.35">
      <c r="A299" s="6">
        <v>102</v>
      </c>
      <c r="B299" t="s">
        <v>145</v>
      </c>
      <c r="C299" s="13" t="s">
        <v>675</v>
      </c>
      <c r="D299" s="13" t="str">
        <f t="shared" si="23"/>
        <v xml:space="preserve">s[i0f </v>
      </c>
      <c r="E299" s="13" t="str">
        <f t="shared" si="27"/>
        <v>rf}nfufO{</v>
      </c>
      <c r="F299" s="21" t="s">
        <v>233</v>
      </c>
      <c r="G299" s="21" t="s">
        <v>756</v>
      </c>
      <c r="H299" s="21" t="s">
        <v>905</v>
      </c>
      <c r="I299" s="21">
        <f t="shared" si="24"/>
        <v>164</v>
      </c>
      <c r="J299" s="21"/>
      <c r="K299" s="21" t="str">
        <f t="shared" si="25"/>
        <v>-</v>
      </c>
      <c r="L299" s="15">
        <f t="shared" si="26"/>
        <v>40.5013698630137</v>
      </c>
      <c r="O299" s="16" t="s">
        <v>748</v>
      </c>
      <c r="P299" s="16" t="s">
        <v>748</v>
      </c>
      <c r="Q299" s="16" t="s">
        <v>748</v>
      </c>
      <c r="R299" s="16" t="s">
        <v>748</v>
      </c>
      <c r="S299" s="21" t="s">
        <v>748</v>
      </c>
      <c r="T299" s="21"/>
      <c r="U299" s="21"/>
      <c r="V299" s="5">
        <v>52174</v>
      </c>
      <c r="W299" s="5">
        <v>66957</v>
      </c>
      <c r="Y299" s="5">
        <v>63834</v>
      </c>
      <c r="Z299" s="2" t="s">
        <v>2</v>
      </c>
      <c r="AA299" s="2">
        <v>4</v>
      </c>
      <c r="AB299" s="2">
        <v>2</v>
      </c>
      <c r="AC299" s="2">
        <v>2</v>
      </c>
      <c r="AD299" t="s">
        <v>241</v>
      </c>
      <c r="AE299" t="s">
        <v>288</v>
      </c>
      <c r="AF299" t="s">
        <v>245</v>
      </c>
    </row>
    <row r="300" spans="1:32" ht="18" x14ac:dyDescent="0.35">
      <c r="A300" s="6"/>
      <c r="C300" s="13" t="s">
        <v>676</v>
      </c>
      <c r="D300" s="13" t="str">
        <f t="shared" si="23"/>
        <v xml:space="preserve">cl:dtf </v>
      </c>
      <c r="E300" s="13" t="str">
        <f t="shared" si="27"/>
        <v>rf}nfufO{</v>
      </c>
      <c r="F300" s="21" t="s">
        <v>234</v>
      </c>
      <c r="G300" s="21" t="s">
        <v>756</v>
      </c>
      <c r="H300" s="21" t="s">
        <v>905</v>
      </c>
      <c r="I300" s="21">
        <f t="shared" si="24"/>
        <v>99</v>
      </c>
      <c r="J300" s="21"/>
      <c r="K300" s="21" t="str">
        <f t="shared" si="25"/>
        <v>-</v>
      </c>
      <c r="L300" s="15">
        <f t="shared" si="26"/>
        <v>39.082191780821915</v>
      </c>
      <c r="O300" s="16"/>
      <c r="P300" s="16"/>
      <c r="Q300" s="16"/>
      <c r="R300" s="16"/>
      <c r="S300" s="21"/>
      <c r="T300" s="21"/>
      <c r="U300" s="21"/>
      <c r="V300" s="5">
        <v>52692</v>
      </c>
      <c r="W300" s="5">
        <v>66957</v>
      </c>
      <c r="Y300" s="5"/>
    </row>
    <row r="301" spans="1:32" ht="18" x14ac:dyDescent="0.35">
      <c r="A301" s="6"/>
      <c r="C301" s="13" t="s">
        <v>677</v>
      </c>
      <c r="D301" s="13" t="str">
        <f t="shared" si="23"/>
        <v xml:space="preserve">cfo'if </v>
      </c>
      <c r="E301" s="13" t="str">
        <f t="shared" si="27"/>
        <v>rf}nfufO{</v>
      </c>
      <c r="F301" s="21" t="s">
        <v>233</v>
      </c>
      <c r="G301" s="21" t="s">
        <v>757</v>
      </c>
      <c r="H301" s="21" t="s">
        <v>905</v>
      </c>
      <c r="I301" s="21">
        <f t="shared" si="24"/>
        <v>164</v>
      </c>
      <c r="J301" s="21"/>
      <c r="K301" s="21" t="str">
        <f t="shared" si="25"/>
        <v>-</v>
      </c>
      <c r="L301" s="15">
        <f t="shared" si="26"/>
        <v>14.96986301369863</v>
      </c>
      <c r="O301" s="16"/>
      <c r="P301" s="16"/>
      <c r="Q301" s="16"/>
      <c r="R301" s="16"/>
      <c r="S301" s="21"/>
      <c r="T301" s="21"/>
      <c r="U301" s="21"/>
      <c r="V301" s="5">
        <v>61493</v>
      </c>
      <c r="W301" s="5">
        <v>66957</v>
      </c>
      <c r="Y301" s="5"/>
    </row>
    <row r="302" spans="1:32" ht="18" x14ac:dyDescent="0.35">
      <c r="A302" s="6"/>
      <c r="C302" s="13" t="s">
        <v>678</v>
      </c>
      <c r="D302" s="13" t="str">
        <f t="shared" si="23"/>
        <v xml:space="preserve">cfo'idf </v>
      </c>
      <c r="E302" s="13" t="str">
        <f t="shared" si="27"/>
        <v>rf}nfufO{</v>
      </c>
      <c r="F302" s="21" t="s">
        <v>234</v>
      </c>
      <c r="G302" s="21" t="s">
        <v>757</v>
      </c>
      <c r="H302" s="21" t="s">
        <v>905</v>
      </c>
      <c r="I302" s="21">
        <f t="shared" si="24"/>
        <v>99</v>
      </c>
      <c r="J302" s="21"/>
      <c r="K302" s="21" t="str">
        <f t="shared" si="25"/>
        <v>-</v>
      </c>
      <c r="L302" s="15">
        <f t="shared" si="26"/>
        <v>10.268493150684931</v>
      </c>
      <c r="O302" s="16"/>
      <c r="P302" s="16"/>
      <c r="Q302" s="16"/>
      <c r="R302" s="16"/>
      <c r="S302" s="21"/>
      <c r="T302" s="21"/>
      <c r="U302" s="21"/>
      <c r="V302" s="5">
        <v>63209</v>
      </c>
      <c r="W302" s="5">
        <v>66957</v>
      </c>
      <c r="Y302" s="5"/>
    </row>
    <row r="303" spans="1:32" ht="18" x14ac:dyDescent="0.35">
      <c r="A303" s="6">
        <v>103</v>
      </c>
      <c r="B303" t="s">
        <v>217</v>
      </c>
      <c r="C303" s="13" t="s">
        <v>679</v>
      </c>
      <c r="D303" s="13" t="str">
        <f t="shared" si="23"/>
        <v xml:space="preserve">/fh]Gb| </v>
      </c>
      <c r="E303" s="13" t="str">
        <f t="shared" si="27"/>
        <v>kf]v|]n</v>
      </c>
      <c r="F303" s="21" t="s">
        <v>233</v>
      </c>
      <c r="G303" s="21" t="s">
        <v>756</v>
      </c>
      <c r="H303" s="21" t="s">
        <v>905</v>
      </c>
      <c r="I303" s="21">
        <f t="shared" si="24"/>
        <v>164</v>
      </c>
      <c r="J303" s="21"/>
      <c r="K303" s="21" t="str">
        <f t="shared" si="25"/>
        <v>-</v>
      </c>
      <c r="L303" s="15">
        <f t="shared" si="26"/>
        <v>48.4986301369863</v>
      </c>
      <c r="O303" s="16" t="s">
        <v>748</v>
      </c>
      <c r="P303" s="16" t="s">
        <v>748</v>
      </c>
      <c r="Q303" s="16" t="s">
        <v>748</v>
      </c>
      <c r="R303" s="16" t="s">
        <v>748</v>
      </c>
      <c r="S303" s="21" t="s">
        <v>748</v>
      </c>
      <c r="T303" s="21"/>
      <c r="U303" s="21"/>
      <c r="V303" s="5">
        <v>49255</v>
      </c>
      <c r="W303" s="5">
        <v>66957</v>
      </c>
      <c r="Y303" s="5">
        <v>63817</v>
      </c>
      <c r="Z303" s="2" t="s">
        <v>2</v>
      </c>
      <c r="AA303" s="2">
        <v>3</v>
      </c>
      <c r="AB303" s="2">
        <v>1</v>
      </c>
      <c r="AC303" s="2">
        <v>2</v>
      </c>
      <c r="AD303" t="s">
        <v>242</v>
      </c>
      <c r="AE303" t="s">
        <v>295</v>
      </c>
      <c r="AF303" t="s">
        <v>245</v>
      </c>
    </row>
    <row r="304" spans="1:32" ht="18" x14ac:dyDescent="0.35">
      <c r="A304" s="6"/>
      <c r="C304" s="13" t="s">
        <v>680</v>
      </c>
      <c r="D304" s="13" t="str">
        <f t="shared" si="23"/>
        <v xml:space="preserve">d08Lsf </v>
      </c>
      <c r="E304" s="13" t="str">
        <f t="shared" si="27"/>
        <v>yfdL</v>
      </c>
      <c r="F304" s="21" t="s">
        <v>234</v>
      </c>
      <c r="G304" s="21" t="s">
        <v>756</v>
      </c>
      <c r="H304" s="21" t="s">
        <v>906</v>
      </c>
      <c r="I304" s="21">
        <f t="shared" si="24"/>
        <v>58</v>
      </c>
      <c r="J304" s="21"/>
      <c r="K304" s="21" t="str">
        <f t="shared" si="25"/>
        <v>-</v>
      </c>
      <c r="L304" s="15">
        <f t="shared" si="26"/>
        <v>39.490410958904107</v>
      </c>
      <c r="O304" s="16"/>
      <c r="P304" s="16"/>
      <c r="Q304" s="16"/>
      <c r="R304" s="16"/>
      <c r="S304" s="21"/>
      <c r="T304" s="21"/>
      <c r="U304" s="21"/>
      <c r="V304" s="5">
        <v>52543</v>
      </c>
      <c r="W304" s="5">
        <v>66957</v>
      </c>
      <c r="Y304" s="5"/>
    </row>
    <row r="305" spans="1:32" ht="18" x14ac:dyDescent="0.35">
      <c r="A305" s="6"/>
      <c r="C305" s="13" t="s">
        <v>681</v>
      </c>
      <c r="D305" s="13" t="str">
        <f t="shared" si="23"/>
        <v xml:space="preserve">/:dL </v>
      </c>
      <c r="E305" s="13" t="str">
        <f t="shared" si="27"/>
        <v>kf]v|]n</v>
      </c>
      <c r="F305" s="21" t="s">
        <v>234</v>
      </c>
      <c r="G305" s="21" t="s">
        <v>757</v>
      </c>
      <c r="H305" s="21" t="s">
        <v>905</v>
      </c>
      <c r="I305" s="21">
        <f t="shared" si="24"/>
        <v>99</v>
      </c>
      <c r="J305" s="21"/>
      <c r="K305" s="21" t="str">
        <f t="shared" si="25"/>
        <v>-</v>
      </c>
      <c r="L305" s="15">
        <f t="shared" si="26"/>
        <v>9.8547945205479444</v>
      </c>
      <c r="O305" s="16"/>
      <c r="P305" s="16"/>
      <c r="Q305" s="16"/>
      <c r="R305" s="16"/>
      <c r="S305" s="21"/>
      <c r="T305" s="21"/>
      <c r="U305" s="21"/>
      <c r="V305" s="5">
        <v>63360</v>
      </c>
      <c r="W305" s="5">
        <v>66957</v>
      </c>
      <c r="Y305" s="5"/>
    </row>
    <row r="306" spans="1:32" ht="18" x14ac:dyDescent="0.35">
      <c r="A306" s="6">
        <v>104</v>
      </c>
      <c r="B306" t="s">
        <v>38</v>
      </c>
      <c r="C306" s="13" t="s">
        <v>457</v>
      </c>
      <c r="D306" s="13" t="str">
        <f t="shared" si="23"/>
        <v xml:space="preserve">slkn </v>
      </c>
      <c r="E306" s="13" t="str">
        <f t="shared" si="27"/>
        <v>kf}8]n</v>
      </c>
      <c r="F306" s="21" t="s">
        <v>233</v>
      </c>
      <c r="G306" s="21" t="s">
        <v>756</v>
      </c>
      <c r="H306" s="21" t="s">
        <v>905</v>
      </c>
      <c r="I306" s="21">
        <f t="shared" si="24"/>
        <v>164</v>
      </c>
      <c r="J306" s="21"/>
      <c r="K306" s="21" t="str">
        <f t="shared" si="25"/>
        <v>-</v>
      </c>
      <c r="L306" s="15">
        <f t="shared" si="26"/>
        <v>63.073972602739723</v>
      </c>
      <c r="O306" s="16">
        <v>0</v>
      </c>
      <c r="P306" s="16">
        <v>4</v>
      </c>
      <c r="Q306" s="16">
        <v>0</v>
      </c>
      <c r="R306" s="16">
        <v>1</v>
      </c>
      <c r="S306" s="21" t="s">
        <v>745</v>
      </c>
      <c r="T306" s="21"/>
      <c r="U306" s="21"/>
      <c r="V306" s="5">
        <v>43935</v>
      </c>
      <c r="W306" s="5">
        <v>66957</v>
      </c>
      <c r="Y306" s="5">
        <v>63725</v>
      </c>
      <c r="Z306" s="2" t="s">
        <v>2</v>
      </c>
      <c r="AA306" s="2">
        <v>5</v>
      </c>
      <c r="AB306" s="2">
        <v>3</v>
      </c>
      <c r="AC306" s="2">
        <v>2</v>
      </c>
      <c r="AD306" t="s">
        <v>239</v>
      </c>
      <c r="AE306" t="s">
        <v>279</v>
      </c>
      <c r="AF306" t="s">
        <v>245</v>
      </c>
    </row>
    <row r="307" spans="1:32" ht="18" x14ac:dyDescent="0.35">
      <c r="A307" s="6"/>
      <c r="C307" s="13" t="s">
        <v>458</v>
      </c>
      <c r="D307" s="13" t="str">
        <f t="shared" si="23"/>
        <v xml:space="preserve">Clif/fd </v>
      </c>
      <c r="E307" s="13" t="str">
        <f t="shared" si="27"/>
        <v>pkfWofo</v>
      </c>
      <c r="F307" s="21" t="s">
        <v>233</v>
      </c>
      <c r="G307" s="21" t="s">
        <v>756</v>
      </c>
      <c r="H307" s="21" t="s">
        <v>906</v>
      </c>
      <c r="I307" s="21">
        <f t="shared" si="24"/>
        <v>11</v>
      </c>
      <c r="J307" s="21"/>
      <c r="K307" s="21" t="str">
        <f t="shared" si="25"/>
        <v>-</v>
      </c>
      <c r="L307" s="15">
        <f t="shared" si="26"/>
        <v>94.589041095890408</v>
      </c>
      <c r="O307" s="16"/>
      <c r="P307" s="16"/>
      <c r="Q307" s="16"/>
      <c r="R307" s="16"/>
      <c r="S307" s="21"/>
      <c r="T307" s="21"/>
      <c r="U307" s="21"/>
      <c r="V307" s="5">
        <v>32432</v>
      </c>
      <c r="W307" s="5">
        <v>66957</v>
      </c>
      <c r="Y307" s="5"/>
    </row>
    <row r="308" spans="1:32" ht="18" x14ac:dyDescent="0.35">
      <c r="A308" s="6"/>
      <c r="C308" s="13" t="s">
        <v>682</v>
      </c>
      <c r="D308" s="13" t="str">
        <f t="shared" si="23"/>
        <v xml:space="preserve">ef]h </v>
      </c>
      <c r="E308" s="13" t="str">
        <f t="shared" si="27"/>
        <v>kf}8]n</v>
      </c>
      <c r="F308" s="21" t="s">
        <v>234</v>
      </c>
      <c r="G308" s="21" t="s">
        <v>756</v>
      </c>
      <c r="H308" s="21" t="s">
        <v>906</v>
      </c>
      <c r="I308" s="21">
        <f t="shared" si="24"/>
        <v>58</v>
      </c>
      <c r="J308" s="21"/>
      <c r="K308" s="21" t="str">
        <f t="shared" si="25"/>
        <v>-</v>
      </c>
      <c r="L308" s="15">
        <f t="shared" si="26"/>
        <v>92.964383561643842</v>
      </c>
      <c r="O308" s="16"/>
      <c r="P308" s="16"/>
      <c r="Q308" s="16"/>
      <c r="R308" s="16"/>
      <c r="S308" s="21"/>
      <c r="T308" s="21"/>
      <c r="U308" s="21"/>
      <c r="V308" s="5">
        <v>33025</v>
      </c>
      <c r="W308" s="5">
        <v>66957</v>
      </c>
      <c r="Y308" s="5"/>
    </row>
    <row r="309" spans="1:32" ht="18" x14ac:dyDescent="0.35">
      <c r="A309" s="6"/>
      <c r="C309" s="13" t="s">
        <v>459</v>
      </c>
      <c r="D309" s="13" t="str">
        <f t="shared" si="23"/>
        <v xml:space="preserve">;Ltf </v>
      </c>
      <c r="E309" s="13" t="str">
        <f t="shared" si="27"/>
        <v>kf}8]n</v>
      </c>
      <c r="F309" s="21" t="s">
        <v>234</v>
      </c>
      <c r="G309" s="21" t="s">
        <v>756</v>
      </c>
      <c r="H309" s="21" t="s">
        <v>905</v>
      </c>
      <c r="I309" s="21">
        <f t="shared" si="24"/>
        <v>99</v>
      </c>
      <c r="J309" s="21"/>
      <c r="K309" s="21" t="str">
        <f t="shared" si="25"/>
        <v>-</v>
      </c>
      <c r="L309" s="15">
        <f t="shared" si="26"/>
        <v>60.843835616438355</v>
      </c>
      <c r="O309" s="16"/>
      <c r="P309" s="16"/>
      <c r="Q309" s="16"/>
      <c r="R309" s="16"/>
      <c r="S309" s="21"/>
      <c r="T309" s="21"/>
      <c r="U309" s="21"/>
      <c r="V309" s="5">
        <v>44749</v>
      </c>
      <c r="W309" s="5">
        <v>66957</v>
      </c>
      <c r="Y309" s="5"/>
    </row>
    <row r="310" spans="1:32" ht="18" x14ac:dyDescent="0.35">
      <c r="A310" s="6"/>
      <c r="C310" s="13" t="s">
        <v>683</v>
      </c>
      <c r="D310" s="13" t="str">
        <f t="shared" si="23"/>
        <v xml:space="preserve">;GbLk </v>
      </c>
      <c r="E310" s="13" t="str">
        <f t="shared" si="27"/>
        <v>kf}8]n</v>
      </c>
      <c r="F310" s="21" t="s">
        <v>233</v>
      </c>
      <c r="G310" s="21" t="s">
        <v>757</v>
      </c>
      <c r="H310" s="21" t="s">
        <v>905</v>
      </c>
      <c r="I310" s="21">
        <f t="shared" si="24"/>
        <v>164</v>
      </c>
      <c r="J310" s="21"/>
      <c r="K310" s="21" t="str">
        <f t="shared" si="25"/>
        <v>-</v>
      </c>
      <c r="L310" s="15">
        <f t="shared" si="26"/>
        <v>33.421917808219177</v>
      </c>
      <c r="O310" s="16"/>
      <c r="P310" s="16"/>
      <c r="Q310" s="16"/>
      <c r="R310" s="16"/>
      <c r="S310" s="21"/>
      <c r="T310" s="21"/>
      <c r="U310" s="21"/>
      <c r="V310" s="5">
        <v>54758</v>
      </c>
      <c r="W310" s="5">
        <v>66957</v>
      </c>
      <c r="Y310" s="5"/>
    </row>
    <row r="311" spans="1:32" ht="18" x14ac:dyDescent="0.35">
      <c r="A311" s="6">
        <v>105</v>
      </c>
      <c r="B311" t="s">
        <v>218</v>
      </c>
      <c r="C311" s="13" t="s">
        <v>684</v>
      </c>
      <c r="D311" s="13" t="str">
        <f t="shared" si="23"/>
        <v xml:space="preserve">nIdL </v>
      </c>
      <c r="E311" s="13" t="str">
        <f t="shared" si="27"/>
        <v>ltjf/L</v>
      </c>
      <c r="F311" s="21" t="s">
        <v>233</v>
      </c>
      <c r="G311" s="21" t="s">
        <v>756</v>
      </c>
      <c r="H311" s="21" t="s">
        <v>905</v>
      </c>
      <c r="I311" s="21">
        <f t="shared" si="24"/>
        <v>164</v>
      </c>
      <c r="J311" s="21"/>
      <c r="K311" s="21" t="str">
        <f t="shared" si="25"/>
        <v>-</v>
      </c>
      <c r="L311" s="15">
        <f t="shared" si="26"/>
        <v>68.575342465753423</v>
      </c>
      <c r="O311" s="16">
        <v>0</v>
      </c>
      <c r="P311" s="16">
        <v>8</v>
      </c>
      <c r="Q311" s="16">
        <v>3</v>
      </c>
      <c r="R311" s="16">
        <v>2</v>
      </c>
      <c r="S311" s="21" t="s">
        <v>745</v>
      </c>
      <c r="T311" s="21"/>
      <c r="U311" s="21"/>
      <c r="V311" s="5">
        <v>41927</v>
      </c>
      <c r="W311" s="5">
        <v>66957</v>
      </c>
      <c r="Y311" s="5">
        <v>63683</v>
      </c>
      <c r="Z311" s="2" t="s">
        <v>2</v>
      </c>
      <c r="AA311" s="2">
        <v>3</v>
      </c>
      <c r="AB311" s="2">
        <v>2</v>
      </c>
      <c r="AC311" s="2">
        <v>1</v>
      </c>
      <c r="AD311" t="s">
        <v>242</v>
      </c>
      <c r="AE311" t="s">
        <v>269</v>
      </c>
      <c r="AF311" t="s">
        <v>245</v>
      </c>
    </row>
    <row r="312" spans="1:32" ht="18" x14ac:dyDescent="0.35">
      <c r="A312" s="6"/>
      <c r="C312" s="13" t="s">
        <v>685</v>
      </c>
      <c r="D312" s="13" t="str">
        <f t="shared" si="23"/>
        <v xml:space="preserve">k"0f{ </v>
      </c>
      <c r="E312" s="13" t="str">
        <f t="shared" si="27"/>
        <v>clwsf/L</v>
      </c>
      <c r="F312" s="21" t="s">
        <v>234</v>
      </c>
      <c r="G312" s="21" t="s">
        <v>756</v>
      </c>
      <c r="H312" s="21" t="s">
        <v>906</v>
      </c>
      <c r="I312" s="21">
        <f t="shared" si="24"/>
        <v>58</v>
      </c>
      <c r="J312" s="21"/>
      <c r="K312" s="21" t="str">
        <f t="shared" si="25"/>
        <v>-</v>
      </c>
      <c r="L312" s="15">
        <f t="shared" si="26"/>
        <v>63.936986301369863</v>
      </c>
      <c r="O312" s="16"/>
      <c r="P312" s="16"/>
      <c r="Q312" s="16"/>
      <c r="R312" s="16"/>
      <c r="S312" s="21"/>
      <c r="T312" s="21"/>
      <c r="U312" s="21"/>
      <c r="V312" s="5">
        <v>43620</v>
      </c>
      <c r="W312" s="5">
        <v>66957</v>
      </c>
      <c r="Y312" s="5"/>
    </row>
    <row r="313" spans="1:32" ht="18" x14ac:dyDescent="0.35">
      <c r="A313" s="6"/>
      <c r="C313" s="13" t="s">
        <v>686</v>
      </c>
      <c r="D313" s="13" t="str">
        <f t="shared" si="23"/>
        <v xml:space="preserve">s[i0f </v>
      </c>
      <c r="E313" s="13" t="str">
        <f t="shared" si="27"/>
        <v>ltjf/L</v>
      </c>
      <c r="F313" s="21" t="s">
        <v>233</v>
      </c>
      <c r="G313" s="21" t="s">
        <v>757</v>
      </c>
      <c r="H313" s="21" t="s">
        <v>905</v>
      </c>
      <c r="I313" s="21">
        <f t="shared" si="24"/>
        <v>164</v>
      </c>
      <c r="J313" s="21"/>
      <c r="K313" s="21" t="str">
        <f t="shared" si="25"/>
        <v>-</v>
      </c>
      <c r="L313" s="15">
        <f t="shared" si="26"/>
        <v>26.073972602739726</v>
      </c>
      <c r="O313" s="16"/>
      <c r="P313" s="16"/>
      <c r="Q313" s="16"/>
      <c r="R313" s="16"/>
      <c r="S313" s="21"/>
      <c r="T313" s="21"/>
      <c r="U313" s="21"/>
      <c r="V313" s="5">
        <v>57440</v>
      </c>
      <c r="W313" s="5">
        <v>66957</v>
      </c>
      <c r="Y313" s="5"/>
    </row>
    <row r="314" spans="1:32" ht="18" x14ac:dyDescent="0.35">
      <c r="A314" s="6">
        <v>106</v>
      </c>
      <c r="B314" t="s">
        <v>46</v>
      </c>
      <c r="C314" s="13" t="s">
        <v>687</v>
      </c>
      <c r="D314" s="13" t="str">
        <f t="shared" si="23"/>
        <v xml:space="preserve">/Tg </v>
      </c>
      <c r="E314" s="13" t="str">
        <f t="shared" si="27"/>
        <v>&gt;]i7</v>
      </c>
      <c r="F314" s="21" t="s">
        <v>234</v>
      </c>
      <c r="G314" s="21" t="s">
        <v>756</v>
      </c>
      <c r="H314" s="21" t="s">
        <v>906</v>
      </c>
      <c r="I314" s="21">
        <f t="shared" si="24"/>
        <v>58</v>
      </c>
      <c r="J314" s="21"/>
      <c r="K314" s="21" t="str">
        <f t="shared" si="25"/>
        <v>-</v>
      </c>
      <c r="L314" s="15">
        <f t="shared" si="26"/>
        <v>83.295890410958904</v>
      </c>
      <c r="O314" s="16">
        <v>0</v>
      </c>
      <c r="P314" s="16">
        <v>4</v>
      </c>
      <c r="Q314" s="16">
        <v>0</v>
      </c>
      <c r="R314" s="16">
        <v>0</v>
      </c>
      <c r="S314" s="21" t="s">
        <v>745</v>
      </c>
      <c r="T314" s="21"/>
      <c r="U314" s="21"/>
      <c r="V314" s="5">
        <v>36554</v>
      </c>
      <c r="W314" s="5">
        <v>66957</v>
      </c>
      <c r="Y314" s="5">
        <v>63673</v>
      </c>
      <c r="Z314" s="2" t="s">
        <v>2</v>
      </c>
      <c r="AA314" s="2">
        <v>5</v>
      </c>
      <c r="AB314" s="2">
        <v>2</v>
      </c>
      <c r="AC314" s="2">
        <v>3</v>
      </c>
      <c r="AD314" t="s">
        <v>242</v>
      </c>
      <c r="AE314" t="s">
        <v>307</v>
      </c>
      <c r="AF314" t="s">
        <v>245</v>
      </c>
    </row>
    <row r="315" spans="1:32" ht="18" x14ac:dyDescent="0.35">
      <c r="A315" s="6"/>
      <c r="C315" s="13" t="s">
        <v>688</v>
      </c>
      <c r="D315" s="13" t="str">
        <f t="shared" si="23"/>
        <v xml:space="preserve">/fd </v>
      </c>
      <c r="E315" s="13" t="str">
        <f t="shared" si="27"/>
        <v>&gt;]i7</v>
      </c>
      <c r="F315" s="21" t="s">
        <v>233</v>
      </c>
      <c r="G315" s="21" t="s">
        <v>756</v>
      </c>
      <c r="H315" s="21" t="s">
        <v>905</v>
      </c>
      <c r="I315" s="21">
        <f t="shared" si="24"/>
        <v>164</v>
      </c>
      <c r="J315" s="21"/>
      <c r="K315" s="21" t="str">
        <f t="shared" si="25"/>
        <v>-</v>
      </c>
      <c r="L315" s="15">
        <f t="shared" si="26"/>
        <v>44.778082191780825</v>
      </c>
      <c r="O315" s="16"/>
      <c r="P315" s="16"/>
      <c r="Q315" s="16"/>
      <c r="R315" s="16"/>
      <c r="S315" s="21"/>
      <c r="T315" s="21"/>
      <c r="U315" s="21"/>
      <c r="V315" s="5">
        <v>50613</v>
      </c>
      <c r="W315" s="5">
        <v>66957</v>
      </c>
      <c r="Y315" s="5"/>
    </row>
    <row r="316" spans="1:32" ht="18" x14ac:dyDescent="0.35">
      <c r="A316" s="6"/>
      <c r="C316" s="13" t="s">
        <v>689</v>
      </c>
      <c r="D316" s="13" t="str">
        <f t="shared" si="23"/>
        <v xml:space="preserve">;/:jtL </v>
      </c>
      <c r="E316" s="13" t="str">
        <f t="shared" si="27"/>
        <v>&gt;]i7</v>
      </c>
      <c r="F316" s="21" t="s">
        <v>234</v>
      </c>
      <c r="G316" s="21" t="s">
        <v>756</v>
      </c>
      <c r="H316" s="21" t="s">
        <v>905</v>
      </c>
      <c r="I316" s="21">
        <f t="shared" si="24"/>
        <v>99</v>
      </c>
      <c r="J316" s="21"/>
      <c r="K316" s="21" t="str">
        <f t="shared" si="25"/>
        <v>-</v>
      </c>
      <c r="L316" s="15">
        <f t="shared" si="26"/>
        <v>37.671232876712331</v>
      </c>
      <c r="O316" s="16"/>
      <c r="P316" s="16"/>
      <c r="Q316" s="16"/>
      <c r="R316" s="16"/>
      <c r="S316" s="21"/>
      <c r="T316" s="21"/>
      <c r="U316" s="21"/>
      <c r="V316" s="5">
        <v>53207</v>
      </c>
      <c r="W316" s="5">
        <v>66957</v>
      </c>
      <c r="Y316" s="5"/>
    </row>
    <row r="317" spans="1:32" ht="18" x14ac:dyDescent="0.35">
      <c r="A317" s="6"/>
      <c r="C317" s="13" t="s">
        <v>690</v>
      </c>
      <c r="D317" s="13" t="str">
        <f t="shared" si="23"/>
        <v xml:space="preserve">l/ltdf </v>
      </c>
      <c r="E317" s="13" t="str">
        <f t="shared" si="27"/>
        <v>&gt;]i7</v>
      </c>
      <c r="F317" s="21" t="s">
        <v>234</v>
      </c>
      <c r="G317" s="21" t="s">
        <v>757</v>
      </c>
      <c r="H317" s="21" t="s">
        <v>905</v>
      </c>
      <c r="I317" s="21">
        <f t="shared" si="24"/>
        <v>99</v>
      </c>
      <c r="J317" s="21"/>
      <c r="K317" s="21" t="str">
        <f t="shared" si="25"/>
        <v>-</v>
      </c>
      <c r="L317" s="15">
        <f t="shared" si="26"/>
        <v>19.671232876712327</v>
      </c>
      <c r="O317" s="16"/>
      <c r="P317" s="16"/>
      <c r="Q317" s="16"/>
      <c r="R317" s="16"/>
      <c r="S317" s="21"/>
      <c r="T317" s="21"/>
      <c r="U317" s="21"/>
      <c r="V317" s="5">
        <v>59777</v>
      </c>
      <c r="W317" s="5">
        <v>66957</v>
      </c>
      <c r="Y317" s="5"/>
    </row>
    <row r="318" spans="1:32" ht="18" x14ac:dyDescent="0.35">
      <c r="A318" s="6"/>
      <c r="C318" s="13" t="s">
        <v>691</v>
      </c>
      <c r="D318" s="13" t="str">
        <f t="shared" si="23"/>
        <v xml:space="preserve">cflbTo </v>
      </c>
      <c r="E318" s="13" t="str">
        <f t="shared" si="27"/>
        <v>&gt;]i7</v>
      </c>
      <c r="F318" s="21" t="s">
        <v>233</v>
      </c>
      <c r="G318" s="21" t="s">
        <v>757</v>
      </c>
      <c r="H318" s="21" t="s">
        <v>905</v>
      </c>
      <c r="I318" s="21">
        <f t="shared" si="24"/>
        <v>164</v>
      </c>
      <c r="J318" s="21"/>
      <c r="K318" s="21" t="str">
        <f t="shared" si="25"/>
        <v>-</v>
      </c>
      <c r="L318" s="15">
        <f t="shared" si="26"/>
        <v>15.917808219178083</v>
      </c>
      <c r="O318" s="16"/>
      <c r="P318" s="16"/>
      <c r="Q318" s="16"/>
      <c r="R318" s="16"/>
      <c r="S318" s="21"/>
      <c r="T318" s="21"/>
      <c r="U318" s="21"/>
      <c r="V318" s="5">
        <v>61147</v>
      </c>
      <c r="W318" s="5">
        <v>66957</v>
      </c>
      <c r="Y318" s="5"/>
    </row>
    <row r="319" spans="1:32" ht="18" x14ac:dyDescent="0.35">
      <c r="A319" s="6">
        <v>107</v>
      </c>
      <c r="B319" t="s">
        <v>219</v>
      </c>
      <c r="C319" s="13" t="s">
        <v>692</v>
      </c>
      <c r="D319" s="13" t="str">
        <f t="shared" si="23"/>
        <v xml:space="preserve">hLa </v>
      </c>
      <c r="E319" s="13" t="str">
        <f t="shared" si="27"/>
        <v>bfxfn</v>
      </c>
      <c r="F319" s="21" t="s">
        <v>233</v>
      </c>
      <c r="G319" s="21" t="s">
        <v>756</v>
      </c>
      <c r="H319" s="21" t="s">
        <v>905</v>
      </c>
      <c r="I319" s="21">
        <f t="shared" si="24"/>
        <v>164</v>
      </c>
      <c r="J319" s="21"/>
      <c r="K319" s="21" t="str">
        <f t="shared" si="25"/>
        <v>-</v>
      </c>
      <c r="L319" s="15">
        <f t="shared" si="26"/>
        <v>77</v>
      </c>
      <c r="O319" s="16">
        <v>0</v>
      </c>
      <c r="P319" s="16">
        <v>11</v>
      </c>
      <c r="Q319" s="16">
        <v>1</v>
      </c>
      <c r="R319" s="16">
        <v>0</v>
      </c>
      <c r="S319" s="21" t="s">
        <v>745</v>
      </c>
      <c r="T319" s="21"/>
      <c r="U319" s="21"/>
      <c r="V319" s="5">
        <v>38852</v>
      </c>
      <c r="W319" s="5">
        <v>66957</v>
      </c>
      <c r="Y319" s="5">
        <v>63649</v>
      </c>
      <c r="Z319" s="2" t="s">
        <v>2</v>
      </c>
      <c r="AA319" s="2">
        <v>6</v>
      </c>
      <c r="AB319" s="2">
        <v>1</v>
      </c>
      <c r="AC319" s="2">
        <v>5</v>
      </c>
      <c r="AD319" t="s">
        <v>239</v>
      </c>
      <c r="AE319" t="s">
        <v>274</v>
      </c>
      <c r="AF319" t="s">
        <v>245</v>
      </c>
    </row>
    <row r="320" spans="1:32" ht="18" x14ac:dyDescent="0.35">
      <c r="A320" s="6"/>
      <c r="C320" s="13" t="s">
        <v>693</v>
      </c>
      <c r="D320" s="13" t="str">
        <f t="shared" si="23"/>
        <v xml:space="preserve">s]z/ </v>
      </c>
      <c r="E320" s="13" t="str">
        <f t="shared" si="27"/>
        <v>bfxfn</v>
      </c>
      <c r="F320" s="21" t="s">
        <v>234</v>
      </c>
      <c r="G320" s="21" t="s">
        <v>756</v>
      </c>
      <c r="H320" s="21" t="s">
        <v>906</v>
      </c>
      <c r="I320" s="21">
        <f t="shared" si="24"/>
        <v>58</v>
      </c>
      <c r="J320" s="21"/>
      <c r="K320" s="21" t="str">
        <f t="shared" si="25"/>
        <v>-</v>
      </c>
      <c r="L320" s="15">
        <f t="shared" si="26"/>
        <v>73.205479452054789</v>
      </c>
      <c r="O320" s="16"/>
      <c r="P320" s="16"/>
      <c r="Q320" s="16"/>
      <c r="R320" s="16"/>
      <c r="S320" s="21"/>
      <c r="T320" s="21"/>
      <c r="U320" s="21"/>
      <c r="V320" s="5">
        <v>40237</v>
      </c>
      <c r="W320" s="5">
        <v>66957</v>
      </c>
      <c r="Y320" s="5"/>
    </row>
    <row r="321" spans="1:32" ht="18" x14ac:dyDescent="0.35">
      <c r="A321" s="6"/>
      <c r="C321" s="13" t="s">
        <v>694</v>
      </c>
      <c r="D321" s="13" t="str">
        <f t="shared" si="23"/>
        <v xml:space="preserve">lgzf </v>
      </c>
      <c r="E321" s="13" t="str">
        <f t="shared" si="27"/>
        <v>zdf{</v>
      </c>
      <c r="F321" s="21" t="s">
        <v>234</v>
      </c>
      <c r="G321" s="21" t="s">
        <v>757</v>
      </c>
      <c r="H321" s="21" t="s">
        <v>905</v>
      </c>
      <c r="I321" s="21">
        <f t="shared" si="24"/>
        <v>99</v>
      </c>
      <c r="J321" s="21"/>
      <c r="K321" s="21" t="str">
        <f t="shared" si="25"/>
        <v>-</v>
      </c>
      <c r="L321" s="15">
        <f t="shared" si="26"/>
        <v>40.06849315068493</v>
      </c>
      <c r="O321" s="16"/>
      <c r="P321" s="16"/>
      <c r="Q321" s="16"/>
      <c r="R321" s="16"/>
      <c r="S321" s="21"/>
      <c r="T321" s="21"/>
      <c r="U321" s="21"/>
      <c r="V321" s="5">
        <v>52332</v>
      </c>
      <c r="W321" s="5">
        <v>66957</v>
      </c>
      <c r="Y321" s="5"/>
    </row>
    <row r="322" spans="1:32" ht="18" x14ac:dyDescent="0.35">
      <c r="A322" s="6"/>
      <c r="C322" s="13" t="s">
        <v>695</v>
      </c>
      <c r="D322" s="13" t="str">
        <f t="shared" si="23"/>
        <v xml:space="preserve">kf]if0f </v>
      </c>
      <c r="E322" s="13" t="str">
        <f t="shared" si="27"/>
        <v>zdf{</v>
      </c>
      <c r="F322" s="21" t="s">
        <v>234</v>
      </c>
      <c r="G322" s="21" t="s">
        <v>757</v>
      </c>
      <c r="H322" s="21" t="s">
        <v>905</v>
      </c>
      <c r="I322" s="21">
        <f t="shared" si="24"/>
        <v>99</v>
      </c>
      <c r="J322" s="21"/>
      <c r="K322" s="21" t="str">
        <f t="shared" si="25"/>
        <v>-</v>
      </c>
      <c r="L322" s="15">
        <f t="shared" si="26"/>
        <v>33.090410958904108</v>
      </c>
      <c r="O322" s="16"/>
      <c r="P322" s="16"/>
      <c r="Q322" s="16"/>
      <c r="R322" s="16"/>
      <c r="S322" s="21"/>
      <c r="T322" s="21"/>
      <c r="U322" s="21"/>
      <c r="V322" s="5">
        <v>54879</v>
      </c>
      <c r="W322" s="5">
        <v>66957</v>
      </c>
      <c r="Y322" s="5"/>
    </row>
    <row r="323" spans="1:32" ht="18" x14ac:dyDescent="0.35">
      <c r="A323" s="6"/>
      <c r="C323" s="13" t="s">
        <v>696</v>
      </c>
      <c r="D323" s="13" t="str">
        <f t="shared" si="23"/>
        <v xml:space="preserve">g]z' </v>
      </c>
      <c r="E323" s="13" t="str">
        <f t="shared" si="27"/>
        <v>zdf{</v>
      </c>
      <c r="F323" s="21" t="s">
        <v>234</v>
      </c>
      <c r="G323" s="21" t="s">
        <v>757</v>
      </c>
      <c r="H323" s="21" t="s">
        <v>905</v>
      </c>
      <c r="I323" s="21">
        <f t="shared" si="24"/>
        <v>99</v>
      </c>
      <c r="J323" s="21"/>
      <c r="K323" s="21" t="str">
        <f t="shared" si="25"/>
        <v>-</v>
      </c>
      <c r="L323" s="15">
        <f t="shared" si="26"/>
        <v>31.791780821917808</v>
      </c>
      <c r="O323" s="16"/>
      <c r="P323" s="16"/>
      <c r="Q323" s="16"/>
      <c r="R323" s="16"/>
      <c r="S323" s="21"/>
      <c r="T323" s="21"/>
      <c r="U323" s="21"/>
      <c r="V323" s="5">
        <v>55353</v>
      </c>
      <c r="W323" s="5">
        <v>66957</v>
      </c>
      <c r="Y323" s="5"/>
    </row>
    <row r="324" spans="1:32" ht="18" x14ac:dyDescent="0.35">
      <c r="A324" s="6"/>
      <c r="C324" s="13" t="s">
        <v>697</v>
      </c>
      <c r="D324" s="13" t="str">
        <f t="shared" ref="D324:D335" si="28">LEFT(C324,(FIND(" ",C324)))</f>
        <v xml:space="preserve">piff </v>
      </c>
      <c r="E324" s="13" t="str">
        <f t="shared" si="27"/>
        <v>zdf{</v>
      </c>
      <c r="F324" s="21" t="s">
        <v>234</v>
      </c>
      <c r="G324" s="21" t="s">
        <v>757</v>
      </c>
      <c r="H324" s="21" t="s">
        <v>905</v>
      </c>
      <c r="I324" s="21">
        <f t="shared" ref="I324:I335" si="29">IF(L324&gt;=5,(COUNTIFS($H$4:$H$335,H324,$F$4:$F$335,F324)))</f>
        <v>99</v>
      </c>
      <c r="J324" s="21"/>
      <c r="K324" s="21" t="str">
        <f t="shared" ref="K324:K335" si="30">IF(L324&gt;=5,"-")</f>
        <v>-</v>
      </c>
      <c r="L324" s="15">
        <f t="shared" ref="L324:L335" si="31">(W324-V324)/365</f>
        <v>50.441095890410956</v>
      </c>
      <c r="O324" s="16"/>
      <c r="P324" s="16"/>
      <c r="Q324" s="16"/>
      <c r="R324" s="16"/>
      <c r="S324" s="21"/>
      <c r="T324" s="21"/>
      <c r="U324" s="21"/>
      <c r="V324" s="5">
        <v>48546</v>
      </c>
      <c r="W324" s="5">
        <v>66957</v>
      </c>
      <c r="Y324" s="5"/>
    </row>
    <row r="325" spans="1:32" ht="18" x14ac:dyDescent="0.35">
      <c r="A325" s="6">
        <v>108</v>
      </c>
      <c r="B325" t="s">
        <v>148</v>
      </c>
      <c r="C325" s="13" t="s">
        <v>698</v>
      </c>
      <c r="D325" s="13" t="str">
        <f t="shared" si="28"/>
        <v xml:space="preserve">rGb| </v>
      </c>
      <c r="E325" s="13" t="str">
        <f t="shared" si="27"/>
        <v>a:g]t</v>
      </c>
      <c r="F325" s="21" t="s">
        <v>233</v>
      </c>
      <c r="G325" s="21" t="s">
        <v>756</v>
      </c>
      <c r="H325" s="21" t="s">
        <v>905</v>
      </c>
      <c r="I325" s="21">
        <f t="shared" si="29"/>
        <v>164</v>
      </c>
      <c r="J325" s="21"/>
      <c r="K325" s="21" t="str">
        <f t="shared" si="30"/>
        <v>-</v>
      </c>
      <c r="L325" s="15">
        <f t="shared" si="31"/>
        <v>55.589041095890408</v>
      </c>
      <c r="O325" s="16" t="s">
        <v>748</v>
      </c>
      <c r="P325" s="16" t="s">
        <v>748</v>
      </c>
      <c r="Q325" s="16" t="s">
        <v>748</v>
      </c>
      <c r="R325" s="16" t="s">
        <v>748</v>
      </c>
      <c r="S325" s="21" t="s">
        <v>748</v>
      </c>
      <c r="T325" s="21"/>
      <c r="U325" s="21"/>
      <c r="V325" s="5">
        <v>46667</v>
      </c>
      <c r="W325" s="5">
        <v>66957</v>
      </c>
      <c r="Y325" s="5">
        <v>63601</v>
      </c>
      <c r="Z325" s="2" t="s">
        <v>2</v>
      </c>
      <c r="AA325" s="2">
        <v>4</v>
      </c>
      <c r="AB325" s="2">
        <v>2</v>
      </c>
      <c r="AC325" s="2">
        <v>2</v>
      </c>
      <c r="AD325" t="s">
        <v>242</v>
      </c>
      <c r="AE325" t="s">
        <v>260</v>
      </c>
      <c r="AF325" t="s">
        <v>245</v>
      </c>
    </row>
    <row r="326" spans="1:32" ht="18" x14ac:dyDescent="0.35">
      <c r="A326" s="6"/>
      <c r="C326" s="13" t="s">
        <v>699</v>
      </c>
      <c r="D326" s="13" t="str">
        <f t="shared" si="28"/>
        <v xml:space="preserve">kz'klt </v>
      </c>
      <c r="E326" s="13" t="str">
        <f t="shared" si="27"/>
        <v>sfsL{</v>
      </c>
      <c r="F326" s="21" t="s">
        <v>234</v>
      </c>
      <c r="G326" s="21" t="s">
        <v>756</v>
      </c>
      <c r="H326" s="21" t="s">
        <v>905</v>
      </c>
      <c r="I326" s="21">
        <f t="shared" si="29"/>
        <v>99</v>
      </c>
      <c r="J326" s="21"/>
      <c r="K326" s="21" t="str">
        <f t="shared" si="30"/>
        <v>-</v>
      </c>
      <c r="L326" s="15">
        <f t="shared" si="31"/>
        <v>42.750684931506846</v>
      </c>
      <c r="O326" s="16"/>
      <c r="P326" s="16"/>
      <c r="Q326" s="16"/>
      <c r="R326" s="16"/>
      <c r="S326" s="21"/>
      <c r="T326" s="21"/>
      <c r="U326" s="21"/>
      <c r="V326" s="5">
        <v>51353</v>
      </c>
      <c r="W326" s="5">
        <v>66957</v>
      </c>
      <c r="Y326" s="5"/>
    </row>
    <row r="327" spans="1:32" ht="18" x14ac:dyDescent="0.35">
      <c r="A327" s="6"/>
      <c r="C327" s="13" t="s">
        <v>612</v>
      </c>
      <c r="D327" s="13" t="str">
        <f t="shared" si="28"/>
        <v xml:space="preserve">ljzfn </v>
      </c>
      <c r="E327" s="13" t="str">
        <f t="shared" si="27"/>
        <v>a:g]t</v>
      </c>
      <c r="F327" s="21" t="s">
        <v>233</v>
      </c>
      <c r="G327" s="21" t="s">
        <v>757</v>
      </c>
      <c r="H327" s="21" t="s">
        <v>905</v>
      </c>
      <c r="I327" s="21">
        <f t="shared" si="29"/>
        <v>164</v>
      </c>
      <c r="J327" s="21"/>
      <c r="K327" s="21" t="str">
        <f t="shared" si="30"/>
        <v>-</v>
      </c>
      <c r="L327" s="15">
        <f t="shared" si="31"/>
        <v>20.235616438356164</v>
      </c>
      <c r="O327" s="16"/>
      <c r="P327" s="16"/>
      <c r="Q327" s="16"/>
      <c r="R327" s="16"/>
      <c r="S327" s="21"/>
      <c r="T327" s="21"/>
      <c r="U327" s="21"/>
      <c r="V327" s="5">
        <v>59571</v>
      </c>
      <c r="W327" s="5">
        <v>66957</v>
      </c>
      <c r="Y327" s="5"/>
    </row>
    <row r="328" spans="1:32" ht="18" x14ac:dyDescent="0.35">
      <c r="A328" s="6"/>
      <c r="C328" s="13" t="s">
        <v>613</v>
      </c>
      <c r="D328" s="13" t="str">
        <f t="shared" si="28"/>
        <v xml:space="preserve">ljj]s </v>
      </c>
      <c r="E328" s="13" t="str">
        <f t="shared" si="27"/>
        <v>a:g]t</v>
      </c>
      <c r="F328" s="21" t="s">
        <v>233</v>
      </c>
      <c r="G328" s="21" t="s">
        <v>757</v>
      </c>
      <c r="H328" s="21" t="s">
        <v>905</v>
      </c>
      <c r="I328" s="21">
        <f t="shared" si="29"/>
        <v>164</v>
      </c>
      <c r="J328" s="21"/>
      <c r="K328" s="21" t="str">
        <f t="shared" si="30"/>
        <v>-</v>
      </c>
      <c r="L328" s="15">
        <f t="shared" si="31"/>
        <v>19.013698630136986</v>
      </c>
      <c r="O328" s="16"/>
      <c r="P328" s="16"/>
      <c r="Q328" s="16"/>
      <c r="R328" s="16"/>
      <c r="S328" s="21"/>
      <c r="T328" s="21"/>
      <c r="U328" s="21"/>
      <c r="V328" s="5">
        <v>60017</v>
      </c>
      <c r="W328" s="5">
        <v>66957</v>
      </c>
      <c r="Y328" s="5"/>
    </row>
    <row r="329" spans="1:32" ht="18" x14ac:dyDescent="0.35">
      <c r="A329" s="6">
        <v>109</v>
      </c>
      <c r="B329" t="s">
        <v>220</v>
      </c>
      <c r="C329" s="13" t="s">
        <v>700</v>
      </c>
      <c r="D329" s="13" t="str">
        <f t="shared" si="28"/>
        <v xml:space="preserve">r'8fd0fL </v>
      </c>
      <c r="E329" s="13" t="str">
        <f t="shared" si="27"/>
        <v>vgfn</v>
      </c>
      <c r="F329" s="21" t="s">
        <v>233</v>
      </c>
      <c r="G329" s="21" t="s">
        <v>756</v>
      </c>
      <c r="H329" s="21" t="s">
        <v>905</v>
      </c>
      <c r="I329" s="21">
        <f t="shared" si="29"/>
        <v>164</v>
      </c>
      <c r="J329" s="21"/>
      <c r="K329" s="21" t="str">
        <f t="shared" si="30"/>
        <v>-</v>
      </c>
      <c r="L329" s="15">
        <f t="shared" si="31"/>
        <v>51.819178082191783</v>
      </c>
      <c r="O329" s="16" t="s">
        <v>748</v>
      </c>
      <c r="P329" s="16" t="s">
        <v>748</v>
      </c>
      <c r="Q329" s="16" t="s">
        <v>748</v>
      </c>
      <c r="R329" s="16" t="s">
        <v>748</v>
      </c>
      <c r="S329" s="21" t="s">
        <v>748</v>
      </c>
      <c r="T329" s="21"/>
      <c r="U329" s="21"/>
      <c r="V329" s="5">
        <v>48043</v>
      </c>
      <c r="W329" s="5">
        <v>66957</v>
      </c>
      <c r="Y329" s="5">
        <v>63569</v>
      </c>
      <c r="Z329" s="2" t="s">
        <v>2</v>
      </c>
      <c r="AA329" s="2">
        <v>3</v>
      </c>
      <c r="AB329" s="2">
        <v>2</v>
      </c>
      <c r="AC329" s="2">
        <v>1</v>
      </c>
      <c r="AD329" t="s">
        <v>242</v>
      </c>
      <c r="AE329" t="s">
        <v>261</v>
      </c>
      <c r="AF329" t="s">
        <v>245</v>
      </c>
    </row>
    <row r="330" spans="1:32" ht="18" x14ac:dyDescent="0.35">
      <c r="A330" s="6"/>
      <c r="C330" s="13" t="s">
        <v>701</v>
      </c>
      <c r="D330" s="13" t="str">
        <f t="shared" si="28"/>
        <v xml:space="preserve">;'gfb]jL </v>
      </c>
      <c r="E330" s="13" t="str">
        <f t="shared" si="27"/>
        <v>clwsf/L</v>
      </c>
      <c r="F330" s="21" t="s">
        <v>234</v>
      </c>
      <c r="G330" s="21" t="s">
        <v>756</v>
      </c>
      <c r="H330" s="21" t="s">
        <v>905</v>
      </c>
      <c r="I330" s="21">
        <f t="shared" si="29"/>
        <v>99</v>
      </c>
      <c r="J330" s="21"/>
      <c r="K330" s="21" t="str">
        <f t="shared" si="30"/>
        <v>-</v>
      </c>
      <c r="L330" s="15">
        <f t="shared" si="31"/>
        <v>50.320547945205476</v>
      </c>
      <c r="O330" s="16"/>
      <c r="P330" s="16"/>
      <c r="Q330" s="16"/>
      <c r="R330" s="16"/>
      <c r="S330" s="21"/>
      <c r="T330" s="21"/>
      <c r="U330" s="21"/>
      <c r="V330" s="5">
        <v>48590</v>
      </c>
      <c r="W330" s="5">
        <v>66957</v>
      </c>
      <c r="Y330" s="5"/>
    </row>
    <row r="331" spans="1:32" ht="18" x14ac:dyDescent="0.35">
      <c r="A331" s="6"/>
      <c r="C331" s="13" t="s">
        <v>702</v>
      </c>
      <c r="D331" s="13" t="str">
        <f t="shared" si="28"/>
        <v xml:space="preserve">;'j0f{ </v>
      </c>
      <c r="E331" s="13" t="str">
        <f t="shared" si="27"/>
        <v>vgfn</v>
      </c>
      <c r="F331" s="21" t="s">
        <v>233</v>
      </c>
      <c r="G331" s="21" t="s">
        <v>757</v>
      </c>
      <c r="H331" s="21" t="s">
        <v>905</v>
      </c>
      <c r="I331" s="21">
        <f t="shared" si="29"/>
        <v>164</v>
      </c>
      <c r="J331" s="21"/>
      <c r="K331" s="21" t="str">
        <f t="shared" si="30"/>
        <v>-</v>
      </c>
      <c r="L331" s="15">
        <f t="shared" si="31"/>
        <v>22.07123287671233</v>
      </c>
      <c r="O331" s="16"/>
      <c r="P331" s="16"/>
      <c r="Q331" s="16"/>
      <c r="R331" s="16"/>
      <c r="S331" s="21"/>
      <c r="T331" s="21"/>
      <c r="U331" s="21"/>
      <c r="V331" s="5">
        <v>58901</v>
      </c>
      <c r="W331" s="5">
        <v>66957</v>
      </c>
      <c r="Y331" s="5"/>
    </row>
    <row r="332" spans="1:32" ht="18" x14ac:dyDescent="0.35">
      <c r="A332" s="6">
        <v>110</v>
      </c>
      <c r="B332" t="s">
        <v>221</v>
      </c>
      <c r="C332" s="13" t="s">
        <v>703</v>
      </c>
      <c r="D332" s="13" t="str">
        <f t="shared" si="28"/>
        <v xml:space="preserve">d'/f/L </v>
      </c>
      <c r="E332" s="13" t="str">
        <f t="shared" si="27"/>
        <v>;'j]bL</v>
      </c>
      <c r="F332" s="21" t="s">
        <v>233</v>
      </c>
      <c r="G332" s="21" t="s">
        <v>756</v>
      </c>
      <c r="H332" s="21" t="s">
        <v>905</v>
      </c>
      <c r="I332" s="21">
        <f t="shared" si="29"/>
        <v>164</v>
      </c>
      <c r="J332" s="21"/>
      <c r="K332" s="21" t="str">
        <f t="shared" si="30"/>
        <v>-</v>
      </c>
      <c r="L332" s="15">
        <f t="shared" si="31"/>
        <v>54.293150684931504</v>
      </c>
      <c r="O332" s="16">
        <v>1</v>
      </c>
      <c r="P332" s="16">
        <v>10</v>
      </c>
      <c r="Q332" s="16">
        <v>0</v>
      </c>
      <c r="R332" s="16">
        <v>0</v>
      </c>
      <c r="S332" s="21" t="s">
        <v>910</v>
      </c>
      <c r="T332" s="21"/>
      <c r="U332" s="21"/>
      <c r="V332" s="5">
        <v>47140</v>
      </c>
      <c r="W332" s="5">
        <v>66957</v>
      </c>
      <c r="X332" t="s">
        <v>229</v>
      </c>
      <c r="Y332" s="5">
        <v>63566</v>
      </c>
      <c r="Z332" s="2" t="s">
        <v>2</v>
      </c>
      <c r="AA332" s="2">
        <v>4</v>
      </c>
      <c r="AB332" s="2">
        <v>2</v>
      </c>
      <c r="AC332" s="2">
        <v>2</v>
      </c>
      <c r="AD332" t="s">
        <v>242</v>
      </c>
      <c r="AE332" t="s">
        <v>295</v>
      </c>
      <c r="AF332" t="s">
        <v>245</v>
      </c>
    </row>
    <row r="333" spans="1:32" ht="18" x14ac:dyDescent="0.35">
      <c r="A333" s="6"/>
      <c r="C333" s="13" t="s">
        <v>704</v>
      </c>
      <c r="D333" s="13" t="str">
        <f t="shared" si="28"/>
        <v xml:space="preserve">;'ldqf </v>
      </c>
      <c r="E333" s="13" t="str">
        <f t="shared" si="27"/>
        <v>;'j]bL</v>
      </c>
      <c r="F333" s="21" t="s">
        <v>234</v>
      </c>
      <c r="G333" s="21" t="s">
        <v>756</v>
      </c>
      <c r="H333" s="21" t="s">
        <v>906</v>
      </c>
      <c r="I333" s="21">
        <f t="shared" si="29"/>
        <v>58</v>
      </c>
      <c r="J333" s="21"/>
      <c r="K333" s="21" t="str">
        <f t="shared" si="30"/>
        <v>-</v>
      </c>
      <c r="L333" s="15">
        <f t="shared" si="31"/>
        <v>49.035616438356165</v>
      </c>
      <c r="O333" s="16"/>
      <c r="P333" s="16"/>
      <c r="Q333" s="16"/>
      <c r="R333" s="16"/>
      <c r="S333" s="21"/>
      <c r="T333" s="21"/>
      <c r="U333" s="21"/>
      <c r="V333" s="5">
        <v>49059</v>
      </c>
      <c r="W333" s="5">
        <v>66957</v>
      </c>
      <c r="Y333" s="5"/>
    </row>
    <row r="334" spans="1:32" ht="18" x14ac:dyDescent="0.35">
      <c r="A334" s="6"/>
      <c r="C334" s="13" t="s">
        <v>705</v>
      </c>
      <c r="D334" s="13" t="str">
        <f t="shared" si="28"/>
        <v xml:space="preserve">laa]s </v>
      </c>
      <c r="E334" s="13" t="str">
        <f t="shared" si="27"/>
        <v>;'j]bL</v>
      </c>
      <c r="F334" s="21" t="s">
        <v>233</v>
      </c>
      <c r="G334" s="21" t="s">
        <v>757</v>
      </c>
      <c r="H334" s="21" t="s">
        <v>905</v>
      </c>
      <c r="I334" s="21">
        <f t="shared" si="29"/>
        <v>164</v>
      </c>
      <c r="J334" s="21"/>
      <c r="K334" s="21" t="str">
        <f t="shared" si="30"/>
        <v>-</v>
      </c>
      <c r="L334" s="15">
        <f t="shared" si="31"/>
        <v>21.641095890410959</v>
      </c>
      <c r="O334" s="16"/>
      <c r="P334" s="16"/>
      <c r="Q334" s="16"/>
      <c r="R334" s="16"/>
      <c r="S334" s="21"/>
      <c r="T334" s="21"/>
      <c r="U334" s="21"/>
      <c r="V334" s="5">
        <v>59058</v>
      </c>
      <c r="W334" s="5">
        <v>66957</v>
      </c>
      <c r="Y334" s="5"/>
    </row>
    <row r="335" spans="1:32" ht="18" x14ac:dyDescent="0.35">
      <c r="A335" s="6"/>
      <c r="C335" s="13" t="s">
        <v>706</v>
      </c>
      <c r="D335" s="13" t="str">
        <f t="shared" si="28"/>
        <v xml:space="preserve">;[li6 </v>
      </c>
      <c r="E335" s="13" t="str">
        <f t="shared" si="27"/>
        <v>;'j]bL</v>
      </c>
      <c r="F335" s="21" t="s">
        <v>234</v>
      </c>
      <c r="G335" s="21" t="s">
        <v>757</v>
      </c>
      <c r="H335" s="21" t="s">
        <v>905</v>
      </c>
      <c r="I335" s="21">
        <f t="shared" si="29"/>
        <v>99</v>
      </c>
      <c r="J335" s="21"/>
      <c r="K335" s="21" t="str">
        <f t="shared" si="30"/>
        <v>-</v>
      </c>
      <c r="L335" s="15">
        <f t="shared" si="31"/>
        <v>13.282191780821918</v>
      </c>
      <c r="O335" s="16"/>
      <c r="P335" s="16"/>
      <c r="Q335" s="16"/>
      <c r="R335" s="16"/>
      <c r="S335" s="21"/>
      <c r="T335" s="21"/>
      <c r="U335" s="21"/>
      <c r="V335" s="5">
        <v>62109</v>
      </c>
      <c r="W335" s="5">
        <v>66957</v>
      </c>
      <c r="Y335" s="5"/>
    </row>
    <row r="336" spans="1:32" x14ac:dyDescent="0.3">
      <c r="AA336" s="3">
        <f>SUM(AA4:AA335)</f>
        <v>335</v>
      </c>
      <c r="AB336" s="3">
        <f t="shared" ref="AB336:AC336" si="32">SUM(AB4:AB335)</f>
        <v>176</v>
      </c>
      <c r="AC336" s="3">
        <f t="shared" si="32"/>
        <v>159</v>
      </c>
    </row>
  </sheetData>
  <mergeCells count="25">
    <mergeCell ref="V1:V2"/>
    <mergeCell ref="A1:A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O1:R1"/>
    <mergeCell ref="J1:J2"/>
    <mergeCell ref="S1:S2"/>
    <mergeCell ref="T1:T2"/>
    <mergeCell ref="U1:U2"/>
    <mergeCell ref="AE1:AE2"/>
    <mergeCell ref="AF1:AF2"/>
    <mergeCell ref="AG1:AG2"/>
    <mergeCell ref="W1:W2"/>
    <mergeCell ref="X1:X2"/>
    <mergeCell ref="Y1:Y2"/>
    <mergeCell ref="Z1:Z2"/>
    <mergeCell ref="AA1:AC1"/>
    <mergeCell ref="AD1:AD2"/>
  </mergeCells>
  <phoneticPr fontId="4" type="noConversion"/>
  <dataValidations disablePrompts="1" count="1">
    <dataValidation type="list" allowBlank="1" showInputMessage="1" showErrorMessage="1" sqref="Z4:Z335" xr:uid="{00000000-0002-0000-0500-000000000000}">
      <formula1>$Z$4:$Z$63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Reasons!$A$2:$A$8</xm:f>
          </x14:formula1>
          <xm:sqref>AD4:AD335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389B-C382-4694-8FCE-E6049CDB3DA2}">
  <dimension ref="A1:AG349"/>
  <sheetViews>
    <sheetView topLeftCell="A80" zoomScaleNormal="100" workbookViewId="0">
      <selection activeCell="E90" sqref="E90"/>
    </sheetView>
  </sheetViews>
  <sheetFormatPr defaultRowHeight="14.4" x14ac:dyDescent="0.3"/>
  <cols>
    <col min="1" max="1" width="5.109375" style="4" bestFit="1" customWidth="1"/>
    <col min="2" max="2" width="25.6640625" customWidth="1"/>
    <col min="3" max="3" width="25.33203125" bestFit="1" customWidth="1"/>
    <col min="4" max="4" width="10.5546875" customWidth="1"/>
    <col min="5" max="6" width="9" customWidth="1"/>
    <col min="7" max="7" width="10.33203125" customWidth="1"/>
    <col min="8" max="9" width="12.6640625" customWidth="1"/>
    <col min="10" max="12" width="10.33203125" customWidth="1"/>
    <col min="13" max="13" width="11.5546875" customWidth="1"/>
    <col min="14" max="14" width="8.5546875" bestFit="1" customWidth="1"/>
    <col min="15" max="16" width="8.5546875" customWidth="1"/>
    <col min="17" max="17" width="6.5546875" customWidth="1"/>
    <col min="18" max="18" width="7.109375" customWidth="1"/>
    <col min="19" max="19" width="5.44140625" customWidth="1"/>
    <col min="20" max="20" width="6" customWidth="1"/>
    <col min="21" max="21" width="5.88671875" customWidth="1"/>
    <col min="22" max="23" width="11.5546875" bestFit="1" customWidth="1"/>
    <col min="24" max="24" width="18" bestFit="1" customWidth="1"/>
    <col min="25" max="25" width="11.5546875" bestFit="1" customWidth="1"/>
    <col min="26" max="26" width="17.6640625" style="2" bestFit="1" customWidth="1"/>
    <col min="27" max="27" width="5.44140625" style="2" bestFit="1" customWidth="1"/>
    <col min="28" max="28" width="5.5546875" style="2" bestFit="1" customWidth="1"/>
    <col min="29" max="29" width="7.5546875" style="2" bestFit="1" customWidth="1"/>
    <col min="30" max="30" width="14.88671875" bestFit="1" customWidth="1"/>
    <col min="31" max="31" width="35.33203125" bestFit="1" customWidth="1"/>
    <col min="32" max="32" width="33.109375" bestFit="1" customWidth="1"/>
    <col min="33" max="33" width="19.5546875" bestFit="1" customWidth="1"/>
  </cols>
  <sheetData>
    <row r="1" spans="1:33" ht="15" customHeight="1" x14ac:dyDescent="0.3">
      <c r="A1" s="56" t="s">
        <v>103</v>
      </c>
      <c r="B1" s="7" t="s">
        <v>102</v>
      </c>
      <c r="C1" s="56" t="s">
        <v>104</v>
      </c>
      <c r="D1" s="56" t="s">
        <v>735</v>
      </c>
      <c r="E1" s="56" t="s">
        <v>736</v>
      </c>
      <c r="F1" s="56" t="s">
        <v>904</v>
      </c>
      <c r="G1" s="58" t="s">
        <v>755</v>
      </c>
      <c r="H1" s="58" t="s">
        <v>938</v>
      </c>
      <c r="I1" s="58" t="s">
        <v>909</v>
      </c>
      <c r="J1" s="58" t="s">
        <v>758</v>
      </c>
      <c r="K1" s="58" t="s">
        <v>908</v>
      </c>
      <c r="L1" s="58" t="s">
        <v>909</v>
      </c>
      <c r="M1" s="63" t="s">
        <v>733</v>
      </c>
      <c r="N1" s="63" t="s">
        <v>935</v>
      </c>
      <c r="O1" s="65" t="s">
        <v>936</v>
      </c>
      <c r="P1" s="65" t="s">
        <v>937</v>
      </c>
      <c r="Q1" s="63"/>
      <c r="R1" s="60" t="s">
        <v>743</v>
      </c>
      <c r="S1" s="61"/>
      <c r="T1" s="61"/>
      <c r="U1" s="62"/>
      <c r="V1" s="63" t="s">
        <v>342</v>
      </c>
      <c r="W1" s="63" t="s">
        <v>732</v>
      </c>
      <c r="X1" s="56" t="s">
        <v>106</v>
      </c>
      <c r="Y1" s="56" t="s">
        <v>107</v>
      </c>
      <c r="Z1" s="56" t="s">
        <v>101</v>
      </c>
      <c r="AA1" s="48" t="s">
        <v>105</v>
      </c>
      <c r="AB1" s="49"/>
      <c r="AC1" s="50"/>
      <c r="AD1" s="51" t="s">
        <v>236</v>
      </c>
      <c r="AE1" s="52" t="s">
        <v>246</v>
      </c>
      <c r="AF1" s="53" t="s">
        <v>243</v>
      </c>
      <c r="AG1" s="55" t="s">
        <v>247</v>
      </c>
    </row>
    <row r="2" spans="1:33" x14ac:dyDescent="0.3">
      <c r="A2" s="57"/>
      <c r="B2" s="7"/>
      <c r="C2" s="57"/>
      <c r="D2" s="57"/>
      <c r="E2" s="57"/>
      <c r="F2" s="57"/>
      <c r="G2" s="59"/>
      <c r="H2" s="59"/>
      <c r="I2" s="59"/>
      <c r="J2" s="59"/>
      <c r="K2" s="59"/>
      <c r="L2" s="59"/>
      <c r="M2" s="64"/>
      <c r="N2" s="64"/>
      <c r="O2" s="66"/>
      <c r="P2" s="66"/>
      <c r="Q2" s="64"/>
      <c r="R2" s="18" t="s">
        <v>744</v>
      </c>
      <c r="S2" s="17" t="s">
        <v>745</v>
      </c>
      <c r="T2" s="17" t="s">
        <v>746</v>
      </c>
      <c r="U2" s="17" t="s">
        <v>747</v>
      </c>
      <c r="V2" s="64"/>
      <c r="W2" s="64"/>
      <c r="X2" s="57"/>
      <c r="Y2" s="57"/>
      <c r="Z2" s="57"/>
      <c r="AA2" s="7" t="s">
        <v>232</v>
      </c>
      <c r="AB2" s="7" t="s">
        <v>233</v>
      </c>
      <c r="AC2" s="7" t="s">
        <v>234</v>
      </c>
      <c r="AD2" s="51"/>
      <c r="AE2" s="52"/>
      <c r="AF2" s="53"/>
      <c r="AG2" s="55"/>
    </row>
    <row r="3" spans="1:33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11"/>
      <c r="AA3" s="11"/>
      <c r="AB3" s="11"/>
      <c r="AC3" s="11"/>
      <c r="AD3" s="12"/>
      <c r="AE3" s="10"/>
      <c r="AF3" s="10"/>
    </row>
    <row r="4" spans="1:33" ht="18" x14ac:dyDescent="0.35">
      <c r="A4" s="6">
        <v>1</v>
      </c>
      <c r="B4" t="s">
        <v>0</v>
      </c>
      <c r="C4" s="13" t="s">
        <v>352</v>
      </c>
      <c r="D4" s="13" t="str">
        <f t="shared" ref="D4:D70" si="0">LEFT(C4,(FIND(" ",C4)))</f>
        <v xml:space="preserve">ljsf; </v>
      </c>
      <c r="E4" s="13" t="str">
        <f>TRIM(RIGHT(SUBSTITUTE(C4," ",REPT(" ",255)),255))</f>
        <v>sfsL{</v>
      </c>
      <c r="F4" s="21" t="s">
        <v>233</v>
      </c>
      <c r="G4" s="21" t="s">
        <v>756</v>
      </c>
      <c r="H4" s="21">
        <f>IF(M4&gt;=10,(COUNTIFS($G$4:$G$348,G4,$F$4:$F$348,F4)))</f>
        <v>99</v>
      </c>
      <c r="I4" s="21" cm="1">
        <f t="array" ref="I4:I8">_xlfn.UNIQUE($H$4:$H$348)</f>
        <v>99</v>
      </c>
      <c r="J4" s="21" t="s">
        <v>905</v>
      </c>
      <c r="K4" s="21">
        <f t="shared" ref="K4:K67" si="1">IF(M4&gt;=5,(COUNTIFS($J$4:$J$348,J4,$F$4:$F$348,F4)))</f>
        <v>164</v>
      </c>
      <c r="L4" s="21" cm="1">
        <f t="array" ref="L4:L8">_xlfn.UNIQUE($K$4:$K$348)</f>
        <v>164</v>
      </c>
      <c r="M4" s="15">
        <f t="shared" ref="M4:M70" si="2">(W4-V4)/365</f>
        <v>42.989041095890414</v>
      </c>
      <c r="N4" t="s">
        <v>921</v>
      </c>
      <c r="O4" s="15">
        <f>COUNTIFS($M$4:$M$348,"&gt;=0",$M$4:$M$348,"&lt;5",$F$4:$F$348,"Male")</f>
        <v>6</v>
      </c>
      <c r="P4" s="15">
        <f>COUNTIFS($M$4:$M$348,"&gt;=0",$M$4:$M$348,"&lt;5",$F$4:$F$348,"Female")</f>
        <v>4</v>
      </c>
      <c r="Q4" s="15">
        <f>COUNTIFS(M4:M348,"&gt;=0",M4:M348,"&lt;5")</f>
        <v>10</v>
      </c>
      <c r="R4">
        <v>0</v>
      </c>
      <c r="S4" s="16">
        <f>2+1</f>
        <v>3</v>
      </c>
      <c r="T4" s="16">
        <f>3+3</f>
        <v>6</v>
      </c>
      <c r="U4" s="16">
        <v>1</v>
      </c>
      <c r="V4" s="5">
        <v>51266</v>
      </c>
      <c r="W4" s="5">
        <v>66957</v>
      </c>
      <c r="X4" t="s">
        <v>1</v>
      </c>
      <c r="Y4" s="5">
        <v>66897</v>
      </c>
      <c r="Z4" s="2" t="s">
        <v>2</v>
      </c>
      <c r="AA4" s="3">
        <v>4</v>
      </c>
      <c r="AB4" s="3">
        <v>3</v>
      </c>
      <c r="AC4" s="3">
        <v>1</v>
      </c>
      <c r="AD4" t="s">
        <v>242</v>
      </c>
      <c r="AE4" t="s">
        <v>339</v>
      </c>
      <c r="AF4" t="s">
        <v>245</v>
      </c>
      <c r="AG4" s="13"/>
    </row>
    <row r="5" spans="1:33" ht="18" x14ac:dyDescent="0.35">
      <c r="A5" s="6"/>
      <c r="C5" s="13" t="s">
        <v>343</v>
      </c>
      <c r="D5" s="13" t="str">
        <f t="shared" si="0"/>
        <v xml:space="preserve">ejfgL </v>
      </c>
      <c r="E5" s="13" t="str">
        <f t="shared" ref="E5:E71" si="3">TRIM(RIGHT(SUBSTITUTE(C5," ",REPT(" ",255)),255))</f>
        <v>nfdf</v>
      </c>
      <c r="F5" s="21" t="s">
        <v>234</v>
      </c>
      <c r="G5" s="21" t="s">
        <v>756</v>
      </c>
      <c r="H5" s="21">
        <f t="shared" ref="H5:H68" si="4">IF(M5&gt;=10,(COUNTIFS($G$4:$G$348,G5,$F$4:$F$348,F5)))</f>
        <v>102</v>
      </c>
      <c r="I5" s="21">
        <v>102</v>
      </c>
      <c r="J5" s="21" t="s">
        <v>906</v>
      </c>
      <c r="K5" s="21">
        <f t="shared" si="1"/>
        <v>53</v>
      </c>
      <c r="L5" s="21">
        <v>53</v>
      </c>
      <c r="M5" s="15">
        <f t="shared" si="2"/>
        <v>39.147945205479452</v>
      </c>
      <c r="N5" s="27" t="s">
        <v>922</v>
      </c>
      <c r="O5" s="15">
        <f>COUNTIFS($M$4:$M$348,"&gt;=5",$M$4:$M$348,"&lt;10",$F$4:$F$348,"Male")</f>
        <v>7</v>
      </c>
      <c r="P5" s="15">
        <f>COUNTIFS($M$4:$M$348,"&gt;=5",$M$4:$M$348,"&lt;10",$F$4:$F$348,"Female")</f>
        <v>4</v>
      </c>
      <c r="Q5" s="15">
        <f>COUNTIFS(M4:M348,"&gt;=5",M4:M348,"&lt;10")</f>
        <v>11</v>
      </c>
      <c r="R5" s="16"/>
      <c r="S5" s="16"/>
      <c r="T5" s="16"/>
      <c r="U5" s="16"/>
      <c r="V5" s="5">
        <v>52668</v>
      </c>
      <c r="W5" s="5">
        <v>66957</v>
      </c>
      <c r="Y5" s="5"/>
      <c r="AA5" s="3"/>
      <c r="AB5" s="3"/>
      <c r="AC5" s="3"/>
    </row>
    <row r="6" spans="1:33" ht="18" x14ac:dyDescent="0.35">
      <c r="A6" s="6"/>
      <c r="C6" s="13" t="s">
        <v>344</v>
      </c>
      <c r="D6" s="13" t="str">
        <f t="shared" si="0"/>
        <v xml:space="preserve">k|uNe </v>
      </c>
      <c r="E6" s="13" t="str">
        <f t="shared" si="3"/>
        <v>sfsL{</v>
      </c>
      <c r="F6" s="21" t="s">
        <v>233</v>
      </c>
      <c r="G6" s="21" t="s">
        <v>757</v>
      </c>
      <c r="H6" s="21">
        <f t="shared" si="4"/>
        <v>69</v>
      </c>
      <c r="I6" s="21">
        <v>69</v>
      </c>
      <c r="J6" s="21" t="s">
        <v>905</v>
      </c>
      <c r="K6" s="21">
        <f t="shared" si="1"/>
        <v>164</v>
      </c>
      <c r="L6" s="21" t="b">
        <v>0</v>
      </c>
      <c r="M6" s="15">
        <f t="shared" si="2"/>
        <v>16.443835616438356</v>
      </c>
      <c r="N6" s="27" t="s">
        <v>923</v>
      </c>
      <c r="O6" s="15">
        <f>COUNTIFS($M$4:$M$348,"&gt;=10",$M$4:$M$348,"&lt;15",$F$4:$F$348,"Male")</f>
        <v>14</v>
      </c>
      <c r="P6" s="15">
        <f>COUNTIFS($M$4:$M$348,"&gt;=10",$M$4:$M$348,"&lt;15",$F$4:$F$348,"Female")</f>
        <v>11</v>
      </c>
      <c r="Q6" s="15">
        <f>COUNTIFS(M4:M348,"&gt;=10",M4:M348,"&lt;15")</f>
        <v>25</v>
      </c>
      <c r="R6" s="16"/>
      <c r="S6" s="16"/>
      <c r="T6" s="16"/>
      <c r="U6" s="16"/>
      <c r="V6" s="5">
        <v>60955</v>
      </c>
      <c r="W6" s="5">
        <v>66957</v>
      </c>
      <c r="Y6" s="5"/>
      <c r="AA6" s="3"/>
      <c r="AB6" s="3"/>
      <c r="AC6" s="3"/>
    </row>
    <row r="7" spans="1:33" ht="18" x14ac:dyDescent="0.35">
      <c r="A7" s="6"/>
      <c r="C7" s="13" t="s">
        <v>345</v>
      </c>
      <c r="D7" s="13" t="str">
        <f t="shared" si="0"/>
        <v xml:space="preserve">cEo'bo </v>
      </c>
      <c r="E7" s="13" t="str">
        <f t="shared" si="3"/>
        <v>sfsL{</v>
      </c>
      <c r="F7" s="21" t="s">
        <v>233</v>
      </c>
      <c r="G7" s="21" t="s">
        <v>748</v>
      </c>
      <c r="H7" s="21" t="b">
        <f t="shared" si="4"/>
        <v>0</v>
      </c>
      <c r="I7" s="21" t="b">
        <v>0</v>
      </c>
      <c r="J7" s="21" t="s">
        <v>748</v>
      </c>
      <c r="K7" s="21" t="b">
        <f t="shared" si="1"/>
        <v>0</v>
      </c>
      <c r="L7" s="21">
        <v>107</v>
      </c>
      <c r="M7" s="15">
        <f t="shared" si="2"/>
        <v>3.0246575342465754</v>
      </c>
      <c r="N7" s="27" t="s">
        <v>924</v>
      </c>
      <c r="O7" s="15">
        <f>COUNTIFS($M$4:$M$348,"&gt;=15",$M$4:$M$348,"&lt;20",$F$4:$F$348,"Male")</f>
        <v>7</v>
      </c>
      <c r="P7" s="15">
        <f>COUNTIFS($M$4:$M$348,"&gt;=15",$M$4:$M$348,"&lt;20",$F$4:$F$348,"Female")</f>
        <v>10</v>
      </c>
      <c r="Q7" s="15">
        <f>COUNTIFS(M4:M348,"&gt;=15",M4:M348,"&lt;20")</f>
        <v>17</v>
      </c>
      <c r="R7" s="16"/>
      <c r="S7" s="16"/>
      <c r="T7" s="16"/>
      <c r="U7" s="16"/>
      <c r="V7" s="5">
        <v>65853</v>
      </c>
      <c r="W7" s="5">
        <v>66957</v>
      </c>
      <c r="Y7" s="5"/>
      <c r="AA7" s="3"/>
      <c r="AB7" s="3"/>
      <c r="AC7" s="3"/>
    </row>
    <row r="8" spans="1:33" ht="18" x14ac:dyDescent="0.35">
      <c r="A8" s="6">
        <v>2</v>
      </c>
      <c r="B8" t="s">
        <v>3</v>
      </c>
      <c r="C8" s="13" t="s">
        <v>353</v>
      </c>
      <c r="D8" s="13" t="str">
        <f t="shared" si="0"/>
        <v xml:space="preserve">lbks </v>
      </c>
      <c r="E8" s="13" t="str">
        <f t="shared" si="3"/>
        <v>e§/fO{</v>
      </c>
      <c r="F8" s="21" t="s">
        <v>233</v>
      </c>
      <c r="G8" s="21" t="s">
        <v>756</v>
      </c>
      <c r="H8" s="21">
        <f t="shared" si="4"/>
        <v>99</v>
      </c>
      <c r="I8" s="21">
        <v>54</v>
      </c>
      <c r="J8" s="21" t="s">
        <v>905</v>
      </c>
      <c r="K8" s="21">
        <f t="shared" si="1"/>
        <v>164</v>
      </c>
      <c r="L8" s="21">
        <v>11</v>
      </c>
      <c r="M8" s="15">
        <f t="shared" si="2"/>
        <v>47.167123287671231</v>
      </c>
      <c r="N8" s="27" t="s">
        <v>925</v>
      </c>
      <c r="O8" s="15">
        <f>COUNTIFS($M$4:$M$348,"&gt;=20",$M$4:$M$348,"&lt;25",$F$4:$F$348,"Male")</f>
        <v>20</v>
      </c>
      <c r="P8" s="15">
        <f>COUNTIFS($M$4:$M$348,"&gt;=20",$M$4:$M$348,"&lt;25",$F$4:$F$348,"Female")</f>
        <v>13</v>
      </c>
      <c r="Q8" s="15">
        <f>COUNTIFS(M4:M348,"&gt;=20",M4:M348,"&lt;25")</f>
        <v>33</v>
      </c>
      <c r="R8" s="16">
        <v>0</v>
      </c>
      <c r="S8" s="16">
        <f>1+3</f>
        <v>4</v>
      </c>
      <c r="T8" s="16">
        <v>0</v>
      </c>
      <c r="U8" s="16">
        <v>0</v>
      </c>
      <c r="V8" s="5">
        <v>49741</v>
      </c>
      <c r="W8" s="5">
        <v>66957</v>
      </c>
      <c r="X8" t="s">
        <v>4</v>
      </c>
      <c r="Y8" s="5">
        <v>66890</v>
      </c>
      <c r="Z8" s="2" t="s">
        <v>2</v>
      </c>
      <c r="AA8" s="2">
        <v>4</v>
      </c>
      <c r="AB8" s="2">
        <v>2</v>
      </c>
      <c r="AC8" s="2">
        <v>2</v>
      </c>
      <c r="AD8" t="s">
        <v>242</v>
      </c>
      <c r="AE8" t="s">
        <v>332</v>
      </c>
      <c r="AF8" t="s">
        <v>245</v>
      </c>
      <c r="AG8" s="13" t="str">
        <f>C8</f>
        <v>lbks axfb'/ e§/fO{</v>
      </c>
    </row>
    <row r="9" spans="1:33" ht="18" x14ac:dyDescent="0.35">
      <c r="A9" s="6"/>
      <c r="C9" s="13" t="s">
        <v>346</v>
      </c>
      <c r="D9" s="13" t="str">
        <f t="shared" si="0"/>
        <v xml:space="preserve">pld{nf </v>
      </c>
      <c r="E9" s="13" t="str">
        <f t="shared" si="3"/>
        <v>j:tL</v>
      </c>
      <c r="F9" s="21" t="s">
        <v>234</v>
      </c>
      <c r="G9" s="21" t="s">
        <v>756</v>
      </c>
      <c r="H9" s="21">
        <f t="shared" si="4"/>
        <v>102</v>
      </c>
      <c r="I9" s="21"/>
      <c r="J9" s="21" t="s">
        <v>906</v>
      </c>
      <c r="K9" s="21">
        <f t="shared" si="1"/>
        <v>53</v>
      </c>
      <c r="L9" s="21"/>
      <c r="M9" s="15">
        <f t="shared" si="2"/>
        <v>40.983561643835614</v>
      </c>
      <c r="N9" s="27" t="s">
        <v>926</v>
      </c>
      <c r="O9" s="15">
        <f>COUNTIFS($M$4:$M$348,"&gt;=25",$M$4:$M$348,"&lt;30",$F$4:$F$348,"Male")</f>
        <v>15</v>
      </c>
      <c r="P9" s="15">
        <f>COUNTIFS($M$4:$M$348,"&gt;=25",$M$4:$M$348,"&lt;30",$F$4:$F$348,"Female")</f>
        <v>15</v>
      </c>
      <c r="Q9" s="15">
        <f>COUNTIFS(M4:M348,"&gt;=25",M4:M348,"&lt;30")</f>
        <v>30</v>
      </c>
      <c r="R9" s="16"/>
      <c r="S9" s="16"/>
      <c r="T9" s="16"/>
      <c r="U9" s="16"/>
      <c r="V9" s="5">
        <v>51998</v>
      </c>
      <c r="W9" s="5">
        <v>66957</v>
      </c>
      <c r="Y9" s="5"/>
      <c r="AA9" s="3"/>
      <c r="AB9" s="3"/>
      <c r="AC9" s="3"/>
    </row>
    <row r="10" spans="1:33" ht="18" x14ac:dyDescent="0.35">
      <c r="A10" s="6"/>
      <c r="C10" s="13" t="s">
        <v>348</v>
      </c>
      <c r="D10" s="13" t="str">
        <f t="shared" si="0"/>
        <v xml:space="preserve">/Ltf </v>
      </c>
      <c r="E10" s="13" t="str">
        <f t="shared" si="3"/>
        <v>e§/fO{</v>
      </c>
      <c r="F10" s="21" t="s">
        <v>234</v>
      </c>
      <c r="G10" s="21" t="s">
        <v>757</v>
      </c>
      <c r="H10" s="21">
        <f t="shared" si="4"/>
        <v>54</v>
      </c>
      <c r="I10" s="21"/>
      <c r="J10" s="21" t="s">
        <v>905</v>
      </c>
      <c r="K10" s="21">
        <f t="shared" si="1"/>
        <v>107</v>
      </c>
      <c r="L10" s="21"/>
      <c r="M10" s="15">
        <f t="shared" si="2"/>
        <v>17.117808219178084</v>
      </c>
      <c r="N10" s="27" t="s">
        <v>927</v>
      </c>
      <c r="O10" s="15">
        <f>COUNTIFS($M$4:$M$348,"&gt;=30",$M$4:$M$348,"&lt;35",$F$4:$F$348,"Male")</f>
        <v>19</v>
      </c>
      <c r="P10" s="15">
        <f>COUNTIFS($M$4:$M$348,"&gt;=30",$M$4:$M$348,"&lt;35",$F$4:$F$348,"Female")</f>
        <v>17</v>
      </c>
      <c r="Q10" s="15">
        <f>COUNTIFS(M4:M348,"&gt;=30",M4:M348,"&lt;35")</f>
        <v>36</v>
      </c>
      <c r="R10" s="16"/>
      <c r="S10" s="16"/>
      <c r="T10" s="16"/>
      <c r="U10" s="16"/>
      <c r="V10" s="5">
        <v>60709</v>
      </c>
      <c r="W10" s="5">
        <v>66957</v>
      </c>
      <c r="Y10" s="5"/>
      <c r="AA10" s="3"/>
      <c r="AB10" s="3"/>
      <c r="AC10" s="3"/>
    </row>
    <row r="11" spans="1:33" ht="18" x14ac:dyDescent="0.35">
      <c r="A11" s="6"/>
      <c r="C11" s="13" t="s">
        <v>345</v>
      </c>
      <c r="D11" s="13" t="str">
        <f t="shared" si="0"/>
        <v xml:space="preserve">cEo'bo </v>
      </c>
      <c r="E11" s="13" t="str">
        <f t="shared" si="3"/>
        <v>sfsL{</v>
      </c>
      <c r="F11" s="21" t="s">
        <v>233</v>
      </c>
      <c r="G11" s="21" t="s">
        <v>757</v>
      </c>
      <c r="H11" s="21">
        <f t="shared" si="4"/>
        <v>69</v>
      </c>
      <c r="I11" s="21"/>
      <c r="J11" s="21" t="s">
        <v>905</v>
      </c>
      <c r="K11" s="21">
        <f t="shared" si="1"/>
        <v>164</v>
      </c>
      <c r="L11" s="21"/>
      <c r="M11" s="15">
        <f t="shared" si="2"/>
        <v>14.632876712328768</v>
      </c>
      <c r="N11" s="27" t="s">
        <v>928</v>
      </c>
      <c r="O11" s="15">
        <f>COUNTIFS($M$4:$M$348,"&gt;=35",$M$4:$M$348,"&lt;40",$F$4:$F$348,"Male")</f>
        <v>12</v>
      </c>
      <c r="P11" s="15">
        <f>COUNTIFS($M$4:$M$348,"&gt;=35",$M$4:$M$348,"&lt;40",$F$4:$F$348,"Female")</f>
        <v>17</v>
      </c>
      <c r="Q11" s="15">
        <f>COUNTIFS(M4:M348,"&gt;=35",M4:M348,"&lt;40")</f>
        <v>29</v>
      </c>
      <c r="R11" s="16"/>
      <c r="S11" s="16"/>
      <c r="T11" s="16"/>
      <c r="U11" s="16"/>
      <c r="V11" s="5">
        <v>61616</v>
      </c>
      <c r="W11" s="5">
        <v>66957</v>
      </c>
      <c r="Y11" s="5"/>
      <c r="AA11" s="3"/>
      <c r="AB11" s="3"/>
      <c r="AC11" s="3"/>
    </row>
    <row r="12" spans="1:33" ht="18" x14ac:dyDescent="0.35">
      <c r="A12" s="6">
        <v>3</v>
      </c>
      <c r="B12" t="s">
        <v>5</v>
      </c>
      <c r="C12" s="13" t="s">
        <v>354</v>
      </c>
      <c r="D12" s="13" t="str">
        <f t="shared" si="0"/>
        <v xml:space="preserve">s[i0f </v>
      </c>
      <c r="E12" s="13" t="str">
        <f t="shared" si="3"/>
        <v>Kofs'/]n</v>
      </c>
      <c r="F12" s="21" t="s">
        <v>233</v>
      </c>
      <c r="G12" s="21" t="s">
        <v>756</v>
      </c>
      <c r="H12" s="21">
        <f t="shared" si="4"/>
        <v>99</v>
      </c>
      <c r="I12" s="21"/>
      <c r="J12" s="21" t="s">
        <v>905</v>
      </c>
      <c r="K12" s="21">
        <f t="shared" si="1"/>
        <v>164</v>
      </c>
      <c r="L12" s="21"/>
      <c r="M12" s="15">
        <f t="shared" si="2"/>
        <v>26.136986301369863</v>
      </c>
      <c r="N12" s="27" t="s">
        <v>929</v>
      </c>
      <c r="O12" s="15">
        <f>COUNTIFS($M$4:$M$348,"&gt;=40",$M$4:$M$348,"&lt;45",$F$4:$F$348,"Male")</f>
        <v>12</v>
      </c>
      <c r="P12" s="15">
        <f>COUNTIFS($M$4:$M$348,"&gt;=40",$M$4:$M$348,"&lt;45",$F$4:$F$348,"Female")</f>
        <v>21</v>
      </c>
      <c r="Q12" s="15">
        <f>COUNTIFS(M4:M348,"&gt;=40",M4:M348,"&lt;45")</f>
        <v>33</v>
      </c>
      <c r="R12" s="16">
        <v>0</v>
      </c>
      <c r="S12" s="16">
        <v>2</v>
      </c>
      <c r="T12" s="16">
        <v>3</v>
      </c>
      <c r="U12" s="16">
        <v>0</v>
      </c>
      <c r="V12" s="5">
        <v>57417</v>
      </c>
      <c r="W12" s="5">
        <v>66957</v>
      </c>
      <c r="Y12" s="5">
        <v>66876</v>
      </c>
      <c r="Z12" s="2" t="s">
        <v>2</v>
      </c>
      <c r="AA12" s="2">
        <v>5</v>
      </c>
      <c r="AB12" s="2">
        <v>3</v>
      </c>
      <c r="AC12" s="2">
        <v>2</v>
      </c>
      <c r="AD12" t="s">
        <v>242</v>
      </c>
      <c r="AE12" t="s">
        <v>338</v>
      </c>
      <c r="AF12" t="s">
        <v>245</v>
      </c>
      <c r="AG12" s="13" t="str">
        <f>C12</f>
        <v>s[i0f k|;fb Kofs'/]n</v>
      </c>
    </row>
    <row r="13" spans="1:33" ht="18" x14ac:dyDescent="0.35">
      <c r="A13" s="6"/>
      <c r="C13" s="13" t="s">
        <v>347</v>
      </c>
      <c r="D13" s="13" t="str">
        <f t="shared" si="0"/>
        <v xml:space="preserve">6'd </v>
      </c>
      <c r="E13" s="13" t="str">
        <f t="shared" si="3"/>
        <v>Kofs'/]n</v>
      </c>
      <c r="F13" s="21" t="s">
        <v>233</v>
      </c>
      <c r="G13" s="21" t="s">
        <v>756</v>
      </c>
      <c r="H13" s="21">
        <f t="shared" si="4"/>
        <v>99</v>
      </c>
      <c r="I13" s="21"/>
      <c r="J13" s="21" t="s">
        <v>905</v>
      </c>
      <c r="K13" s="21">
        <f t="shared" si="1"/>
        <v>164</v>
      </c>
      <c r="L13" s="21"/>
      <c r="M13" s="15">
        <f t="shared" si="2"/>
        <v>68.216438356164389</v>
      </c>
      <c r="N13" s="27" t="s">
        <v>930</v>
      </c>
      <c r="O13" s="15">
        <f>COUNTIFS($M$4:$M$348,"&gt;=45",$M$4:$M$348,"&lt;50",$F$4:$F$348,"Male")</f>
        <v>19</v>
      </c>
      <c r="P13" s="15">
        <f>COUNTIFS($M$4:$M$348,"&gt;=45",$M$4:$M$348,"&lt;50",$F$4:$F$348,"Female")</f>
        <v>8</v>
      </c>
      <c r="Q13" s="15">
        <f>COUNTIFS(M4:M348,"&gt;=45",M4:M348,"&lt;50")</f>
        <v>27</v>
      </c>
      <c r="R13" s="16"/>
      <c r="S13" s="16"/>
      <c r="T13" s="16"/>
      <c r="U13" s="16"/>
      <c r="V13" s="5">
        <v>42058</v>
      </c>
      <c r="W13" s="5">
        <v>66957</v>
      </c>
      <c r="Y13" s="5"/>
      <c r="AA13" s="3"/>
      <c r="AB13" s="3"/>
      <c r="AC13" s="3"/>
    </row>
    <row r="14" spans="1:33" ht="18" x14ac:dyDescent="0.35">
      <c r="A14" s="6"/>
      <c r="C14" s="13" t="s">
        <v>349</v>
      </c>
      <c r="D14" s="13" t="str">
        <f t="shared" si="0"/>
        <v xml:space="preserve">l;h{gf </v>
      </c>
      <c r="E14" s="13" t="str">
        <f t="shared" si="3"/>
        <v>e§/fO{</v>
      </c>
      <c r="F14" s="21" t="s">
        <v>234</v>
      </c>
      <c r="G14" s="21" t="s">
        <v>756</v>
      </c>
      <c r="H14" s="21">
        <f t="shared" si="4"/>
        <v>102</v>
      </c>
      <c r="I14" s="21"/>
      <c r="J14" s="21" t="s">
        <v>905</v>
      </c>
      <c r="K14" s="21">
        <f t="shared" si="1"/>
        <v>107</v>
      </c>
      <c r="L14" s="21"/>
      <c r="M14" s="15">
        <f t="shared" si="2"/>
        <v>26.186301369863013</v>
      </c>
      <c r="N14" s="27" t="s">
        <v>931</v>
      </c>
      <c r="O14" s="15">
        <f>COUNTIFS($M$4:$M$348,"&gt;=50",$M$4:$M$348,"&lt;55",$F$4:$F$348,"Male")</f>
        <v>12</v>
      </c>
      <c r="P14" s="15">
        <f>COUNTIFS($M$4:$M$348,"&gt;=50",$M$4:$M$348,"&lt;55",$F$4:$F$348,"Female")</f>
        <v>18</v>
      </c>
      <c r="Q14" s="15">
        <f>COUNTIFS(M4:M348,"&gt;=50",M4:M348,"&lt;55")</f>
        <v>30</v>
      </c>
      <c r="R14" s="16"/>
      <c r="S14" s="16"/>
      <c r="T14" s="16"/>
      <c r="U14" s="16"/>
      <c r="V14" s="5">
        <v>57399</v>
      </c>
      <c r="W14" s="5">
        <v>66957</v>
      </c>
      <c r="Y14" s="5"/>
      <c r="AA14" s="3"/>
      <c r="AB14" s="3"/>
      <c r="AC14" s="3"/>
    </row>
    <row r="15" spans="1:33" ht="18" x14ac:dyDescent="0.35">
      <c r="A15" s="6"/>
      <c r="C15" s="13" t="s">
        <v>350</v>
      </c>
      <c r="D15" s="13" t="str">
        <f t="shared" si="0"/>
        <v xml:space="preserve">;fljlq </v>
      </c>
      <c r="E15" s="13" t="str">
        <f t="shared" si="3"/>
        <v>Kofs'/]n</v>
      </c>
      <c r="F15" s="21" t="s">
        <v>234</v>
      </c>
      <c r="G15" s="21" t="s">
        <v>748</v>
      </c>
      <c r="H15" s="21" t="b">
        <f t="shared" si="4"/>
        <v>0</v>
      </c>
      <c r="I15" s="21"/>
      <c r="J15" s="21" t="s">
        <v>748</v>
      </c>
      <c r="K15" s="21" t="b">
        <f t="shared" si="1"/>
        <v>0</v>
      </c>
      <c r="L15" s="21"/>
      <c r="M15" s="15">
        <f t="shared" si="2"/>
        <v>3.2273972602739724</v>
      </c>
      <c r="N15" s="15" t="s">
        <v>932</v>
      </c>
      <c r="O15" s="15">
        <f>COUNTIFS($M$4:$M$348,"&gt;=55",$M$4:$M$348,"&lt;60",$F$4:$F$348,"Male")</f>
        <v>16</v>
      </c>
      <c r="P15" s="15">
        <f>COUNTIFS($M$4:$M$348,"&gt;=55",$M$4:$M$348,"&lt;60",$F$4:$F$348,"Female")</f>
        <v>12</v>
      </c>
      <c r="Q15" s="15">
        <f>COUNTIFS(M4:M348,"&gt;=55",M4:M348,"&lt;60")</f>
        <v>28</v>
      </c>
      <c r="R15" s="16"/>
      <c r="S15" s="16"/>
      <c r="T15" s="16"/>
      <c r="U15" s="16"/>
      <c r="V15" s="5">
        <v>65779</v>
      </c>
      <c r="W15" s="5">
        <v>66957</v>
      </c>
      <c r="Y15" s="5"/>
      <c r="AA15" s="3"/>
      <c r="AB15" s="3"/>
      <c r="AC15" s="3"/>
    </row>
    <row r="16" spans="1:33" ht="18" x14ac:dyDescent="0.35">
      <c r="A16" s="6"/>
      <c r="C16" s="13" t="s">
        <v>351</v>
      </c>
      <c r="D16" s="13" t="str">
        <f t="shared" si="0"/>
        <v xml:space="preserve">s]zj </v>
      </c>
      <c r="E16" s="13" t="str">
        <f t="shared" si="3"/>
        <v>Kofs'/]n</v>
      </c>
      <c r="F16" s="21" t="s">
        <v>233</v>
      </c>
      <c r="G16" s="21" t="s">
        <v>748</v>
      </c>
      <c r="H16" s="21" t="b">
        <f t="shared" si="4"/>
        <v>0</v>
      </c>
      <c r="I16" s="21"/>
      <c r="J16" s="21" t="s">
        <v>748</v>
      </c>
      <c r="K16" s="21" t="b">
        <f t="shared" si="1"/>
        <v>0</v>
      </c>
      <c r="L16" s="21"/>
      <c r="M16" s="15">
        <f t="shared" si="2"/>
        <v>0.34246575342465752</v>
      </c>
      <c r="N16" s="15" t="s">
        <v>933</v>
      </c>
      <c r="O16" s="15">
        <f>COUNTIFS($M$4:$M$348,"&gt;=60",$M$4:$M$348,"&lt;65",$F$4:$F$348,"Male")</f>
        <v>10</v>
      </c>
      <c r="P16" s="15">
        <f>COUNTIFS($M$4:$M$348,"&gt;=60",$M$4:$M$348,"&lt;65",$F$4:$F$348,"Female")</f>
        <v>3</v>
      </c>
      <c r="Q16" s="15">
        <f>COUNTIFS(M4:M348,"&gt;=60",M4:M348,"&lt;65")</f>
        <v>13</v>
      </c>
      <c r="R16" s="16"/>
      <c r="S16" s="16"/>
      <c r="T16" s="16"/>
      <c r="U16" s="16"/>
      <c r="V16" s="5">
        <v>66832</v>
      </c>
      <c r="W16" s="5">
        <v>66957</v>
      </c>
      <c r="Y16" s="5"/>
      <c r="AA16" s="3"/>
      <c r="AB16" s="3"/>
      <c r="AC16" s="3"/>
    </row>
    <row r="17" spans="1:33" ht="18" x14ac:dyDescent="0.35">
      <c r="A17" s="6">
        <v>4</v>
      </c>
      <c r="B17" t="s">
        <v>6</v>
      </c>
      <c r="C17" s="13" t="s">
        <v>355</v>
      </c>
      <c r="D17" s="13" t="str">
        <f t="shared" si="0"/>
        <v xml:space="preserve">7'nf] </v>
      </c>
      <c r="E17" s="13" t="str">
        <f t="shared" si="3"/>
        <v>sfdL</v>
      </c>
      <c r="F17" s="21" t="s">
        <v>233</v>
      </c>
      <c r="G17" s="21" t="s">
        <v>756</v>
      </c>
      <c r="H17" s="21">
        <f t="shared" si="4"/>
        <v>99</v>
      </c>
      <c r="I17" s="21"/>
      <c r="J17" s="21" t="s">
        <v>905</v>
      </c>
      <c r="K17" s="21">
        <f t="shared" si="1"/>
        <v>164</v>
      </c>
      <c r="L17" s="21"/>
      <c r="M17" s="15">
        <f t="shared" si="2"/>
        <v>66.301369863013704</v>
      </c>
      <c r="N17" s="15" t="s">
        <v>934</v>
      </c>
      <c r="O17" s="15">
        <f>COUNTIFS($M$4:$M$348,"&gt;=65",$F$4:$F$348,"Male")</f>
        <v>12</v>
      </c>
      <c r="P17" s="15">
        <f>COUNTIFS($M$4:$M$348,"&gt;=65",$F$4:$F$348,"Female")</f>
        <v>11</v>
      </c>
      <c r="Q17" s="15">
        <f>COUNTIFS(M4:M348,"&gt;=65")</f>
        <v>23</v>
      </c>
      <c r="R17" s="16">
        <f>1+1+(3)</f>
        <v>5</v>
      </c>
      <c r="S17" s="16">
        <v>3</v>
      </c>
      <c r="T17" s="16">
        <f>2</f>
        <v>2</v>
      </c>
      <c r="U17" s="19">
        <f>3.99</f>
        <v>3.99</v>
      </c>
      <c r="V17" s="5">
        <v>42757</v>
      </c>
      <c r="W17" s="5">
        <v>66957</v>
      </c>
      <c r="Y17" s="5">
        <v>66828</v>
      </c>
      <c r="Z17" s="2" t="s">
        <v>2</v>
      </c>
      <c r="AA17" s="2">
        <v>2</v>
      </c>
      <c r="AB17" s="2">
        <v>1</v>
      </c>
      <c r="AC17" s="2">
        <v>1</v>
      </c>
      <c r="AD17" t="s">
        <v>242</v>
      </c>
      <c r="AE17" t="s">
        <v>337</v>
      </c>
      <c r="AF17" t="s">
        <v>245</v>
      </c>
      <c r="AG17" s="13" t="str">
        <f>C17</f>
        <v>7'nf] sfG5f] sfdL</v>
      </c>
    </row>
    <row r="18" spans="1:33" ht="18" x14ac:dyDescent="0.35">
      <c r="A18" s="6"/>
      <c r="C18" s="13" t="s">
        <v>356</v>
      </c>
      <c r="D18" s="13" t="str">
        <f t="shared" si="0"/>
        <v xml:space="preserve">k|d] </v>
      </c>
      <c r="E18" s="13" t="str">
        <f t="shared" si="3"/>
        <v>sldgL</v>
      </c>
      <c r="F18" s="21" t="s">
        <v>234</v>
      </c>
      <c r="G18" s="21" t="s">
        <v>756</v>
      </c>
      <c r="H18" s="21">
        <f t="shared" si="4"/>
        <v>102</v>
      </c>
      <c r="I18" s="21"/>
      <c r="J18" s="21" t="s">
        <v>906</v>
      </c>
      <c r="K18" s="21">
        <f t="shared" si="1"/>
        <v>53</v>
      </c>
      <c r="L18" s="21"/>
      <c r="M18" s="15">
        <f t="shared" si="2"/>
        <v>65.123287671232873</v>
      </c>
      <c r="N18" s="15" t="s">
        <v>232</v>
      </c>
      <c r="O18" s="15">
        <f t="shared" ref="O18:P18" si="5">SUM(O4:O17)</f>
        <v>181</v>
      </c>
      <c r="P18" s="15">
        <f t="shared" si="5"/>
        <v>164</v>
      </c>
      <c r="Q18" s="15">
        <f>SUM(Q4:Q17)</f>
        <v>345</v>
      </c>
      <c r="R18" s="16"/>
      <c r="S18" s="16"/>
      <c r="T18" s="16"/>
      <c r="U18" s="16"/>
      <c r="V18" s="5">
        <v>43187</v>
      </c>
      <c r="W18" s="5">
        <v>66957</v>
      </c>
      <c r="Y18" s="5"/>
      <c r="AA18" s="3"/>
      <c r="AB18" s="3"/>
      <c r="AC18" s="3"/>
    </row>
    <row r="19" spans="1:33" ht="18" x14ac:dyDescent="0.35">
      <c r="A19" s="6">
        <v>5</v>
      </c>
      <c r="B19" t="s">
        <v>7</v>
      </c>
      <c r="C19" s="13" t="s">
        <v>357</v>
      </c>
      <c r="D19" s="13" t="str">
        <f t="shared" si="0"/>
        <v xml:space="preserve">dlgtf </v>
      </c>
      <c r="E19" s="13" t="str">
        <f t="shared" si="3"/>
        <v>l/;fn</v>
      </c>
      <c r="F19" s="21" t="s">
        <v>234</v>
      </c>
      <c r="G19" s="21" t="s">
        <v>756</v>
      </c>
      <c r="H19" s="21">
        <f t="shared" si="4"/>
        <v>102</v>
      </c>
      <c r="I19" s="21"/>
      <c r="J19" s="21" t="s">
        <v>905</v>
      </c>
      <c r="K19" s="21">
        <f t="shared" si="1"/>
        <v>107</v>
      </c>
      <c r="L19" s="21"/>
      <c r="M19" s="15">
        <f t="shared" si="2"/>
        <v>38.30958904109589</v>
      </c>
      <c r="N19" s="15"/>
      <c r="O19" s="15"/>
      <c r="P19" s="15"/>
      <c r="Q19" s="15"/>
      <c r="R19" s="16">
        <v>0</v>
      </c>
      <c r="S19" s="16">
        <v>4</v>
      </c>
      <c r="T19" s="16">
        <v>2</v>
      </c>
      <c r="U19" s="16">
        <v>0</v>
      </c>
      <c r="V19" s="5">
        <v>52974</v>
      </c>
      <c r="W19" s="5">
        <v>66957</v>
      </c>
      <c r="Y19" s="5">
        <v>66809</v>
      </c>
      <c r="Z19" s="2" t="s">
        <v>2</v>
      </c>
      <c r="AA19" s="2">
        <v>4</v>
      </c>
      <c r="AB19" s="2">
        <v>3</v>
      </c>
      <c r="AC19" s="2">
        <v>1</v>
      </c>
      <c r="AD19" t="s">
        <v>238</v>
      </c>
      <c r="AE19" t="s">
        <v>336</v>
      </c>
      <c r="AF19" t="s">
        <v>245</v>
      </c>
      <c r="AG19" s="13" t="str">
        <f>C19</f>
        <v>dlgtf l/;fn</v>
      </c>
    </row>
    <row r="20" spans="1:33" ht="18" x14ac:dyDescent="0.35">
      <c r="A20" s="6"/>
      <c r="C20" s="13" t="s">
        <v>358</v>
      </c>
      <c r="D20" s="13" t="str">
        <f t="shared" si="0"/>
        <v xml:space="preserve">l8s </v>
      </c>
      <c r="E20" s="13" t="str">
        <f t="shared" si="3"/>
        <v>laZjsdf{</v>
      </c>
      <c r="F20" s="21" t="s">
        <v>233</v>
      </c>
      <c r="G20" s="21" t="s">
        <v>756</v>
      </c>
      <c r="H20" s="21">
        <f t="shared" si="4"/>
        <v>99</v>
      </c>
      <c r="I20" s="21"/>
      <c r="J20" s="21" t="s">
        <v>905</v>
      </c>
      <c r="K20" s="21">
        <f t="shared" si="1"/>
        <v>164</v>
      </c>
      <c r="L20" s="21"/>
      <c r="M20" s="15">
        <f t="shared" si="2"/>
        <v>39.389041095890413</v>
      </c>
      <c r="N20" s="15"/>
      <c r="O20" s="15"/>
      <c r="P20" s="15"/>
      <c r="Q20" s="15"/>
      <c r="R20" s="16"/>
      <c r="S20" s="16"/>
      <c r="T20" s="16"/>
      <c r="U20" s="16"/>
      <c r="V20" s="5">
        <v>52580</v>
      </c>
      <c r="W20" s="5">
        <v>66957</v>
      </c>
      <c r="Y20" s="5"/>
      <c r="AA20" s="3"/>
      <c r="AB20" s="3"/>
      <c r="AC20" s="3"/>
    </row>
    <row r="21" spans="1:33" ht="18" x14ac:dyDescent="0.35">
      <c r="A21" s="6"/>
      <c r="C21" s="13" t="s">
        <v>359</v>
      </c>
      <c r="D21" s="13" t="str">
        <f t="shared" si="0"/>
        <v xml:space="preserve">;+sNk </v>
      </c>
      <c r="E21" s="13" t="str">
        <f t="shared" si="3"/>
        <v>lt?jf</v>
      </c>
      <c r="F21" s="21" t="s">
        <v>233</v>
      </c>
      <c r="G21" s="21" t="s">
        <v>757</v>
      </c>
      <c r="H21" s="21">
        <f t="shared" si="4"/>
        <v>69</v>
      </c>
      <c r="I21" s="21"/>
      <c r="J21" s="21" t="s">
        <v>905</v>
      </c>
      <c r="K21" s="21">
        <f t="shared" si="1"/>
        <v>164</v>
      </c>
      <c r="L21" s="21"/>
      <c r="M21" s="15">
        <f t="shared" si="2"/>
        <v>11.317808219178081</v>
      </c>
      <c r="N21" s="15"/>
      <c r="O21" s="15"/>
      <c r="P21" s="15"/>
      <c r="Q21" s="15"/>
      <c r="R21" s="16"/>
      <c r="S21" s="16"/>
      <c r="T21" s="16"/>
      <c r="U21" s="16"/>
      <c r="V21" s="5">
        <v>62826</v>
      </c>
      <c r="W21" s="5">
        <v>66957</v>
      </c>
      <c r="Y21" s="5"/>
      <c r="AA21" s="3"/>
      <c r="AB21" s="3"/>
      <c r="AC21" s="3"/>
    </row>
    <row r="22" spans="1:33" ht="18" x14ac:dyDescent="0.35">
      <c r="A22" s="6"/>
      <c r="C22" s="13" t="s">
        <v>360</v>
      </c>
      <c r="D22" s="13" t="str">
        <f t="shared" si="0"/>
        <v xml:space="preserve">cfg{e </v>
      </c>
      <c r="E22" s="13" t="str">
        <f t="shared" si="3"/>
        <v>lt?jf</v>
      </c>
      <c r="F22" s="21" t="s">
        <v>233</v>
      </c>
      <c r="G22" s="21" t="s">
        <v>748</v>
      </c>
      <c r="H22" s="21" t="b">
        <f t="shared" si="4"/>
        <v>0</v>
      </c>
      <c r="I22" s="21"/>
      <c r="J22" s="21" t="s">
        <v>748</v>
      </c>
      <c r="K22" s="21" t="b">
        <f t="shared" si="1"/>
        <v>0</v>
      </c>
      <c r="L22" s="21"/>
      <c r="M22" s="15">
        <f t="shared" si="2"/>
        <v>4.4986301369863018</v>
      </c>
      <c r="N22" s="15"/>
      <c r="O22" s="15"/>
      <c r="P22" s="15"/>
      <c r="Q22" s="15"/>
      <c r="R22" s="16"/>
      <c r="S22" s="16"/>
      <c r="T22" s="16"/>
      <c r="U22" s="16"/>
      <c r="V22" s="5">
        <v>65315</v>
      </c>
      <c r="W22" s="5">
        <v>66957</v>
      </c>
      <c r="Y22" s="5"/>
      <c r="AA22" s="3"/>
      <c r="AB22" s="3"/>
      <c r="AC22" s="3"/>
    </row>
    <row r="23" spans="1:33" ht="18" x14ac:dyDescent="0.35">
      <c r="A23" s="6">
        <v>6</v>
      </c>
      <c r="B23" t="s">
        <v>8</v>
      </c>
      <c r="C23" s="13" t="s">
        <v>361</v>
      </c>
      <c r="D23" s="13" t="str">
        <f t="shared" si="0"/>
        <v xml:space="preserve">b'uf{ </v>
      </c>
      <c r="E23" s="13" t="str">
        <f t="shared" si="3"/>
        <v>bfxfn</v>
      </c>
      <c r="F23" s="21" t="s">
        <v>233</v>
      </c>
      <c r="G23" s="21" t="s">
        <v>756</v>
      </c>
      <c r="H23" s="21">
        <f t="shared" si="4"/>
        <v>99</v>
      </c>
      <c r="I23" s="21"/>
      <c r="J23" s="21" t="s">
        <v>905</v>
      </c>
      <c r="K23" s="21">
        <f t="shared" si="1"/>
        <v>164</v>
      </c>
      <c r="L23" s="21"/>
      <c r="M23" s="15">
        <f t="shared" si="2"/>
        <v>56.008219178082193</v>
      </c>
      <c r="N23" s="15"/>
      <c r="O23" s="15"/>
      <c r="P23" s="15"/>
      <c r="Q23" s="15"/>
      <c r="R23" s="16">
        <v>0</v>
      </c>
      <c r="S23" s="16">
        <v>5</v>
      </c>
      <c r="T23" s="16">
        <v>0</v>
      </c>
      <c r="U23" s="16">
        <v>2</v>
      </c>
      <c r="V23" s="5">
        <v>46514</v>
      </c>
      <c r="W23" s="5">
        <v>66957</v>
      </c>
      <c r="Y23" s="5">
        <v>66762</v>
      </c>
      <c r="Z23" s="2" t="s">
        <v>2</v>
      </c>
      <c r="AA23" s="2">
        <v>1</v>
      </c>
      <c r="AB23" s="2">
        <v>1</v>
      </c>
      <c r="AD23" t="s">
        <v>242</v>
      </c>
      <c r="AE23" t="s">
        <v>341</v>
      </c>
      <c r="AF23" t="s">
        <v>245</v>
      </c>
      <c r="AG23" s="13" t="str">
        <f>C23</f>
        <v>b'uf{ k|;fb bfxfn</v>
      </c>
    </row>
    <row r="24" spans="1:33" ht="18" x14ac:dyDescent="0.35">
      <c r="A24" s="6">
        <v>7</v>
      </c>
      <c r="B24" t="s">
        <v>9</v>
      </c>
      <c r="C24" s="13" t="s">
        <v>362</v>
      </c>
      <c r="D24" s="13" t="str">
        <f t="shared" si="0"/>
        <v xml:space="preserve">;lGbk </v>
      </c>
      <c r="E24" s="13" t="str">
        <f t="shared" si="3"/>
        <v>kl/of/</v>
      </c>
      <c r="F24" s="21" t="s">
        <v>233</v>
      </c>
      <c r="G24" s="21" t="s">
        <v>757</v>
      </c>
      <c r="H24" s="21">
        <f t="shared" si="4"/>
        <v>69</v>
      </c>
      <c r="I24" s="21"/>
      <c r="J24" s="21" t="s">
        <v>905</v>
      </c>
      <c r="K24" s="21">
        <f t="shared" si="1"/>
        <v>164</v>
      </c>
      <c r="L24" s="21"/>
      <c r="M24" s="15">
        <f t="shared" si="2"/>
        <v>18.876712328767123</v>
      </c>
      <c r="N24" s="15"/>
      <c r="O24" s="15"/>
      <c r="P24" s="15"/>
      <c r="Q24" s="15"/>
      <c r="R24" s="16" t="s">
        <v>748</v>
      </c>
      <c r="S24" s="16" t="s">
        <v>748</v>
      </c>
      <c r="T24" s="16" t="s">
        <v>748</v>
      </c>
      <c r="U24" s="16" t="s">
        <v>748</v>
      </c>
      <c r="V24" s="5">
        <v>60067</v>
      </c>
      <c r="W24" s="5">
        <v>66957</v>
      </c>
      <c r="Y24" s="5">
        <v>66760</v>
      </c>
      <c r="Z24" s="2" t="s">
        <v>2</v>
      </c>
      <c r="AA24" s="2">
        <v>1</v>
      </c>
      <c r="AB24" s="2">
        <v>1</v>
      </c>
      <c r="AD24" t="s">
        <v>242</v>
      </c>
      <c r="AE24" t="s">
        <v>340</v>
      </c>
      <c r="AF24" t="s">
        <v>245</v>
      </c>
      <c r="AG24" s="13" t="str">
        <f>C24</f>
        <v>;lGbk kl/of/</v>
      </c>
    </row>
    <row r="25" spans="1:33" ht="18" x14ac:dyDescent="0.35">
      <c r="A25" s="6">
        <v>8</v>
      </c>
      <c r="B25" t="s">
        <v>10</v>
      </c>
      <c r="C25" s="13" t="s">
        <v>363</v>
      </c>
      <c r="D25" s="13" t="str">
        <f t="shared" si="0"/>
        <v xml:space="preserve">l;tf </v>
      </c>
      <c r="E25" s="13" t="str">
        <f t="shared" si="3"/>
        <v>clwsf/L</v>
      </c>
      <c r="F25" s="21" t="s">
        <v>234</v>
      </c>
      <c r="G25" s="21" t="s">
        <v>756</v>
      </c>
      <c r="H25" s="21">
        <f t="shared" si="4"/>
        <v>102</v>
      </c>
      <c r="I25" s="21"/>
      <c r="J25" s="21" t="s">
        <v>906</v>
      </c>
      <c r="K25" s="21">
        <f t="shared" si="1"/>
        <v>53</v>
      </c>
      <c r="L25" s="21"/>
      <c r="M25" s="15">
        <f t="shared" si="2"/>
        <v>54.92876712328767</v>
      </c>
      <c r="N25" s="15"/>
      <c r="O25" s="15"/>
      <c r="P25" s="15"/>
      <c r="Q25" s="15"/>
      <c r="R25" s="16">
        <v>0</v>
      </c>
      <c r="S25" s="16">
        <f>2+(1)</f>
        <v>3</v>
      </c>
      <c r="T25" s="16">
        <v>2</v>
      </c>
      <c r="U25" s="16">
        <v>0</v>
      </c>
      <c r="V25" s="5">
        <v>46908</v>
      </c>
      <c r="W25" s="5">
        <v>66957</v>
      </c>
      <c r="Y25" s="5">
        <v>66711</v>
      </c>
      <c r="Z25" s="2" t="s">
        <v>2</v>
      </c>
      <c r="AA25" s="2">
        <v>4</v>
      </c>
      <c r="AB25" s="2">
        <v>2</v>
      </c>
      <c r="AC25" s="2">
        <v>2</v>
      </c>
      <c r="AD25" t="s">
        <v>238</v>
      </c>
      <c r="AE25" t="s">
        <v>320</v>
      </c>
      <c r="AF25" t="s">
        <v>245</v>
      </c>
      <c r="AG25" s="13" t="str">
        <f>C25</f>
        <v>l;tf clwsf/L</v>
      </c>
    </row>
    <row r="26" spans="1:33" ht="18" x14ac:dyDescent="0.35">
      <c r="A26" s="6"/>
      <c r="C26" s="13" t="s">
        <v>364</v>
      </c>
      <c r="D26" s="13" t="str">
        <f t="shared" si="0"/>
        <v xml:space="preserve">;'/]z </v>
      </c>
      <c r="E26" s="13" t="str">
        <f t="shared" si="3"/>
        <v>clwsf/L</v>
      </c>
      <c r="F26" s="21" t="s">
        <v>233</v>
      </c>
      <c r="G26" s="21" t="s">
        <v>756</v>
      </c>
      <c r="H26" s="21">
        <f t="shared" si="4"/>
        <v>99</v>
      </c>
      <c r="I26" s="21"/>
      <c r="J26" s="21" t="s">
        <v>905</v>
      </c>
      <c r="K26" s="21">
        <f t="shared" si="1"/>
        <v>164</v>
      </c>
      <c r="L26" s="21"/>
      <c r="M26" s="15">
        <f t="shared" si="2"/>
        <v>34.054794520547944</v>
      </c>
      <c r="N26" s="15"/>
      <c r="O26" s="15"/>
      <c r="P26" s="15"/>
      <c r="Q26" s="15"/>
      <c r="R26" s="16"/>
      <c r="S26" s="16"/>
      <c r="T26" s="16"/>
      <c r="U26" s="16"/>
      <c r="V26" s="5">
        <v>54527</v>
      </c>
      <c r="W26" s="5">
        <v>66957</v>
      </c>
      <c r="Y26" s="5"/>
      <c r="AA26" s="3"/>
      <c r="AB26" s="3"/>
      <c r="AC26" s="3"/>
    </row>
    <row r="27" spans="1:33" ht="18" x14ac:dyDescent="0.35">
      <c r="A27" s="6"/>
      <c r="C27" s="13" t="s">
        <v>365</v>
      </c>
      <c r="D27" s="13" t="str">
        <f t="shared" si="0"/>
        <v xml:space="preserve">/~hgf </v>
      </c>
      <c r="E27" s="13" t="str">
        <f t="shared" si="3"/>
        <v>5Ts'nL</v>
      </c>
      <c r="F27" s="21" t="s">
        <v>234</v>
      </c>
      <c r="G27" s="21" t="s">
        <v>756</v>
      </c>
      <c r="H27" s="21">
        <f t="shared" si="4"/>
        <v>102</v>
      </c>
      <c r="I27" s="21"/>
      <c r="J27" s="21" t="s">
        <v>905</v>
      </c>
      <c r="K27" s="21">
        <f t="shared" si="1"/>
        <v>107</v>
      </c>
      <c r="L27" s="21"/>
      <c r="M27" s="15">
        <f t="shared" si="2"/>
        <v>27.06027397260274</v>
      </c>
      <c r="N27" s="15"/>
      <c r="O27" s="15"/>
      <c r="P27" s="15"/>
      <c r="Q27" s="15"/>
      <c r="R27" s="16"/>
      <c r="S27" s="16"/>
      <c r="T27" s="16"/>
      <c r="U27" s="16"/>
      <c r="V27" s="5">
        <v>57080</v>
      </c>
      <c r="W27" s="5">
        <v>66957</v>
      </c>
      <c r="Y27" s="5"/>
      <c r="AA27" s="3"/>
      <c r="AB27" s="3"/>
      <c r="AC27" s="3"/>
    </row>
    <row r="28" spans="1:33" ht="18" x14ac:dyDescent="0.35">
      <c r="A28" s="6"/>
      <c r="C28" s="13" t="s">
        <v>366</v>
      </c>
      <c r="D28" s="13" t="str">
        <f t="shared" si="0"/>
        <v xml:space="preserve">;'a|t </v>
      </c>
      <c r="E28" s="13" t="str">
        <f t="shared" si="3"/>
        <v>clwsf/L</v>
      </c>
      <c r="F28" s="21" t="s">
        <v>233</v>
      </c>
      <c r="G28" s="21" t="s">
        <v>748</v>
      </c>
      <c r="H28" s="21" t="b">
        <f t="shared" si="4"/>
        <v>0</v>
      </c>
      <c r="I28" s="21"/>
      <c r="J28" s="21" t="s">
        <v>748</v>
      </c>
      <c r="K28" s="21" t="b">
        <f t="shared" si="1"/>
        <v>0</v>
      </c>
      <c r="L28" s="21"/>
      <c r="M28" s="15">
        <f t="shared" si="2"/>
        <v>3.5287671232876714</v>
      </c>
      <c r="N28" s="15"/>
      <c r="O28" s="15"/>
      <c r="P28" s="15"/>
      <c r="Q28" s="15"/>
      <c r="R28" s="16"/>
      <c r="S28" s="16"/>
      <c r="T28" s="16"/>
      <c r="U28" s="16"/>
      <c r="V28" s="5">
        <v>65669</v>
      </c>
      <c r="W28" s="5">
        <v>66957</v>
      </c>
      <c r="Y28" s="5"/>
      <c r="AA28" s="3"/>
      <c r="AB28" s="3"/>
      <c r="AC28" s="3"/>
    </row>
    <row r="29" spans="1:33" ht="18" x14ac:dyDescent="0.35">
      <c r="A29" s="6">
        <v>9</v>
      </c>
      <c r="B29" t="s">
        <v>11</v>
      </c>
      <c r="C29" s="13" t="s">
        <v>367</v>
      </c>
      <c r="D29" s="13" t="str">
        <f t="shared" si="0"/>
        <v xml:space="preserve">k'0o </v>
      </c>
      <c r="E29" s="13" t="str">
        <f t="shared" si="3"/>
        <v>l3ld/]</v>
      </c>
      <c r="F29" s="21" t="s">
        <v>233</v>
      </c>
      <c r="G29" s="21" t="s">
        <v>756</v>
      </c>
      <c r="H29" s="21">
        <f t="shared" si="4"/>
        <v>99</v>
      </c>
      <c r="I29" s="21"/>
      <c r="J29" s="21" t="s">
        <v>905</v>
      </c>
      <c r="K29" s="21">
        <f t="shared" si="1"/>
        <v>164</v>
      </c>
      <c r="L29" s="21"/>
      <c r="M29" s="15">
        <f t="shared" si="2"/>
        <v>48.030136986301372</v>
      </c>
      <c r="N29" s="15"/>
      <c r="O29" s="15"/>
      <c r="P29" s="15"/>
      <c r="Q29" s="15"/>
      <c r="R29" s="16">
        <v>0</v>
      </c>
      <c r="S29" s="16">
        <v>4</v>
      </c>
      <c r="T29" s="16">
        <v>3</v>
      </c>
      <c r="U29" s="16">
        <v>2</v>
      </c>
      <c r="V29" s="5">
        <v>49426</v>
      </c>
      <c r="W29" s="5">
        <v>66957</v>
      </c>
      <c r="Y29" s="5">
        <v>66689</v>
      </c>
      <c r="Z29" s="2" t="s">
        <v>2</v>
      </c>
      <c r="AA29" s="2">
        <v>4</v>
      </c>
      <c r="AB29" s="2">
        <v>2</v>
      </c>
      <c r="AC29" s="2">
        <v>2</v>
      </c>
      <c r="AD29" t="s">
        <v>242</v>
      </c>
      <c r="AE29" t="s">
        <v>303</v>
      </c>
      <c r="AF29" t="s">
        <v>245</v>
      </c>
      <c r="AG29" s="13" t="str">
        <f>C29</f>
        <v>k'0o k|;fb l3ld/]</v>
      </c>
    </row>
    <row r="30" spans="1:33" ht="18" x14ac:dyDescent="0.35">
      <c r="A30" s="6"/>
      <c r="C30" s="13" t="s">
        <v>368</v>
      </c>
      <c r="D30" s="13" t="str">
        <f t="shared" si="0"/>
        <v xml:space="preserve">uf]df </v>
      </c>
      <c r="E30" s="13" t="str">
        <f t="shared" si="3"/>
        <v>l3ld/]</v>
      </c>
      <c r="F30" s="21" t="s">
        <v>234</v>
      </c>
      <c r="G30" s="21" t="s">
        <v>756</v>
      </c>
      <c r="H30" s="21">
        <f t="shared" si="4"/>
        <v>102</v>
      </c>
      <c r="I30" s="21"/>
      <c r="J30" s="21" t="s">
        <v>905</v>
      </c>
      <c r="K30" s="21">
        <f t="shared" si="1"/>
        <v>107</v>
      </c>
      <c r="L30" s="21"/>
      <c r="M30" s="15">
        <f t="shared" si="2"/>
        <v>42.205479452054796</v>
      </c>
      <c r="N30" s="15"/>
      <c r="O30" s="15"/>
      <c r="P30" s="15"/>
      <c r="Q30" s="15"/>
      <c r="R30" s="16"/>
      <c r="S30" s="16"/>
      <c r="T30" s="16"/>
      <c r="U30" s="16"/>
      <c r="V30" s="5">
        <v>51552</v>
      </c>
      <c r="W30" s="5">
        <v>66957</v>
      </c>
      <c r="Y30" s="5"/>
      <c r="AA30" s="3"/>
      <c r="AB30" s="3"/>
      <c r="AC30" s="3"/>
    </row>
    <row r="31" spans="1:33" ht="18" x14ac:dyDescent="0.35">
      <c r="A31" s="6"/>
      <c r="C31" s="13" t="s">
        <v>369</v>
      </c>
      <c r="D31" s="13" t="str">
        <f t="shared" si="0"/>
        <v xml:space="preserve">cfo'iff </v>
      </c>
      <c r="E31" s="13" t="str">
        <f t="shared" si="3"/>
        <v>l3ld/]</v>
      </c>
      <c r="F31" s="21" t="s">
        <v>234</v>
      </c>
      <c r="G31" s="21" t="s">
        <v>757</v>
      </c>
      <c r="H31" s="21">
        <f t="shared" si="4"/>
        <v>54</v>
      </c>
      <c r="I31" s="21"/>
      <c r="J31" s="21" t="s">
        <v>905</v>
      </c>
      <c r="K31" s="21">
        <f t="shared" si="1"/>
        <v>107</v>
      </c>
      <c r="L31" s="21"/>
      <c r="M31" s="15">
        <f t="shared" si="2"/>
        <v>19.709589041095889</v>
      </c>
      <c r="N31" s="15"/>
      <c r="O31" s="15"/>
      <c r="P31" s="15"/>
      <c r="Q31" s="15"/>
      <c r="R31" s="16"/>
      <c r="S31" s="16"/>
      <c r="T31" s="16"/>
      <c r="U31" s="16"/>
      <c r="V31" s="5">
        <v>59763</v>
      </c>
      <c r="W31" s="5">
        <v>66957</v>
      </c>
      <c r="Y31" s="5"/>
      <c r="AA31" s="3"/>
      <c r="AB31" s="3"/>
      <c r="AC31" s="3"/>
    </row>
    <row r="32" spans="1:33" ht="18" x14ac:dyDescent="0.35">
      <c r="A32" s="6"/>
      <c r="C32" s="13" t="s">
        <v>370</v>
      </c>
      <c r="D32" s="13" t="str">
        <f t="shared" si="0"/>
        <v xml:space="preserve">cf/f]Uo </v>
      </c>
      <c r="E32" s="13" t="str">
        <f t="shared" si="3"/>
        <v>l3ld/]</v>
      </c>
      <c r="F32" s="21" t="s">
        <v>233</v>
      </c>
      <c r="G32" s="21" t="s">
        <v>757</v>
      </c>
      <c r="H32" s="21">
        <f t="shared" si="4"/>
        <v>69</v>
      </c>
      <c r="I32" s="21"/>
      <c r="J32" s="21" t="s">
        <v>905</v>
      </c>
      <c r="K32" s="21">
        <f t="shared" si="1"/>
        <v>164</v>
      </c>
      <c r="L32" s="21"/>
      <c r="M32" s="15">
        <f t="shared" si="2"/>
        <v>12.947945205479453</v>
      </c>
      <c r="N32" s="15"/>
      <c r="O32" s="15"/>
      <c r="P32" s="15"/>
      <c r="Q32" s="15"/>
      <c r="R32" s="16"/>
      <c r="S32" s="16"/>
      <c r="T32" s="16"/>
      <c r="U32" s="16"/>
      <c r="V32" s="5">
        <v>62231</v>
      </c>
      <c r="W32" s="5">
        <v>66957</v>
      </c>
      <c r="Y32" s="5"/>
      <c r="AA32" s="3"/>
      <c r="AB32" s="3"/>
      <c r="AC32" s="3"/>
    </row>
    <row r="33" spans="1:33" s="32" customFormat="1" ht="18" x14ac:dyDescent="0.35">
      <c r="A33" s="31">
        <v>10</v>
      </c>
      <c r="B33" s="32" t="s">
        <v>12</v>
      </c>
      <c r="C33" s="28" t="s">
        <v>371</v>
      </c>
      <c r="D33" s="28" t="str">
        <f t="shared" si="0"/>
        <v xml:space="preserve">/fh]z </v>
      </c>
      <c r="E33" s="28" t="str">
        <f t="shared" si="3"/>
        <v>lji6</v>
      </c>
      <c r="F33" s="29" t="s">
        <v>233</v>
      </c>
      <c r="G33" s="29" t="s">
        <v>756</v>
      </c>
      <c r="H33" s="21">
        <f t="shared" si="4"/>
        <v>99</v>
      </c>
      <c r="I33" s="21"/>
      <c r="J33" s="29" t="s">
        <v>905</v>
      </c>
      <c r="K33" s="29">
        <f t="shared" si="1"/>
        <v>164</v>
      </c>
      <c r="L33" s="29"/>
      <c r="M33" s="30">
        <f t="shared" si="2"/>
        <v>40.205479452054796</v>
      </c>
      <c r="N33" s="30"/>
      <c r="O33" s="30"/>
      <c r="P33" s="30"/>
      <c r="Q33" s="30"/>
      <c r="R33" s="33" t="s">
        <v>748</v>
      </c>
      <c r="S33" s="33" t="s">
        <v>748</v>
      </c>
      <c r="T33" s="33" t="s">
        <v>748</v>
      </c>
      <c r="U33" s="33" t="s">
        <v>748</v>
      </c>
      <c r="V33" s="25">
        <v>52282</v>
      </c>
      <c r="W33" s="25">
        <v>66957</v>
      </c>
      <c r="Y33" s="25">
        <v>66687</v>
      </c>
      <c r="Z33" s="24" t="s">
        <v>2</v>
      </c>
      <c r="AA33" s="24">
        <v>4</v>
      </c>
      <c r="AB33" s="24">
        <v>2</v>
      </c>
      <c r="AC33" s="24">
        <v>2</v>
      </c>
      <c r="AD33" s="32" t="s">
        <v>242</v>
      </c>
      <c r="AG33" s="28" t="str">
        <f>C33</f>
        <v>/fh]z s'df/ lji6</v>
      </c>
    </row>
    <row r="34" spans="1:33" s="32" customFormat="1" ht="18" x14ac:dyDescent="0.35">
      <c r="A34" s="31"/>
      <c r="C34" s="28" t="s">
        <v>371</v>
      </c>
      <c r="D34" s="28" t="str">
        <f t="shared" si="0"/>
        <v xml:space="preserve">/fh]z </v>
      </c>
      <c r="E34" s="28" t="str">
        <f t="shared" si="3"/>
        <v>lji6</v>
      </c>
      <c r="F34" s="29" t="s">
        <v>234</v>
      </c>
      <c r="G34" s="29" t="s">
        <v>757</v>
      </c>
      <c r="H34" s="21">
        <f t="shared" si="4"/>
        <v>54</v>
      </c>
      <c r="I34" s="21"/>
      <c r="J34" s="29" t="s">
        <v>905</v>
      </c>
      <c r="K34" s="29">
        <f t="shared" si="1"/>
        <v>107</v>
      </c>
      <c r="L34" s="29"/>
      <c r="M34" s="30">
        <f t="shared" si="2"/>
        <v>39.389041095890413</v>
      </c>
      <c r="N34" s="30"/>
      <c r="O34" s="30"/>
      <c r="P34" s="30"/>
      <c r="Q34" s="30"/>
      <c r="R34" s="33"/>
      <c r="S34" s="33"/>
      <c r="T34" s="33"/>
      <c r="U34" s="33"/>
      <c r="V34" s="25">
        <v>52580</v>
      </c>
      <c r="W34" s="25">
        <v>66957</v>
      </c>
      <c r="Y34" s="25"/>
      <c r="Z34" s="24"/>
      <c r="AA34" s="24"/>
      <c r="AB34" s="24"/>
      <c r="AC34" s="24"/>
      <c r="AG34" s="28"/>
    </row>
    <row r="35" spans="1:33" s="32" customFormat="1" ht="18" x14ac:dyDescent="0.35">
      <c r="A35" s="31"/>
      <c r="C35" s="28" t="s">
        <v>371</v>
      </c>
      <c r="D35" s="28" t="str">
        <f t="shared" si="0"/>
        <v xml:space="preserve">/fh]z </v>
      </c>
      <c r="E35" s="28" t="str">
        <f t="shared" si="3"/>
        <v>lji6</v>
      </c>
      <c r="F35" s="29" t="s">
        <v>234</v>
      </c>
      <c r="G35" s="29" t="s">
        <v>756</v>
      </c>
      <c r="H35" s="21">
        <f t="shared" si="4"/>
        <v>102</v>
      </c>
      <c r="I35" s="21"/>
      <c r="J35" s="29" t="s">
        <v>905</v>
      </c>
      <c r="K35" s="29">
        <f t="shared" si="1"/>
        <v>107</v>
      </c>
      <c r="L35" s="29"/>
      <c r="M35" s="30">
        <f t="shared" si="2"/>
        <v>19.709589041095889</v>
      </c>
      <c r="N35" s="30"/>
      <c r="O35" s="30"/>
      <c r="P35" s="30"/>
      <c r="Q35" s="30"/>
      <c r="R35" s="33"/>
      <c r="S35" s="33"/>
      <c r="T35" s="33"/>
      <c r="U35" s="33"/>
      <c r="V35" s="25">
        <v>59763</v>
      </c>
      <c r="W35" s="25">
        <v>66957</v>
      </c>
      <c r="Y35" s="25"/>
      <c r="Z35" s="24"/>
      <c r="AA35" s="24"/>
      <c r="AB35" s="24"/>
      <c r="AC35" s="24"/>
      <c r="AG35" s="28"/>
    </row>
    <row r="36" spans="1:33" s="32" customFormat="1" ht="18" x14ac:dyDescent="0.35">
      <c r="A36" s="31"/>
      <c r="C36" s="28" t="s">
        <v>371</v>
      </c>
      <c r="D36" s="28" t="str">
        <f t="shared" si="0"/>
        <v xml:space="preserve">/fh]z </v>
      </c>
      <c r="E36" s="28" t="str">
        <f t="shared" si="3"/>
        <v>lji6</v>
      </c>
      <c r="F36" s="29" t="s">
        <v>234</v>
      </c>
      <c r="G36" s="29" t="s">
        <v>757</v>
      </c>
      <c r="H36" s="21">
        <f t="shared" si="4"/>
        <v>54</v>
      </c>
      <c r="I36" s="21"/>
      <c r="J36" s="29" t="s">
        <v>905</v>
      </c>
      <c r="K36" s="29">
        <f t="shared" si="1"/>
        <v>107</v>
      </c>
      <c r="L36" s="29"/>
      <c r="M36" s="30">
        <f t="shared" si="2"/>
        <v>12.947945205479453</v>
      </c>
      <c r="N36" s="30"/>
      <c r="O36" s="30"/>
      <c r="P36" s="30"/>
      <c r="Q36" s="30"/>
      <c r="R36" s="33"/>
      <c r="S36" s="33"/>
      <c r="T36" s="33"/>
      <c r="U36" s="33"/>
      <c r="V36" s="25">
        <v>62231</v>
      </c>
      <c r="W36" s="25">
        <v>66957</v>
      </c>
      <c r="Y36" s="25"/>
      <c r="Z36" s="24"/>
      <c r="AA36" s="24"/>
      <c r="AB36" s="24"/>
      <c r="AC36" s="24"/>
      <c r="AG36" s="28"/>
    </row>
    <row r="37" spans="1:33" ht="18" x14ac:dyDescent="0.35">
      <c r="A37" s="6">
        <v>11</v>
      </c>
      <c r="B37" t="s">
        <v>13</v>
      </c>
      <c r="C37" s="13" t="s">
        <v>372</v>
      </c>
      <c r="D37" s="13" t="str">
        <f t="shared" si="0"/>
        <v xml:space="preserve">OlGb/f </v>
      </c>
      <c r="E37" s="13" t="str">
        <f t="shared" si="3"/>
        <v>kl/of/</v>
      </c>
      <c r="F37" s="21" t="s">
        <v>234</v>
      </c>
      <c r="G37" s="21" t="s">
        <v>756</v>
      </c>
      <c r="H37" s="21">
        <f t="shared" si="4"/>
        <v>102</v>
      </c>
      <c r="I37" s="21"/>
      <c r="J37" s="21" t="s">
        <v>906</v>
      </c>
      <c r="K37" s="21">
        <f t="shared" si="1"/>
        <v>53</v>
      </c>
      <c r="L37" s="21"/>
      <c r="M37" s="15">
        <f t="shared" si="2"/>
        <v>55.046575342465751</v>
      </c>
      <c r="N37" s="15"/>
      <c r="O37" s="15"/>
      <c r="P37" s="15"/>
      <c r="Q37" s="15"/>
      <c r="R37" s="16">
        <v>0</v>
      </c>
      <c r="S37" s="16">
        <v>3</v>
      </c>
      <c r="T37" s="16">
        <v>0</v>
      </c>
      <c r="U37" s="16">
        <v>0</v>
      </c>
      <c r="V37" s="5">
        <v>46865</v>
      </c>
      <c r="W37" s="5">
        <v>66957</v>
      </c>
      <c r="Y37" s="5">
        <v>66674</v>
      </c>
      <c r="Z37" s="2" t="s">
        <v>2</v>
      </c>
      <c r="AA37" s="2">
        <v>8</v>
      </c>
      <c r="AB37" s="2">
        <v>4</v>
      </c>
      <c r="AC37" s="2">
        <v>4</v>
      </c>
      <c r="AD37" t="s">
        <v>242</v>
      </c>
      <c r="AE37" t="s">
        <v>272</v>
      </c>
      <c r="AF37" t="s">
        <v>245</v>
      </c>
      <c r="AG37" s="13" t="str">
        <f>C37</f>
        <v>OlGb/f kl/of/</v>
      </c>
    </row>
    <row r="38" spans="1:33" ht="18" x14ac:dyDescent="0.35">
      <c r="A38" s="6"/>
      <c r="C38" s="13" t="s">
        <v>373</v>
      </c>
      <c r="D38" s="13" t="str">
        <f t="shared" si="0"/>
        <v xml:space="preserve">ljs|d </v>
      </c>
      <c r="E38" s="13" t="str">
        <f t="shared" si="3"/>
        <v>kl/of/</v>
      </c>
      <c r="F38" s="21" t="s">
        <v>233</v>
      </c>
      <c r="G38" s="21" t="s">
        <v>756</v>
      </c>
      <c r="H38" s="21">
        <f t="shared" si="4"/>
        <v>99</v>
      </c>
      <c r="I38" s="21"/>
      <c r="J38" s="21" t="s">
        <v>905</v>
      </c>
      <c r="K38" s="21">
        <f t="shared" si="1"/>
        <v>164</v>
      </c>
      <c r="L38" s="21"/>
      <c r="M38" s="15">
        <f t="shared" si="2"/>
        <v>35.701369863013696</v>
      </c>
      <c r="N38" s="15"/>
      <c r="O38" s="15"/>
      <c r="P38" s="15"/>
      <c r="Q38" s="15"/>
      <c r="R38" s="16"/>
      <c r="S38" s="16"/>
      <c r="T38" s="16"/>
      <c r="U38" s="16"/>
      <c r="V38" s="5">
        <v>53926</v>
      </c>
      <c r="W38" s="5">
        <v>66957</v>
      </c>
      <c r="Y38" s="5"/>
      <c r="AA38" s="3"/>
      <c r="AB38" s="3"/>
      <c r="AC38" s="3"/>
    </row>
    <row r="39" spans="1:33" ht="18" x14ac:dyDescent="0.35">
      <c r="A39" s="6"/>
      <c r="C39" s="13" t="s">
        <v>374</v>
      </c>
      <c r="D39" s="13" t="str">
        <f t="shared" si="0"/>
        <v xml:space="preserve">k|ltIff </v>
      </c>
      <c r="E39" s="13" t="str">
        <f t="shared" si="3"/>
        <v>kl/of/</v>
      </c>
      <c r="F39" s="21" t="s">
        <v>234</v>
      </c>
      <c r="G39" s="21" t="s">
        <v>756</v>
      </c>
      <c r="H39" s="21">
        <f t="shared" si="4"/>
        <v>102</v>
      </c>
      <c r="I39" s="21"/>
      <c r="J39" s="21" t="s">
        <v>906</v>
      </c>
      <c r="K39" s="21">
        <f t="shared" si="1"/>
        <v>53</v>
      </c>
      <c r="L39" s="21"/>
      <c r="M39" s="15">
        <f t="shared" si="2"/>
        <v>30.602739726027398</v>
      </c>
      <c r="N39" s="15"/>
      <c r="O39" s="15"/>
      <c r="P39" s="15"/>
      <c r="Q39" s="15"/>
      <c r="R39" s="16"/>
      <c r="S39" s="16"/>
      <c r="T39" s="16"/>
      <c r="U39" s="16"/>
      <c r="V39" s="5">
        <v>55787</v>
      </c>
      <c r="W39" s="5">
        <v>66957</v>
      </c>
      <c r="Y39" s="5"/>
      <c r="AA39" s="3"/>
      <c r="AB39" s="3"/>
      <c r="AC39" s="3"/>
    </row>
    <row r="40" spans="1:33" ht="18" x14ac:dyDescent="0.35">
      <c r="A40" s="6"/>
      <c r="C40" s="13" t="s">
        <v>375</v>
      </c>
      <c r="D40" s="13" t="str">
        <f t="shared" si="0"/>
        <v xml:space="preserve">lji0f' </v>
      </c>
      <c r="E40" s="13" t="str">
        <f t="shared" si="3"/>
        <v>kl/of/</v>
      </c>
      <c r="F40" s="21" t="s">
        <v>233</v>
      </c>
      <c r="G40" s="21" t="s">
        <v>756</v>
      </c>
      <c r="H40" s="21">
        <f t="shared" si="4"/>
        <v>99</v>
      </c>
      <c r="I40" s="21"/>
      <c r="J40" s="21" t="s">
        <v>905</v>
      </c>
      <c r="K40" s="21">
        <f t="shared" si="1"/>
        <v>164</v>
      </c>
      <c r="L40" s="21"/>
      <c r="M40" s="15">
        <f t="shared" si="2"/>
        <v>34.832876712328769</v>
      </c>
      <c r="N40" s="15"/>
      <c r="O40" s="15"/>
      <c r="P40" s="15"/>
      <c r="Q40" s="15"/>
      <c r="R40" s="16"/>
      <c r="S40" s="16"/>
      <c r="T40" s="16"/>
      <c r="U40" s="16"/>
      <c r="V40" s="5">
        <v>54243</v>
      </c>
      <c r="W40" s="5">
        <v>66957</v>
      </c>
      <c r="Y40" s="5"/>
      <c r="AA40" s="3"/>
      <c r="AB40" s="3"/>
      <c r="AC40" s="3"/>
    </row>
    <row r="41" spans="1:33" ht="18" x14ac:dyDescent="0.35">
      <c r="A41" s="6"/>
      <c r="C41" s="13" t="s">
        <v>376</v>
      </c>
      <c r="D41" s="13" t="str">
        <f t="shared" si="0"/>
        <v xml:space="preserve">nIdL </v>
      </c>
      <c r="E41" s="13" t="str">
        <f t="shared" si="3"/>
        <v>du/</v>
      </c>
      <c r="F41" s="21" t="s">
        <v>234</v>
      </c>
      <c r="G41" s="21" t="s">
        <v>756</v>
      </c>
      <c r="H41" s="21">
        <f t="shared" si="4"/>
        <v>102</v>
      </c>
      <c r="I41" s="21"/>
      <c r="J41" s="21" t="s">
        <v>905</v>
      </c>
      <c r="K41" s="21">
        <f t="shared" si="1"/>
        <v>107</v>
      </c>
      <c r="L41" s="21"/>
      <c r="M41" s="15">
        <f t="shared" si="2"/>
        <v>34.57260273972603</v>
      </c>
      <c r="N41" s="15"/>
      <c r="O41" s="15"/>
      <c r="P41" s="15"/>
      <c r="Q41" s="15"/>
      <c r="R41" s="16"/>
      <c r="S41" s="16"/>
      <c r="T41" s="16"/>
      <c r="U41" s="16"/>
      <c r="V41" s="5">
        <v>54338</v>
      </c>
      <c r="W41" s="5">
        <v>66957</v>
      </c>
      <c r="Y41" s="5"/>
      <c r="AA41" s="3"/>
      <c r="AB41" s="3"/>
      <c r="AC41" s="3"/>
    </row>
    <row r="42" spans="1:33" ht="18" x14ac:dyDescent="0.35">
      <c r="A42" s="6"/>
      <c r="C42" s="13" t="s">
        <v>377</v>
      </c>
      <c r="D42" s="13" t="str">
        <f t="shared" si="0"/>
        <v xml:space="preserve">;ld{nf </v>
      </c>
      <c r="E42" s="13" t="str">
        <f t="shared" si="3"/>
        <v>kl/of/</v>
      </c>
      <c r="F42" s="21" t="s">
        <v>234</v>
      </c>
      <c r="G42" s="21" t="s">
        <v>757</v>
      </c>
      <c r="H42" s="21">
        <f t="shared" si="4"/>
        <v>54</v>
      </c>
      <c r="I42" s="21"/>
      <c r="J42" s="21" t="s">
        <v>905</v>
      </c>
      <c r="K42" s="21">
        <f t="shared" si="1"/>
        <v>107</v>
      </c>
      <c r="L42" s="21"/>
      <c r="M42" s="15">
        <f t="shared" si="2"/>
        <v>30.8</v>
      </c>
      <c r="N42" s="15"/>
      <c r="O42" s="15"/>
      <c r="P42" s="15"/>
      <c r="Q42" s="15"/>
      <c r="R42" s="16"/>
      <c r="S42" s="16"/>
      <c r="T42" s="16"/>
      <c r="U42" s="16"/>
      <c r="V42" s="5">
        <v>55715</v>
      </c>
      <c r="W42" s="5">
        <v>66957</v>
      </c>
      <c r="Y42" s="5"/>
      <c r="AA42" s="3"/>
      <c r="AB42" s="3"/>
      <c r="AC42" s="3"/>
    </row>
    <row r="43" spans="1:33" ht="18" x14ac:dyDescent="0.35">
      <c r="A43" s="6"/>
      <c r="C43" s="13" t="s">
        <v>378</v>
      </c>
      <c r="D43" s="13" t="str">
        <f t="shared" si="0"/>
        <v xml:space="preserve">k|lts </v>
      </c>
      <c r="E43" s="13" t="str">
        <f t="shared" si="3"/>
        <v>kl/of/</v>
      </c>
      <c r="F43" s="21" t="s">
        <v>233</v>
      </c>
      <c r="G43" s="21" t="s">
        <v>757</v>
      </c>
      <c r="H43" s="21">
        <f t="shared" si="4"/>
        <v>69</v>
      </c>
      <c r="I43" s="21"/>
      <c r="J43" s="21" t="s">
        <v>905</v>
      </c>
      <c r="K43" s="21">
        <f t="shared" si="1"/>
        <v>164</v>
      </c>
      <c r="L43" s="21"/>
      <c r="M43" s="15">
        <f t="shared" si="2"/>
        <v>14.90958904109589</v>
      </c>
      <c r="N43" s="15"/>
      <c r="O43" s="15"/>
      <c r="P43" s="15"/>
      <c r="Q43" s="15"/>
      <c r="R43" s="16"/>
      <c r="S43" s="16"/>
      <c r="T43" s="16"/>
      <c r="U43" s="16"/>
      <c r="V43" s="5">
        <v>61515</v>
      </c>
      <c r="W43" s="5">
        <v>66957</v>
      </c>
      <c r="Y43" s="5"/>
      <c r="AA43" s="3"/>
      <c r="AB43" s="3"/>
      <c r="AC43" s="3"/>
    </row>
    <row r="44" spans="1:33" ht="18" x14ac:dyDescent="0.35">
      <c r="A44" s="6"/>
      <c r="C44" s="13" t="s">
        <v>379</v>
      </c>
      <c r="D44" s="13" t="str">
        <f t="shared" si="0"/>
        <v xml:space="preserve">s]ljg </v>
      </c>
      <c r="E44" s="13" t="str">
        <f t="shared" si="3"/>
        <v>kl/of/</v>
      </c>
      <c r="F44" s="21" t="s">
        <v>233</v>
      </c>
      <c r="G44" s="21" t="s">
        <v>748</v>
      </c>
      <c r="H44" s="21" t="b">
        <f t="shared" si="4"/>
        <v>0</v>
      </c>
      <c r="I44" s="21"/>
      <c r="J44" s="21" t="s">
        <v>748</v>
      </c>
      <c r="K44" s="21" t="b">
        <f t="shared" si="1"/>
        <v>0</v>
      </c>
      <c r="L44" s="21"/>
      <c r="M44" s="15">
        <f t="shared" si="2"/>
        <v>1.0575342465753426</v>
      </c>
      <c r="N44" s="15"/>
      <c r="O44" s="15"/>
      <c r="P44" s="15"/>
      <c r="Q44" s="15"/>
      <c r="R44" s="16"/>
      <c r="S44" s="16"/>
      <c r="T44" s="16"/>
      <c r="U44" s="16"/>
      <c r="V44" s="5">
        <v>66571</v>
      </c>
      <c r="W44" s="5">
        <v>66957</v>
      </c>
      <c r="Y44" s="5"/>
      <c r="AA44" s="3"/>
      <c r="AB44" s="3"/>
      <c r="AC44" s="3"/>
    </row>
    <row r="45" spans="1:33" ht="18" x14ac:dyDescent="0.35">
      <c r="A45" s="6">
        <v>12</v>
      </c>
      <c r="B45" t="s">
        <v>14</v>
      </c>
      <c r="C45" s="13" t="s">
        <v>380</v>
      </c>
      <c r="D45" s="13" t="str">
        <f t="shared" si="0"/>
        <v xml:space="preserve">Zofd </v>
      </c>
      <c r="E45" s="13" t="str">
        <f t="shared" si="3"/>
        <v>vqL</v>
      </c>
      <c r="F45" s="21" t="s">
        <v>233</v>
      </c>
      <c r="G45" s="21" t="s">
        <v>756</v>
      </c>
      <c r="H45" s="21">
        <f t="shared" si="4"/>
        <v>99</v>
      </c>
      <c r="I45" s="21"/>
      <c r="J45" s="21" t="s">
        <v>905</v>
      </c>
      <c r="K45" s="21">
        <f t="shared" si="1"/>
        <v>164</v>
      </c>
      <c r="L45" s="21"/>
      <c r="M45" s="15">
        <f t="shared" si="2"/>
        <v>47.443835616438356</v>
      </c>
      <c r="N45" s="15"/>
      <c r="O45" s="15"/>
      <c r="P45" s="15"/>
      <c r="Q45" s="15"/>
      <c r="R45" s="16">
        <f>1+(1)</f>
        <v>2</v>
      </c>
      <c r="S45" s="16">
        <v>3</v>
      </c>
      <c r="T45" s="16">
        <v>2</v>
      </c>
      <c r="U45" s="16">
        <v>1</v>
      </c>
      <c r="V45" s="5">
        <v>49640</v>
      </c>
      <c r="W45" s="5">
        <v>66957</v>
      </c>
      <c r="Y45" s="5">
        <v>66668</v>
      </c>
      <c r="Z45" s="2" t="s">
        <v>2</v>
      </c>
      <c r="AA45" s="2">
        <v>1</v>
      </c>
      <c r="AB45" s="2">
        <v>1</v>
      </c>
      <c r="AD45" t="s">
        <v>242</v>
      </c>
      <c r="AE45" t="s">
        <v>319</v>
      </c>
      <c r="AF45" t="s">
        <v>245</v>
      </c>
      <c r="AG45" s="13" t="str">
        <f>C45</f>
        <v>Zofd vqL</v>
      </c>
    </row>
    <row r="46" spans="1:33" ht="18" x14ac:dyDescent="0.35">
      <c r="A46" s="6">
        <v>13</v>
      </c>
      <c r="B46" t="s">
        <v>15</v>
      </c>
      <c r="C46" s="13" t="s">
        <v>381</v>
      </c>
      <c r="D46" s="13" t="str">
        <f t="shared" si="0"/>
        <v xml:space="preserve">;'s </v>
      </c>
      <c r="E46" s="13" t="str">
        <f t="shared" si="3"/>
        <v>nfdf</v>
      </c>
      <c r="F46" s="21" t="s">
        <v>234</v>
      </c>
      <c r="G46" s="21" t="s">
        <v>756</v>
      </c>
      <c r="H46" s="21">
        <f t="shared" si="4"/>
        <v>102</v>
      </c>
      <c r="I46" s="21"/>
      <c r="J46" s="21" t="s">
        <v>906</v>
      </c>
      <c r="K46" s="21">
        <f t="shared" si="1"/>
        <v>53</v>
      </c>
      <c r="L46" s="21"/>
      <c r="M46" s="15">
        <f t="shared" si="2"/>
        <v>55.257534246575339</v>
      </c>
      <c r="N46" s="15"/>
      <c r="O46" s="15"/>
      <c r="P46" s="15"/>
      <c r="Q46" s="15"/>
      <c r="R46" s="16">
        <v>0</v>
      </c>
      <c r="S46" s="16">
        <v>4</v>
      </c>
      <c r="T46" s="16">
        <v>3</v>
      </c>
      <c r="U46" s="16">
        <v>2</v>
      </c>
      <c r="V46" s="5">
        <v>46788</v>
      </c>
      <c r="W46" s="5">
        <v>66957</v>
      </c>
      <c r="Y46" s="5">
        <v>66618</v>
      </c>
      <c r="Z46" s="2" t="s">
        <v>2</v>
      </c>
      <c r="AA46" s="2">
        <v>4</v>
      </c>
      <c r="AB46" s="2">
        <v>3</v>
      </c>
      <c r="AC46" s="2">
        <v>1</v>
      </c>
      <c r="AD46" t="s">
        <v>242</v>
      </c>
      <c r="AE46" t="s">
        <v>327</v>
      </c>
      <c r="AF46" t="s">
        <v>245</v>
      </c>
    </row>
    <row r="47" spans="1:33" ht="18" x14ac:dyDescent="0.35">
      <c r="A47" s="6"/>
      <c r="C47" s="13" t="s">
        <v>382</v>
      </c>
      <c r="D47" s="13" t="str">
        <f t="shared" si="0"/>
        <v xml:space="preserve">/fh' </v>
      </c>
      <c r="E47" s="13" t="str">
        <f t="shared" si="3"/>
        <v>dfemL</v>
      </c>
      <c r="F47" s="21" t="s">
        <v>233</v>
      </c>
      <c r="G47" s="21" t="s">
        <v>756</v>
      </c>
      <c r="H47" s="21">
        <f t="shared" si="4"/>
        <v>99</v>
      </c>
      <c r="I47" s="21"/>
      <c r="J47" s="21" t="s">
        <v>906</v>
      </c>
      <c r="K47" s="21">
        <f t="shared" si="1"/>
        <v>11</v>
      </c>
      <c r="L47" s="21"/>
      <c r="M47" s="15">
        <f t="shared" si="2"/>
        <v>52.909589041095892</v>
      </c>
      <c r="N47" s="15"/>
      <c r="O47" s="15"/>
      <c r="P47" s="15"/>
      <c r="Q47" s="15"/>
      <c r="R47" s="16"/>
      <c r="S47" s="16"/>
      <c r="T47" s="16"/>
      <c r="U47" s="16"/>
      <c r="V47" s="5">
        <v>47645</v>
      </c>
      <c r="W47" s="5">
        <v>66957</v>
      </c>
      <c r="Y47" s="5"/>
    </row>
    <row r="48" spans="1:33" ht="18" x14ac:dyDescent="0.35">
      <c r="A48" s="6"/>
      <c r="C48" s="13" t="s">
        <v>383</v>
      </c>
      <c r="D48" s="13" t="str">
        <f t="shared" si="0"/>
        <v xml:space="preserve">;lGbk </v>
      </c>
      <c r="E48" s="13" t="str">
        <f t="shared" si="3"/>
        <v>dfemL</v>
      </c>
      <c r="F48" s="21" t="s">
        <v>233</v>
      </c>
      <c r="G48" s="21" t="s">
        <v>757</v>
      </c>
      <c r="H48" s="21">
        <f t="shared" si="4"/>
        <v>69</v>
      </c>
      <c r="I48" s="21"/>
      <c r="J48" s="21" t="s">
        <v>905</v>
      </c>
      <c r="K48" s="21">
        <f t="shared" si="1"/>
        <v>164</v>
      </c>
      <c r="L48" s="21"/>
      <c r="M48" s="15">
        <f t="shared" si="2"/>
        <v>26.991780821917807</v>
      </c>
      <c r="N48" s="15"/>
      <c r="O48" s="15"/>
      <c r="P48" s="15"/>
      <c r="Q48" s="15"/>
      <c r="R48" s="16"/>
      <c r="S48" s="16"/>
      <c r="T48" s="16"/>
      <c r="U48" s="16"/>
      <c r="V48" s="5">
        <v>57105</v>
      </c>
      <c r="W48" s="5">
        <v>66957</v>
      </c>
      <c r="Y48" s="5"/>
    </row>
    <row r="49" spans="1:32" ht="18" x14ac:dyDescent="0.35">
      <c r="A49" s="6"/>
      <c r="C49" s="13" t="s">
        <v>384</v>
      </c>
      <c r="D49" s="13" t="str">
        <f t="shared" si="0"/>
        <v xml:space="preserve">ljgf]b </v>
      </c>
      <c r="E49" s="13" t="str">
        <f t="shared" si="3"/>
        <v>dfemL</v>
      </c>
      <c r="F49" s="21" t="s">
        <v>233</v>
      </c>
      <c r="G49" s="21" t="s">
        <v>757</v>
      </c>
      <c r="H49" s="21">
        <f t="shared" si="4"/>
        <v>69</v>
      </c>
      <c r="I49" s="21"/>
      <c r="J49" s="21" t="s">
        <v>905</v>
      </c>
      <c r="K49" s="21">
        <f t="shared" si="1"/>
        <v>164</v>
      </c>
      <c r="L49" s="21"/>
      <c r="M49" s="15">
        <f t="shared" si="2"/>
        <v>28.079452054794519</v>
      </c>
      <c r="N49" s="15"/>
      <c r="O49" s="15"/>
      <c r="P49" s="15"/>
      <c r="Q49" s="15"/>
      <c r="R49" s="16"/>
      <c r="S49" s="16"/>
      <c r="T49" s="16"/>
      <c r="U49" s="16"/>
      <c r="V49" s="5">
        <v>56708</v>
      </c>
      <c r="W49" s="5">
        <v>66957</v>
      </c>
      <c r="Y49" s="5"/>
    </row>
    <row r="50" spans="1:32" ht="18" x14ac:dyDescent="0.35">
      <c r="A50" s="6">
        <v>14</v>
      </c>
      <c r="B50" t="s">
        <v>16</v>
      </c>
      <c r="C50" s="13" t="s">
        <v>385</v>
      </c>
      <c r="D50" s="13" t="str">
        <f t="shared" si="0"/>
        <v xml:space="preserve">;+emgf </v>
      </c>
      <c r="E50" s="13" t="str">
        <f t="shared" si="3"/>
        <v>sfsL{</v>
      </c>
      <c r="F50" s="21" t="s">
        <v>234</v>
      </c>
      <c r="G50" s="21" t="s">
        <v>756</v>
      </c>
      <c r="H50" s="21">
        <f t="shared" si="4"/>
        <v>102</v>
      </c>
      <c r="I50" s="21"/>
      <c r="J50" s="21" t="s">
        <v>905</v>
      </c>
      <c r="K50" s="21">
        <f t="shared" si="1"/>
        <v>107</v>
      </c>
      <c r="L50" s="21"/>
      <c r="M50" s="15">
        <f t="shared" si="2"/>
        <v>40.169863013698631</v>
      </c>
      <c r="N50" s="15"/>
      <c r="O50" s="15"/>
      <c r="P50" s="15"/>
      <c r="Q50" s="15"/>
      <c r="R50" s="16">
        <v>0</v>
      </c>
      <c r="S50" s="16">
        <v>3</v>
      </c>
      <c r="T50" s="16">
        <v>0</v>
      </c>
      <c r="U50" s="16">
        <v>1</v>
      </c>
      <c r="V50" s="5">
        <v>52295</v>
      </c>
      <c r="W50" s="5">
        <v>66957</v>
      </c>
      <c r="Y50" s="5">
        <v>66605</v>
      </c>
      <c r="Z50" s="2" t="s">
        <v>2</v>
      </c>
      <c r="AA50" s="2">
        <v>3</v>
      </c>
      <c r="AB50" s="2">
        <v>2</v>
      </c>
      <c r="AC50" s="2">
        <v>1</v>
      </c>
      <c r="AD50" t="s">
        <v>242</v>
      </c>
      <c r="AE50" t="s">
        <v>312</v>
      </c>
      <c r="AF50" t="s">
        <v>245</v>
      </c>
    </row>
    <row r="51" spans="1:32" ht="18" x14ac:dyDescent="0.35">
      <c r="A51" s="6"/>
      <c r="C51" s="13" t="s">
        <v>386</v>
      </c>
      <c r="D51" s="13" t="str">
        <f t="shared" si="0"/>
        <v xml:space="preserve">;'o{ </v>
      </c>
      <c r="E51" s="13" t="str">
        <f t="shared" si="3"/>
        <v>sfsL{</v>
      </c>
      <c r="F51" s="21" t="s">
        <v>233</v>
      </c>
      <c r="G51" s="21" t="s">
        <v>756</v>
      </c>
      <c r="H51" s="21">
        <f t="shared" si="4"/>
        <v>99</v>
      </c>
      <c r="I51" s="21"/>
      <c r="J51" s="21" t="s">
        <v>905</v>
      </c>
      <c r="K51" s="21">
        <f t="shared" si="1"/>
        <v>164</v>
      </c>
      <c r="L51" s="21"/>
      <c r="M51" s="15">
        <f t="shared" si="2"/>
        <v>47.241095890410961</v>
      </c>
      <c r="N51" s="15"/>
      <c r="O51" s="15"/>
      <c r="P51" s="15"/>
      <c r="Q51" s="15"/>
      <c r="R51" s="16"/>
      <c r="S51" s="16"/>
      <c r="T51" s="16"/>
      <c r="U51" s="16"/>
      <c r="V51" s="5">
        <v>49714</v>
      </c>
      <c r="W51" s="5">
        <v>66957</v>
      </c>
      <c r="Y51" s="5"/>
    </row>
    <row r="52" spans="1:32" ht="18" x14ac:dyDescent="0.35">
      <c r="A52" s="6"/>
      <c r="C52" s="14" t="s">
        <v>387</v>
      </c>
      <c r="D52" s="13" t="str">
        <f t="shared" si="0"/>
        <v xml:space="preserve">;'hg </v>
      </c>
      <c r="E52" s="13" t="str">
        <f t="shared" si="3"/>
        <v>sfsL{</v>
      </c>
      <c r="F52" s="21" t="s">
        <v>233</v>
      </c>
      <c r="G52" s="21" t="s">
        <v>757</v>
      </c>
      <c r="H52" s="21">
        <f t="shared" si="4"/>
        <v>69</v>
      </c>
      <c r="I52" s="21"/>
      <c r="J52" s="21" t="s">
        <v>905</v>
      </c>
      <c r="K52" s="21">
        <f t="shared" si="1"/>
        <v>164</v>
      </c>
      <c r="L52" s="21"/>
      <c r="M52" s="15">
        <f t="shared" si="2"/>
        <v>22.493150684931507</v>
      </c>
      <c r="N52" s="15"/>
      <c r="O52" s="15"/>
      <c r="P52" s="15"/>
      <c r="Q52" s="15"/>
      <c r="R52" s="16"/>
      <c r="S52" s="16"/>
      <c r="T52" s="16"/>
      <c r="U52" s="16"/>
      <c r="V52" s="5">
        <v>58747</v>
      </c>
      <c r="W52" s="5">
        <v>66957</v>
      </c>
      <c r="Y52" s="5"/>
    </row>
    <row r="53" spans="1:32" ht="18" x14ac:dyDescent="0.35">
      <c r="A53" s="6">
        <v>15</v>
      </c>
      <c r="B53" t="s">
        <v>17</v>
      </c>
      <c r="C53" s="14" t="s">
        <v>388</v>
      </c>
      <c r="D53" s="13" t="str">
        <f t="shared" si="0"/>
        <v xml:space="preserve">s]z/ </v>
      </c>
      <c r="E53" s="13" t="str">
        <f t="shared" si="3"/>
        <v>dxt</v>
      </c>
      <c r="F53" s="21" t="s">
        <v>233</v>
      </c>
      <c r="G53" s="21" t="s">
        <v>756</v>
      </c>
      <c r="H53" s="21">
        <f t="shared" si="4"/>
        <v>99</v>
      </c>
      <c r="I53" s="21"/>
      <c r="J53" s="21" t="s">
        <v>905</v>
      </c>
      <c r="K53" s="21">
        <f t="shared" si="1"/>
        <v>164</v>
      </c>
      <c r="L53" s="21"/>
      <c r="M53" s="15">
        <f t="shared" si="2"/>
        <v>57.583561643835615</v>
      </c>
      <c r="N53" s="15"/>
      <c r="O53" s="15"/>
      <c r="P53" s="15"/>
      <c r="Q53" s="15"/>
      <c r="R53" s="16">
        <v>0</v>
      </c>
      <c r="S53" s="16">
        <v>3</v>
      </c>
      <c r="T53" s="16">
        <v>0</v>
      </c>
      <c r="U53" s="16">
        <v>0</v>
      </c>
      <c r="V53" s="5">
        <v>45939</v>
      </c>
      <c r="W53" s="5">
        <v>66957</v>
      </c>
      <c r="Y53" s="5">
        <v>66605</v>
      </c>
      <c r="Z53" s="2" t="s">
        <v>2</v>
      </c>
      <c r="AA53" s="2">
        <v>4</v>
      </c>
      <c r="AB53" s="2">
        <v>2</v>
      </c>
      <c r="AC53" s="2">
        <v>2</v>
      </c>
      <c r="AD53" t="s">
        <v>242</v>
      </c>
      <c r="AE53" t="s">
        <v>285</v>
      </c>
      <c r="AF53" t="s">
        <v>245</v>
      </c>
    </row>
    <row r="54" spans="1:32" ht="18" x14ac:dyDescent="0.35">
      <c r="A54" s="6"/>
      <c r="C54" s="14" t="s">
        <v>389</v>
      </c>
      <c r="D54" s="13" t="str">
        <f t="shared" si="0"/>
        <v xml:space="preserve">eujtL </v>
      </c>
      <c r="E54" s="13" t="str">
        <f t="shared" si="3"/>
        <v>dxt</v>
      </c>
      <c r="F54" s="21" t="s">
        <v>234</v>
      </c>
      <c r="G54" s="21" t="s">
        <v>756</v>
      </c>
      <c r="H54" s="21">
        <f t="shared" si="4"/>
        <v>102</v>
      </c>
      <c r="I54" s="21"/>
      <c r="J54" s="21" t="s">
        <v>906</v>
      </c>
      <c r="K54" s="21">
        <f t="shared" si="1"/>
        <v>53</v>
      </c>
      <c r="L54" s="21"/>
      <c r="M54" s="15">
        <f t="shared" si="2"/>
        <v>52.534246575342465</v>
      </c>
      <c r="N54" s="15"/>
      <c r="O54" s="15"/>
      <c r="P54" s="15"/>
      <c r="Q54" s="15"/>
      <c r="R54" s="16"/>
      <c r="S54" s="16"/>
      <c r="T54" s="16"/>
      <c r="U54" s="16"/>
      <c r="V54" s="5">
        <v>47782</v>
      </c>
      <c r="W54" s="5">
        <v>66957</v>
      </c>
      <c r="Y54" s="5"/>
    </row>
    <row r="55" spans="1:32" ht="18" x14ac:dyDescent="0.35">
      <c r="A55" s="6"/>
      <c r="C55" s="14" t="s">
        <v>390</v>
      </c>
      <c r="D55" s="13" t="str">
        <f t="shared" si="0"/>
        <v xml:space="preserve">gj/fh </v>
      </c>
      <c r="E55" s="13" t="str">
        <f t="shared" si="3"/>
        <v>dxt</v>
      </c>
      <c r="F55" s="21" t="s">
        <v>233</v>
      </c>
      <c r="G55" s="21" t="s">
        <v>757</v>
      </c>
      <c r="H55" s="21">
        <f t="shared" si="4"/>
        <v>69</v>
      </c>
      <c r="I55" s="21"/>
      <c r="J55" s="21" t="s">
        <v>905</v>
      </c>
      <c r="K55" s="21">
        <f t="shared" si="1"/>
        <v>164</v>
      </c>
      <c r="L55" s="21"/>
      <c r="M55" s="15">
        <f t="shared" si="2"/>
        <v>28.583561643835615</v>
      </c>
      <c r="N55" s="15"/>
      <c r="O55" s="15"/>
      <c r="P55" s="15"/>
      <c r="Q55" s="15"/>
      <c r="R55" s="16"/>
      <c r="S55" s="16"/>
      <c r="T55" s="16"/>
      <c r="U55" s="16"/>
      <c r="V55" s="5">
        <v>56524</v>
      </c>
      <c r="W55" s="5">
        <v>66957</v>
      </c>
      <c r="Y55" s="5"/>
    </row>
    <row r="56" spans="1:32" ht="18" x14ac:dyDescent="0.35">
      <c r="A56" s="6"/>
      <c r="C56" s="14" t="s">
        <v>391</v>
      </c>
      <c r="D56" s="13" t="str">
        <f t="shared" si="0"/>
        <v xml:space="preserve">gljgf </v>
      </c>
      <c r="E56" s="13" t="str">
        <f t="shared" si="3"/>
        <v>dxt</v>
      </c>
      <c r="F56" s="21" t="s">
        <v>234</v>
      </c>
      <c r="G56" s="21" t="s">
        <v>757</v>
      </c>
      <c r="H56" s="21">
        <f t="shared" si="4"/>
        <v>54</v>
      </c>
      <c r="I56" s="21"/>
      <c r="J56" s="21" t="s">
        <v>905</v>
      </c>
      <c r="K56" s="21">
        <f t="shared" si="1"/>
        <v>107</v>
      </c>
      <c r="L56" s="21"/>
      <c r="M56" s="15">
        <f t="shared" si="2"/>
        <v>24.460273972602739</v>
      </c>
      <c r="N56" s="15"/>
      <c r="O56" s="15"/>
      <c r="P56" s="15"/>
      <c r="Q56" s="15"/>
      <c r="R56" s="16"/>
      <c r="S56" s="16"/>
      <c r="T56" s="16"/>
      <c r="U56" s="16"/>
      <c r="V56" s="5">
        <v>58029</v>
      </c>
      <c r="W56" s="5">
        <v>66957</v>
      </c>
      <c r="Y56" s="5"/>
    </row>
    <row r="57" spans="1:32" ht="18" x14ac:dyDescent="0.35">
      <c r="A57" s="6">
        <v>16</v>
      </c>
      <c r="B57" t="s">
        <v>19</v>
      </c>
      <c r="C57" s="14" t="s">
        <v>392</v>
      </c>
      <c r="D57" s="13" t="str">
        <f t="shared" si="0"/>
        <v xml:space="preserve">emg </v>
      </c>
      <c r="E57" s="13" t="str">
        <f t="shared" si="3"/>
        <v>a:g]t</v>
      </c>
      <c r="F57" s="21" t="s">
        <v>234</v>
      </c>
      <c r="G57" s="21" t="s">
        <v>756</v>
      </c>
      <c r="H57" s="21">
        <f t="shared" si="4"/>
        <v>102</v>
      </c>
      <c r="I57" s="21"/>
      <c r="J57" s="21" t="s">
        <v>906</v>
      </c>
      <c r="K57" s="21">
        <f t="shared" si="1"/>
        <v>53</v>
      </c>
      <c r="L57" s="21"/>
      <c r="M57" s="15">
        <f t="shared" si="2"/>
        <v>52.895890410958906</v>
      </c>
      <c r="N57" s="15"/>
      <c r="O57" s="15"/>
      <c r="P57" s="15"/>
      <c r="Q57" s="15"/>
      <c r="R57" s="16">
        <v>0</v>
      </c>
      <c r="S57" s="16">
        <v>3</v>
      </c>
      <c r="T57" s="16">
        <v>0</v>
      </c>
      <c r="U57" s="16">
        <v>0</v>
      </c>
      <c r="V57" s="5">
        <v>47650</v>
      </c>
      <c r="W57" s="5">
        <v>66957</v>
      </c>
      <c r="Y57" s="5">
        <v>66594</v>
      </c>
      <c r="Z57" s="2" t="s">
        <v>2</v>
      </c>
      <c r="AA57" s="2">
        <v>3</v>
      </c>
      <c r="AB57" s="2">
        <v>1</v>
      </c>
      <c r="AC57" s="2">
        <v>2</v>
      </c>
      <c r="AD57" t="s">
        <v>242</v>
      </c>
      <c r="AE57" t="s">
        <v>275</v>
      </c>
      <c r="AF57" t="s">
        <v>245</v>
      </c>
    </row>
    <row r="58" spans="1:32" ht="18" x14ac:dyDescent="0.35">
      <c r="A58" s="6"/>
      <c r="C58" s="14" t="s">
        <v>393</v>
      </c>
      <c r="D58" s="13" t="str">
        <f t="shared" si="0"/>
        <v xml:space="preserve">;l/tf </v>
      </c>
      <c r="E58" s="13" t="str">
        <f t="shared" si="3"/>
        <v>5]qL</v>
      </c>
      <c r="F58" s="21" t="s">
        <v>234</v>
      </c>
      <c r="G58" s="21" t="s">
        <v>757</v>
      </c>
      <c r="H58" s="21">
        <f t="shared" si="4"/>
        <v>54</v>
      </c>
      <c r="I58" s="21"/>
      <c r="J58" s="21" t="s">
        <v>905</v>
      </c>
      <c r="K58" s="21">
        <f t="shared" si="1"/>
        <v>107</v>
      </c>
      <c r="L58" s="21"/>
      <c r="M58" s="15">
        <f t="shared" si="2"/>
        <v>24.487671232876714</v>
      </c>
      <c r="N58" s="15"/>
      <c r="O58" s="15"/>
      <c r="P58" s="15"/>
      <c r="Q58" s="15"/>
      <c r="R58" s="16"/>
      <c r="S58" s="16"/>
      <c r="T58" s="16"/>
      <c r="U58" s="16"/>
      <c r="V58" s="5">
        <v>58019</v>
      </c>
      <c r="W58" s="5">
        <v>66957</v>
      </c>
      <c r="Y58" s="5"/>
    </row>
    <row r="59" spans="1:32" ht="18" x14ac:dyDescent="0.35">
      <c r="A59" s="6"/>
      <c r="C59" s="14" t="s">
        <v>394</v>
      </c>
      <c r="D59" s="13" t="str">
        <f t="shared" si="0"/>
        <v xml:space="preserve">led </v>
      </c>
      <c r="E59" s="13" t="str">
        <f t="shared" si="3"/>
        <v>a:g]t</v>
      </c>
      <c r="F59" s="21" t="s">
        <v>233</v>
      </c>
      <c r="G59" s="21" t="s">
        <v>757</v>
      </c>
      <c r="H59" s="21">
        <f t="shared" si="4"/>
        <v>69</v>
      </c>
      <c r="I59" s="21"/>
      <c r="J59" s="21" t="s">
        <v>905</v>
      </c>
      <c r="K59" s="21">
        <f t="shared" si="1"/>
        <v>164</v>
      </c>
      <c r="L59" s="21"/>
      <c r="M59" s="15">
        <f t="shared" si="2"/>
        <v>29.567123287671233</v>
      </c>
      <c r="N59" s="15"/>
      <c r="O59" s="15"/>
      <c r="P59" s="15"/>
      <c r="Q59" s="15"/>
      <c r="R59" s="16"/>
      <c r="S59" s="16"/>
      <c r="T59" s="16"/>
      <c r="U59" s="16"/>
      <c r="V59" s="5">
        <v>56165</v>
      </c>
      <c r="W59" s="5">
        <v>66957</v>
      </c>
      <c r="Y59" s="5"/>
    </row>
    <row r="60" spans="1:32" ht="18" x14ac:dyDescent="0.35">
      <c r="A60" s="6">
        <v>17</v>
      </c>
      <c r="B60" t="s">
        <v>18</v>
      </c>
      <c r="C60" s="14" t="s">
        <v>395</v>
      </c>
      <c r="D60" s="13" t="str">
        <f t="shared" si="0"/>
        <v xml:space="preserve">pT;j </v>
      </c>
      <c r="E60" s="13" t="str">
        <f t="shared" si="3"/>
        <v>9sfn</v>
      </c>
      <c r="F60" s="21" t="s">
        <v>233</v>
      </c>
      <c r="G60" s="21" t="s">
        <v>756</v>
      </c>
      <c r="H60" s="21">
        <f t="shared" si="4"/>
        <v>99</v>
      </c>
      <c r="I60" s="21"/>
      <c r="J60" s="21" t="s">
        <v>905</v>
      </c>
      <c r="K60" s="21">
        <f t="shared" si="1"/>
        <v>164</v>
      </c>
      <c r="L60" s="21"/>
      <c r="M60" s="15">
        <f t="shared" si="2"/>
        <v>30.638356164383563</v>
      </c>
      <c r="N60" s="15"/>
      <c r="O60" s="15"/>
      <c r="P60" s="15"/>
      <c r="Q60" s="15"/>
      <c r="R60" s="16">
        <v>1</v>
      </c>
      <c r="S60" s="16">
        <v>8</v>
      </c>
      <c r="T60" s="16">
        <v>0</v>
      </c>
      <c r="U60" s="16">
        <v>0</v>
      </c>
      <c r="V60" s="5">
        <v>55774</v>
      </c>
      <c r="W60" s="5">
        <v>66957</v>
      </c>
      <c r="Y60" s="5">
        <v>66589</v>
      </c>
      <c r="Z60" s="2" t="s">
        <v>2</v>
      </c>
      <c r="AA60" s="2">
        <v>6</v>
      </c>
      <c r="AB60" s="2">
        <v>2</v>
      </c>
      <c r="AC60" s="2">
        <v>4</v>
      </c>
      <c r="AD60" t="s">
        <v>242</v>
      </c>
      <c r="AE60" t="s">
        <v>333</v>
      </c>
      <c r="AF60" t="s">
        <v>245</v>
      </c>
    </row>
    <row r="61" spans="1:32" ht="18" x14ac:dyDescent="0.35">
      <c r="A61" s="6"/>
      <c r="C61" s="14" t="s">
        <v>396</v>
      </c>
      <c r="D61" s="13" t="str">
        <f t="shared" si="0"/>
        <v xml:space="preserve">;'lhtf </v>
      </c>
      <c r="E61" s="13" t="str">
        <f t="shared" si="3"/>
        <v>rf}nfufO{</v>
      </c>
      <c r="F61" s="21" t="s">
        <v>234</v>
      </c>
      <c r="G61" s="21" t="s">
        <v>756</v>
      </c>
      <c r="H61" s="21">
        <f t="shared" si="4"/>
        <v>102</v>
      </c>
      <c r="I61" s="21"/>
      <c r="J61" s="21" t="s">
        <v>905</v>
      </c>
      <c r="K61" s="21">
        <f t="shared" si="1"/>
        <v>107</v>
      </c>
      <c r="L61" s="21"/>
      <c r="M61" s="15">
        <f t="shared" si="2"/>
        <v>30.860273972602741</v>
      </c>
      <c r="N61" s="15"/>
      <c r="O61" s="15"/>
      <c r="P61" s="15"/>
      <c r="Q61" s="15"/>
      <c r="R61" s="16"/>
      <c r="S61" s="16"/>
      <c r="T61" s="16"/>
      <c r="U61" s="16"/>
      <c r="V61" s="5">
        <v>55693</v>
      </c>
      <c r="W61" s="5">
        <v>66957</v>
      </c>
      <c r="Y61" s="5"/>
    </row>
    <row r="62" spans="1:32" ht="18" x14ac:dyDescent="0.35">
      <c r="A62" s="6"/>
      <c r="C62" s="14" t="s">
        <v>397</v>
      </c>
      <c r="D62" s="13" t="str">
        <f t="shared" si="0"/>
        <v xml:space="preserve">/fh]Gb| </v>
      </c>
      <c r="E62" s="13" t="str">
        <f t="shared" si="3"/>
        <v>9sfn</v>
      </c>
      <c r="F62" s="21" t="s">
        <v>233</v>
      </c>
      <c r="G62" s="21" t="s">
        <v>756</v>
      </c>
      <c r="H62" s="21">
        <f t="shared" si="4"/>
        <v>99</v>
      </c>
      <c r="I62" s="21"/>
      <c r="J62" s="21" t="s">
        <v>905</v>
      </c>
      <c r="K62" s="21">
        <f t="shared" si="1"/>
        <v>164</v>
      </c>
      <c r="L62" s="21"/>
      <c r="M62" s="15">
        <f t="shared" si="2"/>
        <v>56.101369863013701</v>
      </c>
      <c r="N62" s="15"/>
      <c r="O62" s="15"/>
      <c r="P62" s="15"/>
      <c r="Q62" s="15"/>
      <c r="R62" s="16"/>
      <c r="S62" s="16"/>
      <c r="T62" s="16"/>
      <c r="U62" s="16"/>
      <c r="V62" s="5">
        <v>46480</v>
      </c>
      <c r="W62" s="5">
        <v>66957</v>
      </c>
      <c r="Y62" s="5"/>
    </row>
    <row r="63" spans="1:32" ht="18" x14ac:dyDescent="0.35">
      <c r="A63" s="6"/>
      <c r="C63" s="14" t="s">
        <v>398</v>
      </c>
      <c r="D63" s="13" t="str">
        <f t="shared" si="0"/>
        <v xml:space="preserve">uLtf </v>
      </c>
      <c r="E63" s="13" t="str">
        <f t="shared" si="3"/>
        <v>9sfn</v>
      </c>
      <c r="F63" s="21" t="s">
        <v>234</v>
      </c>
      <c r="G63" s="21" t="s">
        <v>756</v>
      </c>
      <c r="H63" s="21">
        <f t="shared" si="4"/>
        <v>102</v>
      </c>
      <c r="I63" s="21"/>
      <c r="J63" s="21" t="s">
        <v>905</v>
      </c>
      <c r="K63" s="21">
        <f t="shared" si="1"/>
        <v>107</v>
      </c>
      <c r="L63" s="21"/>
      <c r="M63" s="15">
        <f t="shared" si="2"/>
        <v>50.805479452054797</v>
      </c>
      <c r="N63" s="15"/>
      <c r="O63" s="15"/>
      <c r="P63" s="15"/>
      <c r="Q63" s="15"/>
      <c r="R63" s="16"/>
      <c r="S63" s="16"/>
      <c r="T63" s="16"/>
      <c r="U63" s="16"/>
      <c r="V63" s="5">
        <v>48413</v>
      </c>
      <c r="W63" s="5">
        <v>66957</v>
      </c>
      <c r="Y63" s="5"/>
    </row>
    <row r="64" spans="1:32" ht="18" x14ac:dyDescent="0.35">
      <c r="A64" s="6"/>
      <c r="C64" s="14" t="s">
        <v>399</v>
      </c>
      <c r="D64" s="13" t="str">
        <f t="shared" si="0"/>
        <v xml:space="preserve">:jl:tsf </v>
      </c>
      <c r="E64" s="13" t="str">
        <f t="shared" si="3"/>
        <v>9sfn</v>
      </c>
      <c r="F64" s="21" t="s">
        <v>234</v>
      </c>
      <c r="G64" s="21" t="s">
        <v>757</v>
      </c>
      <c r="H64" s="21">
        <f t="shared" si="4"/>
        <v>54</v>
      </c>
      <c r="I64" s="21"/>
      <c r="J64" s="21" t="s">
        <v>905</v>
      </c>
      <c r="K64" s="21">
        <f t="shared" si="1"/>
        <v>107</v>
      </c>
      <c r="L64" s="21"/>
      <c r="M64" s="15">
        <f t="shared" si="2"/>
        <v>27.432876712328767</v>
      </c>
      <c r="N64" s="15"/>
      <c r="O64" s="15"/>
      <c r="P64" s="15"/>
      <c r="Q64" s="15"/>
      <c r="R64" s="16"/>
      <c r="S64" s="16"/>
      <c r="T64" s="16"/>
      <c r="U64" s="16"/>
      <c r="V64" s="5">
        <v>56944</v>
      </c>
      <c r="W64" s="5">
        <v>66957</v>
      </c>
      <c r="Y64" s="5"/>
    </row>
    <row r="65" spans="1:32" ht="18" x14ac:dyDescent="0.35">
      <c r="A65" s="6"/>
      <c r="C65" s="14" t="s">
        <v>400</v>
      </c>
      <c r="D65" s="13" t="str">
        <f t="shared" si="0"/>
        <v xml:space="preserve">l&gt;l4sf </v>
      </c>
      <c r="E65" s="13" t="str">
        <f t="shared" si="3"/>
        <v>9sfn</v>
      </c>
      <c r="F65" s="21" t="s">
        <v>234</v>
      </c>
      <c r="G65" s="21" t="s">
        <v>748</v>
      </c>
      <c r="H65" s="21" t="b">
        <f t="shared" si="4"/>
        <v>0</v>
      </c>
      <c r="I65" s="21"/>
      <c r="J65" s="21" t="s">
        <v>748</v>
      </c>
      <c r="K65" s="21" t="b">
        <f t="shared" si="1"/>
        <v>0</v>
      </c>
      <c r="L65" s="21"/>
      <c r="M65" s="15">
        <f t="shared" si="2"/>
        <v>4.4000000000000004</v>
      </c>
      <c r="N65" s="15"/>
      <c r="O65" s="15"/>
      <c r="P65" s="15"/>
      <c r="Q65" s="15"/>
      <c r="R65" s="16"/>
      <c r="S65" s="16"/>
      <c r="T65" s="16"/>
      <c r="U65" s="16"/>
      <c r="V65" s="5">
        <v>65351</v>
      </c>
      <c r="W65" s="5">
        <v>66957</v>
      </c>
      <c r="Y65" s="5"/>
    </row>
    <row r="66" spans="1:32" ht="18" x14ac:dyDescent="0.35">
      <c r="A66" s="6">
        <v>18</v>
      </c>
      <c r="B66" t="s">
        <v>20</v>
      </c>
      <c r="C66" s="14" t="s">
        <v>401</v>
      </c>
      <c r="D66" s="13" t="str">
        <f t="shared" si="0"/>
        <v xml:space="preserve">;'o{ </v>
      </c>
      <c r="E66" s="13" t="str">
        <f t="shared" si="3"/>
        <v>vltj8f</v>
      </c>
      <c r="F66" s="21" t="s">
        <v>233</v>
      </c>
      <c r="G66" s="21" t="s">
        <v>756</v>
      </c>
      <c r="H66" s="21">
        <f t="shared" si="4"/>
        <v>99</v>
      </c>
      <c r="I66" s="21"/>
      <c r="J66" s="21" t="s">
        <v>905</v>
      </c>
      <c r="K66" s="21">
        <f t="shared" si="1"/>
        <v>164</v>
      </c>
      <c r="L66" s="21"/>
      <c r="M66" s="15">
        <f t="shared" si="2"/>
        <v>46.276712328767125</v>
      </c>
      <c r="N66" s="15"/>
      <c r="O66" s="15"/>
      <c r="P66" s="15"/>
      <c r="Q66" s="15"/>
      <c r="R66" s="16" t="s">
        <v>748</v>
      </c>
      <c r="S66" s="16" t="s">
        <v>748</v>
      </c>
      <c r="T66" s="16" t="s">
        <v>748</v>
      </c>
      <c r="U66" s="16" t="s">
        <v>748</v>
      </c>
      <c r="V66" s="5">
        <v>50066</v>
      </c>
      <c r="W66" s="5">
        <v>66957</v>
      </c>
      <c r="Y66" s="5">
        <v>66587</v>
      </c>
      <c r="Z66" s="2" t="s">
        <v>2</v>
      </c>
      <c r="AA66" s="2">
        <v>4</v>
      </c>
      <c r="AB66" s="2">
        <v>2</v>
      </c>
      <c r="AC66" s="2">
        <v>2</v>
      </c>
      <c r="AD66" t="s">
        <v>242</v>
      </c>
      <c r="AE66" t="s">
        <v>252</v>
      </c>
      <c r="AF66" t="s">
        <v>245</v>
      </c>
    </row>
    <row r="67" spans="1:32" ht="18" x14ac:dyDescent="0.35">
      <c r="A67" s="6"/>
      <c r="C67" s="14" t="s">
        <v>402</v>
      </c>
      <c r="D67" s="13" t="str">
        <f t="shared" si="0"/>
        <v xml:space="preserve">hgs </v>
      </c>
      <c r="E67" s="13" t="str">
        <f t="shared" si="3"/>
        <v>vltj8f</v>
      </c>
      <c r="F67" s="21" t="s">
        <v>233</v>
      </c>
      <c r="G67" s="21" t="s">
        <v>756</v>
      </c>
      <c r="H67" s="21">
        <f t="shared" si="4"/>
        <v>99</v>
      </c>
      <c r="I67" s="21"/>
      <c r="J67" s="21" t="s">
        <v>906</v>
      </c>
      <c r="K67" s="21">
        <f t="shared" si="1"/>
        <v>11</v>
      </c>
      <c r="L67" s="21"/>
      <c r="M67" s="15">
        <f t="shared" si="2"/>
        <v>57.515068493150686</v>
      </c>
      <c r="N67" s="15"/>
      <c r="O67" s="15"/>
      <c r="P67" s="15"/>
      <c r="Q67" s="15"/>
      <c r="R67" s="16"/>
      <c r="S67" s="16"/>
      <c r="T67" s="16"/>
      <c r="U67" s="16"/>
      <c r="V67" s="5">
        <v>45964</v>
      </c>
      <c r="W67" s="5">
        <v>66957</v>
      </c>
      <c r="Y67" s="5"/>
    </row>
    <row r="68" spans="1:32" ht="18" x14ac:dyDescent="0.35">
      <c r="A68" s="6"/>
      <c r="C68" s="14" t="s">
        <v>403</v>
      </c>
      <c r="D68" s="13" t="str">
        <f t="shared" si="0"/>
        <v xml:space="preserve">dGh' </v>
      </c>
      <c r="E68" s="13" t="str">
        <f t="shared" si="3"/>
        <v>vltj8f</v>
      </c>
      <c r="F68" s="21" t="s">
        <v>234</v>
      </c>
      <c r="G68" s="21" t="s">
        <v>756</v>
      </c>
      <c r="H68" s="21">
        <f t="shared" si="4"/>
        <v>102</v>
      </c>
      <c r="I68" s="21"/>
      <c r="J68" s="21" t="s">
        <v>906</v>
      </c>
      <c r="K68" s="21">
        <f t="shared" ref="K68:K131" si="6">IF(M68&gt;=5,(COUNTIFS($J$4:$J$348,J68,$F$4:$F$348,F68)))</f>
        <v>53</v>
      </c>
      <c r="L68" s="21"/>
      <c r="M68" s="15">
        <f t="shared" si="2"/>
        <v>47.282191780821918</v>
      </c>
      <c r="N68" s="15"/>
      <c r="O68" s="15"/>
      <c r="P68" s="15"/>
      <c r="Q68" s="15"/>
      <c r="R68" s="16"/>
      <c r="S68" s="16"/>
      <c r="T68" s="16"/>
      <c r="U68" s="16"/>
      <c r="V68" s="5">
        <v>49699</v>
      </c>
      <c r="W68" s="5">
        <v>66957</v>
      </c>
      <c r="Y68" s="5"/>
    </row>
    <row r="69" spans="1:32" ht="18" x14ac:dyDescent="0.35">
      <c r="A69" s="6"/>
      <c r="C69" s="14" t="s">
        <v>404</v>
      </c>
      <c r="D69" s="13" t="str">
        <f t="shared" si="0"/>
        <v xml:space="preserve">s';'d </v>
      </c>
      <c r="E69" s="13" t="str">
        <f t="shared" si="3"/>
        <v>lg/f}nf</v>
      </c>
      <c r="F69" s="21" t="s">
        <v>234</v>
      </c>
      <c r="G69" s="21" t="s">
        <v>756</v>
      </c>
      <c r="H69" s="21">
        <f t="shared" ref="H69:H132" si="7">IF(M69&gt;=10,(COUNTIFS($G$4:$G$348,G69,$F$4:$F$348,F69)))</f>
        <v>102</v>
      </c>
      <c r="I69" s="21"/>
      <c r="J69" s="21" t="s">
        <v>905</v>
      </c>
      <c r="K69" s="21">
        <f t="shared" si="6"/>
        <v>107</v>
      </c>
      <c r="L69" s="21"/>
      <c r="M69" s="15">
        <f t="shared" si="2"/>
        <v>34.778082191780825</v>
      </c>
      <c r="N69" s="15"/>
      <c r="O69" s="15"/>
      <c r="P69" s="15"/>
      <c r="Q69" s="15"/>
      <c r="R69" s="16"/>
      <c r="S69" s="16"/>
      <c r="T69" s="16"/>
      <c r="U69" s="16"/>
      <c r="V69" s="5">
        <v>54263</v>
      </c>
      <c r="W69" s="5">
        <v>66957</v>
      </c>
      <c r="Y69" s="5"/>
    </row>
    <row r="70" spans="1:32" ht="18" x14ac:dyDescent="0.35">
      <c r="A70" s="6">
        <v>19</v>
      </c>
      <c r="B70" t="s">
        <v>21</v>
      </c>
      <c r="C70" s="14" t="s">
        <v>405</v>
      </c>
      <c r="D70" s="13" t="str">
        <f t="shared" si="0"/>
        <v xml:space="preserve">ejfgL </v>
      </c>
      <c r="E70" s="13" t="str">
        <f t="shared" si="3"/>
        <v>af:sf]6f</v>
      </c>
      <c r="F70" s="21" t="s">
        <v>234</v>
      </c>
      <c r="G70" s="21" t="s">
        <v>756</v>
      </c>
      <c r="H70" s="21">
        <f t="shared" si="7"/>
        <v>102</v>
      </c>
      <c r="I70" s="21"/>
      <c r="J70" s="21" t="s">
        <v>906</v>
      </c>
      <c r="K70" s="21">
        <f t="shared" si="6"/>
        <v>53</v>
      </c>
      <c r="L70" s="21"/>
      <c r="M70" s="15">
        <f t="shared" si="2"/>
        <v>51.975342465753428</v>
      </c>
      <c r="N70" s="15"/>
      <c r="O70" s="15"/>
      <c r="P70" s="15"/>
      <c r="Q70" s="15"/>
      <c r="R70" s="16">
        <v>0</v>
      </c>
      <c r="S70" s="16">
        <v>6</v>
      </c>
      <c r="T70" s="16">
        <v>0</v>
      </c>
      <c r="U70" s="16">
        <v>2</v>
      </c>
      <c r="V70" s="5">
        <v>47986</v>
      </c>
      <c r="W70" s="5">
        <v>66957</v>
      </c>
      <c r="Y70" s="5">
        <v>66573</v>
      </c>
      <c r="Z70" s="2" t="s">
        <v>2</v>
      </c>
      <c r="AA70" s="2">
        <v>4</v>
      </c>
      <c r="AB70" s="2">
        <v>2</v>
      </c>
      <c r="AC70" s="2">
        <v>2</v>
      </c>
      <c r="AD70" t="s">
        <v>242</v>
      </c>
      <c r="AE70" t="s">
        <v>256</v>
      </c>
      <c r="AF70" t="s">
        <v>245</v>
      </c>
    </row>
    <row r="71" spans="1:32" ht="18" x14ac:dyDescent="0.35">
      <c r="A71" s="6"/>
      <c r="C71" s="14" t="s">
        <v>406</v>
      </c>
      <c r="D71" s="13" t="str">
        <f t="shared" ref="D71:D134" si="8">LEFT(C71,(FIND(" ",C71)))</f>
        <v xml:space="preserve">ofbj </v>
      </c>
      <c r="E71" s="13" t="str">
        <f t="shared" si="3"/>
        <v>af:sf]6f</v>
      </c>
      <c r="F71" s="21" t="s">
        <v>233</v>
      </c>
      <c r="G71" s="21" t="s">
        <v>756</v>
      </c>
      <c r="H71" s="21">
        <f t="shared" si="7"/>
        <v>99</v>
      </c>
      <c r="I71" s="21"/>
      <c r="J71" s="21" t="s">
        <v>905</v>
      </c>
      <c r="K71" s="21">
        <f t="shared" si="6"/>
        <v>164</v>
      </c>
      <c r="L71" s="21"/>
      <c r="M71" s="15">
        <f t="shared" ref="M71:M134" si="9">(W71-V71)/365</f>
        <v>63.441095890410956</v>
      </c>
      <c r="N71" s="15"/>
      <c r="O71" s="15"/>
      <c r="P71" s="15"/>
      <c r="Q71" s="15"/>
      <c r="R71" s="16"/>
      <c r="S71" s="16"/>
      <c r="T71" s="16"/>
      <c r="U71" s="16"/>
      <c r="V71" s="5">
        <v>43801</v>
      </c>
      <c r="W71" s="5">
        <v>66957</v>
      </c>
      <c r="Y71" s="5"/>
    </row>
    <row r="72" spans="1:32" ht="18" x14ac:dyDescent="0.35">
      <c r="A72" s="6"/>
      <c r="C72" s="14" t="s">
        <v>407</v>
      </c>
      <c r="D72" s="13" t="str">
        <f t="shared" si="8"/>
        <v xml:space="preserve">cg' </v>
      </c>
      <c r="E72" s="13" t="str">
        <f t="shared" ref="E72:E135" si="10">TRIM(RIGHT(SUBSTITUTE(C72," ",REPT(" ",255)),255))</f>
        <v>af:sf]6f</v>
      </c>
      <c r="F72" s="21" t="s">
        <v>234</v>
      </c>
      <c r="G72" s="21" t="s">
        <v>757</v>
      </c>
      <c r="H72" s="21">
        <f t="shared" si="7"/>
        <v>54</v>
      </c>
      <c r="I72" s="21"/>
      <c r="J72" s="21" t="s">
        <v>905</v>
      </c>
      <c r="K72" s="21">
        <f t="shared" si="6"/>
        <v>107</v>
      </c>
      <c r="L72" s="21"/>
      <c r="M72" s="15">
        <f t="shared" si="9"/>
        <v>32.728767123287675</v>
      </c>
      <c r="N72" s="15"/>
      <c r="O72" s="15"/>
      <c r="P72" s="15"/>
      <c r="Q72" s="15"/>
      <c r="R72" s="16"/>
      <c r="S72" s="16"/>
      <c r="T72" s="16"/>
      <c r="U72" s="16"/>
      <c r="V72" s="5">
        <v>55011</v>
      </c>
      <c r="W72" s="5">
        <v>66957</v>
      </c>
      <c r="Y72" s="5"/>
    </row>
    <row r="73" spans="1:32" ht="18" x14ac:dyDescent="0.35">
      <c r="A73" s="6"/>
      <c r="C73" s="14" t="s">
        <v>408</v>
      </c>
      <c r="D73" s="13" t="str">
        <f t="shared" si="8"/>
        <v xml:space="preserve">cg'k </v>
      </c>
      <c r="E73" s="13" t="str">
        <f t="shared" si="10"/>
        <v>af:sf]6f</v>
      </c>
      <c r="F73" s="21" t="s">
        <v>233</v>
      </c>
      <c r="G73" s="21" t="s">
        <v>757</v>
      </c>
      <c r="H73" s="21">
        <f t="shared" si="7"/>
        <v>69</v>
      </c>
      <c r="I73" s="21"/>
      <c r="J73" s="21" t="s">
        <v>905</v>
      </c>
      <c r="K73" s="21">
        <f t="shared" si="6"/>
        <v>164</v>
      </c>
      <c r="L73" s="21"/>
      <c r="M73" s="15">
        <f t="shared" si="9"/>
        <v>31.257534246575343</v>
      </c>
      <c r="N73" s="15"/>
      <c r="O73" s="15"/>
      <c r="P73" s="15"/>
      <c r="Q73" s="15"/>
      <c r="R73" s="16"/>
      <c r="S73" s="16"/>
      <c r="T73" s="16"/>
      <c r="U73" s="16"/>
      <c r="V73" s="5">
        <v>55548</v>
      </c>
      <c r="W73" s="5">
        <v>66957</v>
      </c>
      <c r="Y73" s="5"/>
    </row>
    <row r="74" spans="1:32" ht="18" x14ac:dyDescent="0.35">
      <c r="A74" s="6">
        <v>22</v>
      </c>
      <c r="B74" t="s">
        <v>24</v>
      </c>
      <c r="C74" s="14" t="s">
        <v>415</v>
      </c>
      <c r="D74" s="13" t="str">
        <f t="shared" si="8"/>
        <v xml:space="preserve">hLjg </v>
      </c>
      <c r="E74" s="13" t="str">
        <f t="shared" si="10"/>
        <v>sfsL{</v>
      </c>
      <c r="F74" s="21" t="s">
        <v>233</v>
      </c>
      <c r="G74" s="21" t="s">
        <v>756</v>
      </c>
      <c r="H74" s="21">
        <f t="shared" si="7"/>
        <v>99</v>
      </c>
      <c r="I74" s="21"/>
      <c r="J74" s="21" t="s">
        <v>905</v>
      </c>
      <c r="K74" s="21">
        <f t="shared" si="6"/>
        <v>164</v>
      </c>
      <c r="L74" s="21"/>
      <c r="M74" s="15">
        <f t="shared" si="9"/>
        <v>39.871232876712327</v>
      </c>
      <c r="N74" s="15"/>
      <c r="O74" s="15"/>
      <c r="P74" s="15"/>
      <c r="Q74" s="15"/>
      <c r="R74" s="16">
        <f>0</f>
        <v>0</v>
      </c>
      <c r="S74" s="16">
        <f>2+(1)</f>
        <v>3</v>
      </c>
      <c r="T74" s="16">
        <v>0</v>
      </c>
      <c r="U74" s="16">
        <v>0</v>
      </c>
      <c r="V74" s="5">
        <v>52404</v>
      </c>
      <c r="W74" s="5">
        <v>66957</v>
      </c>
      <c r="Y74" s="5">
        <v>66408</v>
      </c>
      <c r="Z74" s="2" t="s">
        <v>2</v>
      </c>
      <c r="AA74" s="2">
        <v>5</v>
      </c>
      <c r="AB74" s="2">
        <v>2</v>
      </c>
      <c r="AC74" s="2">
        <v>3</v>
      </c>
      <c r="AD74" t="s">
        <v>242</v>
      </c>
      <c r="AE74" t="s">
        <v>276</v>
      </c>
      <c r="AF74" t="s">
        <v>245</v>
      </c>
    </row>
    <row r="75" spans="1:32" ht="18" x14ac:dyDescent="0.35">
      <c r="A75" s="6"/>
      <c r="C75" s="14" t="s">
        <v>416</v>
      </c>
      <c r="D75" s="13" t="str">
        <f t="shared" si="8"/>
        <v xml:space="preserve">s'zn </v>
      </c>
      <c r="E75" s="13" t="str">
        <f t="shared" si="10"/>
        <v>sfsL{</v>
      </c>
      <c r="F75" s="21" t="s">
        <v>233</v>
      </c>
      <c r="G75" s="21" t="s">
        <v>748</v>
      </c>
      <c r="H75" s="21" t="b">
        <f t="shared" si="7"/>
        <v>0</v>
      </c>
      <c r="I75" s="21"/>
      <c r="J75" s="21" t="s">
        <v>905</v>
      </c>
      <c r="K75" s="21">
        <f t="shared" si="6"/>
        <v>164</v>
      </c>
      <c r="L75" s="21"/>
      <c r="M75" s="15">
        <f t="shared" si="9"/>
        <v>7.2520547945205482</v>
      </c>
      <c r="N75" s="15"/>
      <c r="O75" s="15"/>
      <c r="P75" s="15"/>
      <c r="Q75" s="15"/>
      <c r="R75" s="16"/>
      <c r="S75" s="16"/>
      <c r="T75" s="16"/>
      <c r="U75" s="16"/>
      <c r="V75" s="5">
        <v>64310</v>
      </c>
      <c r="W75" s="5">
        <v>66957</v>
      </c>
      <c r="Y75" s="5"/>
    </row>
    <row r="76" spans="1:32" ht="18" x14ac:dyDescent="0.35">
      <c r="A76" s="6"/>
      <c r="C76" s="14" t="s">
        <v>417</v>
      </c>
      <c r="D76" s="13" t="str">
        <f t="shared" si="8"/>
        <v xml:space="preserve">nIdL </v>
      </c>
      <c r="E76" s="13" t="str">
        <f t="shared" si="10"/>
        <v>a:g]t</v>
      </c>
      <c r="F76" s="21" t="s">
        <v>234</v>
      </c>
      <c r="G76" s="21" t="s">
        <v>756</v>
      </c>
      <c r="H76" s="21">
        <f t="shared" si="7"/>
        <v>102</v>
      </c>
      <c r="I76" s="21"/>
      <c r="J76" s="21" t="s">
        <v>905</v>
      </c>
      <c r="K76" s="21">
        <f t="shared" si="6"/>
        <v>107</v>
      </c>
      <c r="L76" s="21"/>
      <c r="M76" s="15">
        <f t="shared" si="9"/>
        <v>36.482191780821921</v>
      </c>
      <c r="N76" s="15"/>
      <c r="O76" s="15"/>
      <c r="P76" s="15"/>
      <c r="Q76" s="15"/>
      <c r="R76" s="16"/>
      <c r="S76" s="16"/>
      <c r="T76" s="16"/>
      <c r="U76" s="16"/>
      <c r="V76" s="5">
        <v>53641</v>
      </c>
      <c r="W76" s="5">
        <v>66957</v>
      </c>
      <c r="Y76" s="5"/>
    </row>
    <row r="77" spans="1:32" ht="18" x14ac:dyDescent="0.35">
      <c r="A77" s="6"/>
      <c r="C77" s="14" t="s">
        <v>418</v>
      </c>
      <c r="D77" s="13" t="str">
        <f t="shared" si="8"/>
        <v xml:space="preserve">sNkgf </v>
      </c>
      <c r="E77" s="13" t="str">
        <f t="shared" si="10"/>
        <v>sfsL{</v>
      </c>
      <c r="F77" s="21" t="s">
        <v>234</v>
      </c>
      <c r="G77" s="21" t="s">
        <v>748</v>
      </c>
      <c r="H77" s="21" t="b">
        <f t="shared" si="7"/>
        <v>0</v>
      </c>
      <c r="I77" s="21"/>
      <c r="J77" s="21" t="s">
        <v>905</v>
      </c>
      <c r="K77" s="21">
        <f t="shared" si="6"/>
        <v>107</v>
      </c>
      <c r="L77" s="21"/>
      <c r="M77" s="15">
        <f t="shared" si="9"/>
        <v>9.7479452054794518</v>
      </c>
      <c r="N77" s="15"/>
      <c r="O77" s="15"/>
      <c r="P77" s="15"/>
      <c r="Q77" s="15"/>
      <c r="R77" s="16"/>
      <c r="S77" s="16"/>
      <c r="T77" s="16"/>
      <c r="U77" s="16"/>
      <c r="V77" s="5">
        <v>63399</v>
      </c>
      <c r="W77" s="5">
        <v>66957</v>
      </c>
      <c r="Y77" s="5"/>
    </row>
    <row r="78" spans="1:32" ht="18" x14ac:dyDescent="0.35">
      <c r="A78" s="6"/>
      <c r="C78" s="14" t="s">
        <v>419</v>
      </c>
      <c r="D78" s="13" t="str">
        <f t="shared" si="8"/>
        <v xml:space="preserve">sljtf </v>
      </c>
      <c r="E78" s="13" t="str">
        <f t="shared" si="10"/>
        <v>sfsL{</v>
      </c>
      <c r="F78" s="21" t="s">
        <v>234</v>
      </c>
      <c r="G78" s="21" t="s">
        <v>757</v>
      </c>
      <c r="H78" s="21">
        <f t="shared" si="7"/>
        <v>54</v>
      </c>
      <c r="I78" s="21"/>
      <c r="J78" s="21" t="s">
        <v>905</v>
      </c>
      <c r="K78" s="21">
        <f t="shared" si="6"/>
        <v>107</v>
      </c>
      <c r="L78" s="21"/>
      <c r="M78" s="15">
        <f t="shared" si="9"/>
        <v>11.764383561643836</v>
      </c>
      <c r="N78" s="15"/>
      <c r="O78" s="15"/>
      <c r="P78" s="15"/>
      <c r="Q78" s="15"/>
      <c r="R78" s="16"/>
      <c r="S78" s="16"/>
      <c r="T78" s="16"/>
      <c r="U78" s="16"/>
      <c r="V78" s="5">
        <v>62663</v>
      </c>
      <c r="W78" s="5">
        <v>66957</v>
      </c>
      <c r="Y78" s="5"/>
    </row>
    <row r="79" spans="1:32" ht="18" x14ac:dyDescent="0.35">
      <c r="A79" s="6">
        <v>23</v>
      </c>
      <c r="B79" t="s">
        <v>25</v>
      </c>
      <c r="C79" s="14" t="s">
        <v>420</v>
      </c>
      <c r="D79" s="13" t="str">
        <f t="shared" si="8"/>
        <v xml:space="preserve">jh| </v>
      </c>
      <c r="E79" s="13" t="str">
        <f t="shared" si="10"/>
        <v>vltj8f</v>
      </c>
      <c r="F79" s="21" t="s">
        <v>233</v>
      </c>
      <c r="G79" s="21" t="s">
        <v>756</v>
      </c>
      <c r="H79" s="21">
        <f t="shared" si="7"/>
        <v>99</v>
      </c>
      <c r="I79" s="21"/>
      <c r="J79" s="21" t="s">
        <v>905</v>
      </c>
      <c r="K79" s="21">
        <f t="shared" si="6"/>
        <v>164</v>
      </c>
      <c r="L79" s="21"/>
      <c r="M79" s="15">
        <f t="shared" si="9"/>
        <v>49.923287671232877</v>
      </c>
      <c r="N79" s="15"/>
      <c r="O79" s="15"/>
      <c r="P79" s="15"/>
      <c r="Q79" s="15"/>
      <c r="R79" s="16">
        <v>0</v>
      </c>
      <c r="S79" s="16">
        <v>4</v>
      </c>
      <c r="T79" s="16">
        <v>0</v>
      </c>
      <c r="U79" s="16">
        <v>0</v>
      </c>
      <c r="V79" s="5">
        <v>48735</v>
      </c>
      <c r="W79" s="5">
        <v>66957</v>
      </c>
      <c r="Y79" s="5">
        <v>66392</v>
      </c>
      <c r="Z79" s="2" t="s">
        <v>2</v>
      </c>
      <c r="AA79" s="2">
        <v>4</v>
      </c>
      <c r="AB79" s="2">
        <v>2</v>
      </c>
      <c r="AC79" s="2">
        <v>2</v>
      </c>
      <c r="AD79" t="s">
        <v>238</v>
      </c>
      <c r="AE79" t="s">
        <v>253</v>
      </c>
      <c r="AF79" t="s">
        <v>245</v>
      </c>
    </row>
    <row r="80" spans="1:32" ht="18" x14ac:dyDescent="0.35">
      <c r="A80" s="6"/>
      <c r="C80" s="14" t="s">
        <v>421</v>
      </c>
      <c r="D80" s="13" t="str">
        <f t="shared" si="8"/>
        <v xml:space="preserve">aGbgf </v>
      </c>
      <c r="E80" s="13" t="str">
        <f t="shared" si="10"/>
        <v>vltj8f</v>
      </c>
      <c r="F80" s="21" t="s">
        <v>234</v>
      </c>
      <c r="G80" s="21" t="s">
        <v>756</v>
      </c>
      <c r="H80" s="21">
        <f t="shared" si="7"/>
        <v>102</v>
      </c>
      <c r="I80" s="21"/>
      <c r="J80" s="21" t="s">
        <v>906</v>
      </c>
      <c r="K80" s="21">
        <f t="shared" si="6"/>
        <v>53</v>
      </c>
      <c r="L80" s="21"/>
      <c r="M80" s="15">
        <f t="shared" si="9"/>
        <v>45.063013698630137</v>
      </c>
      <c r="N80" s="15"/>
      <c r="O80" s="15"/>
      <c r="P80" s="15"/>
      <c r="Q80" s="15"/>
      <c r="R80" s="16"/>
      <c r="S80" s="16"/>
      <c r="T80" s="16"/>
      <c r="U80" s="16"/>
      <c r="V80" s="5">
        <v>50509</v>
      </c>
      <c r="W80" s="5">
        <v>66957</v>
      </c>
      <c r="Y80" s="5"/>
    </row>
    <row r="81" spans="1:32" ht="18" x14ac:dyDescent="0.35">
      <c r="A81" s="6"/>
      <c r="C81" s="14" t="s">
        <v>422</v>
      </c>
      <c r="D81" s="13" t="str">
        <f t="shared" si="8"/>
        <v xml:space="preserve">lalgtf </v>
      </c>
      <c r="E81" s="13" t="str">
        <f t="shared" si="10"/>
        <v>vltj8f</v>
      </c>
      <c r="F81" s="21" t="s">
        <v>234</v>
      </c>
      <c r="G81" s="21" t="s">
        <v>757</v>
      </c>
      <c r="H81" s="21">
        <f t="shared" si="7"/>
        <v>54</v>
      </c>
      <c r="I81" s="21"/>
      <c r="J81" s="21" t="s">
        <v>905</v>
      </c>
      <c r="K81" s="21">
        <f t="shared" si="6"/>
        <v>107</v>
      </c>
      <c r="L81" s="21"/>
      <c r="M81" s="15">
        <f t="shared" si="9"/>
        <v>25.657534246575342</v>
      </c>
      <c r="N81" s="15"/>
      <c r="O81" s="15"/>
      <c r="P81" s="15"/>
      <c r="Q81" s="15"/>
      <c r="R81" s="16"/>
      <c r="S81" s="16"/>
      <c r="T81" s="16"/>
      <c r="U81" s="16"/>
      <c r="V81" s="5">
        <v>57592</v>
      </c>
      <c r="W81" s="5">
        <v>66957</v>
      </c>
      <c r="Y81" s="5"/>
    </row>
    <row r="82" spans="1:32" ht="18" x14ac:dyDescent="0.35">
      <c r="A82" s="6"/>
      <c r="C82" s="14" t="s">
        <v>423</v>
      </c>
      <c r="D82" s="13" t="str">
        <f t="shared" si="8"/>
        <v xml:space="preserve">ljh]z </v>
      </c>
      <c r="E82" s="13" t="str">
        <f t="shared" si="10"/>
        <v>vltj8f</v>
      </c>
      <c r="F82" s="21" t="s">
        <v>233</v>
      </c>
      <c r="G82" s="21" t="s">
        <v>757</v>
      </c>
      <c r="H82" s="21">
        <f t="shared" si="7"/>
        <v>69</v>
      </c>
      <c r="I82" s="21"/>
      <c r="J82" s="21" t="s">
        <v>905</v>
      </c>
      <c r="K82" s="21">
        <f t="shared" si="6"/>
        <v>164</v>
      </c>
      <c r="L82" s="21"/>
      <c r="M82" s="15">
        <f t="shared" si="9"/>
        <v>21.101369863013698</v>
      </c>
      <c r="N82" s="15"/>
      <c r="O82" s="15"/>
      <c r="P82" s="15"/>
      <c r="Q82" s="15"/>
      <c r="R82" s="16"/>
      <c r="S82" s="16"/>
      <c r="T82" s="16"/>
      <c r="U82" s="16"/>
      <c r="V82" s="5">
        <v>59255</v>
      </c>
      <c r="W82" s="5">
        <v>66957</v>
      </c>
      <c r="Y82" s="5"/>
    </row>
    <row r="83" spans="1:32" ht="18" x14ac:dyDescent="0.35">
      <c r="A83" s="6">
        <v>24</v>
      </c>
      <c r="B83" t="s">
        <v>26</v>
      </c>
      <c r="C83" s="14" t="s">
        <v>424</v>
      </c>
      <c r="D83" s="13" t="str">
        <f t="shared" si="8"/>
        <v xml:space="preserve">l6sf </v>
      </c>
      <c r="E83" s="13" t="str">
        <f t="shared" si="10"/>
        <v>sfsL{</v>
      </c>
      <c r="F83" s="21" t="s">
        <v>233</v>
      </c>
      <c r="G83" s="21" t="s">
        <v>756</v>
      </c>
      <c r="H83" s="21">
        <f t="shared" si="7"/>
        <v>99</v>
      </c>
      <c r="I83" s="21"/>
      <c r="J83" s="21" t="s">
        <v>906</v>
      </c>
      <c r="K83" s="21">
        <f t="shared" si="6"/>
        <v>11</v>
      </c>
      <c r="L83" s="21"/>
      <c r="M83" s="15">
        <f t="shared" si="9"/>
        <v>73.079452054794515</v>
      </c>
      <c r="N83" s="15"/>
      <c r="O83" s="15"/>
      <c r="P83" s="15"/>
      <c r="Q83" s="15"/>
      <c r="R83" s="16">
        <v>1</v>
      </c>
      <c r="S83" s="16">
        <v>1</v>
      </c>
      <c r="T83" s="16">
        <v>0</v>
      </c>
      <c r="U83" s="16">
        <v>0</v>
      </c>
      <c r="V83" s="5">
        <v>40283</v>
      </c>
      <c r="W83" s="5">
        <v>66957</v>
      </c>
      <c r="Y83" s="5">
        <v>66262</v>
      </c>
      <c r="Z83" s="2" t="s">
        <v>2</v>
      </c>
      <c r="AA83" s="2">
        <v>8</v>
      </c>
      <c r="AB83" s="2">
        <v>5</v>
      </c>
      <c r="AC83" s="2">
        <v>3</v>
      </c>
      <c r="AD83" t="s">
        <v>242</v>
      </c>
      <c r="AE83" t="s">
        <v>330</v>
      </c>
      <c r="AF83" t="s">
        <v>245</v>
      </c>
    </row>
    <row r="84" spans="1:32" ht="18" x14ac:dyDescent="0.35">
      <c r="A84" s="6"/>
      <c r="C84" s="14" t="s">
        <v>425</v>
      </c>
      <c r="D84" s="13" t="str">
        <f t="shared" si="8"/>
        <v xml:space="preserve">gf/fo0fL </v>
      </c>
      <c r="E84" s="13" t="str">
        <f t="shared" si="10"/>
        <v>sfsL{</v>
      </c>
      <c r="F84" s="21" t="s">
        <v>234</v>
      </c>
      <c r="G84" s="21" t="s">
        <v>756</v>
      </c>
      <c r="H84" s="21">
        <f t="shared" si="7"/>
        <v>102</v>
      </c>
      <c r="I84" s="21"/>
      <c r="J84" s="21" t="s">
        <v>906</v>
      </c>
      <c r="K84" s="21">
        <f t="shared" si="6"/>
        <v>53</v>
      </c>
      <c r="L84" s="21"/>
      <c r="M84" s="15">
        <f t="shared" si="9"/>
        <v>61.734246575342468</v>
      </c>
      <c r="N84" s="15"/>
      <c r="O84" s="15"/>
      <c r="P84" s="15"/>
      <c r="Q84" s="15"/>
      <c r="R84" s="16"/>
      <c r="S84" s="16"/>
      <c r="T84" s="16"/>
      <c r="U84" s="16"/>
      <c r="V84" s="5">
        <v>44424</v>
      </c>
      <c r="W84" s="5">
        <v>66957</v>
      </c>
      <c r="Y84" s="5"/>
    </row>
    <row r="85" spans="1:32" ht="18" x14ac:dyDescent="0.35">
      <c r="A85" s="6"/>
      <c r="C85" s="14" t="s">
        <v>426</v>
      </c>
      <c r="D85" s="13" t="str">
        <f t="shared" si="8"/>
        <v xml:space="preserve">e'k]Gb| </v>
      </c>
      <c r="E85" s="13" t="str">
        <f t="shared" si="10"/>
        <v>sfsL{</v>
      </c>
      <c r="F85" s="21" t="s">
        <v>233</v>
      </c>
      <c r="G85" s="21" t="s">
        <v>756</v>
      </c>
      <c r="H85" s="21">
        <f t="shared" si="7"/>
        <v>99</v>
      </c>
      <c r="I85" s="21"/>
      <c r="J85" s="21" t="s">
        <v>905</v>
      </c>
      <c r="K85" s="21">
        <f t="shared" si="6"/>
        <v>164</v>
      </c>
      <c r="L85" s="21"/>
      <c r="M85" s="15">
        <f t="shared" si="9"/>
        <v>45.024657534246572</v>
      </c>
      <c r="N85" s="15"/>
      <c r="O85" s="15"/>
      <c r="P85" s="15"/>
      <c r="Q85" s="15"/>
      <c r="R85" s="16"/>
      <c r="S85" s="16"/>
      <c r="T85" s="16"/>
      <c r="U85" s="16"/>
      <c r="V85" s="5">
        <v>50523</v>
      </c>
      <c r="W85" s="5">
        <v>66957</v>
      </c>
      <c r="Y85" s="5"/>
    </row>
    <row r="86" spans="1:32" ht="18" x14ac:dyDescent="0.35">
      <c r="A86" s="6"/>
      <c r="C86" s="14" t="s">
        <v>742</v>
      </c>
      <c r="D86" s="13" t="str">
        <f t="shared" si="8"/>
        <v xml:space="preserve">sNkgf </v>
      </c>
      <c r="E86" s="13" t="str">
        <f t="shared" si="10"/>
        <v>s]=;L</v>
      </c>
      <c r="F86" s="21" t="s">
        <v>234</v>
      </c>
      <c r="G86" s="21" t="s">
        <v>756</v>
      </c>
      <c r="H86" s="21">
        <f t="shared" si="7"/>
        <v>102</v>
      </c>
      <c r="I86" s="21"/>
      <c r="J86" s="21" t="s">
        <v>905</v>
      </c>
      <c r="K86" s="21">
        <f t="shared" si="6"/>
        <v>107</v>
      </c>
      <c r="L86" s="21"/>
      <c r="M86" s="15">
        <f t="shared" si="9"/>
        <v>37.610958904109587</v>
      </c>
      <c r="N86" s="15"/>
      <c r="O86" s="15"/>
      <c r="P86" s="15"/>
      <c r="Q86" s="15"/>
      <c r="R86" s="16"/>
      <c r="S86" s="16"/>
      <c r="T86" s="16"/>
      <c r="U86" s="16"/>
      <c r="V86" s="5">
        <v>53229</v>
      </c>
      <c r="W86" s="5">
        <v>66957</v>
      </c>
      <c r="Y86" s="5"/>
    </row>
    <row r="87" spans="1:32" ht="18" x14ac:dyDescent="0.35">
      <c r="A87" s="6"/>
      <c r="C87" s="14" t="s">
        <v>427</v>
      </c>
      <c r="D87" s="13" t="str">
        <f t="shared" si="8"/>
        <v xml:space="preserve">cf]d </v>
      </c>
      <c r="E87" s="13" t="str">
        <f t="shared" si="10"/>
        <v>sfsL{</v>
      </c>
      <c r="F87" s="21" t="s">
        <v>233</v>
      </c>
      <c r="G87" s="21" t="s">
        <v>757</v>
      </c>
      <c r="H87" s="21">
        <f t="shared" si="7"/>
        <v>69</v>
      </c>
      <c r="I87" s="21"/>
      <c r="J87" s="21" t="s">
        <v>905</v>
      </c>
      <c r="K87" s="21">
        <f t="shared" si="6"/>
        <v>164</v>
      </c>
      <c r="L87" s="21"/>
      <c r="M87" s="15">
        <f t="shared" si="9"/>
        <v>12.134246575342466</v>
      </c>
      <c r="N87" s="15"/>
      <c r="O87" s="15"/>
      <c r="P87" s="15"/>
      <c r="Q87" s="15"/>
      <c r="R87" s="16"/>
      <c r="S87" s="16"/>
      <c r="T87" s="16"/>
      <c r="U87" s="16"/>
      <c r="V87" s="5">
        <v>62528</v>
      </c>
      <c r="W87" s="5">
        <v>66957</v>
      </c>
      <c r="Y87" s="5"/>
    </row>
    <row r="88" spans="1:32" ht="18" x14ac:dyDescent="0.35">
      <c r="A88" s="6"/>
      <c r="C88" s="14" t="s">
        <v>428</v>
      </c>
      <c r="D88" s="13" t="str">
        <f t="shared" si="8"/>
        <v xml:space="preserve">n]v </v>
      </c>
      <c r="E88" s="13" t="str">
        <f t="shared" si="10"/>
        <v>sfsL{</v>
      </c>
      <c r="F88" s="21" t="s">
        <v>233</v>
      </c>
      <c r="G88" s="21" t="s">
        <v>756</v>
      </c>
      <c r="H88" s="21">
        <f t="shared" si="7"/>
        <v>99</v>
      </c>
      <c r="I88" s="21"/>
      <c r="J88" s="21" t="s">
        <v>905</v>
      </c>
      <c r="K88" s="21">
        <f t="shared" si="6"/>
        <v>164</v>
      </c>
      <c r="L88" s="21"/>
      <c r="M88" s="15">
        <f t="shared" si="9"/>
        <v>43.578082191780823</v>
      </c>
      <c r="N88" s="15"/>
      <c r="O88" s="15"/>
      <c r="P88" s="15"/>
      <c r="Q88" s="15"/>
      <c r="R88" s="16"/>
      <c r="S88" s="16"/>
      <c r="T88" s="16"/>
      <c r="U88" s="16"/>
      <c r="V88" s="5">
        <v>51051</v>
      </c>
      <c r="W88" s="5">
        <v>66957</v>
      </c>
      <c r="Y88" s="5"/>
    </row>
    <row r="89" spans="1:32" ht="18" x14ac:dyDescent="0.35">
      <c r="A89" s="6"/>
      <c r="C89" s="14" t="s">
        <v>429</v>
      </c>
      <c r="D89" s="13" t="str">
        <f t="shared" si="8"/>
        <v xml:space="preserve">Plnhf </v>
      </c>
      <c r="E89" s="13" t="str">
        <f t="shared" si="10"/>
        <v>s]=;L</v>
      </c>
      <c r="F89" s="21" t="s">
        <v>234</v>
      </c>
      <c r="G89" s="21" t="s">
        <v>756</v>
      </c>
      <c r="H89" s="21">
        <f t="shared" si="7"/>
        <v>102</v>
      </c>
      <c r="I89" s="21"/>
      <c r="J89" s="21" t="s">
        <v>905</v>
      </c>
      <c r="K89" s="21">
        <f t="shared" si="6"/>
        <v>107</v>
      </c>
      <c r="L89" s="21"/>
      <c r="M89" s="15">
        <f t="shared" si="9"/>
        <v>37.180821917808217</v>
      </c>
      <c r="N89" s="15"/>
      <c r="O89" s="15"/>
      <c r="P89" s="15"/>
      <c r="Q89" s="15"/>
      <c r="R89" s="16"/>
      <c r="S89" s="16"/>
      <c r="T89" s="16"/>
      <c r="U89" s="16"/>
      <c r="V89" s="5">
        <v>53386</v>
      </c>
      <c r="W89" s="5">
        <v>66957</v>
      </c>
      <c r="Y89" s="5"/>
    </row>
    <row r="90" spans="1:32" ht="18" x14ac:dyDescent="0.35">
      <c r="A90" s="6"/>
      <c r="C90" s="14" t="s">
        <v>430</v>
      </c>
      <c r="D90" s="13" t="str">
        <f t="shared" si="8"/>
        <v xml:space="preserve">cf/f]Uo </v>
      </c>
      <c r="E90" s="13" t="str">
        <f t="shared" si="10"/>
        <v>sfsL{</v>
      </c>
      <c r="F90" s="21" t="s">
        <v>233</v>
      </c>
      <c r="G90" s="21" t="s">
        <v>757</v>
      </c>
      <c r="H90" s="21">
        <f t="shared" si="7"/>
        <v>69</v>
      </c>
      <c r="I90" s="21"/>
      <c r="J90" s="21" t="s">
        <v>905</v>
      </c>
      <c r="K90" s="21">
        <f t="shared" si="6"/>
        <v>164</v>
      </c>
      <c r="L90" s="21"/>
      <c r="M90" s="15">
        <f t="shared" si="9"/>
        <v>12.608219178082193</v>
      </c>
      <c r="N90" s="15"/>
      <c r="O90" s="15"/>
      <c r="P90" s="15"/>
      <c r="Q90" s="15"/>
      <c r="R90" s="16"/>
      <c r="S90" s="16"/>
      <c r="T90" s="16"/>
      <c r="U90" s="16"/>
      <c r="V90" s="5">
        <v>62355</v>
      </c>
      <c r="W90" s="5">
        <v>66957</v>
      </c>
      <c r="Y90" s="5"/>
    </row>
    <row r="91" spans="1:32" ht="18" x14ac:dyDescent="0.35">
      <c r="A91" s="6">
        <v>26</v>
      </c>
      <c r="B91" t="s">
        <v>27</v>
      </c>
      <c r="C91" s="13" t="s">
        <v>707</v>
      </c>
      <c r="D91" s="13" t="str">
        <f t="shared" si="8"/>
        <v xml:space="preserve">6]s </v>
      </c>
      <c r="E91" s="13" t="str">
        <f t="shared" si="10"/>
        <v>jnDkfsL</v>
      </c>
      <c r="F91" s="21" t="s">
        <v>233</v>
      </c>
      <c r="G91" s="21" t="s">
        <v>756</v>
      </c>
      <c r="H91" s="21">
        <f t="shared" si="7"/>
        <v>99</v>
      </c>
      <c r="I91" s="21"/>
      <c r="J91" s="21" t="s">
        <v>905</v>
      </c>
      <c r="K91" s="21">
        <f t="shared" si="6"/>
        <v>164</v>
      </c>
      <c r="L91" s="21"/>
      <c r="M91" s="15">
        <f t="shared" si="9"/>
        <v>61.846575342465755</v>
      </c>
      <c r="N91" s="15"/>
      <c r="O91" s="15"/>
      <c r="P91" s="15"/>
      <c r="Q91" s="15"/>
      <c r="R91" s="16">
        <v>0</v>
      </c>
      <c r="S91" s="16">
        <v>4</v>
      </c>
      <c r="T91" s="16">
        <v>2</v>
      </c>
      <c r="U91" s="16">
        <v>0</v>
      </c>
      <c r="V91" s="5">
        <v>44383</v>
      </c>
      <c r="W91" s="5">
        <v>66957</v>
      </c>
      <c r="Y91" s="5">
        <v>66240</v>
      </c>
      <c r="Z91" s="2" t="s">
        <v>2</v>
      </c>
      <c r="AA91" s="2">
        <v>5</v>
      </c>
      <c r="AB91" s="2">
        <v>3</v>
      </c>
      <c r="AC91" s="2">
        <v>2</v>
      </c>
      <c r="AD91" t="s">
        <v>242</v>
      </c>
      <c r="AE91" t="s">
        <v>329</v>
      </c>
      <c r="AF91" t="s">
        <v>245</v>
      </c>
    </row>
    <row r="92" spans="1:32" ht="18" x14ac:dyDescent="0.35">
      <c r="A92" s="6"/>
      <c r="C92" s="13" t="s">
        <v>708</v>
      </c>
      <c r="D92" s="13" t="str">
        <f t="shared" si="8"/>
        <v xml:space="preserve">lnnf </v>
      </c>
      <c r="E92" s="13" t="str">
        <f t="shared" si="10"/>
        <v>du/</v>
      </c>
      <c r="F92" s="21" t="s">
        <v>234</v>
      </c>
      <c r="G92" s="21" t="s">
        <v>756</v>
      </c>
      <c r="H92" s="21">
        <f t="shared" si="7"/>
        <v>102</v>
      </c>
      <c r="I92" s="21"/>
      <c r="J92" s="21" t="s">
        <v>906</v>
      </c>
      <c r="K92" s="21">
        <f t="shared" si="6"/>
        <v>53</v>
      </c>
      <c r="L92" s="21"/>
      <c r="M92" s="15">
        <f t="shared" si="9"/>
        <v>52.5013698630137</v>
      </c>
      <c r="N92" s="15"/>
      <c r="O92" s="15"/>
      <c r="P92" s="15"/>
      <c r="Q92" s="15"/>
      <c r="R92" s="16"/>
      <c r="S92" s="16"/>
      <c r="T92" s="16"/>
      <c r="U92" s="16"/>
      <c r="V92" s="5">
        <v>47794</v>
      </c>
      <c r="W92" s="5">
        <v>66957</v>
      </c>
      <c r="Y92" s="5"/>
    </row>
    <row r="93" spans="1:32" ht="18" x14ac:dyDescent="0.35">
      <c r="A93" s="6"/>
      <c r="C93" s="13" t="s">
        <v>709</v>
      </c>
      <c r="D93" s="13" t="str">
        <f t="shared" si="8"/>
        <v xml:space="preserve">;Gtf]if </v>
      </c>
      <c r="E93" s="13" t="s">
        <v>734</v>
      </c>
      <c r="F93" s="21" t="s">
        <v>233</v>
      </c>
      <c r="G93" s="21" t="s">
        <v>757</v>
      </c>
      <c r="H93" s="21">
        <f t="shared" si="7"/>
        <v>69</v>
      </c>
      <c r="I93" s="21"/>
      <c r="J93" s="21" t="s">
        <v>905</v>
      </c>
      <c r="K93" s="21">
        <f t="shared" si="6"/>
        <v>164</v>
      </c>
      <c r="L93" s="21"/>
      <c r="M93" s="15">
        <f t="shared" si="9"/>
        <v>33.898630136986299</v>
      </c>
      <c r="N93" s="15"/>
      <c r="O93" s="15"/>
      <c r="P93" s="15"/>
      <c r="Q93" s="15"/>
      <c r="R93" s="16"/>
      <c r="S93" s="16"/>
      <c r="T93" s="16"/>
      <c r="U93" s="16"/>
      <c r="V93" s="5">
        <v>54584</v>
      </c>
      <c r="W93" s="5">
        <v>66957</v>
      </c>
      <c r="Y93" s="5"/>
    </row>
    <row r="94" spans="1:32" ht="18" x14ac:dyDescent="0.35">
      <c r="A94" s="6"/>
      <c r="C94" s="13" t="s">
        <v>710</v>
      </c>
      <c r="D94" s="13" t="str">
        <f t="shared" si="8"/>
        <v xml:space="preserve">ladnf </v>
      </c>
      <c r="E94" s="13" t="str">
        <f t="shared" si="10"/>
        <v>du/</v>
      </c>
      <c r="F94" s="21" t="s">
        <v>234</v>
      </c>
      <c r="G94" s="21" t="s">
        <v>757</v>
      </c>
      <c r="H94" s="21">
        <f t="shared" si="7"/>
        <v>54</v>
      </c>
      <c r="I94" s="21"/>
      <c r="J94" s="21" t="s">
        <v>906</v>
      </c>
      <c r="K94" s="21">
        <f t="shared" si="6"/>
        <v>53</v>
      </c>
      <c r="L94" s="21"/>
      <c r="M94" s="15">
        <f t="shared" si="9"/>
        <v>31.731506849315068</v>
      </c>
      <c r="N94" s="15"/>
      <c r="O94" s="15"/>
      <c r="P94" s="15"/>
      <c r="Q94" s="15"/>
      <c r="R94" s="16"/>
      <c r="S94" s="16"/>
      <c r="T94" s="16"/>
      <c r="U94" s="16"/>
      <c r="V94" s="5">
        <v>55375</v>
      </c>
      <c r="W94" s="5">
        <v>66957</v>
      </c>
      <c r="Y94" s="5"/>
    </row>
    <row r="95" spans="1:32" ht="18" x14ac:dyDescent="0.35">
      <c r="A95" s="6"/>
      <c r="C95" s="13" t="s">
        <v>711</v>
      </c>
      <c r="D95" s="13" t="str">
        <f t="shared" si="8"/>
        <v xml:space="preserve">/]zd </v>
      </c>
      <c r="E95" s="13" t="s">
        <v>734</v>
      </c>
      <c r="F95" s="21" t="s">
        <v>233</v>
      </c>
      <c r="G95" s="21" t="s">
        <v>757</v>
      </c>
      <c r="H95" s="21">
        <f t="shared" si="7"/>
        <v>69</v>
      </c>
      <c r="I95" s="21"/>
      <c r="J95" s="21" t="s">
        <v>905</v>
      </c>
      <c r="K95" s="21">
        <f t="shared" si="6"/>
        <v>164</v>
      </c>
      <c r="L95" s="21"/>
      <c r="M95" s="15">
        <f t="shared" si="9"/>
        <v>26.764383561643836</v>
      </c>
      <c r="N95" s="15"/>
      <c r="O95" s="15"/>
      <c r="P95" s="15"/>
      <c r="Q95" s="15"/>
      <c r="R95" s="16"/>
      <c r="S95" s="16"/>
      <c r="T95" s="16"/>
      <c r="U95" s="16"/>
      <c r="V95" s="5">
        <v>57188</v>
      </c>
      <c r="W95" s="5">
        <v>66957</v>
      </c>
      <c r="Y95" s="5"/>
    </row>
    <row r="96" spans="1:32" ht="18" x14ac:dyDescent="0.35">
      <c r="A96" s="6">
        <v>27</v>
      </c>
      <c r="B96" t="s">
        <v>28</v>
      </c>
      <c r="C96" s="13" t="s">
        <v>712</v>
      </c>
      <c r="D96" s="13" t="str">
        <f t="shared" si="8"/>
        <v xml:space="preserve">;Gtf]sL </v>
      </c>
      <c r="E96" s="13" t="str">
        <f t="shared" si="10"/>
        <v>vqL</v>
      </c>
      <c r="F96" s="21" t="s">
        <v>234</v>
      </c>
      <c r="G96" s="21" t="s">
        <v>756</v>
      </c>
      <c r="H96" s="21">
        <f t="shared" si="7"/>
        <v>102</v>
      </c>
      <c r="I96" s="21"/>
      <c r="J96" s="21" t="s">
        <v>905</v>
      </c>
      <c r="K96" s="21">
        <f t="shared" si="6"/>
        <v>107</v>
      </c>
      <c r="L96" s="21"/>
      <c r="M96" s="15">
        <f t="shared" si="9"/>
        <v>66.169863013698631</v>
      </c>
      <c r="N96" s="15"/>
      <c r="O96" s="15"/>
      <c r="P96" s="15"/>
      <c r="Q96" s="15"/>
      <c r="R96" s="16">
        <v>3</v>
      </c>
      <c r="S96" s="16">
        <v>7</v>
      </c>
      <c r="T96" s="16">
        <v>2</v>
      </c>
      <c r="U96" s="16">
        <v>0</v>
      </c>
      <c r="V96" s="5">
        <v>42805</v>
      </c>
      <c r="W96" s="5">
        <v>66957</v>
      </c>
      <c r="Y96" s="5">
        <v>66231</v>
      </c>
      <c r="Z96" s="2" t="s">
        <v>2</v>
      </c>
      <c r="AA96" s="2">
        <v>1</v>
      </c>
      <c r="AB96" s="2">
        <v>1</v>
      </c>
      <c r="AD96" t="s">
        <v>242</v>
      </c>
      <c r="AE96" t="s">
        <v>314</v>
      </c>
      <c r="AF96" t="s">
        <v>245</v>
      </c>
    </row>
    <row r="97" spans="1:32" ht="18" x14ac:dyDescent="0.35">
      <c r="A97" s="6">
        <v>29</v>
      </c>
      <c r="B97" t="s">
        <v>30</v>
      </c>
      <c r="C97" s="13" t="s">
        <v>432</v>
      </c>
      <c r="D97" s="13" t="str">
        <f t="shared" si="8"/>
        <v xml:space="preserve">bof </v>
      </c>
      <c r="E97" s="13" t="str">
        <f t="shared" si="10"/>
        <v>vqL</v>
      </c>
      <c r="F97" s="21" t="s">
        <v>233</v>
      </c>
      <c r="G97" s="21" t="s">
        <v>756</v>
      </c>
      <c r="H97" s="21">
        <f t="shared" si="7"/>
        <v>99</v>
      </c>
      <c r="I97" s="21"/>
      <c r="J97" s="21" t="s">
        <v>905</v>
      </c>
      <c r="K97" s="21">
        <f t="shared" si="6"/>
        <v>164</v>
      </c>
      <c r="L97" s="21"/>
      <c r="M97" s="15">
        <f t="shared" si="9"/>
        <v>58.81095890410959</v>
      </c>
      <c r="N97" s="15"/>
      <c r="O97" s="15"/>
      <c r="P97" s="15"/>
      <c r="Q97" s="15"/>
      <c r="R97" s="16">
        <v>0</v>
      </c>
      <c r="S97" s="16">
        <v>4</v>
      </c>
      <c r="T97" s="16">
        <v>0</v>
      </c>
      <c r="U97" s="16">
        <v>0</v>
      </c>
      <c r="V97" s="5">
        <v>45491</v>
      </c>
      <c r="W97" s="5">
        <v>66957</v>
      </c>
      <c r="Y97" s="5">
        <v>66188</v>
      </c>
      <c r="Z97" s="2" t="s">
        <v>2</v>
      </c>
      <c r="AA97" s="2">
        <v>7</v>
      </c>
      <c r="AB97" s="2">
        <v>3</v>
      </c>
      <c r="AC97" s="2">
        <v>4</v>
      </c>
      <c r="AD97" t="s">
        <v>242</v>
      </c>
      <c r="AE97" t="s">
        <v>254</v>
      </c>
      <c r="AF97" t="s">
        <v>245</v>
      </c>
    </row>
    <row r="98" spans="1:32" ht="18" x14ac:dyDescent="0.35">
      <c r="A98" s="6"/>
      <c r="C98" s="13" t="s">
        <v>433</v>
      </c>
      <c r="D98" s="13" t="str">
        <f t="shared" si="8"/>
        <v xml:space="preserve">z'e]R5f </v>
      </c>
      <c r="E98" s="13" t="str">
        <f t="shared" si="10"/>
        <v>lai6</v>
      </c>
      <c r="F98" s="21" t="s">
        <v>234</v>
      </c>
      <c r="G98" s="21" t="s">
        <v>756</v>
      </c>
      <c r="H98" s="21">
        <f t="shared" si="7"/>
        <v>102</v>
      </c>
      <c r="I98" s="21"/>
      <c r="J98" s="21" t="s">
        <v>905</v>
      </c>
      <c r="K98" s="21">
        <f t="shared" si="6"/>
        <v>107</v>
      </c>
      <c r="L98" s="21"/>
      <c r="M98" s="15">
        <f t="shared" si="9"/>
        <v>29.986301369863014</v>
      </c>
      <c r="N98" s="15"/>
      <c r="O98" s="15"/>
      <c r="P98" s="15"/>
      <c r="Q98" s="15"/>
      <c r="R98" s="16"/>
      <c r="S98" s="16"/>
      <c r="T98" s="16"/>
      <c r="U98" s="16"/>
      <c r="V98" s="5">
        <v>56012</v>
      </c>
      <c r="W98" s="5">
        <v>66957</v>
      </c>
      <c r="Y98" s="5"/>
    </row>
    <row r="99" spans="1:32" ht="18" x14ac:dyDescent="0.35">
      <c r="A99" s="6"/>
      <c r="C99" s="13" t="s">
        <v>434</v>
      </c>
      <c r="D99" s="13" t="str">
        <f t="shared" si="8"/>
        <v xml:space="preserve">;fgeL </v>
      </c>
      <c r="E99" s="13" t="str">
        <f t="shared" si="10"/>
        <v>s]=;L</v>
      </c>
      <c r="F99" s="21" t="s">
        <v>234</v>
      </c>
      <c r="G99" s="21" t="s">
        <v>748</v>
      </c>
      <c r="H99" s="21" t="b">
        <f t="shared" si="7"/>
        <v>0</v>
      </c>
      <c r="I99" s="21"/>
      <c r="J99" s="21" t="s">
        <v>748</v>
      </c>
      <c r="K99" s="21" t="b">
        <f t="shared" si="6"/>
        <v>0</v>
      </c>
      <c r="L99" s="21"/>
      <c r="M99" s="15">
        <f t="shared" si="9"/>
        <v>3.4164383561643836</v>
      </c>
      <c r="N99" s="15"/>
      <c r="O99" s="15"/>
      <c r="P99" s="15"/>
      <c r="Q99" s="15"/>
      <c r="R99" s="16"/>
      <c r="S99" s="16"/>
      <c r="T99" s="16"/>
      <c r="U99" s="16"/>
      <c r="V99" s="5">
        <v>65710</v>
      </c>
      <c r="W99" s="5">
        <v>66957</v>
      </c>
      <c r="Y99" s="5"/>
    </row>
    <row r="100" spans="1:32" ht="18" x14ac:dyDescent="0.35">
      <c r="A100" s="6"/>
      <c r="C100" s="13" t="s">
        <v>435</v>
      </c>
      <c r="D100" s="13" t="str">
        <f t="shared" si="8"/>
        <v xml:space="preserve">;Gtf]if </v>
      </c>
      <c r="E100" s="13" t="str">
        <f t="shared" si="10"/>
        <v>s]=;L</v>
      </c>
      <c r="F100" s="21" t="s">
        <v>233</v>
      </c>
      <c r="G100" s="21" t="s">
        <v>756</v>
      </c>
      <c r="H100" s="21">
        <f t="shared" si="7"/>
        <v>99</v>
      </c>
      <c r="I100" s="21"/>
      <c r="J100" s="21" t="s">
        <v>905</v>
      </c>
      <c r="K100" s="21">
        <f t="shared" si="6"/>
        <v>164</v>
      </c>
      <c r="L100" s="21"/>
      <c r="M100" s="15">
        <f t="shared" si="9"/>
        <v>36.063013698630137</v>
      </c>
      <c r="N100" s="15"/>
      <c r="O100" s="15"/>
      <c r="P100" s="15"/>
      <c r="Q100" s="15"/>
      <c r="R100" s="16"/>
      <c r="S100" s="16"/>
      <c r="T100" s="16"/>
      <c r="U100" s="16"/>
      <c r="V100" s="5">
        <v>53794</v>
      </c>
      <c r="W100" s="5">
        <v>66957</v>
      </c>
      <c r="Y100" s="5"/>
    </row>
    <row r="101" spans="1:32" ht="18" x14ac:dyDescent="0.35">
      <c r="A101" s="6"/>
      <c r="C101" s="13" t="s">
        <v>436</v>
      </c>
      <c r="D101" s="13" t="str">
        <f t="shared" si="8"/>
        <v xml:space="preserve">;Gd]3 </v>
      </c>
      <c r="E101" s="13" t="str">
        <f t="shared" si="10"/>
        <v>s]=;L</v>
      </c>
      <c r="F101" s="21" t="s">
        <v>233</v>
      </c>
      <c r="G101" s="21" t="s">
        <v>748</v>
      </c>
      <c r="H101" s="21" t="b">
        <f t="shared" si="7"/>
        <v>0</v>
      </c>
      <c r="I101" s="21"/>
      <c r="J101" s="21" t="s">
        <v>905</v>
      </c>
      <c r="K101" s="21">
        <f t="shared" si="6"/>
        <v>164</v>
      </c>
      <c r="L101" s="21"/>
      <c r="M101" s="15">
        <f t="shared" si="9"/>
        <v>7.1698630136986301</v>
      </c>
      <c r="N101" s="15"/>
      <c r="O101" s="15"/>
      <c r="P101" s="15"/>
      <c r="Q101" s="15"/>
      <c r="R101" s="16"/>
      <c r="S101" s="16"/>
      <c r="T101" s="16"/>
      <c r="U101" s="16"/>
      <c r="V101" s="5">
        <v>64340</v>
      </c>
      <c r="W101" s="5">
        <v>66957</v>
      </c>
      <c r="Y101" s="5"/>
    </row>
    <row r="102" spans="1:32" ht="18" x14ac:dyDescent="0.35">
      <c r="A102" s="6"/>
      <c r="C102" s="13" t="s">
        <v>437</v>
      </c>
      <c r="D102" s="13" t="str">
        <f t="shared" si="8"/>
        <v xml:space="preserve">uf]df </v>
      </c>
      <c r="E102" s="13" t="str">
        <f t="shared" si="10"/>
        <v>vqL</v>
      </c>
      <c r="F102" s="21" t="s">
        <v>234</v>
      </c>
      <c r="G102" s="21" t="s">
        <v>756</v>
      </c>
      <c r="H102" s="21">
        <f t="shared" si="7"/>
        <v>102</v>
      </c>
      <c r="I102" s="21"/>
      <c r="J102" s="21" t="s">
        <v>906</v>
      </c>
      <c r="K102" s="21">
        <f t="shared" si="6"/>
        <v>53</v>
      </c>
      <c r="L102" s="21"/>
      <c r="M102" s="15">
        <f t="shared" si="9"/>
        <v>92.460273972602735</v>
      </c>
      <c r="N102" s="15"/>
      <c r="O102" s="15"/>
      <c r="P102" s="15"/>
      <c r="Q102" s="15"/>
      <c r="R102" s="16"/>
      <c r="S102" s="16"/>
      <c r="T102" s="16"/>
      <c r="U102" s="16"/>
      <c r="V102" s="5">
        <v>33209</v>
      </c>
      <c r="W102" s="5">
        <v>66957</v>
      </c>
      <c r="Y102" s="5"/>
    </row>
    <row r="103" spans="1:32" ht="18" x14ac:dyDescent="0.35">
      <c r="A103" s="6"/>
      <c r="C103" s="13" t="s">
        <v>438</v>
      </c>
      <c r="D103" s="13" t="str">
        <f t="shared" si="8"/>
        <v xml:space="preserve">lgd{nf </v>
      </c>
      <c r="E103" s="13" t="str">
        <f t="shared" si="10"/>
        <v>vqL</v>
      </c>
      <c r="F103" s="21" t="s">
        <v>234</v>
      </c>
      <c r="G103" s="21" t="s">
        <v>756</v>
      </c>
      <c r="H103" s="21">
        <f t="shared" si="7"/>
        <v>102</v>
      </c>
      <c r="I103" s="21"/>
      <c r="J103" s="21" t="s">
        <v>906</v>
      </c>
      <c r="K103" s="21">
        <f t="shared" si="6"/>
        <v>53</v>
      </c>
      <c r="L103" s="21"/>
      <c r="M103" s="15">
        <f t="shared" si="9"/>
        <v>59.246575342465754</v>
      </c>
      <c r="N103" s="15"/>
      <c r="O103" s="15"/>
      <c r="P103" s="15"/>
      <c r="Q103" s="15"/>
      <c r="R103" s="16"/>
      <c r="S103" s="16"/>
      <c r="T103" s="16"/>
      <c r="U103" s="16"/>
      <c r="V103" s="5">
        <v>45332</v>
      </c>
      <c r="W103" s="5">
        <v>66957</v>
      </c>
      <c r="Y103" s="5"/>
    </row>
    <row r="104" spans="1:32" ht="18" x14ac:dyDescent="0.35">
      <c r="A104" s="6">
        <v>31</v>
      </c>
      <c r="B104" t="s">
        <v>32</v>
      </c>
      <c r="C104" s="13" t="s">
        <v>714</v>
      </c>
      <c r="D104" s="13" t="str">
        <f t="shared" si="8"/>
        <v xml:space="preserve">bNnL </v>
      </c>
      <c r="E104" s="13" t="str">
        <f t="shared" si="10"/>
        <v>ljZjsdf{</v>
      </c>
      <c r="F104" s="21" t="s">
        <v>234</v>
      </c>
      <c r="G104" s="21" t="s">
        <v>756</v>
      </c>
      <c r="H104" s="21">
        <f t="shared" si="7"/>
        <v>102</v>
      </c>
      <c r="I104" s="21"/>
      <c r="J104" s="21" t="s">
        <v>906</v>
      </c>
      <c r="K104" s="21">
        <f t="shared" si="6"/>
        <v>53</v>
      </c>
      <c r="L104" s="21"/>
      <c r="M104" s="15">
        <f t="shared" si="9"/>
        <v>55.175342465753424</v>
      </c>
      <c r="N104" s="15"/>
      <c r="O104" s="15"/>
      <c r="P104" s="15"/>
      <c r="Q104" s="15"/>
      <c r="R104" s="16">
        <v>0</v>
      </c>
      <c r="S104" s="16">
        <v>3</v>
      </c>
      <c r="T104" s="16">
        <v>2</v>
      </c>
      <c r="U104" s="16">
        <v>0</v>
      </c>
      <c r="V104" s="5">
        <v>46818</v>
      </c>
      <c r="W104" s="5">
        <v>66957</v>
      </c>
      <c r="Y104" s="5">
        <v>66182</v>
      </c>
      <c r="Z104" s="2" t="s">
        <v>2</v>
      </c>
      <c r="AA104" s="2">
        <v>9</v>
      </c>
      <c r="AB104" s="2">
        <v>5</v>
      </c>
      <c r="AC104" s="2">
        <v>4</v>
      </c>
      <c r="AD104" t="s">
        <v>241</v>
      </c>
      <c r="AE104" t="s">
        <v>264</v>
      </c>
      <c r="AF104" t="s">
        <v>245</v>
      </c>
    </row>
    <row r="105" spans="1:32" ht="18" x14ac:dyDescent="0.35">
      <c r="A105" s="6"/>
      <c r="C105" s="13" t="s">
        <v>715</v>
      </c>
      <c r="D105" s="13" t="str">
        <f t="shared" si="8"/>
        <v xml:space="preserve">1fg </v>
      </c>
      <c r="E105" s="13" t="str">
        <f t="shared" si="10"/>
        <v>ljZjsdf{</v>
      </c>
      <c r="F105" s="21" t="s">
        <v>233</v>
      </c>
      <c r="G105" s="21" t="s">
        <v>756</v>
      </c>
      <c r="H105" s="21">
        <f t="shared" si="7"/>
        <v>99</v>
      </c>
      <c r="I105" s="21"/>
      <c r="J105" s="21" t="s">
        <v>905</v>
      </c>
      <c r="K105" s="21">
        <f t="shared" si="6"/>
        <v>164</v>
      </c>
      <c r="L105" s="21"/>
      <c r="M105" s="15">
        <f t="shared" si="9"/>
        <v>56.594520547945208</v>
      </c>
      <c r="N105" s="15"/>
      <c r="O105" s="15"/>
      <c r="P105" s="15"/>
      <c r="Q105" s="15"/>
      <c r="R105" s="16"/>
      <c r="S105" s="16"/>
      <c r="T105" s="16"/>
      <c r="U105" s="16"/>
      <c r="V105" s="5">
        <v>46300</v>
      </c>
      <c r="W105" s="5">
        <v>66957</v>
      </c>
      <c r="Y105" s="5"/>
    </row>
    <row r="106" spans="1:32" ht="18" x14ac:dyDescent="0.35">
      <c r="A106" s="6"/>
      <c r="C106" s="13" t="s">
        <v>716</v>
      </c>
      <c r="D106" s="13" t="str">
        <f t="shared" si="8"/>
        <v xml:space="preserve">kq'; </v>
      </c>
      <c r="E106" s="13" t="str">
        <f t="shared" si="10"/>
        <v>j/fOnL</v>
      </c>
      <c r="F106" s="21" t="s">
        <v>233</v>
      </c>
      <c r="G106" s="21" t="s">
        <v>756</v>
      </c>
      <c r="H106" s="21">
        <f t="shared" si="7"/>
        <v>99</v>
      </c>
      <c r="I106" s="21"/>
      <c r="J106" s="21" t="s">
        <v>905</v>
      </c>
      <c r="K106" s="21">
        <f t="shared" si="6"/>
        <v>164</v>
      </c>
      <c r="L106" s="21"/>
      <c r="M106" s="15">
        <f t="shared" si="9"/>
        <v>33.473972602739728</v>
      </c>
      <c r="N106" s="15"/>
      <c r="O106" s="15"/>
      <c r="P106" s="15"/>
      <c r="Q106" s="15"/>
      <c r="R106" s="16"/>
      <c r="S106" s="16"/>
      <c r="T106" s="16"/>
      <c r="U106" s="16"/>
      <c r="V106" s="5">
        <v>54739</v>
      </c>
      <c r="W106" s="5">
        <v>66957</v>
      </c>
      <c r="Y106" s="5"/>
    </row>
    <row r="107" spans="1:32" ht="18" x14ac:dyDescent="0.35">
      <c r="A107" s="6"/>
      <c r="C107" s="13" t="s">
        <v>717</v>
      </c>
      <c r="D107" s="13" t="str">
        <f t="shared" si="8"/>
        <v xml:space="preserve">lagf </v>
      </c>
      <c r="E107" s="13" t="str">
        <f t="shared" si="10"/>
        <v>sfdL</v>
      </c>
      <c r="F107" s="21" t="s">
        <v>234</v>
      </c>
      <c r="G107" s="21" t="s">
        <v>756</v>
      </c>
      <c r="H107" s="21">
        <f t="shared" si="7"/>
        <v>102</v>
      </c>
      <c r="I107" s="21"/>
      <c r="J107" s="21" t="s">
        <v>905</v>
      </c>
      <c r="K107" s="21">
        <f t="shared" si="6"/>
        <v>107</v>
      </c>
      <c r="L107" s="21"/>
      <c r="M107" s="15">
        <f t="shared" si="9"/>
        <v>27.989041095890411</v>
      </c>
      <c r="N107" s="15"/>
      <c r="O107" s="15"/>
      <c r="P107" s="15"/>
      <c r="Q107" s="15"/>
      <c r="R107" s="16"/>
      <c r="S107" s="16"/>
      <c r="T107" s="16"/>
      <c r="U107" s="16"/>
      <c r="V107" s="5">
        <v>56741</v>
      </c>
      <c r="W107" s="5">
        <v>66957</v>
      </c>
      <c r="Y107" s="5"/>
    </row>
    <row r="108" spans="1:32" ht="18" x14ac:dyDescent="0.35">
      <c r="A108" s="6"/>
      <c r="C108" s="13" t="s">
        <v>718</v>
      </c>
      <c r="D108" s="13" t="str">
        <f t="shared" si="8"/>
        <v xml:space="preserve">o1 </v>
      </c>
      <c r="E108" s="13" t="str">
        <f t="shared" si="10"/>
        <v>ljZjsdf{</v>
      </c>
      <c r="F108" s="21" t="s">
        <v>233</v>
      </c>
      <c r="G108" s="21" t="s">
        <v>756</v>
      </c>
      <c r="H108" s="21">
        <f t="shared" si="7"/>
        <v>99</v>
      </c>
      <c r="I108" s="21"/>
      <c r="J108" s="21" t="s">
        <v>905</v>
      </c>
      <c r="K108" s="21">
        <f t="shared" si="6"/>
        <v>164</v>
      </c>
      <c r="L108" s="21"/>
      <c r="M108" s="15">
        <f t="shared" si="9"/>
        <v>34.876712328767127</v>
      </c>
      <c r="N108" s="15"/>
      <c r="O108" s="15"/>
      <c r="P108" s="15"/>
      <c r="Q108" s="15"/>
      <c r="R108" s="16"/>
      <c r="S108" s="16"/>
      <c r="T108" s="16"/>
      <c r="U108" s="16"/>
      <c r="V108" s="5">
        <v>54227</v>
      </c>
      <c r="W108" s="5">
        <v>66957</v>
      </c>
      <c r="Y108" s="5"/>
    </row>
    <row r="109" spans="1:32" ht="18" x14ac:dyDescent="0.35">
      <c r="A109" s="6"/>
      <c r="C109" s="13" t="s">
        <v>719</v>
      </c>
      <c r="D109" s="13" t="str">
        <f t="shared" si="8"/>
        <v xml:space="preserve">uf]df </v>
      </c>
      <c r="E109" s="13" t="str">
        <f t="shared" si="10"/>
        <v>ljZjsdf{</v>
      </c>
      <c r="F109" s="21" t="s">
        <v>234</v>
      </c>
      <c r="G109" s="21" t="s">
        <v>756</v>
      </c>
      <c r="H109" s="21">
        <f t="shared" si="7"/>
        <v>102</v>
      </c>
      <c r="I109" s="21"/>
      <c r="J109" s="21" t="s">
        <v>905</v>
      </c>
      <c r="K109" s="21">
        <f t="shared" si="6"/>
        <v>107</v>
      </c>
      <c r="L109" s="21"/>
      <c r="M109" s="15">
        <f t="shared" si="9"/>
        <v>29.575342465753426</v>
      </c>
      <c r="N109" s="15"/>
      <c r="O109" s="15"/>
      <c r="P109" s="15"/>
      <c r="Q109" s="15"/>
      <c r="R109" s="16"/>
      <c r="S109" s="16"/>
      <c r="T109" s="16"/>
      <c r="U109" s="16"/>
      <c r="V109" s="5">
        <v>56162</v>
      </c>
      <c r="W109" s="5">
        <v>66957</v>
      </c>
      <c r="Y109" s="5"/>
    </row>
    <row r="110" spans="1:32" ht="18" x14ac:dyDescent="0.35">
      <c r="A110" s="6"/>
      <c r="C110" s="13" t="s">
        <v>720</v>
      </c>
      <c r="D110" s="13" t="str">
        <f t="shared" si="8"/>
        <v xml:space="preserve">ld/f </v>
      </c>
      <c r="E110" s="13" t="str">
        <f t="shared" si="10"/>
        <v>j/fOnL</v>
      </c>
      <c r="F110" s="21" t="s">
        <v>234</v>
      </c>
      <c r="G110" s="21" t="s">
        <v>757</v>
      </c>
      <c r="H110" s="21">
        <f t="shared" si="7"/>
        <v>54</v>
      </c>
      <c r="I110" s="21"/>
      <c r="J110" s="21" t="s">
        <v>905</v>
      </c>
      <c r="K110" s="21">
        <f t="shared" si="6"/>
        <v>107</v>
      </c>
      <c r="L110" s="21"/>
      <c r="M110" s="15">
        <f t="shared" si="9"/>
        <v>24.243835616438357</v>
      </c>
      <c r="N110" s="15"/>
      <c r="O110" s="15"/>
      <c r="P110" s="15"/>
      <c r="Q110" s="15"/>
      <c r="R110" s="16"/>
      <c r="S110" s="16"/>
      <c r="T110" s="16"/>
      <c r="U110" s="16"/>
      <c r="V110" s="5">
        <v>58108</v>
      </c>
      <c r="W110" s="5">
        <v>66957</v>
      </c>
      <c r="Y110" s="5"/>
    </row>
    <row r="111" spans="1:32" ht="18" x14ac:dyDescent="0.35">
      <c r="A111" s="6"/>
      <c r="C111" s="13" t="s">
        <v>721</v>
      </c>
      <c r="D111" s="13" t="str">
        <f t="shared" si="8"/>
        <v xml:space="preserve">Oefg </v>
      </c>
      <c r="E111" s="13" t="str">
        <f t="shared" si="10"/>
        <v>j/fOnL</v>
      </c>
      <c r="F111" s="21" t="s">
        <v>233</v>
      </c>
      <c r="G111" s="21" t="s">
        <v>748</v>
      </c>
      <c r="H111" s="21" t="b">
        <f t="shared" si="7"/>
        <v>0</v>
      </c>
      <c r="I111" s="21"/>
      <c r="J111" s="21" t="s">
        <v>748</v>
      </c>
      <c r="K111" s="21" t="b">
        <f t="shared" si="6"/>
        <v>0</v>
      </c>
      <c r="L111" s="21"/>
      <c r="M111" s="15">
        <f t="shared" si="9"/>
        <v>4.8904109589041092</v>
      </c>
      <c r="N111" s="15"/>
      <c r="O111" s="15"/>
      <c r="P111" s="15"/>
      <c r="Q111" s="15"/>
      <c r="R111" s="16"/>
      <c r="S111" s="16"/>
      <c r="T111" s="16"/>
      <c r="U111" s="16"/>
      <c r="V111" s="5">
        <v>65172</v>
      </c>
      <c r="W111" s="5">
        <v>66957</v>
      </c>
      <c r="Y111" s="5"/>
    </row>
    <row r="112" spans="1:32" ht="18" x14ac:dyDescent="0.35">
      <c r="A112" s="6"/>
      <c r="C112" s="13" t="s">
        <v>722</v>
      </c>
      <c r="D112" s="13" t="str">
        <f t="shared" si="8"/>
        <v xml:space="preserve">O;fs </v>
      </c>
      <c r="E112" s="13" t="str">
        <f t="shared" si="10"/>
        <v>j/fOnL</v>
      </c>
      <c r="F112" s="21" t="s">
        <v>233</v>
      </c>
      <c r="G112" s="21" t="s">
        <v>757</v>
      </c>
      <c r="H112" s="21">
        <f t="shared" si="7"/>
        <v>69</v>
      </c>
      <c r="I112" s="21"/>
      <c r="J112" s="21" t="s">
        <v>905</v>
      </c>
      <c r="K112" s="21">
        <f t="shared" si="6"/>
        <v>164</v>
      </c>
      <c r="L112" s="21"/>
      <c r="M112" s="15">
        <f t="shared" si="9"/>
        <v>12.575342465753424</v>
      </c>
      <c r="N112" s="15"/>
      <c r="O112" s="15"/>
      <c r="P112" s="15"/>
      <c r="Q112" s="15"/>
      <c r="R112" s="16"/>
      <c r="S112" s="16"/>
      <c r="T112" s="16"/>
      <c r="U112" s="16"/>
      <c r="V112" s="5">
        <v>62367</v>
      </c>
      <c r="W112" s="5">
        <v>66957</v>
      </c>
      <c r="Y112" s="5"/>
    </row>
    <row r="113" spans="1:32" ht="18" x14ac:dyDescent="0.35">
      <c r="A113" s="6">
        <v>33</v>
      </c>
      <c r="B113" t="s">
        <v>34</v>
      </c>
      <c r="C113" s="13" t="s">
        <v>723</v>
      </c>
      <c r="D113" s="13" t="str">
        <f t="shared" si="8"/>
        <v xml:space="preserve">bf]rL{ </v>
      </c>
      <c r="E113" s="13" t="str">
        <f t="shared" si="10"/>
        <v>z]kf{</v>
      </c>
      <c r="F113" s="21" t="s">
        <v>234</v>
      </c>
      <c r="G113" s="21" t="s">
        <v>756</v>
      </c>
      <c r="H113" s="21">
        <f t="shared" si="7"/>
        <v>102</v>
      </c>
      <c r="I113" s="21"/>
      <c r="J113" s="21" t="s">
        <v>905</v>
      </c>
      <c r="K113" s="21">
        <f t="shared" si="6"/>
        <v>107</v>
      </c>
      <c r="L113" s="21"/>
      <c r="M113" s="15">
        <f t="shared" si="9"/>
        <v>55.578082191780823</v>
      </c>
      <c r="N113" s="15"/>
      <c r="O113" s="15"/>
      <c r="P113" s="15"/>
      <c r="Q113" s="15"/>
      <c r="R113" s="16">
        <v>0</v>
      </c>
      <c r="S113" s="16">
        <v>4</v>
      </c>
      <c r="T113" s="16">
        <v>0</v>
      </c>
      <c r="U113" s="16">
        <v>0</v>
      </c>
      <c r="V113" s="5">
        <v>46671</v>
      </c>
      <c r="W113" s="5">
        <v>66957</v>
      </c>
      <c r="Y113" s="5">
        <v>66138</v>
      </c>
      <c r="Z113" s="2" t="s">
        <v>2</v>
      </c>
      <c r="AA113" s="2">
        <v>4</v>
      </c>
      <c r="AB113" s="2">
        <v>2</v>
      </c>
      <c r="AC113" s="2">
        <v>2</v>
      </c>
      <c r="AD113" t="s">
        <v>242</v>
      </c>
      <c r="AE113" t="s">
        <v>266</v>
      </c>
      <c r="AF113" t="s">
        <v>245</v>
      </c>
    </row>
    <row r="114" spans="1:32" ht="18" x14ac:dyDescent="0.35">
      <c r="A114" s="6"/>
      <c r="C114" s="13" t="s">
        <v>724</v>
      </c>
      <c r="D114" s="13" t="str">
        <f t="shared" si="8"/>
        <v xml:space="preserve">ldªdf </v>
      </c>
      <c r="E114" s="13" t="str">
        <f t="shared" si="10"/>
        <v>z]kf{</v>
      </c>
      <c r="F114" s="21" t="s">
        <v>233</v>
      </c>
      <c r="G114" s="21" t="s">
        <v>756</v>
      </c>
      <c r="H114" s="21">
        <f t="shared" si="7"/>
        <v>99</v>
      </c>
      <c r="I114" s="21"/>
      <c r="J114" s="21" t="s">
        <v>905</v>
      </c>
      <c r="K114" s="21">
        <f t="shared" si="6"/>
        <v>164</v>
      </c>
      <c r="L114" s="21"/>
      <c r="M114" s="15">
        <f t="shared" si="9"/>
        <v>51.553424657534244</v>
      </c>
      <c r="N114" s="15"/>
      <c r="O114" s="15"/>
      <c r="P114" s="15"/>
      <c r="Q114" s="15"/>
      <c r="R114" s="16"/>
      <c r="S114" s="16"/>
      <c r="T114" s="16"/>
      <c r="U114" s="16"/>
      <c r="V114" s="5">
        <v>48140</v>
      </c>
      <c r="W114" s="5">
        <v>66957</v>
      </c>
      <c r="Y114" s="5"/>
    </row>
    <row r="115" spans="1:32" ht="18" x14ac:dyDescent="0.35">
      <c r="A115" s="6"/>
      <c r="C115" s="13" t="s">
        <v>725</v>
      </c>
      <c r="D115" s="13" t="str">
        <f t="shared" si="8"/>
        <v xml:space="preserve">k]Daf </v>
      </c>
      <c r="E115" s="13" t="str">
        <f t="shared" si="10"/>
        <v>z]kf{</v>
      </c>
      <c r="F115" s="21" t="s">
        <v>233</v>
      </c>
      <c r="G115" s="21" t="s">
        <v>757</v>
      </c>
      <c r="H115" s="21">
        <f t="shared" si="7"/>
        <v>69</v>
      </c>
      <c r="I115" s="21"/>
      <c r="J115" s="21" t="s">
        <v>905</v>
      </c>
      <c r="K115" s="21">
        <f t="shared" si="6"/>
        <v>164</v>
      </c>
      <c r="L115" s="21"/>
      <c r="M115" s="15">
        <f t="shared" si="9"/>
        <v>26.268493150684932</v>
      </c>
      <c r="N115" s="15"/>
      <c r="O115" s="15"/>
      <c r="P115" s="15"/>
      <c r="Q115" s="15"/>
      <c r="R115" s="16"/>
      <c r="S115" s="16"/>
      <c r="T115" s="16"/>
      <c r="U115" s="16"/>
      <c r="V115" s="5">
        <v>57369</v>
      </c>
      <c r="W115" s="5">
        <v>66957</v>
      </c>
      <c r="Y115" s="5"/>
    </row>
    <row r="116" spans="1:32" ht="18" x14ac:dyDescent="0.35">
      <c r="A116" s="6"/>
      <c r="C116" s="13" t="s">
        <v>726</v>
      </c>
      <c r="D116" s="13" t="str">
        <f t="shared" si="8"/>
        <v xml:space="preserve">kf;fª </v>
      </c>
      <c r="E116" s="13" t="str">
        <f t="shared" si="10"/>
        <v>z]kf{</v>
      </c>
      <c r="F116" s="21" t="s">
        <v>234</v>
      </c>
      <c r="G116" s="21" t="s">
        <v>757</v>
      </c>
      <c r="H116" s="21">
        <f t="shared" si="7"/>
        <v>54</v>
      </c>
      <c r="I116" s="21"/>
      <c r="J116" s="21" t="s">
        <v>905</v>
      </c>
      <c r="K116" s="21">
        <f t="shared" si="6"/>
        <v>107</v>
      </c>
      <c r="L116" s="21"/>
      <c r="M116" s="15">
        <f t="shared" si="9"/>
        <v>22.457534246575342</v>
      </c>
      <c r="N116" s="15"/>
      <c r="O116" s="15"/>
      <c r="P116" s="15"/>
      <c r="Q116" s="15"/>
      <c r="R116" s="16"/>
      <c r="S116" s="16"/>
      <c r="T116" s="16"/>
      <c r="U116" s="16"/>
      <c r="V116" s="5">
        <v>58760</v>
      </c>
      <c r="W116" s="5">
        <v>66957</v>
      </c>
      <c r="Y116" s="5"/>
    </row>
    <row r="117" spans="1:32" ht="18" x14ac:dyDescent="0.35">
      <c r="A117" s="6">
        <v>34</v>
      </c>
      <c r="B117" t="s">
        <v>35</v>
      </c>
      <c r="C117" s="13" t="s">
        <v>445</v>
      </c>
      <c r="D117" s="13" t="str">
        <f t="shared" si="8"/>
        <v xml:space="preserve">lszg </v>
      </c>
      <c r="E117" s="13" t="str">
        <f t="shared" si="10"/>
        <v>wfdL</v>
      </c>
      <c r="F117" s="21" t="s">
        <v>233</v>
      </c>
      <c r="G117" s="21" t="s">
        <v>756</v>
      </c>
      <c r="H117" s="21">
        <f t="shared" si="7"/>
        <v>99</v>
      </c>
      <c r="I117" s="21"/>
      <c r="J117" s="21" t="s">
        <v>905</v>
      </c>
      <c r="K117" s="21">
        <f t="shared" si="6"/>
        <v>164</v>
      </c>
      <c r="L117" s="21"/>
      <c r="M117" s="15">
        <f t="shared" si="9"/>
        <v>42.975342465753428</v>
      </c>
      <c r="N117" s="15"/>
      <c r="O117" s="15"/>
      <c r="P117" s="15"/>
      <c r="Q117" s="15"/>
      <c r="R117" s="16">
        <v>0</v>
      </c>
      <c r="S117" s="16">
        <v>3</v>
      </c>
      <c r="T117" s="16">
        <v>0</v>
      </c>
      <c r="U117" s="16">
        <v>0</v>
      </c>
      <c r="V117" s="5">
        <v>51271</v>
      </c>
      <c r="W117" s="5">
        <v>66957</v>
      </c>
      <c r="Y117" s="5">
        <v>66132</v>
      </c>
      <c r="Z117" s="2" t="s">
        <v>2</v>
      </c>
      <c r="AA117" s="2">
        <v>4</v>
      </c>
      <c r="AB117" s="2">
        <v>2</v>
      </c>
      <c r="AC117" s="2">
        <v>2</v>
      </c>
      <c r="AD117" t="s">
        <v>242</v>
      </c>
      <c r="AE117" t="s">
        <v>287</v>
      </c>
      <c r="AF117" t="s">
        <v>245</v>
      </c>
    </row>
    <row r="118" spans="1:32" ht="18" x14ac:dyDescent="0.35">
      <c r="A118" s="6"/>
      <c r="C118" s="13" t="s">
        <v>446</v>
      </c>
      <c r="D118" s="13" t="str">
        <f t="shared" si="8"/>
        <v xml:space="preserve">hd'gf </v>
      </c>
      <c r="E118" s="13" t="str">
        <f t="shared" si="10"/>
        <v>wfdL</v>
      </c>
      <c r="F118" s="21" t="s">
        <v>234</v>
      </c>
      <c r="G118" s="21" t="s">
        <v>756</v>
      </c>
      <c r="H118" s="21">
        <f t="shared" si="7"/>
        <v>102</v>
      </c>
      <c r="I118" s="21"/>
      <c r="J118" s="21" t="s">
        <v>905</v>
      </c>
      <c r="K118" s="21">
        <f t="shared" si="6"/>
        <v>107</v>
      </c>
      <c r="L118" s="21"/>
      <c r="M118" s="15">
        <f t="shared" si="9"/>
        <v>40.178082191780824</v>
      </c>
      <c r="N118" s="15"/>
      <c r="O118" s="15"/>
      <c r="P118" s="15"/>
      <c r="Q118" s="15"/>
      <c r="R118" s="16"/>
      <c r="S118" s="16"/>
      <c r="T118" s="16"/>
      <c r="U118" s="16"/>
      <c r="V118" s="5">
        <v>52292</v>
      </c>
      <c r="W118" s="5">
        <v>66957</v>
      </c>
      <c r="Y118" s="5"/>
    </row>
    <row r="119" spans="1:32" ht="18" x14ac:dyDescent="0.35">
      <c r="A119" s="6"/>
      <c r="C119" s="13" t="s">
        <v>447</v>
      </c>
      <c r="D119" s="13" t="str">
        <f t="shared" si="8"/>
        <v xml:space="preserve">s[:6Lgf </v>
      </c>
      <c r="E119" s="13" t="str">
        <f t="shared" si="10"/>
        <v>wfdL</v>
      </c>
      <c r="F119" s="21" t="s">
        <v>234</v>
      </c>
      <c r="G119" s="21" t="s">
        <v>757</v>
      </c>
      <c r="H119" s="21">
        <f t="shared" si="7"/>
        <v>54</v>
      </c>
      <c r="I119" s="21"/>
      <c r="J119" s="21" t="s">
        <v>905</v>
      </c>
      <c r="K119" s="21">
        <f t="shared" si="6"/>
        <v>107</v>
      </c>
      <c r="L119" s="21"/>
      <c r="M119" s="15">
        <f t="shared" si="9"/>
        <v>18.315068493150687</v>
      </c>
      <c r="N119" s="15"/>
      <c r="O119" s="15"/>
      <c r="P119" s="15"/>
      <c r="Q119" s="15"/>
      <c r="R119" s="16"/>
      <c r="S119" s="16"/>
      <c r="T119" s="16"/>
      <c r="U119" s="16"/>
      <c r="V119" s="5">
        <v>60272</v>
      </c>
      <c r="W119" s="5">
        <v>66957</v>
      </c>
      <c r="Y119" s="5"/>
    </row>
    <row r="120" spans="1:32" ht="18" x14ac:dyDescent="0.35">
      <c r="A120" s="6"/>
      <c r="C120" s="13" t="s">
        <v>448</v>
      </c>
      <c r="D120" s="13" t="str">
        <f t="shared" si="8"/>
        <v xml:space="preserve">s|Lhg </v>
      </c>
      <c r="E120" s="13" t="str">
        <f t="shared" si="10"/>
        <v>wfdL</v>
      </c>
      <c r="F120" s="21" t="s">
        <v>233</v>
      </c>
      <c r="G120" s="21" t="s">
        <v>757</v>
      </c>
      <c r="H120" s="21">
        <f t="shared" si="7"/>
        <v>69</v>
      </c>
      <c r="I120" s="21"/>
      <c r="J120" s="21" t="s">
        <v>905</v>
      </c>
      <c r="K120" s="21">
        <f t="shared" si="6"/>
        <v>164</v>
      </c>
      <c r="L120" s="21"/>
      <c r="M120" s="15">
        <f t="shared" si="9"/>
        <v>14.224657534246575</v>
      </c>
      <c r="N120" s="15"/>
      <c r="O120" s="15"/>
      <c r="P120" s="15"/>
      <c r="Q120" s="15"/>
      <c r="R120" s="16"/>
      <c r="S120" s="16"/>
      <c r="T120" s="16"/>
      <c r="U120" s="16"/>
      <c r="V120" s="5">
        <v>61765</v>
      </c>
      <c r="W120" s="5">
        <v>66957</v>
      </c>
      <c r="Y120" s="5"/>
    </row>
    <row r="121" spans="1:32" ht="18" x14ac:dyDescent="0.35">
      <c r="A121" s="6">
        <v>35</v>
      </c>
      <c r="B121" t="s">
        <v>36</v>
      </c>
      <c r="C121" s="13" t="s">
        <v>449</v>
      </c>
      <c r="D121" s="13" t="str">
        <f t="shared" si="8"/>
        <v xml:space="preserve">lhjg </v>
      </c>
      <c r="E121" s="13" t="str">
        <f t="shared" si="10"/>
        <v>v8\sf</v>
      </c>
      <c r="F121" s="21" t="s">
        <v>233</v>
      </c>
      <c r="G121" s="21" t="s">
        <v>756</v>
      </c>
      <c r="H121" s="21">
        <f t="shared" si="7"/>
        <v>99</v>
      </c>
      <c r="I121" s="21"/>
      <c r="J121" s="21" t="s">
        <v>905</v>
      </c>
      <c r="K121" s="21">
        <f t="shared" si="6"/>
        <v>164</v>
      </c>
      <c r="L121" s="21"/>
      <c r="M121" s="15">
        <f t="shared" si="9"/>
        <v>36.038356164383565</v>
      </c>
      <c r="N121" s="15"/>
      <c r="O121" s="15"/>
      <c r="P121" s="15"/>
      <c r="Q121" s="15"/>
      <c r="R121" s="16">
        <v>0</v>
      </c>
      <c r="S121" s="16">
        <v>8</v>
      </c>
      <c r="T121" s="16">
        <v>4</v>
      </c>
      <c r="U121" s="16">
        <v>3</v>
      </c>
      <c r="V121" s="5">
        <v>53803</v>
      </c>
      <c r="W121" s="5">
        <v>66957</v>
      </c>
      <c r="Y121" s="5">
        <v>66127</v>
      </c>
      <c r="Z121" s="2" t="s">
        <v>2</v>
      </c>
      <c r="AA121" s="2">
        <v>4</v>
      </c>
      <c r="AB121" s="2">
        <v>2</v>
      </c>
      <c r="AC121" s="2">
        <v>2</v>
      </c>
      <c r="AD121" t="s">
        <v>242</v>
      </c>
      <c r="AE121" t="s">
        <v>275</v>
      </c>
      <c r="AF121" t="s">
        <v>245</v>
      </c>
    </row>
    <row r="122" spans="1:32" ht="18" x14ac:dyDescent="0.35">
      <c r="A122" s="6"/>
      <c r="C122" s="13" t="s">
        <v>450</v>
      </c>
      <c r="D122" s="13" t="str">
        <f t="shared" si="8"/>
        <v xml:space="preserve">nIdL </v>
      </c>
      <c r="E122" s="13" t="str">
        <f t="shared" si="10"/>
        <v>a/fn</v>
      </c>
      <c r="F122" s="21" t="s">
        <v>234</v>
      </c>
      <c r="G122" s="21" t="s">
        <v>756</v>
      </c>
      <c r="H122" s="21">
        <f t="shared" si="7"/>
        <v>102</v>
      </c>
      <c r="I122" s="21"/>
      <c r="J122" s="21" t="s">
        <v>905</v>
      </c>
      <c r="K122" s="21">
        <f t="shared" si="6"/>
        <v>107</v>
      </c>
      <c r="L122" s="21"/>
      <c r="M122" s="15">
        <f t="shared" si="9"/>
        <v>37.769863013698632</v>
      </c>
      <c r="N122" s="15"/>
      <c r="O122" s="15"/>
      <c r="P122" s="15"/>
      <c r="Q122" s="15"/>
      <c r="R122" s="16"/>
      <c r="S122" s="16"/>
      <c r="T122" s="16"/>
      <c r="U122" s="16"/>
      <c r="V122" s="5">
        <v>53171</v>
      </c>
      <c r="W122" s="5">
        <v>66957</v>
      </c>
      <c r="Y122" s="5"/>
    </row>
    <row r="123" spans="1:32" ht="18" x14ac:dyDescent="0.35">
      <c r="A123" s="6"/>
      <c r="C123" s="13" t="s">
        <v>451</v>
      </c>
      <c r="D123" s="13" t="str">
        <f t="shared" si="8"/>
        <v xml:space="preserve">cfo"w </v>
      </c>
      <c r="E123" s="13" t="str">
        <f t="shared" si="10"/>
        <v>v8\sf</v>
      </c>
      <c r="F123" s="21" t="s">
        <v>233</v>
      </c>
      <c r="G123" s="21" t="s">
        <v>757</v>
      </c>
      <c r="H123" s="21">
        <f t="shared" si="7"/>
        <v>69</v>
      </c>
      <c r="I123" s="21"/>
      <c r="J123" s="21" t="s">
        <v>905</v>
      </c>
      <c r="K123" s="21">
        <f t="shared" si="6"/>
        <v>164</v>
      </c>
      <c r="L123" s="21"/>
      <c r="M123" s="15">
        <f t="shared" si="9"/>
        <v>11.473972602739726</v>
      </c>
      <c r="N123" s="15"/>
      <c r="O123" s="15"/>
      <c r="P123" s="15"/>
      <c r="Q123" s="15"/>
      <c r="R123" s="16"/>
      <c r="S123" s="16"/>
      <c r="T123" s="16"/>
      <c r="U123" s="16"/>
      <c r="V123" s="5">
        <v>62769</v>
      </c>
      <c r="W123" s="5">
        <v>66957</v>
      </c>
      <c r="Y123" s="5"/>
    </row>
    <row r="124" spans="1:32" ht="18" x14ac:dyDescent="0.35">
      <c r="A124" s="6"/>
      <c r="C124" s="13" t="s">
        <v>452</v>
      </c>
      <c r="D124" s="13" t="str">
        <f t="shared" si="8"/>
        <v xml:space="preserve">cdfo/f </v>
      </c>
      <c r="E124" s="13" t="str">
        <f t="shared" si="10"/>
        <v>v8\sf</v>
      </c>
      <c r="F124" s="21" t="s">
        <v>234</v>
      </c>
      <c r="G124" s="21" t="s">
        <v>748</v>
      </c>
      <c r="H124" s="21" t="b">
        <f t="shared" si="7"/>
        <v>0</v>
      </c>
      <c r="I124" s="21"/>
      <c r="J124" s="21" t="s">
        <v>905</v>
      </c>
      <c r="K124" s="21">
        <f t="shared" si="6"/>
        <v>107</v>
      </c>
      <c r="L124" s="21"/>
      <c r="M124" s="15">
        <f t="shared" si="9"/>
        <v>6.558904109589041</v>
      </c>
      <c r="N124" s="15"/>
      <c r="O124" s="15"/>
      <c r="P124" s="15"/>
      <c r="Q124" s="15"/>
      <c r="R124" s="16"/>
      <c r="S124" s="16"/>
      <c r="T124" s="16"/>
      <c r="U124" s="16"/>
      <c r="V124" s="5">
        <v>64563</v>
      </c>
      <c r="W124" s="5">
        <v>66957</v>
      </c>
      <c r="Y124" s="5"/>
    </row>
    <row r="125" spans="1:32" ht="18" x14ac:dyDescent="0.35">
      <c r="A125" s="6">
        <v>36</v>
      </c>
      <c r="B125" t="s">
        <v>37</v>
      </c>
      <c r="C125" s="13" t="s">
        <v>453</v>
      </c>
      <c r="D125" s="13" t="str">
        <f t="shared" si="8"/>
        <v xml:space="preserve">s'df/ </v>
      </c>
      <c r="E125" s="13" t="str">
        <f t="shared" si="10"/>
        <v>sF'j/</v>
      </c>
      <c r="F125" s="21" t="s">
        <v>233</v>
      </c>
      <c r="G125" s="21" t="s">
        <v>756</v>
      </c>
      <c r="H125" s="21">
        <f t="shared" si="7"/>
        <v>99</v>
      </c>
      <c r="I125" s="21"/>
      <c r="J125" s="21" t="s">
        <v>905</v>
      </c>
      <c r="K125" s="21">
        <f t="shared" si="6"/>
        <v>164</v>
      </c>
      <c r="L125" s="21"/>
      <c r="M125" s="15">
        <f t="shared" si="9"/>
        <v>45.336986301369862</v>
      </c>
      <c r="N125" s="15"/>
      <c r="O125" s="15"/>
      <c r="P125" s="15"/>
      <c r="Q125" s="15"/>
      <c r="R125" s="16" t="s">
        <v>748</v>
      </c>
      <c r="S125" s="16" t="s">
        <v>748</v>
      </c>
      <c r="T125" s="16" t="s">
        <v>748</v>
      </c>
      <c r="U125" s="16" t="s">
        <v>748</v>
      </c>
      <c r="V125" s="5">
        <v>50409</v>
      </c>
      <c r="W125" s="5">
        <v>66957</v>
      </c>
      <c r="Y125" s="5">
        <v>66121</v>
      </c>
      <c r="Z125" s="2" t="s">
        <v>2</v>
      </c>
      <c r="AA125" s="2">
        <v>4</v>
      </c>
      <c r="AB125" s="2">
        <v>1</v>
      </c>
      <c r="AC125" s="2">
        <v>3</v>
      </c>
      <c r="AD125" t="s">
        <v>242</v>
      </c>
      <c r="AE125" t="s">
        <v>290</v>
      </c>
      <c r="AF125" t="s">
        <v>245</v>
      </c>
    </row>
    <row r="126" spans="1:32" ht="18" x14ac:dyDescent="0.35">
      <c r="A126" s="6"/>
      <c r="C126" s="13" t="s">
        <v>454</v>
      </c>
      <c r="D126" s="13" t="str">
        <f t="shared" si="8"/>
        <v xml:space="preserve">:j:tLsf </v>
      </c>
      <c r="E126" s="13" t="str">
        <f t="shared" si="10"/>
        <v>sF'j/</v>
      </c>
      <c r="F126" s="21" t="s">
        <v>234</v>
      </c>
      <c r="G126" s="21" t="s">
        <v>757</v>
      </c>
      <c r="H126" s="21">
        <f t="shared" si="7"/>
        <v>54</v>
      </c>
      <c r="I126" s="21"/>
      <c r="J126" s="21" t="s">
        <v>905</v>
      </c>
      <c r="K126" s="21">
        <f t="shared" si="6"/>
        <v>107</v>
      </c>
      <c r="L126" s="21"/>
      <c r="M126" s="15">
        <f t="shared" si="9"/>
        <v>19.098630136986301</v>
      </c>
      <c r="N126" s="15"/>
      <c r="O126" s="15"/>
      <c r="P126" s="15"/>
      <c r="Q126" s="15"/>
      <c r="R126" s="16"/>
      <c r="S126" s="16"/>
      <c r="T126" s="16"/>
      <c r="U126" s="16"/>
      <c r="V126" s="5">
        <v>59986</v>
      </c>
      <c r="W126" s="5">
        <v>66957</v>
      </c>
      <c r="Y126" s="5"/>
    </row>
    <row r="127" spans="1:32" ht="18" x14ac:dyDescent="0.35">
      <c r="A127" s="6"/>
      <c r="C127" s="13" t="s">
        <v>455</v>
      </c>
      <c r="D127" s="13" t="str">
        <f t="shared" si="8"/>
        <v xml:space="preserve">;/:jtL </v>
      </c>
      <c r="E127" s="13" t="str">
        <f t="shared" si="10"/>
        <v>sF'j/</v>
      </c>
      <c r="F127" s="21" t="s">
        <v>234</v>
      </c>
      <c r="G127" s="21" t="s">
        <v>756</v>
      </c>
      <c r="H127" s="21">
        <f t="shared" si="7"/>
        <v>102</v>
      </c>
      <c r="I127" s="21"/>
      <c r="J127" s="21" t="s">
        <v>906</v>
      </c>
      <c r="K127" s="21">
        <f t="shared" si="6"/>
        <v>53</v>
      </c>
      <c r="L127" s="21"/>
      <c r="M127" s="15">
        <f t="shared" si="9"/>
        <v>40.090410958904108</v>
      </c>
      <c r="N127" s="15"/>
      <c r="O127" s="15"/>
      <c r="P127" s="15"/>
      <c r="Q127" s="15"/>
      <c r="R127" s="16"/>
      <c r="S127" s="16"/>
      <c r="T127" s="16"/>
      <c r="U127" s="16"/>
      <c r="V127" s="5">
        <v>52324</v>
      </c>
      <c r="W127" s="5">
        <v>66957</v>
      </c>
      <c r="Y127" s="5"/>
    </row>
    <row r="128" spans="1:32" ht="18" x14ac:dyDescent="0.35">
      <c r="A128" s="6"/>
      <c r="C128" s="13" t="s">
        <v>456</v>
      </c>
      <c r="D128" s="13" t="str">
        <f t="shared" si="8"/>
        <v xml:space="preserve">;'eb|f </v>
      </c>
      <c r="E128" s="13" t="str">
        <f t="shared" si="10"/>
        <v>sF'j/</v>
      </c>
      <c r="F128" s="21" t="s">
        <v>234</v>
      </c>
      <c r="G128" s="21" t="s">
        <v>757</v>
      </c>
      <c r="H128" s="21">
        <f t="shared" si="7"/>
        <v>54</v>
      </c>
      <c r="I128" s="21"/>
      <c r="J128" s="21" t="s">
        <v>905</v>
      </c>
      <c r="K128" s="21">
        <f t="shared" si="6"/>
        <v>107</v>
      </c>
      <c r="L128" s="21"/>
      <c r="M128" s="15">
        <f t="shared" si="9"/>
        <v>22.065753424657533</v>
      </c>
      <c r="N128" s="15"/>
      <c r="O128" s="15"/>
      <c r="P128" s="15"/>
      <c r="Q128" s="15"/>
      <c r="R128" s="16"/>
      <c r="S128" s="16"/>
      <c r="T128" s="16"/>
      <c r="U128" s="16"/>
      <c r="V128" s="5">
        <v>58903</v>
      </c>
      <c r="W128" s="5">
        <v>66957</v>
      </c>
      <c r="Y128" s="5"/>
    </row>
    <row r="129" spans="1:32" ht="18" x14ac:dyDescent="0.35">
      <c r="A129" s="6">
        <v>38</v>
      </c>
      <c r="B129" t="s">
        <v>39</v>
      </c>
      <c r="C129" s="13" t="s">
        <v>461</v>
      </c>
      <c r="D129" s="13" t="str">
        <f t="shared" si="8"/>
        <v xml:space="preserve">a]b </v>
      </c>
      <c r="E129" s="13" t="str">
        <f t="shared" si="10"/>
        <v>&gt;]i7</v>
      </c>
      <c r="F129" s="21" t="s">
        <v>233</v>
      </c>
      <c r="G129" s="21" t="s">
        <v>756</v>
      </c>
      <c r="H129" s="21">
        <f t="shared" si="7"/>
        <v>99</v>
      </c>
      <c r="I129" s="21"/>
      <c r="J129" s="21" t="s">
        <v>905</v>
      </c>
      <c r="K129" s="21">
        <f t="shared" si="6"/>
        <v>164</v>
      </c>
      <c r="L129" s="21"/>
      <c r="M129" s="15">
        <f t="shared" si="9"/>
        <v>43.81095890410959</v>
      </c>
      <c r="N129" s="15"/>
      <c r="O129" s="15"/>
      <c r="P129" s="15"/>
      <c r="Q129" s="15"/>
      <c r="R129" s="16">
        <v>0</v>
      </c>
      <c r="S129" s="16">
        <v>3</v>
      </c>
      <c r="T129" s="16">
        <v>1</v>
      </c>
      <c r="U129" s="16">
        <v>0</v>
      </c>
      <c r="V129" s="5">
        <v>50966</v>
      </c>
      <c r="W129" s="5">
        <v>66957</v>
      </c>
      <c r="Y129" s="5">
        <v>66029</v>
      </c>
      <c r="Z129" s="2" t="s">
        <v>2</v>
      </c>
      <c r="AA129" s="2">
        <v>3</v>
      </c>
      <c r="AB129" s="2">
        <v>1</v>
      </c>
      <c r="AC129" s="2">
        <v>2</v>
      </c>
      <c r="AD129" t="s">
        <v>242</v>
      </c>
      <c r="AE129" t="s">
        <v>255</v>
      </c>
      <c r="AF129" t="s">
        <v>245</v>
      </c>
    </row>
    <row r="130" spans="1:32" ht="18" x14ac:dyDescent="0.35">
      <c r="A130" s="6"/>
      <c r="C130" s="13" t="s">
        <v>462</v>
      </c>
      <c r="D130" s="13" t="str">
        <f t="shared" si="8"/>
        <v xml:space="preserve">l/tf </v>
      </c>
      <c r="E130" s="13" t="str">
        <f t="shared" si="10"/>
        <v>clwsf/L</v>
      </c>
      <c r="F130" s="21" t="s">
        <v>234</v>
      </c>
      <c r="G130" s="21" t="s">
        <v>756</v>
      </c>
      <c r="H130" s="21">
        <f t="shared" si="7"/>
        <v>102</v>
      </c>
      <c r="I130" s="21"/>
      <c r="J130" s="21" t="s">
        <v>905</v>
      </c>
      <c r="K130" s="21">
        <f t="shared" si="6"/>
        <v>107</v>
      </c>
      <c r="L130" s="21"/>
      <c r="M130" s="15">
        <f t="shared" si="9"/>
        <v>41.961643835616435</v>
      </c>
      <c r="N130" s="15"/>
      <c r="O130" s="15"/>
      <c r="P130" s="15"/>
      <c r="Q130" s="15"/>
      <c r="R130" s="16"/>
      <c r="S130" s="16"/>
      <c r="T130" s="16"/>
      <c r="U130" s="16"/>
      <c r="V130" s="5">
        <v>51641</v>
      </c>
      <c r="W130" s="5">
        <v>66957</v>
      </c>
      <c r="Y130" s="5"/>
    </row>
    <row r="131" spans="1:32" ht="18" x14ac:dyDescent="0.35">
      <c r="A131" s="6"/>
      <c r="C131" s="13" t="s">
        <v>463</v>
      </c>
      <c r="D131" s="13" t="str">
        <f t="shared" si="8"/>
        <v xml:space="preserve">k|;+zf </v>
      </c>
      <c r="E131" s="13" t="str">
        <f t="shared" si="10"/>
        <v>&gt;]i7</v>
      </c>
      <c r="F131" s="21" t="s">
        <v>234</v>
      </c>
      <c r="G131" s="21" t="s">
        <v>757</v>
      </c>
      <c r="H131" s="21">
        <f t="shared" si="7"/>
        <v>54</v>
      </c>
      <c r="I131" s="21"/>
      <c r="J131" s="21" t="s">
        <v>905</v>
      </c>
      <c r="K131" s="21">
        <f t="shared" si="6"/>
        <v>107</v>
      </c>
      <c r="L131" s="21"/>
      <c r="M131" s="15">
        <f t="shared" si="9"/>
        <v>10.443835616438356</v>
      </c>
      <c r="N131" s="15"/>
      <c r="O131" s="15"/>
      <c r="P131" s="15"/>
      <c r="Q131" s="15"/>
      <c r="R131" s="16"/>
      <c r="S131" s="16"/>
      <c r="T131" s="16"/>
      <c r="U131" s="16"/>
      <c r="V131" s="5">
        <v>63145</v>
      </c>
      <c r="W131" s="5">
        <v>66957</v>
      </c>
      <c r="Y131" s="5"/>
    </row>
    <row r="132" spans="1:32" ht="18" x14ac:dyDescent="0.35">
      <c r="A132" s="6">
        <v>39</v>
      </c>
      <c r="B132" t="s">
        <v>40</v>
      </c>
      <c r="C132" s="13" t="s">
        <v>464</v>
      </c>
      <c r="D132" s="13" t="str">
        <f t="shared" si="8"/>
        <v xml:space="preserve">k|frL </v>
      </c>
      <c r="E132" s="13" t="str">
        <f t="shared" si="10"/>
        <v>clwsf/L</v>
      </c>
      <c r="F132" s="21" t="s">
        <v>234</v>
      </c>
      <c r="G132" s="21" t="s">
        <v>757</v>
      </c>
      <c r="H132" s="21">
        <f t="shared" si="7"/>
        <v>54</v>
      </c>
      <c r="I132" s="21"/>
      <c r="J132" s="21" t="s">
        <v>905</v>
      </c>
      <c r="K132" s="21">
        <f t="shared" ref="K132:K195" si="11">IF(M132&gt;=5,(COUNTIFS($J$4:$J$348,J132,$F$4:$F$348,F132)))</f>
        <v>107</v>
      </c>
      <c r="L132" s="21"/>
      <c r="M132" s="15">
        <f t="shared" si="9"/>
        <v>22.517808219178082</v>
      </c>
      <c r="N132" s="15"/>
      <c r="O132" s="15"/>
      <c r="P132" s="15"/>
      <c r="Q132" s="15"/>
      <c r="R132" s="16" t="s">
        <v>748</v>
      </c>
      <c r="S132" s="16" t="s">
        <v>748</v>
      </c>
      <c r="T132" s="16" t="s">
        <v>748</v>
      </c>
      <c r="U132" s="16" t="s">
        <v>748</v>
      </c>
      <c r="V132" s="5">
        <v>58738</v>
      </c>
      <c r="W132" s="5">
        <v>66957</v>
      </c>
      <c r="Y132" s="5">
        <v>66029</v>
      </c>
      <c r="Z132" s="2" t="s">
        <v>2</v>
      </c>
      <c r="AA132" s="2">
        <v>2</v>
      </c>
      <c r="AC132" s="2">
        <v>2</v>
      </c>
      <c r="AD132" t="s">
        <v>242</v>
      </c>
      <c r="AE132" t="s">
        <v>302</v>
      </c>
      <c r="AF132" t="s">
        <v>245</v>
      </c>
    </row>
    <row r="133" spans="1:32" ht="18" x14ac:dyDescent="0.35">
      <c r="A133" s="6"/>
      <c r="C133" s="13" t="s">
        <v>465</v>
      </c>
      <c r="D133" s="13" t="str">
        <f t="shared" si="8"/>
        <v xml:space="preserve">k|Zgf </v>
      </c>
      <c r="E133" s="13" t="str">
        <f t="shared" si="10"/>
        <v>clwsf/L</v>
      </c>
      <c r="F133" s="21" t="s">
        <v>234</v>
      </c>
      <c r="G133" s="21" t="s">
        <v>757</v>
      </c>
      <c r="H133" s="21">
        <f t="shared" ref="H133:H196" si="12">IF(M133&gt;=10,(COUNTIFS($G$4:$G$348,G133,$F$4:$F$348,F133)))</f>
        <v>54</v>
      </c>
      <c r="I133" s="21"/>
      <c r="J133" s="21" t="s">
        <v>905</v>
      </c>
      <c r="K133" s="21">
        <f t="shared" si="11"/>
        <v>107</v>
      </c>
      <c r="L133" s="21"/>
      <c r="M133" s="15">
        <f t="shared" si="9"/>
        <v>19.884931506849316</v>
      </c>
      <c r="N133" s="15"/>
      <c r="O133" s="15"/>
      <c r="P133" s="15"/>
      <c r="Q133" s="15"/>
      <c r="R133" s="16"/>
      <c r="S133" s="16"/>
      <c r="T133" s="16"/>
      <c r="U133" s="16"/>
      <c r="V133" s="5">
        <v>59699</v>
      </c>
      <c r="W133" s="5">
        <v>66957</v>
      </c>
      <c r="Y133" s="5"/>
    </row>
    <row r="134" spans="1:32" ht="18" x14ac:dyDescent="0.35">
      <c r="A134" s="6">
        <v>40</v>
      </c>
      <c r="B134" t="s">
        <v>41</v>
      </c>
      <c r="C134" s="13" t="s">
        <v>466</v>
      </c>
      <c r="D134" s="13" t="str">
        <f t="shared" si="8"/>
        <v xml:space="preserve">b'uf{ </v>
      </c>
      <c r="E134" s="13" t="str">
        <f t="shared" si="10"/>
        <v>IfqL</v>
      </c>
      <c r="F134" s="21" t="s">
        <v>233</v>
      </c>
      <c r="G134" s="21" t="s">
        <v>756</v>
      </c>
      <c r="H134" s="21">
        <f t="shared" si="12"/>
        <v>99</v>
      </c>
      <c r="I134" s="21"/>
      <c r="J134" s="21" t="s">
        <v>906</v>
      </c>
      <c r="K134" s="21">
        <f t="shared" si="11"/>
        <v>11</v>
      </c>
      <c r="L134" s="21"/>
      <c r="M134" s="15">
        <f t="shared" si="9"/>
        <v>75.904109589041099</v>
      </c>
      <c r="N134" s="15"/>
      <c r="O134" s="15"/>
      <c r="P134" s="15"/>
      <c r="Q134" s="15"/>
      <c r="R134" s="16" t="s">
        <v>748</v>
      </c>
      <c r="S134" s="16" t="s">
        <v>748</v>
      </c>
      <c r="T134" s="16" t="s">
        <v>748</v>
      </c>
      <c r="U134" s="16" t="s">
        <v>748</v>
      </c>
      <c r="V134" s="5">
        <v>39252</v>
      </c>
      <c r="W134" s="5">
        <v>66957</v>
      </c>
      <c r="Y134" s="5">
        <v>66021</v>
      </c>
      <c r="Z134" s="2" t="s">
        <v>2</v>
      </c>
      <c r="AA134" s="2">
        <v>4</v>
      </c>
      <c r="AB134" s="2">
        <v>2</v>
      </c>
      <c r="AC134" s="2">
        <v>2</v>
      </c>
      <c r="AD134" t="s">
        <v>242</v>
      </c>
      <c r="AE134" t="s">
        <v>267</v>
      </c>
      <c r="AF134" t="s">
        <v>245</v>
      </c>
    </row>
    <row r="135" spans="1:32" ht="18" x14ac:dyDescent="0.35">
      <c r="A135" s="6"/>
      <c r="C135" s="13" t="s">
        <v>467</v>
      </c>
      <c r="D135" s="13" t="str">
        <f t="shared" ref="D135:D198" si="13">LEFT(C135,(FIND(" ",C135)))</f>
        <v xml:space="preserve">cf;f </v>
      </c>
      <c r="E135" s="13" t="str">
        <f t="shared" si="10"/>
        <v>IfqL</v>
      </c>
      <c r="F135" s="21" t="s">
        <v>234</v>
      </c>
      <c r="G135" s="21" t="s">
        <v>756</v>
      </c>
      <c r="H135" s="21">
        <f t="shared" si="12"/>
        <v>102</v>
      </c>
      <c r="I135" s="21"/>
      <c r="J135" s="21" t="s">
        <v>906</v>
      </c>
      <c r="K135" s="21">
        <f t="shared" si="11"/>
        <v>53</v>
      </c>
      <c r="L135" s="21"/>
      <c r="M135" s="15">
        <f t="shared" ref="M135:M198" si="14">(W135-V135)/365</f>
        <v>59.041095890410958</v>
      </c>
      <c r="N135" s="15"/>
      <c r="O135" s="15"/>
      <c r="P135" s="15"/>
      <c r="Q135" s="15"/>
      <c r="R135" s="16"/>
      <c r="S135" s="16"/>
      <c r="T135" s="16"/>
      <c r="U135" s="16"/>
      <c r="V135" s="5">
        <v>45407</v>
      </c>
      <c r="W135" s="5">
        <v>66957</v>
      </c>
      <c r="Y135" s="5"/>
    </row>
    <row r="136" spans="1:32" ht="18" x14ac:dyDescent="0.35">
      <c r="A136" s="6"/>
      <c r="C136" s="13" t="s">
        <v>468</v>
      </c>
      <c r="D136" s="13" t="str">
        <f t="shared" si="13"/>
        <v xml:space="preserve">/fx'n </v>
      </c>
      <c r="E136" s="13" t="str">
        <f t="shared" ref="E136:E199" si="15">TRIM(RIGHT(SUBSTITUTE(C136," ",REPT(" ",255)),255))</f>
        <v>IfqL</v>
      </c>
      <c r="F136" s="21" t="s">
        <v>233</v>
      </c>
      <c r="G136" s="21" t="s">
        <v>756</v>
      </c>
      <c r="H136" s="21">
        <f t="shared" si="12"/>
        <v>99</v>
      </c>
      <c r="I136" s="21"/>
      <c r="J136" s="21" t="s">
        <v>905</v>
      </c>
      <c r="K136" s="21">
        <f t="shared" si="11"/>
        <v>164</v>
      </c>
      <c r="L136" s="21"/>
      <c r="M136" s="15">
        <f t="shared" si="14"/>
        <v>42.38356164383562</v>
      </c>
      <c r="N136" s="15"/>
      <c r="O136" s="15"/>
      <c r="P136" s="15"/>
      <c r="Q136" s="15"/>
      <c r="R136" s="16"/>
      <c r="S136" s="16"/>
      <c r="T136" s="16"/>
      <c r="U136" s="16"/>
      <c r="V136" s="5">
        <v>51487</v>
      </c>
      <c r="W136" s="5">
        <v>66957</v>
      </c>
      <c r="Y136" s="5"/>
    </row>
    <row r="137" spans="1:32" ht="18" x14ac:dyDescent="0.35">
      <c r="A137" s="6"/>
      <c r="C137" s="13" t="s">
        <v>469</v>
      </c>
      <c r="D137" s="13" t="str">
        <f t="shared" si="13"/>
        <v xml:space="preserve">b]asL </v>
      </c>
      <c r="E137" s="13" t="str">
        <f t="shared" si="15"/>
        <v>s]=;L</v>
      </c>
      <c r="F137" s="21" t="s">
        <v>234</v>
      </c>
      <c r="G137" s="21" t="s">
        <v>756</v>
      </c>
      <c r="H137" s="21">
        <f t="shared" si="12"/>
        <v>102</v>
      </c>
      <c r="I137" s="21"/>
      <c r="J137" s="21" t="s">
        <v>905</v>
      </c>
      <c r="K137" s="21">
        <f t="shared" si="11"/>
        <v>107</v>
      </c>
      <c r="L137" s="21"/>
      <c r="M137" s="15">
        <f t="shared" si="14"/>
        <v>42.158904109589038</v>
      </c>
      <c r="N137" s="15"/>
      <c r="O137" s="15"/>
      <c r="P137" s="15"/>
      <c r="Q137" s="15"/>
      <c r="R137" s="16"/>
      <c r="S137" s="16"/>
      <c r="T137" s="16"/>
      <c r="U137" s="16"/>
      <c r="V137" s="5">
        <v>51569</v>
      </c>
      <c r="W137" s="5">
        <v>66957</v>
      </c>
      <c r="Y137" s="5"/>
    </row>
    <row r="138" spans="1:32" ht="18" x14ac:dyDescent="0.35">
      <c r="A138" s="6">
        <v>42</v>
      </c>
      <c r="B138" t="s">
        <v>43</v>
      </c>
      <c r="C138" s="14" t="s">
        <v>739</v>
      </c>
      <c r="D138" s="13" t="str">
        <f t="shared" si="13"/>
        <v xml:space="preserve">&gt;LdtL </v>
      </c>
      <c r="E138" s="13" t="str">
        <f t="shared" si="15"/>
        <v>lh;L</v>
      </c>
      <c r="F138" s="21" t="s">
        <v>234</v>
      </c>
      <c r="G138" s="21" t="s">
        <v>756</v>
      </c>
      <c r="H138" s="21">
        <f t="shared" si="12"/>
        <v>102</v>
      </c>
      <c r="I138" s="21"/>
      <c r="J138" s="21" t="s">
        <v>906</v>
      </c>
      <c r="K138" s="21">
        <f t="shared" si="11"/>
        <v>53</v>
      </c>
      <c r="L138" s="21"/>
      <c r="M138" s="15">
        <f t="shared" si="14"/>
        <v>55.052054794520551</v>
      </c>
      <c r="N138" s="15"/>
      <c r="O138" s="15"/>
      <c r="P138" s="15"/>
      <c r="Q138" s="15"/>
      <c r="R138" s="16" t="s">
        <v>748</v>
      </c>
      <c r="S138" s="16" t="s">
        <v>748</v>
      </c>
      <c r="T138" s="16" t="s">
        <v>748</v>
      </c>
      <c r="U138" s="16" t="s">
        <v>748</v>
      </c>
      <c r="V138" s="5">
        <v>46863</v>
      </c>
      <c r="W138" s="5">
        <v>66957</v>
      </c>
      <c r="Y138" s="5">
        <v>65972</v>
      </c>
      <c r="Z138" s="2" t="s">
        <v>2</v>
      </c>
      <c r="AA138" s="2">
        <v>3</v>
      </c>
      <c r="AB138" s="2">
        <v>2</v>
      </c>
      <c r="AC138" s="2">
        <v>1</v>
      </c>
      <c r="AD138" t="s">
        <v>242</v>
      </c>
      <c r="AE138" t="s">
        <v>322</v>
      </c>
      <c r="AF138" t="s">
        <v>245</v>
      </c>
    </row>
    <row r="139" spans="1:32" ht="18" x14ac:dyDescent="0.35">
      <c r="A139" s="6"/>
      <c r="C139" s="14" t="s">
        <v>740</v>
      </c>
      <c r="D139" s="13" t="str">
        <f t="shared" si="13"/>
        <v xml:space="preserve">a'4L </v>
      </c>
      <c r="E139" s="13" t="str">
        <f t="shared" si="15"/>
        <v>lh;L</v>
      </c>
      <c r="F139" s="21" t="s">
        <v>233</v>
      </c>
      <c r="G139" s="21" t="s">
        <v>756</v>
      </c>
      <c r="H139" s="21">
        <f t="shared" si="12"/>
        <v>99</v>
      </c>
      <c r="I139" s="21"/>
      <c r="J139" s="21" t="s">
        <v>906</v>
      </c>
      <c r="K139" s="21">
        <f t="shared" si="11"/>
        <v>11</v>
      </c>
      <c r="L139" s="21"/>
      <c r="M139" s="15">
        <f t="shared" si="14"/>
        <v>60.556164383561644</v>
      </c>
      <c r="N139" s="15"/>
      <c r="O139" s="15"/>
      <c r="P139" s="15"/>
      <c r="Q139" s="15"/>
      <c r="R139" s="16"/>
      <c r="S139" s="16"/>
      <c r="T139" s="16"/>
      <c r="U139" s="16"/>
      <c r="V139" s="5">
        <v>44854</v>
      </c>
      <c r="W139" s="5">
        <v>66957</v>
      </c>
      <c r="Y139" s="5"/>
    </row>
    <row r="140" spans="1:32" ht="18" x14ac:dyDescent="0.35">
      <c r="A140" s="6"/>
      <c r="C140" s="14" t="s">
        <v>741</v>
      </c>
      <c r="D140" s="13" t="str">
        <f t="shared" si="13"/>
        <v xml:space="preserve">ldng </v>
      </c>
      <c r="E140" s="13" t="str">
        <f t="shared" si="15"/>
        <v>lh;L</v>
      </c>
      <c r="F140" s="21" t="s">
        <v>233</v>
      </c>
      <c r="G140" s="21" t="s">
        <v>756</v>
      </c>
      <c r="H140" s="21">
        <f t="shared" si="12"/>
        <v>99</v>
      </c>
      <c r="I140" s="21"/>
      <c r="J140" s="21" t="s">
        <v>905</v>
      </c>
      <c r="K140" s="21">
        <f t="shared" si="11"/>
        <v>164</v>
      </c>
      <c r="L140" s="21"/>
      <c r="M140" s="15">
        <f t="shared" si="14"/>
        <v>37.128767123287673</v>
      </c>
      <c r="N140" s="15"/>
      <c r="O140" s="15"/>
      <c r="P140" s="15"/>
      <c r="Q140" s="15"/>
      <c r="R140" s="16"/>
      <c r="S140" s="16"/>
      <c r="T140" s="16"/>
      <c r="U140" s="16"/>
      <c r="V140" s="5">
        <v>53405</v>
      </c>
      <c r="W140" s="5">
        <v>66957</v>
      </c>
      <c r="Y140" s="5"/>
    </row>
    <row r="141" spans="1:32" ht="18" x14ac:dyDescent="0.35">
      <c r="A141" s="6">
        <v>43</v>
      </c>
      <c r="B141" t="s">
        <v>44</v>
      </c>
      <c r="C141" s="14" t="s">
        <v>473</v>
      </c>
      <c r="D141" s="13" t="str">
        <f t="shared" si="13"/>
        <v xml:space="preserve">;+ho </v>
      </c>
      <c r="E141" s="13" t="str">
        <f t="shared" si="15"/>
        <v>nfdf</v>
      </c>
      <c r="F141" s="21" t="s">
        <v>233</v>
      </c>
      <c r="G141" s="21" t="s">
        <v>756</v>
      </c>
      <c r="H141" s="21">
        <f t="shared" si="12"/>
        <v>99</v>
      </c>
      <c r="I141" s="21"/>
      <c r="J141" s="21" t="s">
        <v>905</v>
      </c>
      <c r="K141" s="21">
        <f t="shared" si="11"/>
        <v>164</v>
      </c>
      <c r="L141" s="21"/>
      <c r="M141" s="15">
        <f t="shared" si="14"/>
        <v>52.079452054794523</v>
      </c>
      <c r="N141" s="15"/>
      <c r="O141" s="15"/>
      <c r="P141" s="15"/>
      <c r="Q141" s="15"/>
      <c r="R141" s="16" t="s">
        <v>748</v>
      </c>
      <c r="S141" s="16" t="s">
        <v>748</v>
      </c>
      <c r="T141" s="16" t="s">
        <v>748</v>
      </c>
      <c r="U141" s="16" t="s">
        <v>748</v>
      </c>
      <c r="V141" s="5">
        <v>47948</v>
      </c>
      <c r="W141" s="5">
        <v>66957</v>
      </c>
      <c r="X141" t="s">
        <v>115</v>
      </c>
      <c r="Y141" s="5">
        <v>65949</v>
      </c>
      <c r="Z141" s="2" t="s">
        <v>2</v>
      </c>
      <c r="AA141" s="2">
        <v>4</v>
      </c>
      <c r="AB141" s="2">
        <v>2</v>
      </c>
      <c r="AC141" s="2">
        <v>2</v>
      </c>
      <c r="AD141" t="s">
        <v>242</v>
      </c>
      <c r="AE141" t="s">
        <v>313</v>
      </c>
      <c r="AF141" t="s">
        <v>245</v>
      </c>
    </row>
    <row r="142" spans="1:32" ht="18" x14ac:dyDescent="0.35">
      <c r="A142" s="6"/>
      <c r="C142" s="14" t="s">
        <v>474</v>
      </c>
      <c r="D142" s="13" t="str">
        <f t="shared" si="13"/>
        <v xml:space="preserve">;l/tf </v>
      </c>
      <c r="E142" s="13" t="str">
        <f t="shared" si="15"/>
        <v>nfdf</v>
      </c>
      <c r="F142" s="21" t="s">
        <v>234</v>
      </c>
      <c r="G142" s="21" t="s">
        <v>756</v>
      </c>
      <c r="H142" s="21">
        <f t="shared" si="12"/>
        <v>102</v>
      </c>
      <c r="I142" s="21"/>
      <c r="J142" s="21" t="s">
        <v>906</v>
      </c>
      <c r="K142" s="21">
        <f t="shared" si="11"/>
        <v>53</v>
      </c>
      <c r="L142" s="21"/>
      <c r="M142" s="15">
        <f t="shared" si="14"/>
        <v>35.594520547945208</v>
      </c>
      <c r="N142" s="15"/>
      <c r="O142" s="15"/>
      <c r="P142" s="15"/>
      <c r="Q142" s="15"/>
      <c r="R142" s="16"/>
      <c r="S142" s="16"/>
      <c r="T142" s="16"/>
      <c r="U142" s="16"/>
      <c r="V142" s="5">
        <v>53965</v>
      </c>
      <c r="W142" s="5">
        <v>66957</v>
      </c>
      <c r="Y142" s="5"/>
    </row>
    <row r="143" spans="1:32" ht="18" x14ac:dyDescent="0.35">
      <c r="A143" s="6"/>
      <c r="C143" s="14" t="s">
        <v>475</v>
      </c>
      <c r="D143" s="13" t="str">
        <f t="shared" si="13"/>
        <v xml:space="preserve">;f]gn </v>
      </c>
      <c r="E143" s="13" t="str">
        <f t="shared" si="15"/>
        <v>nfdf</v>
      </c>
      <c r="F143" s="21" t="s">
        <v>234</v>
      </c>
      <c r="G143" s="21" t="s">
        <v>757</v>
      </c>
      <c r="H143" s="21">
        <f t="shared" si="12"/>
        <v>54</v>
      </c>
      <c r="I143" s="21"/>
      <c r="J143" s="21" t="s">
        <v>905</v>
      </c>
      <c r="K143" s="21">
        <f t="shared" si="11"/>
        <v>107</v>
      </c>
      <c r="L143" s="21"/>
      <c r="M143" s="15">
        <f t="shared" si="14"/>
        <v>14.854794520547944</v>
      </c>
      <c r="N143" s="15"/>
      <c r="O143" s="15"/>
      <c r="P143" s="15"/>
      <c r="Q143" s="15"/>
      <c r="R143" s="16"/>
      <c r="S143" s="16"/>
      <c r="T143" s="16"/>
      <c r="U143" s="16"/>
      <c r="V143" s="5">
        <v>61535</v>
      </c>
      <c r="W143" s="5">
        <v>66957</v>
      </c>
      <c r="Y143" s="5"/>
    </row>
    <row r="144" spans="1:32" ht="18" x14ac:dyDescent="0.35">
      <c r="A144" s="6"/>
      <c r="C144" s="14" t="s">
        <v>476</v>
      </c>
      <c r="D144" s="13" t="str">
        <f t="shared" si="13"/>
        <v xml:space="preserve">;fof]g </v>
      </c>
      <c r="E144" s="13" t="str">
        <f t="shared" si="15"/>
        <v>nfdf</v>
      </c>
      <c r="F144" s="21" t="s">
        <v>233</v>
      </c>
      <c r="G144" s="21" t="s">
        <v>757</v>
      </c>
      <c r="H144" s="21">
        <f t="shared" si="12"/>
        <v>69</v>
      </c>
      <c r="I144" s="21"/>
      <c r="J144" s="21" t="s">
        <v>905</v>
      </c>
      <c r="K144" s="21">
        <f t="shared" si="11"/>
        <v>164</v>
      </c>
      <c r="L144" s="21"/>
      <c r="M144" s="15">
        <f t="shared" si="14"/>
        <v>10.413698630136986</v>
      </c>
      <c r="N144" s="15"/>
      <c r="O144" s="15"/>
      <c r="P144" s="15"/>
      <c r="Q144" s="15"/>
      <c r="R144" s="16"/>
      <c r="S144" s="16"/>
      <c r="T144" s="16"/>
      <c r="U144" s="16"/>
      <c r="V144" s="5">
        <v>63156</v>
      </c>
      <c r="W144" s="5">
        <v>66957</v>
      </c>
      <c r="Y144" s="5"/>
    </row>
    <row r="145" spans="1:32" ht="18" x14ac:dyDescent="0.35">
      <c r="A145" s="6">
        <v>45</v>
      </c>
      <c r="B145" t="s">
        <v>46</v>
      </c>
      <c r="C145" s="13" t="s">
        <v>687</v>
      </c>
      <c r="D145" s="13" t="str">
        <f t="shared" si="13"/>
        <v xml:space="preserve">/Tg </v>
      </c>
      <c r="E145" s="13" t="str">
        <f t="shared" si="15"/>
        <v>&gt;]i7</v>
      </c>
      <c r="F145" s="21" t="s">
        <v>234</v>
      </c>
      <c r="G145" s="21" t="s">
        <v>756</v>
      </c>
      <c r="H145" s="21">
        <f t="shared" si="12"/>
        <v>102</v>
      </c>
      <c r="I145" s="21"/>
      <c r="J145" s="21" t="s">
        <v>906</v>
      </c>
      <c r="K145" s="21">
        <f t="shared" si="11"/>
        <v>53</v>
      </c>
      <c r="L145" s="21"/>
      <c r="M145" s="15">
        <f t="shared" si="14"/>
        <v>57.30958904109589</v>
      </c>
      <c r="N145" s="15"/>
      <c r="O145" s="15"/>
      <c r="P145" s="15"/>
      <c r="Q145" s="15"/>
      <c r="R145" s="16">
        <v>0</v>
      </c>
      <c r="S145" s="16">
        <v>4</v>
      </c>
      <c r="T145" s="16">
        <v>0</v>
      </c>
      <c r="U145" s="16">
        <v>0</v>
      </c>
      <c r="V145" s="5">
        <v>46039</v>
      </c>
      <c r="W145" s="5">
        <v>66957</v>
      </c>
      <c r="X145" t="s">
        <v>113</v>
      </c>
      <c r="Y145" s="5">
        <v>65858</v>
      </c>
      <c r="Z145" s="2" t="s">
        <v>2</v>
      </c>
      <c r="AA145" s="2">
        <v>5</v>
      </c>
      <c r="AB145" s="2">
        <v>2</v>
      </c>
      <c r="AC145" s="2">
        <v>3</v>
      </c>
      <c r="AD145" t="s">
        <v>242</v>
      </c>
      <c r="AE145" t="s">
        <v>308</v>
      </c>
      <c r="AF145" t="s">
        <v>245</v>
      </c>
    </row>
    <row r="146" spans="1:32" ht="18" x14ac:dyDescent="0.35">
      <c r="A146" s="6"/>
      <c r="C146" s="13" t="s">
        <v>728</v>
      </c>
      <c r="D146" s="13" t="str">
        <f t="shared" si="13"/>
        <v xml:space="preserve">led </v>
      </c>
      <c r="E146" s="13" t="str">
        <f t="shared" si="15"/>
        <v>&gt;]i7</v>
      </c>
      <c r="F146" s="21" t="s">
        <v>233</v>
      </c>
      <c r="G146" s="21" t="s">
        <v>756</v>
      </c>
      <c r="H146" s="21">
        <f t="shared" si="12"/>
        <v>99</v>
      </c>
      <c r="I146" s="21"/>
      <c r="J146" s="21" t="s">
        <v>905</v>
      </c>
      <c r="K146" s="21">
        <f t="shared" si="11"/>
        <v>164</v>
      </c>
      <c r="L146" s="21"/>
      <c r="M146" s="15">
        <f t="shared" si="14"/>
        <v>36.136986301369866</v>
      </c>
      <c r="N146" s="15"/>
      <c r="O146" s="15"/>
      <c r="P146" s="15"/>
      <c r="Q146" s="15"/>
      <c r="R146" s="16"/>
      <c r="S146" s="16"/>
      <c r="T146" s="16"/>
      <c r="U146" s="16"/>
      <c r="V146" s="5">
        <v>53767</v>
      </c>
      <c r="W146" s="5">
        <v>66957</v>
      </c>
      <c r="Y146" s="5"/>
    </row>
    <row r="147" spans="1:32" ht="18" x14ac:dyDescent="0.35">
      <c r="A147" s="6"/>
      <c r="C147" s="13" t="s">
        <v>729</v>
      </c>
      <c r="D147" s="13" t="str">
        <f t="shared" si="13"/>
        <v xml:space="preserve">ladnf </v>
      </c>
      <c r="E147" s="13" t="str">
        <f t="shared" si="15"/>
        <v>&gt;]i7</v>
      </c>
      <c r="F147" s="21" t="s">
        <v>234</v>
      </c>
      <c r="G147" s="21" t="s">
        <v>756</v>
      </c>
      <c r="H147" s="21">
        <f t="shared" si="12"/>
        <v>102</v>
      </c>
      <c r="I147" s="21"/>
      <c r="J147" s="21" t="s">
        <v>905</v>
      </c>
      <c r="K147" s="21">
        <f t="shared" si="11"/>
        <v>107</v>
      </c>
      <c r="L147" s="21"/>
      <c r="M147" s="15">
        <f t="shared" si="14"/>
        <v>34.665753424657531</v>
      </c>
      <c r="N147" s="15"/>
      <c r="O147" s="15"/>
      <c r="P147" s="15"/>
      <c r="Q147" s="15"/>
      <c r="R147" s="16"/>
      <c r="S147" s="16"/>
      <c r="T147" s="16"/>
      <c r="U147" s="16"/>
      <c r="V147" s="5">
        <v>54304</v>
      </c>
      <c r="W147" s="5">
        <v>66957</v>
      </c>
      <c r="Y147" s="5"/>
    </row>
    <row r="148" spans="1:32" ht="18" x14ac:dyDescent="0.35">
      <c r="A148" s="6"/>
      <c r="C148" s="13" t="s">
        <v>730</v>
      </c>
      <c r="D148" s="13" t="str">
        <f t="shared" si="13"/>
        <v xml:space="preserve">cle </v>
      </c>
      <c r="E148" s="13" t="str">
        <f t="shared" si="15"/>
        <v>&gt;]i7</v>
      </c>
      <c r="F148" s="21" t="s">
        <v>233</v>
      </c>
      <c r="G148" s="21" t="s">
        <v>748</v>
      </c>
      <c r="H148" s="21" t="b">
        <f t="shared" si="12"/>
        <v>0</v>
      </c>
      <c r="I148" s="21"/>
      <c r="J148" s="21" t="s">
        <v>905</v>
      </c>
      <c r="K148" s="21">
        <f t="shared" si="11"/>
        <v>164</v>
      </c>
      <c r="L148" s="21"/>
      <c r="M148" s="15">
        <f t="shared" si="14"/>
        <v>7.7479452054794518</v>
      </c>
      <c r="N148" s="15"/>
      <c r="O148" s="15"/>
      <c r="P148" s="15"/>
      <c r="Q148" s="15"/>
      <c r="R148" s="16"/>
      <c r="S148" s="16"/>
      <c r="T148" s="16"/>
      <c r="U148" s="16"/>
      <c r="V148" s="5">
        <v>64129</v>
      </c>
      <c r="W148" s="5">
        <v>66957</v>
      </c>
      <c r="Y148" s="5"/>
    </row>
    <row r="149" spans="1:32" ht="18" x14ac:dyDescent="0.35">
      <c r="A149" s="6"/>
      <c r="C149" s="13" t="s">
        <v>731</v>
      </c>
      <c r="D149" s="13" t="str">
        <f t="shared" si="13"/>
        <v xml:space="preserve">cfef </v>
      </c>
      <c r="E149" s="13" t="str">
        <f t="shared" si="15"/>
        <v>&gt;]i7</v>
      </c>
      <c r="F149" s="21" t="s">
        <v>234</v>
      </c>
      <c r="G149" s="21" t="s">
        <v>748</v>
      </c>
      <c r="H149" s="21" t="b">
        <f t="shared" si="12"/>
        <v>0</v>
      </c>
      <c r="I149" s="21"/>
      <c r="J149" s="21" t="s">
        <v>748</v>
      </c>
      <c r="K149" s="21" t="b">
        <f t="shared" si="11"/>
        <v>0</v>
      </c>
      <c r="L149" s="21"/>
      <c r="M149" s="15">
        <f t="shared" si="14"/>
        <v>3.7863013698630139</v>
      </c>
      <c r="N149" s="15"/>
      <c r="O149" s="15"/>
      <c r="P149" s="15"/>
      <c r="Q149" s="15"/>
      <c r="R149" s="16"/>
      <c r="S149" s="16"/>
      <c r="T149" s="16"/>
      <c r="U149" s="16"/>
      <c r="V149" s="5">
        <v>65575</v>
      </c>
      <c r="W149" s="5">
        <v>66957</v>
      </c>
      <c r="Y149" s="5"/>
    </row>
    <row r="150" spans="1:32" ht="18" x14ac:dyDescent="0.35">
      <c r="A150" s="6">
        <v>46</v>
      </c>
      <c r="B150" t="s">
        <v>47</v>
      </c>
      <c r="C150" s="13" t="s">
        <v>477</v>
      </c>
      <c r="D150" s="13" t="str">
        <f t="shared" si="13"/>
        <v xml:space="preserve">u0f]z </v>
      </c>
      <c r="E150" s="13" t="str">
        <f t="shared" si="15"/>
        <v>&gt;]i7</v>
      </c>
      <c r="F150" s="21" t="s">
        <v>233</v>
      </c>
      <c r="G150" s="21" t="s">
        <v>756</v>
      </c>
      <c r="H150" s="21">
        <f t="shared" si="12"/>
        <v>99</v>
      </c>
      <c r="I150" s="21"/>
      <c r="J150" s="21" t="s">
        <v>905</v>
      </c>
      <c r="K150" s="21">
        <f t="shared" si="11"/>
        <v>164</v>
      </c>
      <c r="L150" s="21"/>
      <c r="M150" s="15">
        <f t="shared" si="14"/>
        <v>48.841095890410962</v>
      </c>
      <c r="N150" s="15"/>
      <c r="O150" s="15"/>
      <c r="P150" s="15"/>
      <c r="Q150" s="15"/>
      <c r="R150" s="16">
        <v>0</v>
      </c>
      <c r="S150" s="16">
        <v>3</v>
      </c>
      <c r="T150" s="16">
        <v>1</v>
      </c>
      <c r="U150" s="16">
        <v>0</v>
      </c>
      <c r="V150" s="5">
        <v>49130</v>
      </c>
      <c r="W150" s="5">
        <v>66957</v>
      </c>
      <c r="X150" t="s">
        <v>112</v>
      </c>
      <c r="Y150" s="5">
        <v>65840</v>
      </c>
      <c r="Z150" s="2" t="s">
        <v>2</v>
      </c>
      <c r="AA150" s="2">
        <v>4</v>
      </c>
      <c r="AB150" s="2">
        <v>3</v>
      </c>
      <c r="AC150" s="2">
        <v>1</v>
      </c>
      <c r="AD150" t="s">
        <v>242</v>
      </c>
      <c r="AE150" t="s">
        <v>268</v>
      </c>
      <c r="AF150" t="s">
        <v>245</v>
      </c>
    </row>
    <row r="151" spans="1:32" ht="18" x14ac:dyDescent="0.35">
      <c r="A151" s="6"/>
      <c r="C151" s="13" t="s">
        <v>478</v>
      </c>
      <c r="D151" s="13" t="str">
        <f t="shared" si="13"/>
        <v xml:space="preserve">/fh </v>
      </c>
      <c r="E151" s="13" t="str">
        <f t="shared" si="15"/>
        <v>&gt;]i7</v>
      </c>
      <c r="F151" s="21" t="s">
        <v>233</v>
      </c>
      <c r="G151" s="21" t="s">
        <v>757</v>
      </c>
      <c r="H151" s="21">
        <f t="shared" si="12"/>
        <v>69</v>
      </c>
      <c r="I151" s="21"/>
      <c r="J151" s="21" t="s">
        <v>905</v>
      </c>
      <c r="K151" s="21">
        <f t="shared" si="11"/>
        <v>164</v>
      </c>
      <c r="L151" s="21"/>
      <c r="M151" s="15">
        <f t="shared" si="14"/>
        <v>20.12054794520548</v>
      </c>
      <c r="N151" s="15"/>
      <c r="O151" s="15"/>
      <c r="P151" s="15"/>
      <c r="Q151" s="15"/>
      <c r="R151" s="16"/>
      <c r="S151" s="16"/>
      <c r="T151" s="16"/>
      <c r="U151" s="16"/>
      <c r="V151" s="5">
        <v>59613</v>
      </c>
      <c r="W151" s="5">
        <v>66957</v>
      </c>
      <c r="Y151" s="5"/>
    </row>
    <row r="152" spans="1:32" ht="18" x14ac:dyDescent="0.35">
      <c r="A152" s="6"/>
      <c r="C152" s="13" t="s">
        <v>479</v>
      </c>
      <c r="D152" s="13" t="str">
        <f t="shared" si="13"/>
        <v xml:space="preserve">lbn </v>
      </c>
      <c r="E152" s="13" t="str">
        <f t="shared" si="15"/>
        <v>&gt;]i7</v>
      </c>
      <c r="F152" s="21" t="s">
        <v>234</v>
      </c>
      <c r="G152" s="21" t="s">
        <v>756</v>
      </c>
      <c r="H152" s="21">
        <f t="shared" si="12"/>
        <v>102</v>
      </c>
      <c r="I152" s="21"/>
      <c r="J152" s="21" t="s">
        <v>906</v>
      </c>
      <c r="K152" s="21">
        <f t="shared" si="11"/>
        <v>53</v>
      </c>
      <c r="L152" s="21"/>
      <c r="M152" s="15">
        <f t="shared" si="14"/>
        <v>51.076712328767123</v>
      </c>
      <c r="N152" s="15"/>
      <c r="O152" s="15"/>
      <c r="P152" s="15"/>
      <c r="Q152" s="15"/>
      <c r="R152" s="16"/>
      <c r="S152" s="16"/>
      <c r="T152" s="16"/>
      <c r="U152" s="16"/>
      <c r="V152" s="5">
        <v>48314</v>
      </c>
      <c r="W152" s="5">
        <v>66957</v>
      </c>
      <c r="Y152" s="5"/>
    </row>
    <row r="153" spans="1:32" ht="18" x14ac:dyDescent="0.35">
      <c r="A153" s="6"/>
      <c r="C153" s="13" t="s">
        <v>480</v>
      </c>
      <c r="D153" s="13" t="str">
        <f t="shared" si="13"/>
        <v xml:space="preserve">;Gtf]if </v>
      </c>
      <c r="E153" s="13" t="str">
        <f t="shared" si="15"/>
        <v>&gt;]i7</v>
      </c>
      <c r="F153" s="21" t="s">
        <v>233</v>
      </c>
      <c r="G153" s="21" t="s">
        <v>757</v>
      </c>
      <c r="H153" s="21">
        <f t="shared" si="12"/>
        <v>69</v>
      </c>
      <c r="I153" s="21"/>
      <c r="J153" s="21" t="s">
        <v>905</v>
      </c>
      <c r="K153" s="21">
        <f t="shared" si="11"/>
        <v>164</v>
      </c>
      <c r="L153" s="21"/>
      <c r="M153" s="15">
        <f t="shared" si="14"/>
        <v>21.520547945205479</v>
      </c>
      <c r="N153" s="15"/>
      <c r="O153" s="15"/>
      <c r="P153" s="15"/>
      <c r="Q153" s="15"/>
      <c r="R153" s="16"/>
      <c r="S153" s="16"/>
      <c r="T153" s="16"/>
      <c r="U153" s="16"/>
      <c r="V153" s="5">
        <v>59102</v>
      </c>
      <c r="W153" s="5">
        <v>66957</v>
      </c>
      <c r="Y153" s="5"/>
    </row>
    <row r="154" spans="1:32" ht="18" x14ac:dyDescent="0.35">
      <c r="A154" s="6">
        <v>48</v>
      </c>
      <c r="B154" t="s">
        <v>49</v>
      </c>
      <c r="C154" s="13" t="s">
        <v>484</v>
      </c>
      <c r="D154" s="13" t="str">
        <f t="shared" si="13"/>
        <v xml:space="preserve">zf]ef </v>
      </c>
      <c r="E154" s="13" t="str">
        <f t="shared" si="15"/>
        <v>vqL</v>
      </c>
      <c r="F154" s="21" t="s">
        <v>234</v>
      </c>
      <c r="G154" s="21" t="s">
        <v>756</v>
      </c>
      <c r="H154" s="21">
        <f t="shared" si="12"/>
        <v>102</v>
      </c>
      <c r="I154" s="21"/>
      <c r="J154" s="21" t="s">
        <v>905</v>
      </c>
      <c r="K154" s="21">
        <f t="shared" si="11"/>
        <v>107</v>
      </c>
      <c r="L154" s="21"/>
      <c r="M154" s="15">
        <f t="shared" si="14"/>
        <v>47.624657534246573</v>
      </c>
      <c r="N154" s="15"/>
      <c r="O154" s="15"/>
      <c r="P154" s="15"/>
      <c r="Q154" s="15"/>
      <c r="R154" s="16" t="s">
        <v>748</v>
      </c>
      <c r="S154" s="16" t="s">
        <v>748</v>
      </c>
      <c r="T154" s="16" t="s">
        <v>748</v>
      </c>
      <c r="U154" s="16" t="s">
        <v>748</v>
      </c>
      <c r="V154" s="5">
        <v>49574</v>
      </c>
      <c r="W154" s="5">
        <v>66957</v>
      </c>
      <c r="X154" t="s">
        <v>110</v>
      </c>
      <c r="Y154" s="5">
        <v>65825</v>
      </c>
      <c r="Z154" s="2" t="s">
        <v>2</v>
      </c>
      <c r="AA154" s="2">
        <v>4</v>
      </c>
      <c r="AB154" s="2">
        <v>3</v>
      </c>
      <c r="AC154" s="2">
        <v>1</v>
      </c>
      <c r="AD154" t="s">
        <v>242</v>
      </c>
      <c r="AE154" t="s">
        <v>317</v>
      </c>
      <c r="AF154" t="s">
        <v>245</v>
      </c>
    </row>
    <row r="155" spans="1:32" ht="18" x14ac:dyDescent="0.35">
      <c r="A155" s="6"/>
      <c r="C155" s="13" t="s">
        <v>485</v>
      </c>
      <c r="D155" s="13" t="str">
        <f t="shared" si="13"/>
        <v xml:space="preserve">dg </v>
      </c>
      <c r="E155" s="13" t="str">
        <f t="shared" si="15"/>
        <v>vqL</v>
      </c>
      <c r="F155" s="21" t="s">
        <v>233</v>
      </c>
      <c r="G155" s="21" t="s">
        <v>756</v>
      </c>
      <c r="H155" s="21">
        <f t="shared" si="12"/>
        <v>99</v>
      </c>
      <c r="I155" s="21"/>
      <c r="J155" s="21" t="s">
        <v>907</v>
      </c>
      <c r="K155" s="21">
        <f t="shared" si="11"/>
        <v>164</v>
      </c>
      <c r="L155" s="21"/>
      <c r="M155" s="15">
        <f t="shared" si="14"/>
        <v>52.397260273972606</v>
      </c>
      <c r="N155" s="15"/>
      <c r="O155" s="15"/>
      <c r="P155" s="15"/>
      <c r="Q155" s="15"/>
      <c r="R155" s="16"/>
      <c r="S155" s="16"/>
      <c r="T155" s="16"/>
      <c r="U155" s="16"/>
      <c r="V155" s="5">
        <v>47832</v>
      </c>
      <c r="W155" s="5">
        <v>66957</v>
      </c>
      <c r="Y155" s="5"/>
    </row>
    <row r="156" spans="1:32" ht="18" x14ac:dyDescent="0.35">
      <c r="A156" s="6"/>
      <c r="C156" s="13" t="s">
        <v>486</v>
      </c>
      <c r="D156" s="13" t="str">
        <f t="shared" si="13"/>
        <v xml:space="preserve">l8s </v>
      </c>
      <c r="E156" s="13" t="str">
        <f t="shared" si="15"/>
        <v>vqL</v>
      </c>
      <c r="F156" s="21" t="s">
        <v>233</v>
      </c>
      <c r="G156" s="21" t="s">
        <v>757</v>
      </c>
      <c r="H156" s="21">
        <f t="shared" si="12"/>
        <v>69</v>
      </c>
      <c r="I156" s="21"/>
      <c r="J156" s="21" t="s">
        <v>905</v>
      </c>
      <c r="K156" s="21">
        <f t="shared" si="11"/>
        <v>164</v>
      </c>
      <c r="L156" s="21"/>
      <c r="M156" s="15">
        <f t="shared" si="14"/>
        <v>27.742465753424657</v>
      </c>
      <c r="N156" s="15"/>
      <c r="O156" s="15"/>
      <c r="P156" s="15"/>
      <c r="Q156" s="15"/>
      <c r="R156" s="16"/>
      <c r="S156" s="16"/>
      <c r="T156" s="16"/>
      <c r="U156" s="16"/>
      <c r="V156" s="5">
        <v>56831</v>
      </c>
      <c r="W156" s="5">
        <v>66957</v>
      </c>
      <c r="Y156" s="5"/>
    </row>
    <row r="157" spans="1:32" ht="18" x14ac:dyDescent="0.35">
      <c r="A157" s="6"/>
      <c r="C157" s="13" t="s">
        <v>487</v>
      </c>
      <c r="D157" s="13" t="str">
        <f t="shared" si="13"/>
        <v xml:space="preserve">ljzfn </v>
      </c>
      <c r="E157" s="13" t="str">
        <f t="shared" si="15"/>
        <v>vqL</v>
      </c>
      <c r="F157" s="21" t="s">
        <v>233</v>
      </c>
      <c r="G157" s="21" t="s">
        <v>757</v>
      </c>
      <c r="H157" s="21">
        <f t="shared" si="12"/>
        <v>69</v>
      </c>
      <c r="I157" s="21"/>
      <c r="J157" s="21" t="s">
        <v>905</v>
      </c>
      <c r="K157" s="21">
        <f t="shared" si="11"/>
        <v>164</v>
      </c>
      <c r="L157" s="21"/>
      <c r="M157" s="15">
        <f t="shared" si="14"/>
        <v>23.55890410958904</v>
      </c>
      <c r="N157" s="15"/>
      <c r="O157" s="15"/>
      <c r="P157" s="15"/>
      <c r="Q157" s="15"/>
      <c r="R157" s="16"/>
      <c r="S157" s="16"/>
      <c r="T157" s="16"/>
      <c r="U157" s="16"/>
      <c r="V157" s="5">
        <v>58358</v>
      </c>
      <c r="W157" s="5">
        <v>66957</v>
      </c>
      <c r="Y157" s="5"/>
    </row>
    <row r="158" spans="1:32" ht="18" x14ac:dyDescent="0.35">
      <c r="A158" s="6">
        <v>50</v>
      </c>
      <c r="B158" t="s">
        <v>51</v>
      </c>
      <c r="C158" s="13" t="s">
        <v>491</v>
      </c>
      <c r="D158" s="13" t="str">
        <f t="shared" si="13"/>
        <v xml:space="preserve">;Ltf/fd </v>
      </c>
      <c r="E158" s="13" t="str">
        <f t="shared" si="15"/>
        <v>&gt;]i7</v>
      </c>
      <c r="F158" s="21" t="s">
        <v>233</v>
      </c>
      <c r="G158" s="21" t="s">
        <v>756</v>
      </c>
      <c r="H158" s="21">
        <f t="shared" si="12"/>
        <v>99</v>
      </c>
      <c r="I158" s="21"/>
      <c r="J158" s="21" t="s">
        <v>905</v>
      </c>
      <c r="K158" s="21">
        <f t="shared" si="11"/>
        <v>164</v>
      </c>
      <c r="L158" s="21"/>
      <c r="M158" s="15">
        <f t="shared" si="14"/>
        <v>69.06575342465753</v>
      </c>
      <c r="N158" s="15"/>
      <c r="O158" s="15"/>
      <c r="P158" s="15"/>
      <c r="Q158" s="15"/>
      <c r="R158" s="16">
        <v>0</v>
      </c>
      <c r="S158" s="16">
        <v>4</v>
      </c>
      <c r="T158" s="16">
        <v>0</v>
      </c>
      <c r="U158" s="16">
        <v>0</v>
      </c>
      <c r="V158" s="5">
        <v>41748</v>
      </c>
      <c r="W158" s="5">
        <v>66957</v>
      </c>
      <c r="X158" t="s">
        <v>108</v>
      </c>
      <c r="Y158" s="5">
        <v>65762</v>
      </c>
      <c r="Z158" s="2" t="s">
        <v>2</v>
      </c>
      <c r="AA158" s="2">
        <v>2</v>
      </c>
      <c r="AB158" s="2">
        <v>1</v>
      </c>
      <c r="AC158" s="2">
        <v>1</v>
      </c>
      <c r="AD158" t="s">
        <v>242</v>
      </c>
      <c r="AE158" t="s">
        <v>321</v>
      </c>
      <c r="AF158" t="s">
        <v>245</v>
      </c>
    </row>
    <row r="159" spans="1:32" ht="18" x14ac:dyDescent="0.35">
      <c r="A159" s="6"/>
      <c r="C159" s="13" t="s">
        <v>492</v>
      </c>
      <c r="D159" s="13" t="str">
        <f t="shared" si="13"/>
        <v xml:space="preserve">s[i0f </v>
      </c>
      <c r="E159" s="13" t="str">
        <f t="shared" si="15"/>
        <v>&gt;]i7</v>
      </c>
      <c r="F159" s="21" t="s">
        <v>234</v>
      </c>
      <c r="G159" s="21" t="s">
        <v>756</v>
      </c>
      <c r="H159" s="21">
        <f t="shared" si="12"/>
        <v>102</v>
      </c>
      <c r="I159" s="21"/>
      <c r="J159" s="21" t="s">
        <v>906</v>
      </c>
      <c r="K159" s="21">
        <f t="shared" si="11"/>
        <v>53</v>
      </c>
      <c r="L159" s="21"/>
      <c r="M159" s="15">
        <f t="shared" si="14"/>
        <v>65.991780821917814</v>
      </c>
      <c r="N159" s="15"/>
      <c r="O159" s="15"/>
      <c r="P159" s="15"/>
      <c r="Q159" s="15"/>
      <c r="R159" s="16"/>
      <c r="S159" s="16"/>
      <c r="T159" s="16"/>
      <c r="U159" s="16"/>
      <c r="V159" s="5">
        <v>42870</v>
      </c>
      <c r="W159" s="5">
        <v>66957</v>
      </c>
      <c r="Y159" s="5"/>
    </row>
    <row r="160" spans="1:32" ht="18" x14ac:dyDescent="0.35">
      <c r="A160" s="6">
        <v>51</v>
      </c>
      <c r="B160" t="s">
        <v>116</v>
      </c>
      <c r="C160" s="13" t="s">
        <v>493</v>
      </c>
      <c r="D160" s="13" t="str">
        <f t="shared" si="13"/>
        <v xml:space="preserve">/d]z </v>
      </c>
      <c r="E160" s="13" t="str">
        <f t="shared" si="15"/>
        <v>l;+v8f</v>
      </c>
      <c r="F160" s="21" t="s">
        <v>233</v>
      </c>
      <c r="G160" s="21" t="s">
        <v>756</v>
      </c>
      <c r="H160" s="21">
        <f t="shared" si="12"/>
        <v>99</v>
      </c>
      <c r="I160" s="21"/>
      <c r="J160" s="21" t="s">
        <v>905</v>
      </c>
      <c r="K160" s="21">
        <f t="shared" si="11"/>
        <v>164</v>
      </c>
      <c r="L160" s="21"/>
      <c r="M160" s="15">
        <f t="shared" si="14"/>
        <v>59.336986301369862</v>
      </c>
      <c r="N160" s="15"/>
      <c r="O160" s="15"/>
      <c r="P160" s="15"/>
      <c r="Q160" s="15"/>
      <c r="R160" s="16" t="s">
        <v>748</v>
      </c>
      <c r="S160" s="16" t="s">
        <v>748</v>
      </c>
      <c r="T160" s="16" t="s">
        <v>748</v>
      </c>
      <c r="U160" s="16" t="s">
        <v>748</v>
      </c>
      <c r="V160" s="5">
        <v>45299</v>
      </c>
      <c r="W160" s="5">
        <v>66957</v>
      </c>
      <c r="X160" t="s">
        <v>215</v>
      </c>
      <c r="Y160" s="5">
        <v>65736</v>
      </c>
      <c r="Z160" s="2" t="s">
        <v>2</v>
      </c>
      <c r="AA160" s="2">
        <v>3</v>
      </c>
      <c r="AB160" s="2">
        <v>2</v>
      </c>
      <c r="AC160" s="2">
        <v>1</v>
      </c>
      <c r="AD160" t="s">
        <v>242</v>
      </c>
      <c r="AE160" t="s">
        <v>305</v>
      </c>
      <c r="AF160" t="s">
        <v>245</v>
      </c>
    </row>
    <row r="161" spans="1:32" ht="18" x14ac:dyDescent="0.35">
      <c r="A161" s="6"/>
      <c r="C161" s="13" t="s">
        <v>494</v>
      </c>
      <c r="D161" s="13" t="str">
        <f t="shared" si="13"/>
        <v xml:space="preserve">;Ltf </v>
      </c>
      <c r="E161" s="13" t="str">
        <f t="shared" si="15"/>
        <v>l;+v8f</v>
      </c>
      <c r="F161" s="21" t="s">
        <v>234</v>
      </c>
      <c r="G161" s="21" t="s">
        <v>756</v>
      </c>
      <c r="H161" s="21">
        <f t="shared" si="12"/>
        <v>102</v>
      </c>
      <c r="I161" s="21"/>
      <c r="J161" s="21" t="s">
        <v>906</v>
      </c>
      <c r="K161" s="21">
        <f t="shared" si="11"/>
        <v>53</v>
      </c>
      <c r="L161" s="21"/>
      <c r="M161" s="15">
        <f t="shared" si="14"/>
        <v>51.509589041095893</v>
      </c>
      <c r="N161" s="15"/>
      <c r="O161" s="15"/>
      <c r="P161" s="15"/>
      <c r="Q161" s="15"/>
      <c r="R161" s="16"/>
      <c r="S161" s="16"/>
      <c r="T161" s="16"/>
      <c r="U161" s="16"/>
      <c r="V161" s="5">
        <v>48156</v>
      </c>
      <c r="W161" s="5">
        <v>66957</v>
      </c>
      <c r="Y161" s="5"/>
    </row>
    <row r="162" spans="1:32" ht="18" x14ac:dyDescent="0.35">
      <c r="A162" s="6"/>
      <c r="C162" s="13" t="s">
        <v>495</v>
      </c>
      <c r="D162" s="13" t="str">
        <f t="shared" si="13"/>
        <v xml:space="preserve">lbk]z </v>
      </c>
      <c r="E162" s="13" t="str">
        <f t="shared" si="15"/>
        <v>l;+v8f</v>
      </c>
      <c r="F162" s="21" t="s">
        <v>233</v>
      </c>
      <c r="G162" s="21" t="s">
        <v>757</v>
      </c>
      <c r="H162" s="21">
        <f t="shared" si="12"/>
        <v>69</v>
      </c>
      <c r="I162" s="21"/>
      <c r="J162" s="21" t="s">
        <v>905</v>
      </c>
      <c r="K162" s="21">
        <f t="shared" si="11"/>
        <v>164</v>
      </c>
      <c r="L162" s="21"/>
      <c r="M162" s="15">
        <f t="shared" si="14"/>
        <v>30.578082191780823</v>
      </c>
      <c r="N162" s="15"/>
      <c r="O162" s="15"/>
      <c r="P162" s="15"/>
      <c r="Q162" s="15"/>
      <c r="R162" s="16"/>
      <c r="S162" s="16"/>
      <c r="T162" s="16"/>
      <c r="U162" s="16"/>
      <c r="V162" s="5">
        <v>55796</v>
      </c>
      <c r="W162" s="5">
        <v>66957</v>
      </c>
      <c r="Y162" s="5"/>
    </row>
    <row r="163" spans="1:32" ht="18" x14ac:dyDescent="0.35">
      <c r="A163" s="6">
        <v>52</v>
      </c>
      <c r="B163" t="s">
        <v>117</v>
      </c>
      <c r="C163" s="13" t="s">
        <v>496</v>
      </c>
      <c r="D163" s="13" t="str">
        <f t="shared" si="13"/>
        <v xml:space="preserve">l/g' </v>
      </c>
      <c r="E163" s="13" t="str">
        <f t="shared" si="15"/>
        <v>u'?ª</v>
      </c>
      <c r="F163" s="21" t="s">
        <v>234</v>
      </c>
      <c r="G163" s="21" t="s">
        <v>756</v>
      </c>
      <c r="H163" s="21">
        <f t="shared" si="12"/>
        <v>102</v>
      </c>
      <c r="I163" s="21"/>
      <c r="J163" s="21" t="s">
        <v>905</v>
      </c>
      <c r="K163" s="21">
        <f t="shared" si="11"/>
        <v>107</v>
      </c>
      <c r="L163" s="21"/>
      <c r="M163" s="15">
        <f t="shared" si="14"/>
        <v>44.967123287671235</v>
      </c>
      <c r="N163" s="15"/>
      <c r="O163" s="15"/>
      <c r="P163" s="15"/>
      <c r="Q163" s="15"/>
      <c r="R163" s="16" t="s">
        <v>748</v>
      </c>
      <c r="S163" s="16" t="s">
        <v>748</v>
      </c>
      <c r="T163" s="16" t="s">
        <v>748</v>
      </c>
      <c r="U163" s="16" t="s">
        <v>748</v>
      </c>
      <c r="V163" s="5">
        <v>50544</v>
      </c>
      <c r="W163" s="5">
        <v>66957</v>
      </c>
      <c r="Y163" s="5">
        <v>65695</v>
      </c>
      <c r="Z163" s="2" t="s">
        <v>2</v>
      </c>
      <c r="AA163" s="2">
        <v>4</v>
      </c>
      <c r="AB163" s="2">
        <v>2</v>
      </c>
      <c r="AC163" s="2">
        <v>2</v>
      </c>
      <c r="AD163" t="s">
        <v>242</v>
      </c>
      <c r="AE163" t="s">
        <v>309</v>
      </c>
      <c r="AF163" t="s">
        <v>245</v>
      </c>
    </row>
    <row r="164" spans="1:32" ht="18" x14ac:dyDescent="0.35">
      <c r="A164" s="6"/>
      <c r="C164" s="13" t="s">
        <v>497</v>
      </c>
      <c r="D164" s="13" t="str">
        <f t="shared" si="13"/>
        <v xml:space="preserve">k|sfz </v>
      </c>
      <c r="E164" s="13" t="str">
        <f t="shared" si="15"/>
        <v>u'?ª</v>
      </c>
      <c r="F164" s="21" t="s">
        <v>233</v>
      </c>
      <c r="G164" s="21" t="s">
        <v>756</v>
      </c>
      <c r="H164" s="21">
        <f t="shared" si="12"/>
        <v>99</v>
      </c>
      <c r="I164" s="21"/>
      <c r="J164" s="21" t="s">
        <v>905</v>
      </c>
      <c r="K164" s="21">
        <f t="shared" si="11"/>
        <v>164</v>
      </c>
      <c r="L164" s="21"/>
      <c r="M164" s="15">
        <f t="shared" si="14"/>
        <v>48.254794520547946</v>
      </c>
      <c r="N164" s="15"/>
      <c r="O164" s="15"/>
      <c r="P164" s="15"/>
      <c r="Q164" s="15"/>
      <c r="R164" s="16"/>
      <c r="S164" s="16"/>
      <c r="T164" s="16"/>
      <c r="U164" s="16"/>
      <c r="V164" s="5">
        <v>49344</v>
      </c>
      <c r="W164" s="5">
        <v>66957</v>
      </c>
      <c r="Y164" s="5"/>
    </row>
    <row r="165" spans="1:32" ht="18" x14ac:dyDescent="0.35">
      <c r="A165" s="6"/>
      <c r="C165" s="13" t="s">
        <v>498</v>
      </c>
      <c r="D165" s="13" t="str">
        <f t="shared" si="13"/>
        <v xml:space="preserve">k|lgz </v>
      </c>
      <c r="E165" s="13" t="str">
        <f t="shared" si="15"/>
        <v>u'?ª</v>
      </c>
      <c r="F165" s="21" t="s">
        <v>233</v>
      </c>
      <c r="G165" s="21" t="s">
        <v>757</v>
      </c>
      <c r="H165" s="21">
        <f t="shared" si="12"/>
        <v>69</v>
      </c>
      <c r="I165" s="21"/>
      <c r="J165" s="21" t="s">
        <v>905</v>
      </c>
      <c r="K165" s="21">
        <f t="shared" si="11"/>
        <v>164</v>
      </c>
      <c r="L165" s="21"/>
      <c r="M165" s="15">
        <f t="shared" si="14"/>
        <v>20.778082191780822</v>
      </c>
      <c r="N165" s="15"/>
      <c r="O165" s="15"/>
      <c r="P165" s="15"/>
      <c r="Q165" s="15"/>
      <c r="R165" s="16"/>
      <c r="S165" s="16"/>
      <c r="T165" s="16"/>
      <c r="U165" s="16"/>
      <c r="V165" s="5">
        <v>59373</v>
      </c>
      <c r="W165" s="5">
        <v>66957</v>
      </c>
      <c r="Y165" s="5"/>
    </row>
    <row r="166" spans="1:32" ht="18" x14ac:dyDescent="0.35">
      <c r="A166" s="6"/>
      <c r="C166" s="13" t="s">
        <v>499</v>
      </c>
      <c r="D166" s="13" t="str">
        <f t="shared" si="13"/>
        <v xml:space="preserve">l/D;f </v>
      </c>
      <c r="E166" s="13" t="str">
        <f t="shared" si="15"/>
        <v>u'?ª</v>
      </c>
      <c r="F166" s="21" t="s">
        <v>234</v>
      </c>
      <c r="G166" s="21" t="s">
        <v>757</v>
      </c>
      <c r="H166" s="21">
        <f t="shared" si="12"/>
        <v>54</v>
      </c>
      <c r="I166" s="21"/>
      <c r="J166" s="21" t="s">
        <v>905</v>
      </c>
      <c r="K166" s="21">
        <f t="shared" si="11"/>
        <v>107</v>
      </c>
      <c r="L166" s="21"/>
      <c r="M166" s="15">
        <f t="shared" si="14"/>
        <v>10.375342465753425</v>
      </c>
      <c r="N166" s="15"/>
      <c r="O166" s="15"/>
      <c r="P166" s="15"/>
      <c r="Q166" s="15"/>
      <c r="R166" s="16"/>
      <c r="S166" s="16"/>
      <c r="T166" s="16"/>
      <c r="U166" s="16"/>
      <c r="V166" s="5">
        <v>63170</v>
      </c>
      <c r="W166" s="5">
        <v>66957</v>
      </c>
      <c r="Y166" s="5"/>
    </row>
    <row r="167" spans="1:32" ht="18" x14ac:dyDescent="0.35">
      <c r="A167" s="6">
        <v>53</v>
      </c>
      <c r="B167" t="s">
        <v>118</v>
      </c>
      <c r="C167" s="13" t="s">
        <v>500</v>
      </c>
      <c r="D167" s="13" t="str">
        <f t="shared" si="13"/>
        <v xml:space="preserve">/Ltf </v>
      </c>
      <c r="E167" s="13" t="str">
        <f t="shared" si="15"/>
        <v>bdfO{</v>
      </c>
      <c r="F167" s="21" t="s">
        <v>234</v>
      </c>
      <c r="G167" s="21" t="s">
        <v>757</v>
      </c>
      <c r="H167" s="21">
        <f t="shared" si="12"/>
        <v>54</v>
      </c>
      <c r="I167" s="21"/>
      <c r="J167" s="21" t="s">
        <v>905</v>
      </c>
      <c r="K167" s="21">
        <f t="shared" si="11"/>
        <v>107</v>
      </c>
      <c r="L167" s="21"/>
      <c r="M167" s="15">
        <f t="shared" si="14"/>
        <v>29.583561643835615</v>
      </c>
      <c r="N167" s="15"/>
      <c r="O167" s="15"/>
      <c r="P167" s="15"/>
      <c r="Q167" s="15"/>
      <c r="R167" s="16">
        <v>0</v>
      </c>
      <c r="S167" s="16">
        <v>6</v>
      </c>
      <c r="T167" s="16">
        <v>0</v>
      </c>
      <c r="U167" s="16">
        <v>0</v>
      </c>
      <c r="V167" s="5">
        <v>56159</v>
      </c>
      <c r="W167" s="5">
        <v>66957</v>
      </c>
      <c r="Y167" s="5">
        <v>65644</v>
      </c>
      <c r="Z167" s="2" t="s">
        <v>2</v>
      </c>
      <c r="AA167" s="2">
        <v>3</v>
      </c>
      <c r="AB167" s="2">
        <v>1</v>
      </c>
      <c r="AC167" s="2">
        <v>2</v>
      </c>
      <c r="AD167" t="s">
        <v>242</v>
      </c>
      <c r="AE167" t="s">
        <v>310</v>
      </c>
      <c r="AF167" t="s">
        <v>245</v>
      </c>
    </row>
    <row r="168" spans="1:32" ht="18" x14ac:dyDescent="0.35">
      <c r="A168" s="6"/>
      <c r="C168" s="13" t="s">
        <v>501</v>
      </c>
      <c r="D168" s="13" t="str">
        <f t="shared" si="13"/>
        <v xml:space="preserve">l;tf </v>
      </c>
      <c r="E168" s="13" t="str">
        <f t="shared" si="15"/>
        <v>bdfO{</v>
      </c>
      <c r="F168" s="21" t="s">
        <v>234</v>
      </c>
      <c r="G168" s="21" t="s">
        <v>756</v>
      </c>
      <c r="H168" s="21">
        <f t="shared" si="12"/>
        <v>102</v>
      </c>
      <c r="I168" s="21"/>
      <c r="J168" s="21" t="s">
        <v>906</v>
      </c>
      <c r="K168" s="21">
        <f t="shared" si="11"/>
        <v>53</v>
      </c>
      <c r="L168" s="21"/>
      <c r="M168" s="15">
        <f t="shared" si="14"/>
        <v>52.983561643835614</v>
      </c>
      <c r="N168" s="15"/>
      <c r="O168" s="15"/>
      <c r="P168" s="15"/>
      <c r="Q168" s="15"/>
      <c r="R168" s="16"/>
      <c r="S168" s="16"/>
      <c r="T168" s="16"/>
      <c r="U168" s="16"/>
      <c r="V168" s="5">
        <v>47618</v>
      </c>
      <c r="W168" s="5">
        <v>66957</v>
      </c>
      <c r="Y168" s="5"/>
    </row>
    <row r="169" spans="1:32" ht="18" x14ac:dyDescent="0.35">
      <c r="A169" s="6"/>
      <c r="C169" s="13" t="s">
        <v>502</v>
      </c>
      <c r="D169" s="13" t="str">
        <f t="shared" si="13"/>
        <v xml:space="preserve">l/hg </v>
      </c>
      <c r="E169" s="13" t="str">
        <f t="shared" si="15"/>
        <v>bdfO{</v>
      </c>
      <c r="F169" s="21" t="s">
        <v>233</v>
      </c>
      <c r="G169" s="21" t="s">
        <v>757</v>
      </c>
      <c r="H169" s="21">
        <f t="shared" si="12"/>
        <v>69</v>
      </c>
      <c r="I169" s="21"/>
      <c r="J169" s="21" t="s">
        <v>905</v>
      </c>
      <c r="K169" s="21">
        <f t="shared" si="11"/>
        <v>164</v>
      </c>
      <c r="L169" s="21"/>
      <c r="M169" s="15">
        <f t="shared" si="14"/>
        <v>25.016438356164382</v>
      </c>
      <c r="N169" s="15"/>
      <c r="O169" s="15"/>
      <c r="P169" s="15"/>
      <c r="Q169" s="15"/>
      <c r="R169" s="16"/>
      <c r="S169" s="16"/>
      <c r="T169" s="16"/>
      <c r="U169" s="16"/>
      <c r="V169" s="5">
        <v>57826</v>
      </c>
      <c r="W169" s="5">
        <v>66957</v>
      </c>
      <c r="Y169" s="5"/>
    </row>
    <row r="170" spans="1:32" ht="18" x14ac:dyDescent="0.35">
      <c r="A170" s="6">
        <v>54</v>
      </c>
      <c r="B170" t="s">
        <v>119</v>
      </c>
      <c r="C170" s="13" t="s">
        <v>503</v>
      </c>
      <c r="D170" s="13" t="str">
        <f t="shared" si="13"/>
        <v xml:space="preserve">;'af; </v>
      </c>
      <c r="E170" s="13" t="str">
        <f t="shared" si="15"/>
        <v>lnDj'</v>
      </c>
      <c r="F170" s="21" t="s">
        <v>233</v>
      </c>
      <c r="G170" s="21" t="s">
        <v>756</v>
      </c>
      <c r="H170" s="21">
        <f t="shared" si="12"/>
        <v>99</v>
      </c>
      <c r="I170" s="21"/>
      <c r="J170" s="21" t="s">
        <v>905</v>
      </c>
      <c r="K170" s="21">
        <f t="shared" si="11"/>
        <v>164</v>
      </c>
      <c r="L170" s="21"/>
      <c r="M170" s="15">
        <f t="shared" si="14"/>
        <v>58.18904109589041</v>
      </c>
      <c r="N170" s="15"/>
      <c r="O170" s="15"/>
      <c r="P170" s="15"/>
      <c r="Q170" s="15"/>
      <c r="R170" s="16">
        <v>0</v>
      </c>
      <c r="S170" s="16">
        <v>7</v>
      </c>
      <c r="T170" s="16">
        <v>0</v>
      </c>
      <c r="U170" s="16">
        <v>0</v>
      </c>
      <c r="V170" s="5">
        <v>45718</v>
      </c>
      <c r="W170" s="5">
        <v>66957</v>
      </c>
      <c r="Y170" s="5">
        <v>65631</v>
      </c>
      <c r="Z170" s="2" t="s">
        <v>2</v>
      </c>
      <c r="AA170" s="2">
        <v>4</v>
      </c>
      <c r="AB170" s="2">
        <v>3</v>
      </c>
      <c r="AC170" s="2">
        <v>1</v>
      </c>
      <c r="AD170" t="s">
        <v>242</v>
      </c>
      <c r="AE170" t="s">
        <v>324</v>
      </c>
      <c r="AF170" t="s">
        <v>245</v>
      </c>
    </row>
    <row r="171" spans="1:32" ht="18" x14ac:dyDescent="0.35">
      <c r="A171" s="6"/>
      <c r="C171" s="13" t="s">
        <v>504</v>
      </c>
      <c r="D171" s="13" t="str">
        <f t="shared" si="13"/>
        <v xml:space="preserve">/f]hg </v>
      </c>
      <c r="E171" s="13" t="str">
        <f t="shared" si="15"/>
        <v>dfb]g</v>
      </c>
      <c r="F171" s="21" t="s">
        <v>233</v>
      </c>
      <c r="G171" s="21" t="s">
        <v>757</v>
      </c>
      <c r="H171" s="21">
        <f t="shared" si="12"/>
        <v>69</v>
      </c>
      <c r="I171" s="21"/>
      <c r="J171" s="21" t="s">
        <v>905</v>
      </c>
      <c r="K171" s="21">
        <f t="shared" si="11"/>
        <v>164</v>
      </c>
      <c r="L171" s="21"/>
      <c r="M171" s="15">
        <f t="shared" si="14"/>
        <v>23.556164383561644</v>
      </c>
      <c r="N171" s="15"/>
      <c r="O171" s="15"/>
      <c r="P171" s="15"/>
      <c r="Q171" s="15"/>
      <c r="R171" s="16"/>
      <c r="S171" s="16"/>
      <c r="T171" s="16"/>
      <c r="U171" s="16"/>
      <c r="V171" s="5">
        <v>58359</v>
      </c>
      <c r="W171" s="5">
        <v>66957</v>
      </c>
      <c r="Y171" s="5"/>
    </row>
    <row r="172" spans="1:32" ht="18" x14ac:dyDescent="0.35">
      <c r="A172" s="6"/>
      <c r="C172" s="13" t="s">
        <v>505</v>
      </c>
      <c r="D172" s="13" t="str">
        <f t="shared" si="13"/>
        <v xml:space="preserve">/]xg </v>
      </c>
      <c r="E172" s="13" t="str">
        <f t="shared" si="15"/>
        <v>dfb]g</v>
      </c>
      <c r="F172" s="21" t="s">
        <v>233</v>
      </c>
      <c r="G172" s="21" t="s">
        <v>757</v>
      </c>
      <c r="H172" s="21">
        <f t="shared" si="12"/>
        <v>69</v>
      </c>
      <c r="I172" s="21"/>
      <c r="J172" s="21" t="s">
        <v>905</v>
      </c>
      <c r="K172" s="21">
        <f t="shared" si="11"/>
        <v>164</v>
      </c>
      <c r="L172" s="21"/>
      <c r="M172" s="15">
        <f t="shared" si="14"/>
        <v>18.597260273972601</v>
      </c>
      <c r="N172" s="15"/>
      <c r="O172" s="15"/>
      <c r="P172" s="15"/>
      <c r="Q172" s="15"/>
      <c r="R172" s="16"/>
      <c r="S172" s="16"/>
      <c r="T172" s="16"/>
      <c r="U172" s="16"/>
      <c r="V172" s="5">
        <v>60169</v>
      </c>
      <c r="W172" s="5">
        <v>66957</v>
      </c>
      <c r="Y172" s="5"/>
    </row>
    <row r="173" spans="1:32" ht="18" x14ac:dyDescent="0.35">
      <c r="A173" s="6"/>
      <c r="C173" s="13" t="s">
        <v>506</v>
      </c>
      <c r="D173" s="13" t="str">
        <f t="shared" si="13"/>
        <v xml:space="preserve">k'ikf </v>
      </c>
      <c r="E173" s="13" t="str">
        <f t="shared" si="15"/>
        <v>hj]u'</v>
      </c>
      <c r="F173" s="21" t="s">
        <v>234</v>
      </c>
      <c r="G173" s="21" t="s">
        <v>756</v>
      </c>
      <c r="H173" s="21">
        <f t="shared" si="12"/>
        <v>102</v>
      </c>
      <c r="I173" s="21"/>
      <c r="J173" s="21" t="s">
        <v>905</v>
      </c>
      <c r="K173" s="21">
        <f t="shared" si="11"/>
        <v>107</v>
      </c>
      <c r="L173" s="21"/>
      <c r="M173" s="15">
        <f t="shared" si="14"/>
        <v>45.701369863013696</v>
      </c>
      <c r="N173" s="15"/>
      <c r="O173" s="15"/>
      <c r="P173" s="15"/>
      <c r="Q173" s="15"/>
      <c r="R173" s="16"/>
      <c r="S173" s="16"/>
      <c r="T173" s="16"/>
      <c r="U173" s="16"/>
      <c r="V173" s="5">
        <v>50276</v>
      </c>
      <c r="W173" s="5">
        <v>66957</v>
      </c>
      <c r="Y173" s="5"/>
    </row>
    <row r="174" spans="1:32" ht="18" x14ac:dyDescent="0.35">
      <c r="A174" s="6">
        <v>55</v>
      </c>
      <c r="B174" t="s">
        <v>120</v>
      </c>
      <c r="C174" s="13" t="s">
        <v>507</v>
      </c>
      <c r="D174" s="13" t="str">
        <f t="shared" si="13"/>
        <v xml:space="preserve">;'bz{g </v>
      </c>
      <c r="E174" s="13" t="str">
        <f t="shared" si="15"/>
        <v>;fksf]6f</v>
      </c>
      <c r="F174" s="21" t="s">
        <v>233</v>
      </c>
      <c r="G174" s="21" t="s">
        <v>756</v>
      </c>
      <c r="H174" s="21">
        <f t="shared" si="12"/>
        <v>99</v>
      </c>
      <c r="I174" s="21"/>
      <c r="J174" s="21" t="s">
        <v>905</v>
      </c>
      <c r="K174" s="21">
        <f t="shared" si="11"/>
        <v>164</v>
      </c>
      <c r="L174" s="21"/>
      <c r="M174" s="15">
        <f t="shared" si="14"/>
        <v>51.778082191780825</v>
      </c>
      <c r="N174" s="15"/>
      <c r="O174" s="15"/>
      <c r="P174" s="15"/>
      <c r="Q174" s="15"/>
      <c r="R174" s="16">
        <v>0</v>
      </c>
      <c r="S174" s="16">
        <v>3</v>
      </c>
      <c r="T174" s="16">
        <v>0</v>
      </c>
      <c r="U174" s="16">
        <v>0</v>
      </c>
      <c r="V174" s="5">
        <v>48058</v>
      </c>
      <c r="W174" s="5">
        <v>66957</v>
      </c>
      <c r="Y174" s="5">
        <v>65631</v>
      </c>
      <c r="Z174" s="2" t="s">
        <v>2</v>
      </c>
      <c r="AA174" s="2">
        <v>7</v>
      </c>
      <c r="AB174" s="2">
        <v>5</v>
      </c>
      <c r="AC174" s="2">
        <v>2</v>
      </c>
      <c r="AD174" t="s">
        <v>242</v>
      </c>
      <c r="AE174" t="s">
        <v>326</v>
      </c>
      <c r="AF174" t="s">
        <v>245</v>
      </c>
    </row>
    <row r="175" spans="1:32" ht="18" x14ac:dyDescent="0.35">
      <c r="A175" s="6"/>
      <c r="C175" s="13" t="s">
        <v>508</v>
      </c>
      <c r="D175" s="13" t="str">
        <f t="shared" si="13"/>
        <v xml:space="preserve">;"o{axfb'/ </v>
      </c>
      <c r="E175" s="13" t="str">
        <f t="shared" si="15"/>
        <v>;fksf]6f</v>
      </c>
      <c r="F175" s="21" t="s">
        <v>233</v>
      </c>
      <c r="G175" s="21" t="s">
        <v>756</v>
      </c>
      <c r="H175" s="21">
        <f t="shared" si="12"/>
        <v>99</v>
      </c>
      <c r="I175" s="21"/>
      <c r="J175" s="21" t="s">
        <v>906</v>
      </c>
      <c r="K175" s="21">
        <f t="shared" si="11"/>
        <v>11</v>
      </c>
      <c r="L175" s="21"/>
      <c r="M175" s="15">
        <f t="shared" si="14"/>
        <v>76.271232876712332</v>
      </c>
      <c r="N175" s="15"/>
      <c r="O175" s="15"/>
      <c r="P175" s="15"/>
      <c r="Q175" s="15"/>
      <c r="R175" s="16"/>
      <c r="S175" s="16"/>
      <c r="T175" s="16"/>
      <c r="U175" s="16"/>
      <c r="V175" s="5">
        <v>39118</v>
      </c>
      <c r="W175" s="5">
        <v>66957</v>
      </c>
      <c r="Y175" s="5"/>
    </row>
    <row r="176" spans="1:32" ht="18" x14ac:dyDescent="0.35">
      <c r="A176" s="6"/>
      <c r="C176" s="13" t="s">
        <v>509</v>
      </c>
      <c r="D176" s="13" t="str">
        <f t="shared" si="13"/>
        <v xml:space="preserve">u+uf </v>
      </c>
      <c r="E176" s="13" t="str">
        <f t="shared" si="15"/>
        <v>;fksf]6f</v>
      </c>
      <c r="F176" s="21" t="s">
        <v>234</v>
      </c>
      <c r="G176" s="21" t="s">
        <v>756</v>
      </c>
      <c r="H176" s="21">
        <f t="shared" si="12"/>
        <v>102</v>
      </c>
      <c r="I176" s="21"/>
      <c r="J176" s="21" t="s">
        <v>906</v>
      </c>
      <c r="K176" s="21">
        <f t="shared" si="11"/>
        <v>53</v>
      </c>
      <c r="L176" s="21"/>
      <c r="M176" s="15">
        <f t="shared" si="14"/>
        <v>73.084931506849315</v>
      </c>
      <c r="N176" s="15"/>
      <c r="O176" s="15"/>
      <c r="P176" s="15"/>
      <c r="Q176" s="15"/>
      <c r="R176" s="16"/>
      <c r="S176" s="16"/>
      <c r="T176" s="16"/>
      <c r="U176" s="16"/>
      <c r="V176" s="5">
        <v>40281</v>
      </c>
      <c r="W176" s="5">
        <v>66957</v>
      </c>
      <c r="Y176" s="5"/>
    </row>
    <row r="177" spans="1:32" ht="18" x14ac:dyDescent="0.35">
      <c r="A177" s="6"/>
      <c r="C177" s="13" t="s">
        <v>510</v>
      </c>
      <c r="D177" s="13" t="str">
        <f t="shared" si="13"/>
        <v xml:space="preserve">v]ds'df/L </v>
      </c>
      <c r="E177" s="13" t="str">
        <f t="shared" si="15"/>
        <v>-aflgof_</v>
      </c>
      <c r="F177" s="21" t="s">
        <v>234</v>
      </c>
      <c r="G177" s="21" t="s">
        <v>756</v>
      </c>
      <c r="H177" s="21">
        <f t="shared" si="12"/>
        <v>102</v>
      </c>
      <c r="I177" s="21"/>
      <c r="J177" s="21" t="s">
        <v>905</v>
      </c>
      <c r="K177" s="21">
        <f t="shared" si="11"/>
        <v>107</v>
      </c>
      <c r="L177" s="21"/>
      <c r="M177" s="15">
        <f t="shared" si="14"/>
        <v>42.794520547945204</v>
      </c>
      <c r="N177" s="15"/>
      <c r="O177" s="15"/>
      <c r="P177" s="15"/>
      <c r="Q177" s="15"/>
      <c r="R177" s="16"/>
      <c r="S177" s="16"/>
      <c r="T177" s="16"/>
      <c r="U177" s="16"/>
      <c r="V177" s="5">
        <v>51337</v>
      </c>
      <c r="W177" s="5">
        <v>66957</v>
      </c>
      <c r="Y177" s="5"/>
    </row>
    <row r="178" spans="1:32" ht="18" x14ac:dyDescent="0.35">
      <c r="A178" s="6"/>
      <c r="C178" s="13" t="s">
        <v>511</v>
      </c>
      <c r="D178" s="13" t="str">
        <f t="shared" si="13"/>
        <v xml:space="preserve">;'lbk </v>
      </c>
      <c r="E178" s="13" t="str">
        <f t="shared" si="15"/>
        <v>;fksf]6f</v>
      </c>
      <c r="F178" s="21" t="s">
        <v>233</v>
      </c>
      <c r="G178" s="21" t="s">
        <v>756</v>
      </c>
      <c r="H178" s="21">
        <f t="shared" si="12"/>
        <v>99</v>
      </c>
      <c r="I178" s="21"/>
      <c r="J178" s="21" t="s">
        <v>906</v>
      </c>
      <c r="K178" s="21">
        <f t="shared" si="11"/>
        <v>11</v>
      </c>
      <c r="L178" s="21"/>
      <c r="M178" s="15">
        <f t="shared" si="14"/>
        <v>50.731506849315068</v>
      </c>
      <c r="N178" s="15"/>
      <c r="O178" s="15"/>
      <c r="P178" s="15"/>
      <c r="Q178" s="15"/>
      <c r="R178" s="16"/>
      <c r="S178" s="16"/>
      <c r="T178" s="16"/>
      <c r="U178" s="16"/>
      <c r="V178" s="5">
        <v>48440</v>
      </c>
      <c r="W178" s="5">
        <v>66957</v>
      </c>
      <c r="Y178" s="5"/>
    </row>
    <row r="179" spans="1:32" ht="18" x14ac:dyDescent="0.35">
      <c r="A179" s="6"/>
      <c r="C179" s="13" t="s">
        <v>512</v>
      </c>
      <c r="D179" s="13" t="str">
        <f t="shared" si="13"/>
        <v xml:space="preserve">cfo'if </v>
      </c>
      <c r="E179" s="13" t="str">
        <f t="shared" si="15"/>
        <v>;fksf]6f</v>
      </c>
      <c r="F179" s="21" t="s">
        <v>233</v>
      </c>
      <c r="G179" s="21" t="s">
        <v>757</v>
      </c>
      <c r="H179" s="21">
        <f t="shared" si="12"/>
        <v>69</v>
      </c>
      <c r="I179" s="21"/>
      <c r="J179" s="21" t="s">
        <v>905</v>
      </c>
      <c r="K179" s="21">
        <f t="shared" si="11"/>
        <v>164</v>
      </c>
      <c r="L179" s="21"/>
      <c r="M179" s="15">
        <f t="shared" si="14"/>
        <v>15.358904109589041</v>
      </c>
      <c r="N179" s="15"/>
      <c r="O179" s="15"/>
      <c r="P179" s="15"/>
      <c r="Q179" s="15"/>
      <c r="R179" s="16"/>
      <c r="S179" s="16"/>
      <c r="T179" s="16"/>
      <c r="U179" s="16"/>
      <c r="V179" s="5">
        <v>61351</v>
      </c>
      <c r="W179" s="5">
        <v>66957</v>
      </c>
      <c r="Y179" s="5"/>
    </row>
    <row r="180" spans="1:32" ht="18" x14ac:dyDescent="0.35">
      <c r="A180" s="6"/>
      <c r="C180" s="13" t="s">
        <v>513</v>
      </c>
      <c r="D180" s="13" t="str">
        <f t="shared" si="13"/>
        <v xml:space="preserve">cleif]s </v>
      </c>
      <c r="E180" s="13" t="str">
        <f t="shared" si="15"/>
        <v>;fksf]6f</v>
      </c>
      <c r="F180" s="21" t="s">
        <v>233</v>
      </c>
      <c r="G180" s="21" t="s">
        <v>748</v>
      </c>
      <c r="H180" s="21" t="b">
        <f t="shared" si="12"/>
        <v>0</v>
      </c>
      <c r="I180" s="21"/>
      <c r="J180" s="21" t="s">
        <v>906</v>
      </c>
      <c r="K180" s="21">
        <f t="shared" si="11"/>
        <v>11</v>
      </c>
      <c r="L180" s="21"/>
      <c r="M180" s="15">
        <f t="shared" si="14"/>
        <v>5.3452054794520549</v>
      </c>
      <c r="N180" s="15"/>
      <c r="O180" s="15"/>
      <c r="P180" s="15"/>
      <c r="Q180" s="15"/>
      <c r="R180" s="16"/>
      <c r="S180" s="16"/>
      <c r="T180" s="16"/>
      <c r="U180" s="16"/>
      <c r="V180" s="5">
        <v>65006</v>
      </c>
      <c r="W180" s="5">
        <v>66957</v>
      </c>
      <c r="Y180" s="5"/>
    </row>
    <row r="181" spans="1:32" ht="18" x14ac:dyDescent="0.35">
      <c r="A181" s="6">
        <v>56</v>
      </c>
      <c r="B181" t="s">
        <v>121</v>
      </c>
      <c r="C181" s="13" t="s">
        <v>514</v>
      </c>
      <c r="D181" s="13" t="str">
        <f t="shared" si="13"/>
        <v xml:space="preserve">d]g'sf </v>
      </c>
      <c r="E181" s="13" t="str">
        <f t="shared" si="15"/>
        <v>&gt;]i7</v>
      </c>
      <c r="F181" s="21" t="s">
        <v>234</v>
      </c>
      <c r="G181" s="21" t="s">
        <v>756</v>
      </c>
      <c r="H181" s="21">
        <f t="shared" si="12"/>
        <v>102</v>
      </c>
      <c r="I181" s="21"/>
      <c r="J181" s="21" t="s">
        <v>906</v>
      </c>
      <c r="K181" s="21">
        <f t="shared" si="11"/>
        <v>53</v>
      </c>
      <c r="L181" s="21"/>
      <c r="M181" s="15">
        <f t="shared" si="14"/>
        <v>41.136986301369866</v>
      </c>
      <c r="N181" s="15"/>
      <c r="O181" s="15"/>
      <c r="P181" s="15"/>
      <c r="Q181" s="15"/>
      <c r="R181" s="16">
        <v>0</v>
      </c>
      <c r="S181" s="16">
        <v>3</v>
      </c>
      <c r="T181" s="16">
        <v>2</v>
      </c>
      <c r="U181" s="16">
        <v>0</v>
      </c>
      <c r="V181" s="5">
        <v>51942</v>
      </c>
      <c r="W181" s="5">
        <v>66957</v>
      </c>
      <c r="Y181" s="5">
        <v>65582</v>
      </c>
      <c r="Z181" s="2" t="s">
        <v>2</v>
      </c>
      <c r="AA181" s="2">
        <v>3</v>
      </c>
      <c r="AB181" s="2">
        <v>1</v>
      </c>
      <c r="AC181" s="2">
        <v>2</v>
      </c>
      <c r="AD181" t="s">
        <v>242</v>
      </c>
      <c r="AE181" t="s">
        <v>293</v>
      </c>
      <c r="AF181" t="s">
        <v>245</v>
      </c>
    </row>
    <row r="182" spans="1:32" ht="18" x14ac:dyDescent="0.35">
      <c r="A182" s="6"/>
      <c r="C182" s="13" t="s">
        <v>515</v>
      </c>
      <c r="D182" s="13" t="str">
        <f t="shared" si="13"/>
        <v xml:space="preserve">hfd'g </v>
      </c>
      <c r="E182" s="13" t="str">
        <f t="shared" si="15"/>
        <v>&gt;]i7</v>
      </c>
      <c r="F182" s="21" t="s">
        <v>233</v>
      </c>
      <c r="G182" s="21" t="s">
        <v>757</v>
      </c>
      <c r="H182" s="21">
        <f t="shared" si="12"/>
        <v>69</v>
      </c>
      <c r="I182" s="21"/>
      <c r="J182" s="21" t="s">
        <v>905</v>
      </c>
      <c r="K182" s="21">
        <f t="shared" si="11"/>
        <v>164</v>
      </c>
      <c r="L182" s="21"/>
      <c r="M182" s="15">
        <f t="shared" si="14"/>
        <v>21.142465753424659</v>
      </c>
      <c r="N182" s="15"/>
      <c r="O182" s="15"/>
      <c r="P182" s="15"/>
      <c r="Q182" s="15"/>
      <c r="R182" s="16"/>
      <c r="S182" s="16"/>
      <c r="T182" s="16"/>
      <c r="U182" s="16"/>
      <c r="V182" s="5">
        <v>59240</v>
      </c>
      <c r="W182" s="5">
        <v>66957</v>
      </c>
      <c r="Y182" s="5"/>
    </row>
    <row r="183" spans="1:32" ht="18" x14ac:dyDescent="0.35">
      <c r="A183" s="6"/>
      <c r="C183" s="13" t="s">
        <v>516</v>
      </c>
      <c r="D183" s="13" t="str">
        <f t="shared" si="13"/>
        <v xml:space="preserve">h]l;sf </v>
      </c>
      <c r="E183" s="13" t="str">
        <f t="shared" si="15"/>
        <v>&gt;]i7</v>
      </c>
      <c r="F183" s="21" t="s">
        <v>234</v>
      </c>
      <c r="G183" s="21" t="s">
        <v>757</v>
      </c>
      <c r="H183" s="21">
        <f t="shared" si="12"/>
        <v>54</v>
      </c>
      <c r="I183" s="21"/>
      <c r="J183" s="21" t="s">
        <v>905</v>
      </c>
      <c r="K183" s="21">
        <f t="shared" si="11"/>
        <v>107</v>
      </c>
      <c r="L183" s="21"/>
      <c r="M183" s="15">
        <f t="shared" si="14"/>
        <v>16.435616438356163</v>
      </c>
      <c r="N183" s="15"/>
      <c r="O183" s="15"/>
      <c r="P183" s="15"/>
      <c r="Q183" s="15"/>
      <c r="R183" s="16"/>
      <c r="S183" s="16"/>
      <c r="T183" s="16"/>
      <c r="U183" s="16"/>
      <c r="V183" s="5">
        <v>60958</v>
      </c>
      <c r="W183" s="5">
        <v>66957</v>
      </c>
      <c r="Y183" s="5"/>
    </row>
    <row r="184" spans="1:32" ht="18" x14ac:dyDescent="0.35">
      <c r="A184" s="6">
        <v>57</v>
      </c>
      <c r="B184" t="s">
        <v>122</v>
      </c>
      <c r="C184" s="13" t="s">
        <v>517</v>
      </c>
      <c r="D184" s="13" t="str">
        <f t="shared" si="13"/>
        <v xml:space="preserve">a;Gt </v>
      </c>
      <c r="E184" s="13" t="str">
        <f t="shared" si="15"/>
        <v>s]=;L</v>
      </c>
      <c r="F184" s="21" t="s">
        <v>233</v>
      </c>
      <c r="G184" s="21" t="s">
        <v>756</v>
      </c>
      <c r="H184" s="21">
        <f t="shared" si="12"/>
        <v>99</v>
      </c>
      <c r="I184" s="21"/>
      <c r="J184" s="21" t="s">
        <v>905</v>
      </c>
      <c r="K184" s="21">
        <f t="shared" si="11"/>
        <v>164</v>
      </c>
      <c r="L184" s="21"/>
      <c r="M184" s="15">
        <f t="shared" si="14"/>
        <v>30.402739726027399</v>
      </c>
      <c r="N184" s="15"/>
      <c r="O184" s="15"/>
      <c r="P184" s="15"/>
      <c r="Q184" s="15"/>
      <c r="R184" s="16">
        <v>0</v>
      </c>
      <c r="S184" s="16">
        <v>12</v>
      </c>
      <c r="T184" s="16">
        <v>2</v>
      </c>
      <c r="U184" s="16">
        <v>0</v>
      </c>
      <c r="V184" s="5">
        <v>55860</v>
      </c>
      <c r="W184" s="5">
        <v>66957</v>
      </c>
      <c r="Y184" s="5">
        <v>65533</v>
      </c>
      <c r="Z184" s="2" t="s">
        <v>2</v>
      </c>
      <c r="AA184" s="2">
        <v>5</v>
      </c>
      <c r="AB184" s="2">
        <v>2</v>
      </c>
      <c r="AC184" s="2">
        <v>3</v>
      </c>
      <c r="AD184" t="s">
        <v>242</v>
      </c>
      <c r="AE184" t="s">
        <v>254</v>
      </c>
      <c r="AF184" t="s">
        <v>245</v>
      </c>
    </row>
    <row r="185" spans="1:32" ht="18" x14ac:dyDescent="0.35">
      <c r="A185" s="6"/>
      <c r="C185" s="13" t="s">
        <v>518</v>
      </c>
      <c r="D185" s="13" t="str">
        <f t="shared" si="13"/>
        <v xml:space="preserve">lzj </v>
      </c>
      <c r="E185" s="13" t="str">
        <f t="shared" si="15"/>
        <v>s]=;L</v>
      </c>
      <c r="F185" s="21" t="s">
        <v>233</v>
      </c>
      <c r="G185" s="21" t="s">
        <v>756</v>
      </c>
      <c r="H185" s="21">
        <f t="shared" si="12"/>
        <v>99</v>
      </c>
      <c r="I185" s="21"/>
      <c r="J185" s="21" t="s">
        <v>905</v>
      </c>
      <c r="K185" s="21">
        <f t="shared" si="11"/>
        <v>164</v>
      </c>
      <c r="L185" s="21"/>
      <c r="M185" s="15">
        <f t="shared" si="14"/>
        <v>53.024657534246572</v>
      </c>
      <c r="N185" s="15"/>
      <c r="O185" s="15"/>
      <c r="P185" s="15"/>
      <c r="Q185" s="15"/>
      <c r="R185" s="16"/>
      <c r="S185" s="16"/>
      <c r="T185" s="16"/>
      <c r="U185" s="16"/>
      <c r="V185" s="5">
        <v>47603</v>
      </c>
      <c r="W185" s="5">
        <v>66957</v>
      </c>
      <c r="Y185" s="5"/>
    </row>
    <row r="186" spans="1:32" ht="18" x14ac:dyDescent="0.35">
      <c r="A186" s="6"/>
      <c r="C186" s="13" t="s">
        <v>519</v>
      </c>
      <c r="D186" s="13" t="str">
        <f t="shared" si="13"/>
        <v xml:space="preserve">cK;/f </v>
      </c>
      <c r="E186" s="13" t="str">
        <f t="shared" si="15"/>
        <v>s]=;L</v>
      </c>
      <c r="F186" s="21" t="s">
        <v>234</v>
      </c>
      <c r="G186" s="21" t="s">
        <v>756</v>
      </c>
      <c r="H186" s="21">
        <f t="shared" si="12"/>
        <v>102</v>
      </c>
      <c r="I186" s="21"/>
      <c r="J186" s="21" t="s">
        <v>906</v>
      </c>
      <c r="K186" s="21">
        <f t="shared" si="11"/>
        <v>53</v>
      </c>
      <c r="L186" s="21"/>
      <c r="M186" s="15">
        <f t="shared" si="14"/>
        <v>53.30684931506849</v>
      </c>
      <c r="N186" s="15"/>
      <c r="O186" s="15"/>
      <c r="P186" s="15"/>
      <c r="Q186" s="15"/>
      <c r="R186" s="16"/>
      <c r="S186" s="16"/>
      <c r="T186" s="16"/>
      <c r="U186" s="16"/>
      <c r="V186" s="5">
        <v>47500</v>
      </c>
      <c r="W186" s="5">
        <v>66957</v>
      </c>
      <c r="Y186" s="5"/>
    </row>
    <row r="187" spans="1:32" ht="18" x14ac:dyDescent="0.35">
      <c r="A187" s="6"/>
      <c r="C187" s="13" t="s">
        <v>520</v>
      </c>
      <c r="D187" s="13" t="str">
        <f t="shared" si="13"/>
        <v xml:space="preserve">gljgf </v>
      </c>
      <c r="E187" s="13" t="str">
        <f t="shared" si="15"/>
        <v>kf08]</v>
      </c>
      <c r="F187" s="21" t="s">
        <v>234</v>
      </c>
      <c r="G187" s="21" t="s">
        <v>756</v>
      </c>
      <c r="H187" s="21">
        <f t="shared" si="12"/>
        <v>102</v>
      </c>
      <c r="I187" s="21"/>
      <c r="J187" s="21" t="s">
        <v>905</v>
      </c>
      <c r="K187" s="21">
        <f t="shared" si="11"/>
        <v>107</v>
      </c>
      <c r="L187" s="21"/>
      <c r="M187" s="15">
        <f t="shared" si="14"/>
        <v>31.4986301369863</v>
      </c>
      <c r="N187" s="15"/>
      <c r="O187" s="15"/>
      <c r="P187" s="15"/>
      <c r="Q187" s="15"/>
      <c r="R187" s="16"/>
      <c r="S187" s="16"/>
      <c r="T187" s="16"/>
      <c r="U187" s="16"/>
      <c r="V187" s="5">
        <v>55460</v>
      </c>
      <c r="W187" s="5">
        <v>66957</v>
      </c>
      <c r="Y187" s="5"/>
    </row>
    <row r="188" spans="1:32" ht="18" x14ac:dyDescent="0.35">
      <c r="A188" s="6"/>
      <c r="C188" s="13" t="s">
        <v>521</v>
      </c>
      <c r="D188" s="13" t="str">
        <f t="shared" si="13"/>
        <v xml:space="preserve">aiff{ </v>
      </c>
      <c r="E188" s="13" t="str">
        <f t="shared" si="15"/>
        <v>s]=;L</v>
      </c>
      <c r="F188" s="21" t="s">
        <v>234</v>
      </c>
      <c r="G188" s="21" t="s">
        <v>757</v>
      </c>
      <c r="H188" s="21">
        <f t="shared" si="12"/>
        <v>54</v>
      </c>
      <c r="I188" s="21"/>
      <c r="J188" s="21" t="s">
        <v>905</v>
      </c>
      <c r="K188" s="21">
        <f t="shared" si="11"/>
        <v>107</v>
      </c>
      <c r="L188" s="21"/>
      <c r="M188" s="15">
        <f t="shared" si="14"/>
        <v>29.197260273972603</v>
      </c>
      <c r="N188" s="15"/>
      <c r="O188" s="15"/>
      <c r="P188" s="15"/>
      <c r="Q188" s="15"/>
      <c r="R188" s="16"/>
      <c r="S188" s="16"/>
      <c r="T188" s="16"/>
      <c r="U188" s="16"/>
      <c r="V188" s="5">
        <v>56300</v>
      </c>
      <c r="W188" s="5">
        <v>66957</v>
      </c>
      <c r="Y188" s="5"/>
    </row>
    <row r="189" spans="1:32" ht="18" x14ac:dyDescent="0.35">
      <c r="A189" s="6">
        <v>58</v>
      </c>
      <c r="B189" t="s">
        <v>123</v>
      </c>
      <c r="C189" s="13" t="s">
        <v>522</v>
      </c>
      <c r="D189" s="13" t="str">
        <f t="shared" si="13"/>
        <v xml:space="preserve">gf/fo0f </v>
      </c>
      <c r="E189" s="13" t="str">
        <f t="shared" si="15"/>
        <v>s]=;L</v>
      </c>
      <c r="F189" s="21" t="s">
        <v>233</v>
      </c>
      <c r="G189" s="21" t="s">
        <v>756</v>
      </c>
      <c r="H189" s="21">
        <f t="shared" si="12"/>
        <v>99</v>
      </c>
      <c r="I189" s="21"/>
      <c r="J189" s="21" t="s">
        <v>905</v>
      </c>
      <c r="K189" s="21">
        <f t="shared" si="11"/>
        <v>164</v>
      </c>
      <c r="L189" s="21"/>
      <c r="M189" s="15">
        <f t="shared" si="14"/>
        <v>49.183561643835617</v>
      </c>
      <c r="N189" s="15"/>
      <c r="O189" s="15"/>
      <c r="P189" s="15"/>
      <c r="Q189" s="15"/>
      <c r="R189" s="16">
        <v>0</v>
      </c>
      <c r="S189" s="16">
        <v>5</v>
      </c>
      <c r="T189" s="16">
        <v>1</v>
      </c>
      <c r="U189" s="16">
        <v>0</v>
      </c>
      <c r="V189" s="5">
        <v>49005</v>
      </c>
      <c r="W189" s="5">
        <v>66957</v>
      </c>
      <c r="Y189" s="5">
        <v>65527</v>
      </c>
      <c r="Z189" s="2" t="s">
        <v>2</v>
      </c>
      <c r="AA189" s="2">
        <v>5</v>
      </c>
      <c r="AB189" s="2">
        <v>3</v>
      </c>
      <c r="AC189" s="2">
        <v>2</v>
      </c>
      <c r="AD189" t="s">
        <v>242</v>
      </c>
      <c r="AE189" t="s">
        <v>254</v>
      </c>
      <c r="AF189" t="s">
        <v>245</v>
      </c>
    </row>
    <row r="190" spans="1:32" ht="18" x14ac:dyDescent="0.35">
      <c r="A190" s="6"/>
      <c r="C190" s="13" t="s">
        <v>523</v>
      </c>
      <c r="D190" s="13" t="str">
        <f t="shared" si="13"/>
        <v xml:space="preserve">lalgtf </v>
      </c>
      <c r="E190" s="13" t="str">
        <f t="shared" si="15"/>
        <v>v8\sf</v>
      </c>
      <c r="F190" s="21" t="s">
        <v>234</v>
      </c>
      <c r="G190" s="21" t="s">
        <v>756</v>
      </c>
      <c r="H190" s="21">
        <f t="shared" si="12"/>
        <v>102</v>
      </c>
      <c r="I190" s="21"/>
      <c r="J190" s="21" t="s">
        <v>905</v>
      </c>
      <c r="K190" s="21">
        <f t="shared" si="11"/>
        <v>107</v>
      </c>
      <c r="L190" s="21"/>
      <c r="M190" s="15">
        <f t="shared" si="14"/>
        <v>35.868493150684934</v>
      </c>
      <c r="N190" s="15"/>
      <c r="O190" s="15"/>
      <c r="P190" s="15"/>
      <c r="Q190" s="15"/>
      <c r="R190" s="16"/>
      <c r="S190" s="16"/>
      <c r="T190" s="16"/>
      <c r="U190" s="16"/>
      <c r="V190" s="5">
        <v>53865</v>
      </c>
      <c r="W190" s="5">
        <v>66957</v>
      </c>
      <c r="Y190" s="5"/>
    </row>
    <row r="191" spans="1:32" ht="18" x14ac:dyDescent="0.35">
      <c r="A191" s="6"/>
      <c r="C191" s="13" t="s">
        <v>524</v>
      </c>
      <c r="D191" s="13" t="str">
        <f t="shared" si="13"/>
        <v xml:space="preserve">c?0f </v>
      </c>
      <c r="E191" s="13" t="str">
        <f t="shared" si="15"/>
        <v>s]=;L</v>
      </c>
      <c r="F191" s="21" t="s">
        <v>233</v>
      </c>
      <c r="G191" s="21" t="s">
        <v>757</v>
      </c>
      <c r="H191" s="21">
        <f t="shared" si="12"/>
        <v>69</v>
      </c>
      <c r="I191" s="21"/>
      <c r="J191" s="21" t="s">
        <v>905</v>
      </c>
      <c r="K191" s="21">
        <f t="shared" si="11"/>
        <v>164</v>
      </c>
      <c r="L191" s="21"/>
      <c r="M191" s="15">
        <f t="shared" si="14"/>
        <v>30.602739726027398</v>
      </c>
      <c r="N191" s="15"/>
      <c r="O191" s="15"/>
      <c r="P191" s="15"/>
      <c r="Q191" s="15"/>
      <c r="R191" s="16"/>
      <c r="S191" s="16"/>
      <c r="T191" s="16"/>
      <c r="U191" s="16"/>
      <c r="V191" s="5">
        <v>55787</v>
      </c>
      <c r="W191" s="5">
        <v>66957</v>
      </c>
      <c r="Y191" s="5"/>
    </row>
    <row r="192" spans="1:32" ht="18" x14ac:dyDescent="0.35">
      <c r="A192" s="6"/>
      <c r="C192" s="13" t="s">
        <v>525</v>
      </c>
      <c r="D192" s="13" t="str">
        <f t="shared" si="13"/>
        <v xml:space="preserve">c?0ff </v>
      </c>
      <c r="E192" s="13" t="str">
        <f t="shared" si="15"/>
        <v>s]=;L</v>
      </c>
      <c r="F192" s="21" t="s">
        <v>234</v>
      </c>
      <c r="G192" s="21" t="s">
        <v>757</v>
      </c>
      <c r="H192" s="21">
        <f t="shared" si="12"/>
        <v>54</v>
      </c>
      <c r="I192" s="21"/>
      <c r="J192" s="21" t="s">
        <v>905</v>
      </c>
      <c r="K192" s="21">
        <f t="shared" si="11"/>
        <v>107</v>
      </c>
      <c r="L192" s="21"/>
      <c r="M192" s="15">
        <f t="shared" si="14"/>
        <v>21.139726027397259</v>
      </c>
      <c r="N192" s="15"/>
      <c r="O192" s="15"/>
      <c r="P192" s="15"/>
      <c r="Q192" s="15"/>
      <c r="R192" s="16"/>
      <c r="S192" s="16"/>
      <c r="T192" s="16"/>
      <c r="U192" s="16"/>
      <c r="V192" s="5">
        <v>59241</v>
      </c>
      <c r="W192" s="5">
        <v>66957</v>
      </c>
      <c r="Y192" s="5"/>
    </row>
    <row r="193" spans="1:32" ht="18" x14ac:dyDescent="0.35">
      <c r="A193" s="6"/>
      <c r="C193" s="13" t="s">
        <v>526</v>
      </c>
      <c r="D193" s="13" t="str">
        <f t="shared" si="13"/>
        <v xml:space="preserve">ljefg </v>
      </c>
      <c r="E193" s="13" t="str">
        <f t="shared" si="15"/>
        <v>s]=;L</v>
      </c>
      <c r="F193" s="21" t="s">
        <v>233</v>
      </c>
      <c r="G193" s="21" t="s">
        <v>748</v>
      </c>
      <c r="H193" s="21" t="b">
        <f t="shared" si="12"/>
        <v>0</v>
      </c>
      <c r="I193" s="21"/>
      <c r="J193" s="21" t="s">
        <v>905</v>
      </c>
      <c r="K193" s="21">
        <f t="shared" si="11"/>
        <v>164</v>
      </c>
      <c r="L193" s="21"/>
      <c r="M193" s="15">
        <f t="shared" si="14"/>
        <v>6.7260273972602738</v>
      </c>
      <c r="N193" s="15"/>
      <c r="O193" s="15"/>
      <c r="P193" s="15"/>
      <c r="Q193" s="15"/>
      <c r="R193" s="16"/>
      <c r="S193" s="16"/>
      <c r="T193" s="16"/>
      <c r="U193" s="16"/>
      <c r="V193" s="5">
        <v>64502</v>
      </c>
      <c r="W193" s="5">
        <v>66957</v>
      </c>
      <c r="Y193" s="5"/>
    </row>
    <row r="194" spans="1:32" ht="18" x14ac:dyDescent="0.35">
      <c r="A194" s="6">
        <v>60</v>
      </c>
      <c r="B194" t="s">
        <v>125</v>
      </c>
      <c r="C194" s="13" t="s">
        <v>529</v>
      </c>
      <c r="D194" s="13" t="str">
        <f t="shared" si="13"/>
        <v xml:space="preserve">gGb </v>
      </c>
      <c r="E194" s="13" t="str">
        <f t="shared" si="15"/>
        <v>k|;fb</v>
      </c>
      <c r="F194" s="21" t="s">
        <v>233</v>
      </c>
      <c r="G194" s="21" t="s">
        <v>756</v>
      </c>
      <c r="H194" s="21">
        <f t="shared" si="12"/>
        <v>99</v>
      </c>
      <c r="I194" s="21"/>
      <c r="J194" s="21" t="s">
        <v>906</v>
      </c>
      <c r="K194" s="21">
        <f t="shared" si="11"/>
        <v>11</v>
      </c>
      <c r="L194" s="21"/>
      <c r="M194" s="15">
        <f t="shared" si="14"/>
        <v>64.68767123287671</v>
      </c>
      <c r="N194" s="15"/>
      <c r="O194" s="15"/>
      <c r="P194" s="15"/>
      <c r="Q194" s="15"/>
      <c r="R194" s="16">
        <v>0</v>
      </c>
      <c r="S194" s="16">
        <v>8</v>
      </c>
      <c r="T194" s="16">
        <v>0</v>
      </c>
      <c r="U194" s="16">
        <v>3</v>
      </c>
      <c r="V194" s="5">
        <v>43346</v>
      </c>
      <c r="W194" s="5">
        <v>66957</v>
      </c>
      <c r="Y194" s="5">
        <v>65490</v>
      </c>
      <c r="Z194" s="2" t="s">
        <v>2</v>
      </c>
      <c r="AA194" s="2">
        <v>4</v>
      </c>
      <c r="AB194" s="2">
        <v>3</v>
      </c>
      <c r="AC194" s="2">
        <v>1</v>
      </c>
      <c r="AD194" t="s">
        <v>242</v>
      </c>
      <c r="AE194" t="s">
        <v>296</v>
      </c>
      <c r="AF194" t="s">
        <v>245</v>
      </c>
    </row>
    <row r="195" spans="1:32" ht="18" x14ac:dyDescent="0.35">
      <c r="A195" s="6"/>
      <c r="C195" s="13" t="s">
        <v>530</v>
      </c>
      <c r="D195" s="13" t="str">
        <f t="shared" si="13"/>
        <v xml:space="preserve">;ltif </v>
      </c>
      <c r="E195" s="13" t="str">
        <f t="shared" si="15"/>
        <v>k|;fb</v>
      </c>
      <c r="F195" s="21" t="s">
        <v>233</v>
      </c>
      <c r="G195" s="21" t="s">
        <v>756</v>
      </c>
      <c r="H195" s="21">
        <f t="shared" si="12"/>
        <v>99</v>
      </c>
      <c r="I195" s="21"/>
      <c r="J195" s="21" t="s">
        <v>905</v>
      </c>
      <c r="K195" s="21">
        <f t="shared" si="11"/>
        <v>164</v>
      </c>
      <c r="L195" s="21"/>
      <c r="M195" s="15">
        <f t="shared" si="14"/>
        <v>45.564383561643837</v>
      </c>
      <c r="N195" s="15"/>
      <c r="O195" s="15"/>
      <c r="P195" s="15"/>
      <c r="Q195" s="15"/>
      <c r="R195" s="16"/>
      <c r="S195" s="16"/>
      <c r="T195" s="16"/>
      <c r="U195" s="16"/>
      <c r="V195" s="5">
        <v>50326</v>
      </c>
      <c r="W195" s="5">
        <v>66957</v>
      </c>
      <c r="Y195" s="5"/>
    </row>
    <row r="196" spans="1:32" ht="18" x14ac:dyDescent="0.35">
      <c r="A196" s="6"/>
      <c r="C196" s="13" t="s">
        <v>531</v>
      </c>
      <c r="D196" s="13" t="str">
        <f t="shared" si="13"/>
        <v xml:space="preserve">cflzif </v>
      </c>
      <c r="E196" s="13" t="str">
        <f t="shared" si="15"/>
        <v>u'Ktf</v>
      </c>
      <c r="F196" s="21" t="s">
        <v>233</v>
      </c>
      <c r="G196" s="21" t="s">
        <v>757</v>
      </c>
      <c r="H196" s="21">
        <f t="shared" si="12"/>
        <v>69</v>
      </c>
      <c r="I196" s="21"/>
      <c r="J196" s="21" t="s">
        <v>905</v>
      </c>
      <c r="K196" s="21">
        <f t="shared" ref="K196:K259" si="16">IF(M196&gt;=5,(COUNTIFS($J$4:$J$348,J196,$F$4:$F$348,F196)))</f>
        <v>164</v>
      </c>
      <c r="L196" s="21"/>
      <c r="M196" s="15">
        <f t="shared" si="14"/>
        <v>34.087671232876716</v>
      </c>
      <c r="N196" s="15"/>
      <c r="O196" s="15"/>
      <c r="P196" s="15"/>
      <c r="Q196" s="15"/>
      <c r="R196" s="16"/>
      <c r="S196" s="16"/>
      <c r="T196" s="16"/>
      <c r="U196" s="16"/>
      <c r="V196" s="5">
        <v>54515</v>
      </c>
      <c r="W196" s="5">
        <v>66957</v>
      </c>
      <c r="Y196" s="5"/>
    </row>
    <row r="197" spans="1:32" ht="18" x14ac:dyDescent="0.35">
      <c r="A197" s="6"/>
      <c r="C197" s="13" t="s">
        <v>532</v>
      </c>
      <c r="D197" s="13" t="str">
        <f t="shared" si="13"/>
        <v xml:space="preserve">k|ltdf </v>
      </c>
      <c r="E197" s="13" t="str">
        <f t="shared" si="15"/>
        <v>tfdf+u</v>
      </c>
      <c r="F197" s="21" t="s">
        <v>234</v>
      </c>
      <c r="G197" s="21" t="s">
        <v>756</v>
      </c>
      <c r="H197" s="21">
        <f t="shared" ref="H197:H260" si="17">IF(M197&gt;=10,(COUNTIFS($G$4:$G$348,G197,$F$4:$F$348,F197)))</f>
        <v>102</v>
      </c>
      <c r="I197" s="21"/>
      <c r="J197" s="21" t="s">
        <v>905</v>
      </c>
      <c r="K197" s="21">
        <f t="shared" si="16"/>
        <v>107</v>
      </c>
      <c r="L197" s="21"/>
      <c r="M197" s="15">
        <f t="shared" si="14"/>
        <v>32.646575342465752</v>
      </c>
      <c r="N197" s="15"/>
      <c r="O197" s="15"/>
      <c r="P197" s="15"/>
      <c r="Q197" s="15"/>
      <c r="R197" s="16"/>
      <c r="S197" s="16"/>
      <c r="T197" s="16"/>
      <c r="U197" s="16"/>
      <c r="V197" s="5">
        <v>55041</v>
      </c>
      <c r="W197" s="5">
        <v>66957</v>
      </c>
      <c r="Y197" s="5"/>
    </row>
    <row r="198" spans="1:32" ht="18" x14ac:dyDescent="0.35">
      <c r="A198" s="6">
        <v>61</v>
      </c>
      <c r="B198" t="s">
        <v>126</v>
      </c>
      <c r="C198" s="13" t="s">
        <v>533</v>
      </c>
      <c r="D198" s="13" t="str">
        <f t="shared" si="13"/>
        <v xml:space="preserve">ld¶f/fd </v>
      </c>
      <c r="E198" s="13" t="str">
        <f t="shared" si="15"/>
        <v>v8\sf</v>
      </c>
      <c r="F198" s="21" t="s">
        <v>233</v>
      </c>
      <c r="G198" s="21" t="s">
        <v>756</v>
      </c>
      <c r="H198" s="21">
        <f t="shared" si="17"/>
        <v>99</v>
      </c>
      <c r="I198" s="21"/>
      <c r="J198" s="21" t="s">
        <v>905</v>
      </c>
      <c r="K198" s="21">
        <f t="shared" si="16"/>
        <v>164</v>
      </c>
      <c r="L198" s="21"/>
      <c r="M198" s="15">
        <f t="shared" si="14"/>
        <v>44.005479452054793</v>
      </c>
      <c r="N198" s="15"/>
      <c r="O198" s="15"/>
      <c r="P198" s="15"/>
      <c r="Q198" s="15"/>
      <c r="R198" s="16">
        <v>1</v>
      </c>
      <c r="S198" s="16">
        <v>4</v>
      </c>
      <c r="T198" s="16">
        <v>0</v>
      </c>
      <c r="U198" s="16">
        <v>0</v>
      </c>
      <c r="V198" s="5">
        <v>50895</v>
      </c>
      <c r="W198" s="5">
        <v>66957</v>
      </c>
      <c r="Y198" s="5">
        <v>65479</v>
      </c>
      <c r="Z198" s="2" t="s">
        <v>2</v>
      </c>
      <c r="AA198" s="2">
        <v>4</v>
      </c>
      <c r="AB198" s="2">
        <v>3</v>
      </c>
      <c r="AC198" s="2">
        <v>1</v>
      </c>
      <c r="AD198" t="s">
        <v>242</v>
      </c>
      <c r="AE198" t="s">
        <v>294</v>
      </c>
      <c r="AF198" t="s">
        <v>245</v>
      </c>
    </row>
    <row r="199" spans="1:32" ht="18" x14ac:dyDescent="0.35">
      <c r="A199" s="6"/>
      <c r="C199" s="13" t="s">
        <v>534</v>
      </c>
      <c r="D199" s="13" t="str">
        <f t="shared" ref="D199:D262" si="18">LEFT(C199,(FIND(" ",C199)))</f>
        <v xml:space="preserve">cg' </v>
      </c>
      <c r="E199" s="13" t="str">
        <f t="shared" si="15"/>
        <v>/f]Ssf</v>
      </c>
      <c r="F199" s="21" t="s">
        <v>234</v>
      </c>
      <c r="G199" s="21" t="s">
        <v>757</v>
      </c>
      <c r="H199" s="21">
        <f t="shared" si="17"/>
        <v>54</v>
      </c>
      <c r="I199" s="21"/>
      <c r="J199" s="21" t="s">
        <v>905</v>
      </c>
      <c r="K199" s="21">
        <f t="shared" si="16"/>
        <v>107</v>
      </c>
      <c r="L199" s="21"/>
      <c r="M199" s="15">
        <f t="shared" ref="M199:M262" si="19">(W199-V199)/365</f>
        <v>22.80821917808219</v>
      </c>
      <c r="N199" s="15"/>
      <c r="O199" s="15"/>
      <c r="P199" s="15"/>
      <c r="Q199" s="15"/>
      <c r="R199" s="16"/>
      <c r="S199" s="16"/>
      <c r="T199" s="16"/>
      <c r="U199" s="16"/>
      <c r="V199" s="5">
        <v>58632</v>
      </c>
      <c r="W199" s="5">
        <v>66957</v>
      </c>
      <c r="Y199" s="5"/>
    </row>
    <row r="200" spans="1:32" ht="18" x14ac:dyDescent="0.35">
      <c r="A200" s="6"/>
      <c r="C200" s="13" t="s">
        <v>535</v>
      </c>
      <c r="D200" s="13" t="str">
        <f t="shared" si="18"/>
        <v xml:space="preserve">slkn </v>
      </c>
      <c r="E200" s="13" t="str">
        <f t="shared" ref="E200:E263" si="20">TRIM(RIGHT(SUBSTITUTE(C200," ",REPT(" ",255)),255))</f>
        <v>v8\sf</v>
      </c>
      <c r="F200" s="21" t="s">
        <v>233</v>
      </c>
      <c r="G200" s="21" t="s">
        <v>757</v>
      </c>
      <c r="H200" s="21">
        <f t="shared" si="17"/>
        <v>69</v>
      </c>
      <c r="I200" s="21"/>
      <c r="J200" s="21" t="s">
        <v>905</v>
      </c>
      <c r="K200" s="21">
        <f t="shared" si="16"/>
        <v>164</v>
      </c>
      <c r="L200" s="21"/>
      <c r="M200" s="15">
        <f t="shared" si="19"/>
        <v>20.6</v>
      </c>
      <c r="N200" s="15"/>
      <c r="O200" s="15"/>
      <c r="P200" s="15"/>
      <c r="Q200" s="15"/>
      <c r="R200" s="16"/>
      <c r="S200" s="16"/>
      <c r="T200" s="16"/>
      <c r="U200" s="16"/>
      <c r="V200" s="5">
        <v>59438</v>
      </c>
      <c r="W200" s="5">
        <v>66957</v>
      </c>
      <c r="Y200" s="5"/>
    </row>
    <row r="201" spans="1:32" ht="18" x14ac:dyDescent="0.35">
      <c r="A201" s="6"/>
      <c r="C201" s="13" t="s">
        <v>536</v>
      </c>
      <c r="D201" s="13" t="str">
        <f t="shared" si="18"/>
        <v xml:space="preserve">;'hn </v>
      </c>
      <c r="E201" s="13" t="str">
        <f t="shared" si="20"/>
        <v>v8\sf</v>
      </c>
      <c r="F201" s="21" t="s">
        <v>233</v>
      </c>
      <c r="G201" s="21" t="s">
        <v>756</v>
      </c>
      <c r="H201" s="21">
        <f t="shared" si="17"/>
        <v>99</v>
      </c>
      <c r="I201" s="21"/>
      <c r="J201" s="21" t="s">
        <v>905</v>
      </c>
      <c r="K201" s="21">
        <f t="shared" si="16"/>
        <v>164</v>
      </c>
      <c r="L201" s="21"/>
      <c r="M201" s="15">
        <f t="shared" si="19"/>
        <v>46.893150684931506</v>
      </c>
      <c r="N201" s="15"/>
      <c r="O201" s="15"/>
      <c r="P201" s="15"/>
      <c r="Q201" s="15"/>
      <c r="R201" s="16"/>
      <c r="S201" s="16"/>
      <c r="T201" s="16"/>
      <c r="U201" s="16"/>
      <c r="V201" s="5">
        <v>49841</v>
      </c>
      <c r="W201" s="5">
        <v>66957</v>
      </c>
      <c r="Y201" s="5"/>
    </row>
    <row r="202" spans="1:32" ht="18" x14ac:dyDescent="0.35">
      <c r="A202" s="6">
        <v>62</v>
      </c>
      <c r="B202" t="s">
        <v>127</v>
      </c>
      <c r="C202" s="13" t="s">
        <v>537</v>
      </c>
      <c r="D202" s="13" t="str">
        <f t="shared" si="18"/>
        <v xml:space="preserve">gf/fo0f </v>
      </c>
      <c r="E202" s="13" t="str">
        <f t="shared" si="20"/>
        <v>v8\sf</v>
      </c>
      <c r="F202" s="21" t="s">
        <v>233</v>
      </c>
      <c r="G202" s="21" t="s">
        <v>756</v>
      </c>
      <c r="H202" s="21">
        <f t="shared" si="17"/>
        <v>99</v>
      </c>
      <c r="I202" s="21"/>
      <c r="J202" s="21" t="s">
        <v>905</v>
      </c>
      <c r="K202" s="21">
        <f t="shared" si="16"/>
        <v>164</v>
      </c>
      <c r="L202" s="21"/>
      <c r="M202" s="15">
        <f t="shared" si="19"/>
        <v>44.205479452054796</v>
      </c>
      <c r="N202" s="15"/>
      <c r="O202" s="15"/>
      <c r="P202" s="15"/>
      <c r="Q202" s="15"/>
      <c r="R202" s="16">
        <v>1</v>
      </c>
      <c r="S202" s="16">
        <v>13</v>
      </c>
      <c r="T202" s="16">
        <v>0</v>
      </c>
      <c r="U202" s="16">
        <v>0</v>
      </c>
      <c r="V202" s="5">
        <v>50822</v>
      </c>
      <c r="W202" s="5">
        <v>66957</v>
      </c>
      <c r="Y202" s="5">
        <v>65478</v>
      </c>
      <c r="Z202" s="2" t="s">
        <v>2</v>
      </c>
      <c r="AA202" s="2">
        <v>4</v>
      </c>
      <c r="AB202" s="2">
        <v>3</v>
      </c>
      <c r="AC202" s="2">
        <v>1</v>
      </c>
      <c r="AD202" t="s">
        <v>242</v>
      </c>
      <c r="AE202" t="s">
        <v>294</v>
      </c>
      <c r="AF202" t="s">
        <v>245</v>
      </c>
    </row>
    <row r="203" spans="1:32" ht="18" x14ac:dyDescent="0.35">
      <c r="A203" s="6"/>
      <c r="C203" s="13" t="s">
        <v>538</v>
      </c>
      <c r="D203" s="13" t="str">
        <f t="shared" si="18"/>
        <v xml:space="preserve">;fg' </v>
      </c>
      <c r="E203" s="13" t="str">
        <f t="shared" si="20"/>
        <v>v8\sf</v>
      </c>
      <c r="F203" s="21" t="s">
        <v>234</v>
      </c>
      <c r="G203" s="21" t="s">
        <v>756</v>
      </c>
      <c r="H203" s="21">
        <f t="shared" si="17"/>
        <v>102</v>
      </c>
      <c r="I203" s="21"/>
      <c r="J203" s="21" t="s">
        <v>905</v>
      </c>
      <c r="K203" s="21">
        <f t="shared" si="16"/>
        <v>107</v>
      </c>
      <c r="L203" s="21"/>
      <c r="M203" s="15">
        <f t="shared" si="19"/>
        <v>48.18904109589041</v>
      </c>
      <c r="N203" s="15"/>
      <c r="O203" s="15"/>
      <c r="P203" s="15"/>
      <c r="Q203" s="15"/>
      <c r="R203" s="16"/>
      <c r="S203" s="16"/>
      <c r="T203" s="16"/>
      <c r="U203" s="16"/>
      <c r="V203" s="5">
        <v>49368</v>
      </c>
      <c r="W203" s="5">
        <v>66957</v>
      </c>
      <c r="Y203" s="5"/>
    </row>
    <row r="204" spans="1:32" ht="18" x14ac:dyDescent="0.35">
      <c r="A204" s="6"/>
      <c r="C204" s="13" t="s">
        <v>539</v>
      </c>
      <c r="D204" s="13" t="str">
        <f t="shared" si="18"/>
        <v xml:space="preserve">;fu/ </v>
      </c>
      <c r="E204" s="13" t="str">
        <f t="shared" si="20"/>
        <v>v8\sf</v>
      </c>
      <c r="F204" s="21" t="s">
        <v>233</v>
      </c>
      <c r="G204" s="21" t="s">
        <v>757</v>
      </c>
      <c r="H204" s="21">
        <f t="shared" si="17"/>
        <v>69</v>
      </c>
      <c r="I204" s="21"/>
      <c r="J204" s="21" t="s">
        <v>905</v>
      </c>
      <c r="K204" s="21">
        <f t="shared" si="16"/>
        <v>164</v>
      </c>
      <c r="L204" s="21"/>
      <c r="M204" s="15">
        <f t="shared" si="19"/>
        <v>27.627397260273973</v>
      </c>
      <c r="N204" s="15"/>
      <c r="O204" s="15"/>
      <c r="P204" s="15"/>
      <c r="Q204" s="15"/>
      <c r="R204" s="16"/>
      <c r="S204" s="16"/>
      <c r="T204" s="16"/>
      <c r="U204" s="16"/>
      <c r="V204" s="5">
        <v>56873</v>
      </c>
      <c r="W204" s="5">
        <v>66957</v>
      </c>
      <c r="Y204" s="5"/>
    </row>
    <row r="205" spans="1:32" ht="18" x14ac:dyDescent="0.35">
      <c r="A205" s="6"/>
      <c r="C205" s="13" t="s">
        <v>540</v>
      </c>
      <c r="D205" s="13" t="str">
        <f t="shared" si="18"/>
        <v xml:space="preserve">;fhg </v>
      </c>
      <c r="E205" s="13" t="str">
        <f t="shared" si="20"/>
        <v>v8\sf</v>
      </c>
      <c r="F205" s="21" t="s">
        <v>233</v>
      </c>
      <c r="G205" s="21" t="s">
        <v>757</v>
      </c>
      <c r="H205" s="21">
        <f t="shared" si="17"/>
        <v>69</v>
      </c>
      <c r="I205" s="21"/>
      <c r="J205" s="21" t="s">
        <v>907</v>
      </c>
      <c r="K205" s="21">
        <f t="shared" si="16"/>
        <v>164</v>
      </c>
      <c r="L205" s="21"/>
      <c r="M205" s="15">
        <f t="shared" si="19"/>
        <v>21.238356164383561</v>
      </c>
      <c r="N205" s="15"/>
      <c r="O205" s="15"/>
      <c r="P205" s="15"/>
      <c r="Q205" s="15"/>
      <c r="R205" s="16"/>
      <c r="S205" s="16"/>
      <c r="T205" s="16"/>
      <c r="U205" s="16"/>
      <c r="V205" s="5">
        <v>59205</v>
      </c>
      <c r="W205" s="5">
        <v>66957</v>
      </c>
      <c r="Y205" s="5"/>
    </row>
    <row r="206" spans="1:32" ht="18" x14ac:dyDescent="0.35">
      <c r="A206" s="6">
        <v>63</v>
      </c>
      <c r="B206" t="s">
        <v>128</v>
      </c>
      <c r="C206" s="13" t="s">
        <v>541</v>
      </c>
      <c r="D206" s="13" t="str">
        <f t="shared" si="18"/>
        <v xml:space="preserve">?b| </v>
      </c>
      <c r="E206" s="13" t="str">
        <f t="shared" si="20"/>
        <v>sfsL{</v>
      </c>
      <c r="F206" s="21" t="s">
        <v>233</v>
      </c>
      <c r="G206" s="21" t="s">
        <v>756</v>
      </c>
      <c r="H206" s="21">
        <f t="shared" si="17"/>
        <v>99</v>
      </c>
      <c r="I206" s="21"/>
      <c r="J206" s="21" t="s">
        <v>906</v>
      </c>
      <c r="K206" s="21">
        <f t="shared" si="16"/>
        <v>11</v>
      </c>
      <c r="L206" s="21"/>
      <c r="M206" s="15">
        <f t="shared" si="19"/>
        <v>57.484931506849314</v>
      </c>
      <c r="N206" s="15"/>
      <c r="O206" s="15"/>
      <c r="P206" s="15"/>
      <c r="Q206" s="15"/>
      <c r="R206" s="16">
        <v>6</v>
      </c>
      <c r="S206" s="16">
        <v>12</v>
      </c>
      <c r="T206" s="16">
        <v>3</v>
      </c>
      <c r="U206" s="16">
        <v>2</v>
      </c>
      <c r="V206" s="5">
        <v>45975</v>
      </c>
      <c r="W206" s="5">
        <v>66957</v>
      </c>
      <c r="Y206" s="5">
        <v>65466</v>
      </c>
      <c r="Z206" s="2" t="s">
        <v>2</v>
      </c>
      <c r="AA206" s="2">
        <v>4</v>
      </c>
      <c r="AB206" s="2">
        <v>1</v>
      </c>
      <c r="AC206" s="2">
        <v>3</v>
      </c>
      <c r="AD206" t="s">
        <v>242</v>
      </c>
      <c r="AE206" t="s">
        <v>311</v>
      </c>
      <c r="AF206" t="s">
        <v>245</v>
      </c>
    </row>
    <row r="207" spans="1:32" ht="18" x14ac:dyDescent="0.35">
      <c r="A207" s="6"/>
      <c r="C207" s="13" t="s">
        <v>542</v>
      </c>
      <c r="D207" s="13" t="str">
        <f t="shared" si="18"/>
        <v xml:space="preserve">rGb| </v>
      </c>
      <c r="E207" s="13" t="str">
        <f t="shared" si="20"/>
        <v>sfsL{</v>
      </c>
      <c r="F207" s="21" t="s">
        <v>234</v>
      </c>
      <c r="G207" s="21" t="s">
        <v>756</v>
      </c>
      <c r="H207" s="21">
        <f t="shared" si="17"/>
        <v>102</v>
      </c>
      <c r="I207" s="21"/>
      <c r="J207" s="21" t="s">
        <v>905</v>
      </c>
      <c r="K207" s="21">
        <f t="shared" si="16"/>
        <v>107</v>
      </c>
      <c r="L207" s="21"/>
      <c r="M207" s="15">
        <f t="shared" si="19"/>
        <v>42.726027397260275</v>
      </c>
      <c r="N207" s="15"/>
      <c r="O207" s="15"/>
      <c r="P207" s="15"/>
      <c r="Q207" s="15"/>
      <c r="R207" s="16"/>
      <c r="S207" s="16"/>
      <c r="T207" s="16"/>
      <c r="U207" s="16"/>
      <c r="V207" s="5">
        <v>51362</v>
      </c>
      <c r="W207" s="5">
        <v>66957</v>
      </c>
      <c r="Y207" s="5"/>
    </row>
    <row r="208" spans="1:32" ht="18" x14ac:dyDescent="0.35">
      <c r="A208" s="6"/>
      <c r="C208" s="13" t="s">
        <v>543</v>
      </c>
      <c r="D208" s="13" t="str">
        <f t="shared" si="18"/>
        <v xml:space="preserve">d]; </v>
      </c>
      <c r="E208" s="13" t="str">
        <f t="shared" si="20"/>
        <v>sfsL{</v>
      </c>
      <c r="F208" s="21" t="s">
        <v>234</v>
      </c>
      <c r="G208" s="21" t="s">
        <v>757</v>
      </c>
      <c r="H208" s="21">
        <f t="shared" si="17"/>
        <v>54</v>
      </c>
      <c r="I208" s="21"/>
      <c r="J208" s="21" t="s">
        <v>905</v>
      </c>
      <c r="K208" s="21">
        <f t="shared" si="16"/>
        <v>107</v>
      </c>
      <c r="L208" s="21"/>
      <c r="M208" s="15">
        <f t="shared" si="19"/>
        <v>21.92876712328767</v>
      </c>
      <c r="N208" s="15"/>
      <c r="O208" s="15"/>
      <c r="P208" s="15"/>
      <c r="Q208" s="15"/>
      <c r="R208" s="16"/>
      <c r="S208" s="16"/>
      <c r="T208" s="16"/>
      <c r="U208" s="16"/>
      <c r="V208" s="5">
        <v>58953</v>
      </c>
      <c r="W208" s="5">
        <v>66957</v>
      </c>
      <c r="Y208" s="5"/>
    </row>
    <row r="209" spans="1:32" ht="18" x14ac:dyDescent="0.35">
      <c r="A209" s="6"/>
      <c r="C209" s="13" t="s">
        <v>544</v>
      </c>
      <c r="D209" s="13" t="str">
        <f t="shared" si="18"/>
        <v xml:space="preserve">l6sf </v>
      </c>
      <c r="E209" s="13" t="str">
        <f t="shared" si="20"/>
        <v>sfsL{</v>
      </c>
      <c r="F209" s="21" t="s">
        <v>234</v>
      </c>
      <c r="G209" s="21" t="s">
        <v>757</v>
      </c>
      <c r="H209" s="21">
        <f t="shared" si="17"/>
        <v>54</v>
      </c>
      <c r="I209" s="21"/>
      <c r="J209" s="21" t="s">
        <v>905</v>
      </c>
      <c r="K209" s="21">
        <f t="shared" si="16"/>
        <v>107</v>
      </c>
      <c r="L209" s="21"/>
      <c r="M209" s="15">
        <f t="shared" si="19"/>
        <v>19.073972602739726</v>
      </c>
      <c r="N209" s="15"/>
      <c r="O209" s="15"/>
      <c r="P209" s="15"/>
      <c r="Q209" s="15"/>
      <c r="R209" s="16"/>
      <c r="S209" s="16"/>
      <c r="T209" s="16"/>
      <c r="U209" s="16"/>
      <c r="V209" s="5">
        <v>59995</v>
      </c>
      <c r="W209" s="5">
        <v>66957</v>
      </c>
      <c r="Y209" s="5"/>
    </row>
    <row r="210" spans="1:32" ht="18" x14ac:dyDescent="0.35">
      <c r="A210" s="6">
        <v>64</v>
      </c>
      <c r="B210" t="s">
        <v>129</v>
      </c>
      <c r="C210" s="13" t="s">
        <v>545</v>
      </c>
      <c r="D210" s="13" t="str">
        <f t="shared" si="18"/>
        <v xml:space="preserve">cf]d </v>
      </c>
      <c r="E210" s="13" t="str">
        <f t="shared" si="20"/>
        <v>e08f/L</v>
      </c>
      <c r="F210" s="21" t="s">
        <v>233</v>
      </c>
      <c r="G210" s="21" t="s">
        <v>756</v>
      </c>
      <c r="H210" s="21">
        <f t="shared" si="17"/>
        <v>99</v>
      </c>
      <c r="I210" s="21"/>
      <c r="J210" s="21" t="s">
        <v>905</v>
      </c>
      <c r="K210" s="21">
        <f t="shared" si="16"/>
        <v>164</v>
      </c>
      <c r="L210" s="21"/>
      <c r="M210" s="15">
        <f t="shared" si="19"/>
        <v>62.42739726027397</v>
      </c>
      <c r="N210" s="15"/>
      <c r="O210" s="15"/>
      <c r="P210" s="15"/>
      <c r="Q210" s="15"/>
      <c r="R210" s="16">
        <v>0</v>
      </c>
      <c r="S210" s="16">
        <v>4</v>
      </c>
      <c r="T210" s="16">
        <v>1</v>
      </c>
      <c r="U210" s="16">
        <v>0</v>
      </c>
      <c r="V210" s="5">
        <v>44171</v>
      </c>
      <c r="W210" s="5">
        <v>66957</v>
      </c>
      <c r="Y210" s="5">
        <v>65447</v>
      </c>
      <c r="Z210" s="2" t="s">
        <v>2</v>
      </c>
      <c r="AA210" s="2">
        <v>5</v>
      </c>
      <c r="AB210" s="2">
        <v>3</v>
      </c>
      <c r="AC210" s="2">
        <v>2</v>
      </c>
      <c r="AD210" t="s">
        <v>239</v>
      </c>
      <c r="AE210" t="s">
        <v>300</v>
      </c>
      <c r="AF210" t="s">
        <v>245</v>
      </c>
    </row>
    <row r="211" spans="1:32" ht="18" x14ac:dyDescent="0.35">
      <c r="A211" s="6"/>
      <c r="C211" s="13" t="s">
        <v>546</v>
      </c>
      <c r="D211" s="13" t="str">
        <f t="shared" si="18"/>
        <v xml:space="preserve">nLnf </v>
      </c>
      <c r="E211" s="13" t="str">
        <f t="shared" si="20"/>
        <v>e08f/L</v>
      </c>
      <c r="F211" s="21" t="s">
        <v>234</v>
      </c>
      <c r="G211" s="21" t="s">
        <v>756</v>
      </c>
      <c r="H211" s="21">
        <f t="shared" si="17"/>
        <v>102</v>
      </c>
      <c r="I211" s="21"/>
      <c r="J211" s="21" t="s">
        <v>906</v>
      </c>
      <c r="K211" s="21">
        <f t="shared" si="16"/>
        <v>53</v>
      </c>
      <c r="L211" s="21"/>
      <c r="M211" s="15">
        <f t="shared" si="19"/>
        <v>53.361643835616441</v>
      </c>
      <c r="N211" s="15"/>
      <c r="O211" s="15"/>
      <c r="P211" s="15"/>
      <c r="Q211" s="15"/>
      <c r="R211" s="16"/>
      <c r="S211" s="16"/>
      <c r="T211" s="16"/>
      <c r="U211" s="16"/>
      <c r="V211" s="5">
        <v>47480</v>
      </c>
      <c r="W211" s="5">
        <v>66957</v>
      </c>
      <c r="Y211" s="5"/>
    </row>
    <row r="212" spans="1:32" ht="18" x14ac:dyDescent="0.35">
      <c r="A212" s="6"/>
      <c r="C212" s="13" t="s">
        <v>547</v>
      </c>
      <c r="D212" s="13" t="str">
        <f t="shared" si="18"/>
        <v xml:space="preserve">s]zj </v>
      </c>
      <c r="E212" s="13" t="str">
        <f t="shared" si="20"/>
        <v>e08f/L</v>
      </c>
      <c r="F212" s="21" t="s">
        <v>233</v>
      </c>
      <c r="G212" s="21" t="s">
        <v>756</v>
      </c>
      <c r="H212" s="21">
        <f t="shared" si="17"/>
        <v>99</v>
      </c>
      <c r="I212" s="21"/>
      <c r="J212" s="21" t="s">
        <v>905</v>
      </c>
      <c r="K212" s="21">
        <f t="shared" si="16"/>
        <v>164</v>
      </c>
      <c r="L212" s="21"/>
      <c r="M212" s="15">
        <f t="shared" si="19"/>
        <v>35.005479452054793</v>
      </c>
      <c r="N212" s="15"/>
      <c r="O212" s="15"/>
      <c r="P212" s="15"/>
      <c r="Q212" s="15"/>
      <c r="R212" s="16"/>
      <c r="S212" s="16"/>
      <c r="T212" s="16"/>
      <c r="U212" s="16"/>
      <c r="V212" s="5">
        <v>54180</v>
      </c>
      <c r="W212" s="5">
        <v>66957</v>
      </c>
      <c r="Y212" s="5"/>
    </row>
    <row r="213" spans="1:32" ht="18" x14ac:dyDescent="0.35">
      <c r="A213" s="6"/>
      <c r="C213" s="13" t="s">
        <v>548</v>
      </c>
      <c r="D213" s="13" t="str">
        <f t="shared" si="18"/>
        <v xml:space="preserve">cflzif </v>
      </c>
      <c r="E213" s="13" t="str">
        <f t="shared" si="20"/>
        <v>e08f/L</v>
      </c>
      <c r="F213" s="21" t="s">
        <v>233</v>
      </c>
      <c r="G213" s="21" t="s">
        <v>757</v>
      </c>
      <c r="H213" s="21">
        <f t="shared" si="17"/>
        <v>69</v>
      </c>
      <c r="I213" s="21"/>
      <c r="J213" s="21" t="s">
        <v>905</v>
      </c>
      <c r="K213" s="21">
        <f t="shared" si="16"/>
        <v>164</v>
      </c>
      <c r="L213" s="21"/>
      <c r="M213" s="15">
        <f t="shared" si="19"/>
        <v>28.906849315068492</v>
      </c>
      <c r="N213" s="15"/>
      <c r="O213" s="15"/>
      <c r="P213" s="15"/>
      <c r="Q213" s="15"/>
      <c r="R213" s="16"/>
      <c r="S213" s="16"/>
      <c r="T213" s="16"/>
      <c r="U213" s="16"/>
      <c r="V213" s="5">
        <v>56406</v>
      </c>
      <c r="W213" s="5">
        <v>66957</v>
      </c>
      <c r="Y213" s="5"/>
    </row>
    <row r="214" spans="1:32" ht="18" x14ac:dyDescent="0.35">
      <c r="A214" s="6"/>
      <c r="C214" s="13" t="s">
        <v>549</v>
      </c>
      <c r="D214" s="13" t="str">
        <f t="shared" si="18"/>
        <v xml:space="preserve">dlgiff </v>
      </c>
      <c r="E214" s="13" t="str">
        <f t="shared" si="20"/>
        <v>s]=;L</v>
      </c>
      <c r="F214" s="21" t="s">
        <v>234</v>
      </c>
      <c r="G214" s="21" t="s">
        <v>756</v>
      </c>
      <c r="H214" s="21">
        <f t="shared" si="17"/>
        <v>102</v>
      </c>
      <c r="I214" s="21"/>
      <c r="J214" s="21" t="s">
        <v>905</v>
      </c>
      <c r="K214" s="21">
        <f t="shared" si="16"/>
        <v>107</v>
      </c>
      <c r="L214" s="21"/>
      <c r="M214" s="15">
        <f t="shared" si="19"/>
        <v>34.463013698630135</v>
      </c>
      <c r="N214" s="15"/>
      <c r="O214" s="15"/>
      <c r="P214" s="15"/>
      <c r="Q214" s="15"/>
      <c r="R214" s="16"/>
      <c r="S214" s="16"/>
      <c r="T214" s="16"/>
      <c r="U214" s="16"/>
      <c r="V214" s="5">
        <v>54378</v>
      </c>
      <c r="W214" s="5">
        <v>66957</v>
      </c>
      <c r="Y214" s="5"/>
    </row>
    <row r="215" spans="1:32" ht="18" x14ac:dyDescent="0.35">
      <c r="A215" s="6">
        <v>65</v>
      </c>
      <c r="B215" t="s">
        <v>130</v>
      </c>
      <c r="C215" s="13" t="s">
        <v>550</v>
      </c>
      <c r="D215" s="13" t="str">
        <f t="shared" si="18"/>
        <v xml:space="preserve">Zofd </v>
      </c>
      <c r="E215" s="13" t="str">
        <f t="shared" si="20"/>
        <v>du/</v>
      </c>
      <c r="F215" s="21" t="s">
        <v>233</v>
      </c>
      <c r="G215" s="21" t="s">
        <v>756</v>
      </c>
      <c r="H215" s="21">
        <f t="shared" si="17"/>
        <v>99</v>
      </c>
      <c r="I215" s="21"/>
      <c r="J215" s="21" t="s">
        <v>905</v>
      </c>
      <c r="K215" s="21">
        <f t="shared" si="16"/>
        <v>164</v>
      </c>
      <c r="L215" s="21"/>
      <c r="M215" s="15">
        <f t="shared" si="19"/>
        <v>47.742465753424661</v>
      </c>
      <c r="N215" s="15"/>
      <c r="O215" s="15"/>
      <c r="P215" s="15"/>
      <c r="Q215" s="15"/>
      <c r="R215" s="16">
        <v>0</v>
      </c>
      <c r="S215" s="16">
        <v>8</v>
      </c>
      <c r="T215" s="16">
        <v>0</v>
      </c>
      <c r="U215" s="16">
        <v>0</v>
      </c>
      <c r="V215" s="5">
        <v>49531</v>
      </c>
      <c r="W215" s="5">
        <v>66957</v>
      </c>
      <c r="Y215" s="5">
        <v>65440</v>
      </c>
      <c r="Z215" s="2" t="s">
        <v>2</v>
      </c>
      <c r="AA215" s="2">
        <v>6</v>
      </c>
      <c r="AB215" s="2">
        <v>2</v>
      </c>
      <c r="AC215" s="2">
        <v>4</v>
      </c>
      <c r="AD215" t="s">
        <v>242</v>
      </c>
      <c r="AE215" t="s">
        <v>252</v>
      </c>
      <c r="AF215" t="s">
        <v>245</v>
      </c>
    </row>
    <row r="216" spans="1:32" ht="18" x14ac:dyDescent="0.35">
      <c r="A216" s="6"/>
      <c r="C216" s="13" t="s">
        <v>551</v>
      </c>
      <c r="D216" s="13" t="str">
        <f t="shared" si="18"/>
        <v xml:space="preserve">sNkgf </v>
      </c>
      <c r="E216" s="13" t="str">
        <f t="shared" si="20"/>
        <v>du/</v>
      </c>
      <c r="F216" s="21" t="s">
        <v>234</v>
      </c>
      <c r="G216" s="21" t="s">
        <v>756</v>
      </c>
      <c r="H216" s="21">
        <f t="shared" si="17"/>
        <v>102</v>
      </c>
      <c r="I216" s="21"/>
      <c r="J216" s="21" t="s">
        <v>906</v>
      </c>
      <c r="K216" s="21">
        <f t="shared" si="16"/>
        <v>53</v>
      </c>
      <c r="L216" s="21"/>
      <c r="M216" s="15">
        <f t="shared" si="19"/>
        <v>44.021917808219179</v>
      </c>
      <c r="N216" s="15"/>
      <c r="O216" s="15"/>
      <c r="P216" s="15"/>
      <c r="Q216" s="15"/>
      <c r="R216" s="16"/>
      <c r="S216" s="16"/>
      <c r="T216" s="16"/>
      <c r="U216" s="16"/>
      <c r="V216" s="5">
        <v>50889</v>
      </c>
      <c r="W216" s="5">
        <v>66957</v>
      </c>
      <c r="Y216" s="5"/>
    </row>
    <row r="217" spans="1:32" ht="18" x14ac:dyDescent="0.35">
      <c r="A217" s="6"/>
      <c r="C217" s="13" t="s">
        <v>552</v>
      </c>
      <c r="D217" s="13" t="str">
        <f t="shared" si="18"/>
        <v xml:space="preserve">;+ho </v>
      </c>
      <c r="E217" s="13" t="str">
        <f t="shared" si="20"/>
        <v>du/</v>
      </c>
      <c r="F217" s="21" t="s">
        <v>233</v>
      </c>
      <c r="G217" s="21" t="s">
        <v>756</v>
      </c>
      <c r="H217" s="21">
        <f t="shared" si="17"/>
        <v>99</v>
      </c>
      <c r="I217" s="21"/>
      <c r="J217" s="21" t="s">
        <v>905</v>
      </c>
      <c r="K217" s="21">
        <f t="shared" si="16"/>
        <v>164</v>
      </c>
      <c r="L217" s="21"/>
      <c r="M217" s="15">
        <f t="shared" si="19"/>
        <v>32.131506849315066</v>
      </c>
      <c r="N217" s="15"/>
      <c r="O217" s="15"/>
      <c r="P217" s="15"/>
      <c r="Q217" s="15"/>
      <c r="R217" s="16"/>
      <c r="S217" s="16"/>
      <c r="T217" s="16"/>
      <c r="U217" s="16"/>
      <c r="V217" s="5">
        <v>55229</v>
      </c>
      <c r="W217" s="5">
        <v>66957</v>
      </c>
      <c r="Y217" s="5"/>
    </row>
    <row r="218" spans="1:32" ht="18" x14ac:dyDescent="0.35">
      <c r="A218" s="6"/>
      <c r="C218" s="13" t="s">
        <v>553</v>
      </c>
      <c r="D218" s="13" t="str">
        <f t="shared" si="18"/>
        <v xml:space="preserve">k'ikf </v>
      </c>
      <c r="E218" s="13" t="str">
        <f t="shared" si="20"/>
        <v>kf7s</v>
      </c>
      <c r="F218" s="21" t="s">
        <v>234</v>
      </c>
      <c r="G218" s="21" t="s">
        <v>756</v>
      </c>
      <c r="H218" s="21">
        <f t="shared" si="17"/>
        <v>102</v>
      </c>
      <c r="I218" s="21"/>
      <c r="J218" s="21" t="s">
        <v>905</v>
      </c>
      <c r="K218" s="21">
        <f t="shared" si="16"/>
        <v>107</v>
      </c>
      <c r="L218" s="21"/>
      <c r="M218" s="15">
        <f t="shared" si="19"/>
        <v>33.635616438356166</v>
      </c>
      <c r="N218" s="15"/>
      <c r="O218" s="15"/>
      <c r="P218" s="15"/>
      <c r="Q218" s="15"/>
      <c r="R218" s="16"/>
      <c r="S218" s="16"/>
      <c r="T218" s="16"/>
      <c r="U218" s="16"/>
      <c r="V218" s="5">
        <v>54680</v>
      </c>
      <c r="W218" s="5">
        <v>66957</v>
      </c>
      <c r="Y218" s="5"/>
    </row>
    <row r="219" spans="1:32" ht="18" x14ac:dyDescent="0.35">
      <c r="A219" s="6"/>
      <c r="C219" s="13" t="s">
        <v>554</v>
      </c>
      <c r="D219" s="13" t="str">
        <f t="shared" si="18"/>
        <v xml:space="preserve">;ofg </v>
      </c>
      <c r="E219" s="13" t="str">
        <f t="shared" si="20"/>
        <v>du/</v>
      </c>
      <c r="F219" s="21" t="s">
        <v>234</v>
      </c>
      <c r="G219" s="21" t="s">
        <v>757</v>
      </c>
      <c r="H219" s="21">
        <f t="shared" si="17"/>
        <v>54</v>
      </c>
      <c r="I219" s="21"/>
      <c r="J219" s="21" t="s">
        <v>905</v>
      </c>
      <c r="K219" s="21">
        <f t="shared" si="16"/>
        <v>107</v>
      </c>
      <c r="L219" s="21"/>
      <c r="M219" s="15">
        <f t="shared" si="19"/>
        <v>11.112328767123287</v>
      </c>
      <c r="N219" s="15"/>
      <c r="O219" s="15"/>
      <c r="P219" s="15"/>
      <c r="Q219" s="15"/>
      <c r="R219" s="16"/>
      <c r="S219" s="16"/>
      <c r="T219" s="16"/>
      <c r="U219" s="16"/>
      <c r="V219" s="5">
        <v>62901</v>
      </c>
      <c r="W219" s="5">
        <v>66957</v>
      </c>
      <c r="Y219" s="5"/>
    </row>
    <row r="220" spans="1:32" ht="18" x14ac:dyDescent="0.35">
      <c r="A220" s="6"/>
      <c r="C220" s="13" t="s">
        <v>555</v>
      </c>
      <c r="D220" s="13" t="str">
        <f t="shared" si="18"/>
        <v xml:space="preserve">;fOdf]g </v>
      </c>
      <c r="E220" s="13" t="str">
        <f t="shared" si="20"/>
        <v>du/</v>
      </c>
      <c r="F220" s="21" t="s">
        <v>234</v>
      </c>
      <c r="G220" s="21" t="s">
        <v>748</v>
      </c>
      <c r="H220" s="21" t="b">
        <f t="shared" si="17"/>
        <v>0</v>
      </c>
      <c r="I220" s="21"/>
      <c r="J220" s="21" t="s">
        <v>905</v>
      </c>
      <c r="K220" s="21">
        <f t="shared" si="16"/>
        <v>107</v>
      </c>
      <c r="L220" s="21"/>
      <c r="M220" s="15">
        <f t="shared" si="19"/>
        <v>6.6986301369863011</v>
      </c>
      <c r="N220" s="15"/>
      <c r="O220" s="15"/>
      <c r="P220" s="15"/>
      <c r="Q220" s="15"/>
      <c r="R220" s="16"/>
      <c r="S220" s="16"/>
      <c r="T220" s="16"/>
      <c r="U220" s="16"/>
      <c r="V220" s="5">
        <v>64512</v>
      </c>
      <c r="W220" s="5">
        <v>66957</v>
      </c>
      <c r="Y220" s="5"/>
    </row>
    <row r="221" spans="1:32" ht="18" x14ac:dyDescent="0.35">
      <c r="A221" s="6">
        <v>66</v>
      </c>
      <c r="B221" t="s">
        <v>131</v>
      </c>
      <c r="C221" s="13" t="s">
        <v>556</v>
      </c>
      <c r="D221" s="13" t="str">
        <f t="shared" si="18"/>
        <v xml:space="preserve">nfn </v>
      </c>
      <c r="E221" s="13" t="str">
        <f t="shared" si="20"/>
        <v>s8]n</v>
      </c>
      <c r="F221" s="21" t="s">
        <v>233</v>
      </c>
      <c r="G221" s="21" t="s">
        <v>756</v>
      </c>
      <c r="H221" s="21">
        <f t="shared" si="17"/>
        <v>99</v>
      </c>
      <c r="I221" s="21"/>
      <c r="J221" s="21" t="s">
        <v>905</v>
      </c>
      <c r="K221" s="21">
        <f t="shared" si="16"/>
        <v>164</v>
      </c>
      <c r="L221" s="21"/>
      <c r="M221" s="15">
        <f t="shared" si="19"/>
        <v>61.276712328767125</v>
      </c>
      <c r="N221" s="15"/>
      <c r="O221" s="15"/>
      <c r="P221" s="15"/>
      <c r="Q221" s="15"/>
      <c r="R221" s="16" t="s">
        <v>748</v>
      </c>
      <c r="S221" s="16" t="s">
        <v>748</v>
      </c>
      <c r="T221" s="16" t="s">
        <v>748</v>
      </c>
      <c r="U221" s="16" t="s">
        <v>748</v>
      </c>
      <c r="V221" s="5">
        <v>44591</v>
      </c>
      <c r="W221" s="5">
        <v>66957</v>
      </c>
      <c r="Y221" s="5">
        <v>65369</v>
      </c>
      <c r="Z221" s="2" t="s">
        <v>2</v>
      </c>
      <c r="AA221" s="2">
        <v>3</v>
      </c>
      <c r="AB221" s="2">
        <v>2</v>
      </c>
      <c r="AC221" s="2">
        <v>1</v>
      </c>
      <c r="AD221" t="s">
        <v>242</v>
      </c>
      <c r="AE221" t="s">
        <v>292</v>
      </c>
      <c r="AF221" t="s">
        <v>245</v>
      </c>
    </row>
    <row r="222" spans="1:32" ht="18" x14ac:dyDescent="0.35">
      <c r="A222" s="6"/>
      <c r="C222" s="13" t="s">
        <v>557</v>
      </c>
      <c r="D222" s="13" t="str">
        <f t="shared" si="18"/>
        <v xml:space="preserve">1fgs'df/L </v>
      </c>
      <c r="E222" s="13" t="str">
        <f t="shared" si="20"/>
        <v>s8]n</v>
      </c>
      <c r="F222" s="21" t="s">
        <v>234</v>
      </c>
      <c r="G222" s="21" t="s">
        <v>756</v>
      </c>
      <c r="H222" s="21">
        <f t="shared" si="17"/>
        <v>102</v>
      </c>
      <c r="I222" s="21"/>
      <c r="J222" s="21" t="s">
        <v>906</v>
      </c>
      <c r="K222" s="21">
        <f t="shared" si="16"/>
        <v>53</v>
      </c>
      <c r="L222" s="21"/>
      <c r="M222" s="15">
        <f t="shared" si="19"/>
        <v>56.18904109589041</v>
      </c>
      <c r="N222" s="15"/>
      <c r="O222" s="15"/>
      <c r="P222" s="15"/>
      <c r="Q222" s="15"/>
      <c r="R222" s="16"/>
      <c r="S222" s="16"/>
      <c r="T222" s="16"/>
      <c r="U222" s="16"/>
      <c r="V222" s="5">
        <v>46448</v>
      </c>
      <c r="W222" s="5">
        <v>66957</v>
      </c>
      <c r="Y222" s="5"/>
    </row>
    <row r="223" spans="1:32" ht="18" x14ac:dyDescent="0.35">
      <c r="A223" s="6"/>
      <c r="C223" s="13" t="s">
        <v>558</v>
      </c>
      <c r="D223" s="13" t="str">
        <f t="shared" si="18"/>
        <v xml:space="preserve">?xg </v>
      </c>
      <c r="E223" s="13" t="str">
        <f t="shared" si="20"/>
        <v>s8]n</v>
      </c>
      <c r="F223" s="21" t="s">
        <v>233</v>
      </c>
      <c r="G223" s="21" t="s">
        <v>757</v>
      </c>
      <c r="H223" s="21">
        <f t="shared" si="17"/>
        <v>69</v>
      </c>
      <c r="I223" s="21"/>
      <c r="J223" s="21" t="s">
        <v>905</v>
      </c>
      <c r="K223" s="21">
        <f t="shared" si="16"/>
        <v>164</v>
      </c>
      <c r="L223" s="21"/>
      <c r="M223" s="15">
        <f t="shared" si="19"/>
        <v>35.832876712328769</v>
      </c>
      <c r="N223" s="15"/>
      <c r="O223" s="15"/>
      <c r="P223" s="15"/>
      <c r="Q223" s="15"/>
      <c r="R223" s="16"/>
      <c r="S223" s="16"/>
      <c r="T223" s="16"/>
      <c r="U223" s="16"/>
      <c r="V223" s="5">
        <v>53878</v>
      </c>
      <c r="W223" s="5">
        <v>66957</v>
      </c>
      <c r="Y223" s="5"/>
    </row>
    <row r="224" spans="1:32" ht="18" x14ac:dyDescent="0.35">
      <c r="A224" s="6">
        <v>67</v>
      </c>
      <c r="B224" t="s">
        <v>132</v>
      </c>
      <c r="C224" s="13" t="s">
        <v>559</v>
      </c>
      <c r="D224" s="13" t="str">
        <f t="shared" si="18"/>
        <v xml:space="preserve">clDasf </v>
      </c>
      <c r="E224" s="13" t="str">
        <f t="shared" si="20"/>
        <v>yfkf</v>
      </c>
      <c r="F224" s="21" t="s">
        <v>234</v>
      </c>
      <c r="G224" s="21" t="s">
        <v>756</v>
      </c>
      <c r="H224" s="21">
        <f t="shared" si="17"/>
        <v>102</v>
      </c>
      <c r="I224" s="21"/>
      <c r="J224" s="21" t="s">
        <v>905</v>
      </c>
      <c r="K224" s="21">
        <f t="shared" si="16"/>
        <v>107</v>
      </c>
      <c r="L224" s="21"/>
      <c r="M224" s="15">
        <f t="shared" si="19"/>
        <v>38.991780821917807</v>
      </c>
      <c r="N224" s="15"/>
      <c r="O224" s="15"/>
      <c r="P224" s="15"/>
      <c r="Q224" s="15"/>
      <c r="R224" s="16">
        <v>0</v>
      </c>
      <c r="S224" s="16">
        <v>3</v>
      </c>
      <c r="T224" s="16">
        <v>0</v>
      </c>
      <c r="U224" s="16">
        <v>0</v>
      </c>
      <c r="V224" s="5">
        <v>52725</v>
      </c>
      <c r="W224" s="5">
        <v>66957</v>
      </c>
      <c r="Y224" s="5">
        <v>65366</v>
      </c>
      <c r="Z224" s="2" t="s">
        <v>2</v>
      </c>
      <c r="AA224" s="2">
        <v>4</v>
      </c>
      <c r="AB224" s="2">
        <f>AA224-AC224</f>
        <v>2</v>
      </c>
      <c r="AC224" s="2">
        <v>2</v>
      </c>
      <c r="AD224" t="s">
        <v>242</v>
      </c>
      <c r="AE224" t="s">
        <v>235</v>
      </c>
      <c r="AF224" t="s">
        <v>245</v>
      </c>
    </row>
    <row r="225" spans="1:32" ht="18" x14ac:dyDescent="0.35">
      <c r="A225" s="6"/>
      <c r="C225" s="13" t="s">
        <v>560</v>
      </c>
      <c r="D225" s="13" t="str">
        <f t="shared" si="18"/>
        <v xml:space="preserve">lqk]Gb| </v>
      </c>
      <c r="E225" s="13" t="str">
        <f t="shared" si="20"/>
        <v>If]qL</v>
      </c>
      <c r="F225" s="21" t="s">
        <v>233</v>
      </c>
      <c r="G225" s="21" t="s">
        <v>756</v>
      </c>
      <c r="H225" s="21">
        <f t="shared" si="17"/>
        <v>99</v>
      </c>
      <c r="I225" s="21"/>
      <c r="J225" s="21" t="s">
        <v>905</v>
      </c>
      <c r="K225" s="21">
        <f t="shared" si="16"/>
        <v>164</v>
      </c>
      <c r="L225" s="21"/>
      <c r="M225" s="15">
        <f t="shared" si="19"/>
        <v>50.515068493150686</v>
      </c>
      <c r="N225" s="15"/>
      <c r="O225" s="15"/>
      <c r="P225" s="15"/>
      <c r="Q225" s="15"/>
      <c r="R225" s="16"/>
      <c r="S225" s="16"/>
      <c r="T225" s="16"/>
      <c r="U225" s="16"/>
      <c r="V225" s="5">
        <v>48519</v>
      </c>
      <c r="W225" s="5">
        <v>66957</v>
      </c>
      <c r="Y225" s="5"/>
    </row>
    <row r="226" spans="1:32" ht="18" x14ac:dyDescent="0.35">
      <c r="A226" s="6"/>
      <c r="C226" s="13" t="s">
        <v>561</v>
      </c>
      <c r="D226" s="13" t="str">
        <f t="shared" si="18"/>
        <v xml:space="preserve">lIflth </v>
      </c>
      <c r="E226" s="13" t="str">
        <f t="shared" si="20"/>
        <v>yfkf</v>
      </c>
      <c r="F226" s="21" t="s">
        <v>233</v>
      </c>
      <c r="G226" s="21" t="s">
        <v>757</v>
      </c>
      <c r="H226" s="21">
        <f t="shared" si="17"/>
        <v>69</v>
      </c>
      <c r="I226" s="21"/>
      <c r="J226" s="21" t="s">
        <v>905</v>
      </c>
      <c r="K226" s="21">
        <f t="shared" si="16"/>
        <v>164</v>
      </c>
      <c r="L226" s="21"/>
      <c r="M226" s="15">
        <f t="shared" si="19"/>
        <v>30.246575342465754</v>
      </c>
      <c r="N226" s="15"/>
      <c r="O226" s="15"/>
      <c r="P226" s="15"/>
      <c r="Q226" s="15"/>
      <c r="R226" s="16"/>
      <c r="S226" s="16"/>
      <c r="T226" s="16"/>
      <c r="U226" s="16"/>
      <c r="V226" s="5">
        <v>55917</v>
      </c>
      <c r="W226" s="5">
        <v>66957</v>
      </c>
      <c r="Y226" s="5"/>
    </row>
    <row r="227" spans="1:32" ht="18" x14ac:dyDescent="0.35">
      <c r="A227" s="6"/>
      <c r="C227" s="13" t="s">
        <v>562</v>
      </c>
      <c r="D227" s="13" t="str">
        <f t="shared" si="18"/>
        <v xml:space="preserve">ck]Iff </v>
      </c>
      <c r="E227" s="13" t="str">
        <f t="shared" si="20"/>
        <v>yfkf</v>
      </c>
      <c r="F227" s="21" t="s">
        <v>234</v>
      </c>
      <c r="G227" s="21" t="s">
        <v>757</v>
      </c>
      <c r="H227" s="21">
        <f t="shared" si="17"/>
        <v>54</v>
      </c>
      <c r="I227" s="21"/>
      <c r="J227" s="21" t="s">
        <v>905</v>
      </c>
      <c r="K227" s="21">
        <f t="shared" si="16"/>
        <v>107</v>
      </c>
      <c r="L227" s="21"/>
      <c r="M227" s="15">
        <f t="shared" si="19"/>
        <v>16.287671232876711</v>
      </c>
      <c r="N227" s="15"/>
      <c r="O227" s="15"/>
      <c r="P227" s="15"/>
      <c r="Q227" s="15"/>
      <c r="R227" s="16"/>
      <c r="S227" s="16"/>
      <c r="T227" s="16"/>
      <c r="U227" s="16"/>
      <c r="V227" s="5">
        <v>61012</v>
      </c>
      <c r="W227" s="5">
        <v>66957</v>
      </c>
      <c r="Y227" s="5"/>
    </row>
    <row r="228" spans="1:32" ht="18" x14ac:dyDescent="0.35">
      <c r="A228" s="6">
        <v>69</v>
      </c>
      <c r="B228" t="s">
        <v>134</v>
      </c>
      <c r="C228" s="13" t="s">
        <v>564</v>
      </c>
      <c r="D228" s="13" t="str">
        <f t="shared" si="18"/>
        <v xml:space="preserve">s]z/ </v>
      </c>
      <c r="E228" s="13" t="str">
        <f t="shared" si="20"/>
        <v>&gt;]i7</v>
      </c>
      <c r="F228" s="21" t="s">
        <v>233</v>
      </c>
      <c r="G228" s="21" t="s">
        <v>756</v>
      </c>
      <c r="H228" s="21">
        <f t="shared" si="17"/>
        <v>99</v>
      </c>
      <c r="I228" s="21"/>
      <c r="J228" s="21" t="s">
        <v>905</v>
      </c>
      <c r="K228" s="21">
        <f t="shared" si="16"/>
        <v>164</v>
      </c>
      <c r="L228" s="21"/>
      <c r="M228" s="15">
        <f t="shared" si="19"/>
        <v>43.402739726027399</v>
      </c>
      <c r="N228" s="15"/>
      <c r="O228" s="15"/>
      <c r="P228" s="15"/>
      <c r="Q228" s="15"/>
      <c r="R228" s="16">
        <v>0</v>
      </c>
      <c r="S228" s="16">
        <v>3</v>
      </c>
      <c r="T228" s="16">
        <v>1</v>
      </c>
      <c r="U228" s="16">
        <v>0</v>
      </c>
      <c r="V228" s="5">
        <v>51115</v>
      </c>
      <c r="W228" s="5">
        <v>66957</v>
      </c>
      <c r="Y228" s="5">
        <v>65356</v>
      </c>
      <c r="Z228" s="2" t="s">
        <v>2</v>
      </c>
      <c r="AA228" s="2">
        <v>5</v>
      </c>
      <c r="AB228" s="2">
        <v>2</v>
      </c>
      <c r="AC228" s="2">
        <v>3</v>
      </c>
      <c r="AD228" t="s">
        <v>242</v>
      </c>
      <c r="AE228" t="s">
        <v>283</v>
      </c>
      <c r="AF228" t="s">
        <v>245</v>
      </c>
    </row>
    <row r="229" spans="1:32" ht="18" x14ac:dyDescent="0.35">
      <c r="A229" s="6"/>
      <c r="C229" s="13" t="s">
        <v>565</v>
      </c>
      <c r="D229" s="13" t="str">
        <f t="shared" si="18"/>
        <v xml:space="preserve">;+lutf </v>
      </c>
      <c r="E229" s="13" t="str">
        <f t="shared" si="20"/>
        <v>&gt;]i7</v>
      </c>
      <c r="F229" s="21" t="s">
        <v>234</v>
      </c>
      <c r="G229" s="21" t="s">
        <v>756</v>
      </c>
      <c r="H229" s="21">
        <f t="shared" si="17"/>
        <v>102</v>
      </c>
      <c r="I229" s="21"/>
      <c r="J229" s="21" t="s">
        <v>905</v>
      </c>
      <c r="K229" s="21">
        <f t="shared" si="16"/>
        <v>107</v>
      </c>
      <c r="L229" s="21"/>
      <c r="M229" s="15">
        <f t="shared" si="19"/>
        <v>41.479452054794521</v>
      </c>
      <c r="N229" s="15"/>
      <c r="O229" s="15"/>
      <c r="P229" s="15"/>
      <c r="Q229" s="15"/>
      <c r="R229" s="16"/>
      <c r="S229" s="16"/>
      <c r="T229" s="16"/>
      <c r="U229" s="16"/>
      <c r="V229" s="5">
        <v>51817</v>
      </c>
      <c r="W229" s="5">
        <v>66957</v>
      </c>
      <c r="Y229" s="5"/>
    </row>
    <row r="230" spans="1:32" ht="18" x14ac:dyDescent="0.35">
      <c r="A230" s="6"/>
      <c r="C230" s="13" t="s">
        <v>566</v>
      </c>
      <c r="D230" s="13" t="str">
        <f t="shared" si="18"/>
        <v xml:space="preserve">;ljgf </v>
      </c>
      <c r="E230" s="13" t="str">
        <f t="shared" si="20"/>
        <v>&gt;]i7</v>
      </c>
      <c r="F230" s="21" t="s">
        <v>234</v>
      </c>
      <c r="G230" s="21" t="s">
        <v>757</v>
      </c>
      <c r="H230" s="21">
        <f t="shared" si="17"/>
        <v>54</v>
      </c>
      <c r="I230" s="21"/>
      <c r="J230" s="21" t="s">
        <v>905</v>
      </c>
      <c r="K230" s="21">
        <f t="shared" si="16"/>
        <v>107</v>
      </c>
      <c r="L230" s="21"/>
      <c r="M230" s="15">
        <f t="shared" si="19"/>
        <v>21.104109589041094</v>
      </c>
      <c r="N230" s="15"/>
      <c r="O230" s="15"/>
      <c r="P230" s="15"/>
      <c r="Q230" s="15"/>
      <c r="R230" s="16"/>
      <c r="S230" s="16"/>
      <c r="T230" s="16"/>
      <c r="U230" s="16"/>
      <c r="V230" s="5">
        <v>59254</v>
      </c>
      <c r="W230" s="5">
        <v>66957</v>
      </c>
      <c r="Y230" s="5"/>
    </row>
    <row r="231" spans="1:32" ht="18" x14ac:dyDescent="0.35">
      <c r="A231" s="6"/>
      <c r="C231" s="13" t="s">
        <v>567</v>
      </c>
      <c r="D231" s="13" t="str">
        <f t="shared" si="18"/>
        <v xml:space="preserve">;lngf </v>
      </c>
      <c r="E231" s="13" t="str">
        <f t="shared" si="20"/>
        <v>&gt;]i7</v>
      </c>
      <c r="F231" s="21" t="s">
        <v>234</v>
      </c>
      <c r="G231" s="21" t="s">
        <v>757</v>
      </c>
      <c r="H231" s="21">
        <f t="shared" si="17"/>
        <v>54</v>
      </c>
      <c r="I231" s="21"/>
      <c r="J231" s="21" t="s">
        <v>905</v>
      </c>
      <c r="K231" s="21">
        <f t="shared" si="16"/>
        <v>107</v>
      </c>
      <c r="L231" s="21"/>
      <c r="M231" s="15">
        <f t="shared" si="19"/>
        <v>14.331506849315069</v>
      </c>
      <c r="N231" s="15"/>
      <c r="O231" s="15"/>
      <c r="P231" s="15"/>
      <c r="Q231" s="15"/>
      <c r="R231" s="16"/>
      <c r="S231" s="16"/>
      <c r="T231" s="16"/>
      <c r="U231" s="16"/>
      <c r="V231" s="5">
        <v>61726</v>
      </c>
      <c r="W231" s="5">
        <v>66957</v>
      </c>
      <c r="Y231" s="5"/>
    </row>
    <row r="232" spans="1:32" ht="18" x14ac:dyDescent="0.35">
      <c r="A232" s="6"/>
      <c r="C232" s="13" t="s">
        <v>568</v>
      </c>
      <c r="D232" s="13" t="str">
        <f t="shared" si="18"/>
        <v xml:space="preserve">/f]zg </v>
      </c>
      <c r="E232" s="13" t="str">
        <f t="shared" si="20"/>
        <v>&gt;]i7</v>
      </c>
      <c r="F232" s="21" t="s">
        <v>233</v>
      </c>
      <c r="G232" s="21" t="s">
        <v>757</v>
      </c>
      <c r="H232" s="21">
        <f t="shared" si="17"/>
        <v>69</v>
      </c>
      <c r="I232" s="21"/>
      <c r="J232" s="21" t="s">
        <v>905</v>
      </c>
      <c r="K232" s="21">
        <f t="shared" si="16"/>
        <v>164</v>
      </c>
      <c r="L232" s="21"/>
      <c r="M232" s="15">
        <f t="shared" si="19"/>
        <v>12.668493150684931</v>
      </c>
      <c r="N232" s="15"/>
      <c r="O232" s="15"/>
      <c r="P232" s="15"/>
      <c r="Q232" s="15"/>
      <c r="R232" s="16"/>
      <c r="S232" s="16"/>
      <c r="T232" s="16"/>
      <c r="U232" s="16"/>
      <c r="V232" s="5">
        <v>62333</v>
      </c>
      <c r="W232" s="5">
        <v>66957</v>
      </c>
      <c r="Y232" s="5"/>
    </row>
    <row r="233" spans="1:32" ht="18" x14ac:dyDescent="0.35">
      <c r="A233" s="6">
        <v>71</v>
      </c>
      <c r="B233" t="s">
        <v>136</v>
      </c>
      <c r="C233" s="13" t="s">
        <v>573</v>
      </c>
      <c r="D233" s="13" t="str">
        <f t="shared" si="18"/>
        <v xml:space="preserve">af;'b]a </v>
      </c>
      <c r="E233" s="13" t="str">
        <f t="shared" si="20"/>
        <v>dNn</v>
      </c>
      <c r="F233" s="21" t="s">
        <v>233</v>
      </c>
      <c r="G233" s="21" t="s">
        <v>756</v>
      </c>
      <c r="H233" s="21">
        <f t="shared" si="17"/>
        <v>99</v>
      </c>
      <c r="I233" s="21"/>
      <c r="J233" s="21" t="s">
        <v>905</v>
      </c>
      <c r="K233" s="21">
        <f t="shared" si="16"/>
        <v>164</v>
      </c>
      <c r="L233" s="21"/>
      <c r="M233" s="15">
        <f t="shared" si="19"/>
        <v>62.838356164383562</v>
      </c>
      <c r="N233" s="15"/>
      <c r="O233" s="15"/>
      <c r="P233" s="15"/>
      <c r="Q233" s="15"/>
      <c r="R233" s="16">
        <v>0</v>
      </c>
      <c r="S233" s="16">
        <v>1</v>
      </c>
      <c r="T233" s="16">
        <v>0</v>
      </c>
      <c r="U233" s="16">
        <v>0</v>
      </c>
      <c r="V233" s="5">
        <v>44021</v>
      </c>
      <c r="W233" s="5">
        <v>66957</v>
      </c>
      <c r="Y233" s="5">
        <v>65350</v>
      </c>
      <c r="Z233" s="2" t="s">
        <v>2</v>
      </c>
      <c r="AA233" s="2">
        <v>2</v>
      </c>
      <c r="AB233" s="2">
        <v>1</v>
      </c>
      <c r="AC233" s="2">
        <v>1</v>
      </c>
      <c r="AD233" t="s">
        <v>242</v>
      </c>
      <c r="AE233" t="s">
        <v>254</v>
      </c>
      <c r="AF233" t="s">
        <v>245</v>
      </c>
    </row>
    <row r="234" spans="1:32" ht="18" x14ac:dyDescent="0.35">
      <c r="A234" s="6"/>
      <c r="C234" s="13" t="s">
        <v>574</v>
      </c>
      <c r="D234" s="13" t="str">
        <f t="shared" si="18"/>
        <v xml:space="preserve">rËf </v>
      </c>
      <c r="E234" s="13" t="str">
        <f t="shared" si="20"/>
        <v>&gt;]i7</v>
      </c>
      <c r="F234" s="21" t="s">
        <v>234</v>
      </c>
      <c r="G234" s="21" t="s">
        <v>756</v>
      </c>
      <c r="H234" s="21">
        <f t="shared" si="17"/>
        <v>102</v>
      </c>
      <c r="I234" s="21"/>
      <c r="J234" s="21" t="s">
        <v>906</v>
      </c>
      <c r="K234" s="21">
        <f t="shared" si="16"/>
        <v>53</v>
      </c>
      <c r="L234" s="21"/>
      <c r="M234" s="15">
        <f t="shared" si="19"/>
        <v>56.238356164383561</v>
      </c>
      <c r="N234" s="15"/>
      <c r="O234" s="15"/>
      <c r="P234" s="15"/>
      <c r="Q234" s="15"/>
      <c r="R234" s="16"/>
      <c r="S234" s="16"/>
      <c r="T234" s="16"/>
      <c r="U234" s="16"/>
      <c r="V234" s="5">
        <v>46430</v>
      </c>
      <c r="W234" s="5">
        <v>66957</v>
      </c>
      <c r="Y234" s="5"/>
    </row>
    <row r="235" spans="1:32" ht="18" x14ac:dyDescent="0.35">
      <c r="A235" s="6">
        <v>72</v>
      </c>
      <c r="B235" t="s">
        <v>137</v>
      </c>
      <c r="C235" s="13" t="s">
        <v>575</v>
      </c>
      <c r="D235" s="13" t="str">
        <f t="shared" si="18"/>
        <v xml:space="preserve">lxt]]Gb| </v>
      </c>
      <c r="E235" s="13" t="str">
        <f t="shared" si="20"/>
        <v>If]qL</v>
      </c>
      <c r="F235" s="21" t="s">
        <v>233</v>
      </c>
      <c r="G235" s="21" t="s">
        <v>756</v>
      </c>
      <c r="H235" s="21">
        <f t="shared" si="17"/>
        <v>99</v>
      </c>
      <c r="I235" s="21"/>
      <c r="J235" s="21" t="s">
        <v>905</v>
      </c>
      <c r="K235" s="21">
        <f t="shared" si="16"/>
        <v>164</v>
      </c>
      <c r="L235" s="21"/>
      <c r="M235" s="15">
        <f t="shared" si="19"/>
        <v>46.775342465753425</v>
      </c>
      <c r="N235" s="15"/>
      <c r="O235" s="15"/>
      <c r="P235" s="15"/>
      <c r="Q235" s="15"/>
      <c r="R235" s="16">
        <v>0</v>
      </c>
      <c r="S235" s="16">
        <v>3</v>
      </c>
      <c r="T235" s="16">
        <v>0</v>
      </c>
      <c r="U235" s="16">
        <v>0</v>
      </c>
      <c r="V235" s="5">
        <v>49884</v>
      </c>
      <c r="W235" s="5">
        <v>66957</v>
      </c>
      <c r="Y235" s="5">
        <v>65328</v>
      </c>
      <c r="Z235" s="2" t="s">
        <v>2</v>
      </c>
      <c r="AA235" s="2">
        <v>4</v>
      </c>
      <c r="AB235" s="2">
        <v>3</v>
      </c>
      <c r="AC235" s="2">
        <v>1</v>
      </c>
      <c r="AD235" t="s">
        <v>242</v>
      </c>
      <c r="AE235" t="s">
        <v>270</v>
      </c>
      <c r="AF235" t="s">
        <v>245</v>
      </c>
    </row>
    <row r="236" spans="1:32" ht="18" x14ac:dyDescent="0.35">
      <c r="A236" s="6"/>
      <c r="C236" s="13" t="s">
        <v>576</v>
      </c>
      <c r="D236" s="13" t="str">
        <f t="shared" si="18"/>
        <v xml:space="preserve">cGh' </v>
      </c>
      <c r="E236" s="13" t="str">
        <f t="shared" si="20"/>
        <v>;'a]bL</v>
      </c>
      <c r="F236" s="21" t="s">
        <v>234</v>
      </c>
      <c r="G236" s="21" t="s">
        <v>756</v>
      </c>
      <c r="H236" s="21">
        <f t="shared" si="17"/>
        <v>102</v>
      </c>
      <c r="I236" s="21"/>
      <c r="J236" s="21" t="s">
        <v>905</v>
      </c>
      <c r="K236" s="21">
        <f t="shared" si="16"/>
        <v>107</v>
      </c>
      <c r="L236" s="21"/>
      <c r="M236" s="15">
        <f t="shared" si="19"/>
        <v>42.980821917808221</v>
      </c>
      <c r="N236" s="15"/>
      <c r="O236" s="15"/>
      <c r="P236" s="15"/>
      <c r="Q236" s="15"/>
      <c r="R236" s="16"/>
      <c r="S236" s="16"/>
      <c r="T236" s="16"/>
      <c r="U236" s="16"/>
      <c r="V236" s="5">
        <v>51269</v>
      </c>
      <c r="W236" s="5">
        <v>66957</v>
      </c>
      <c r="Y236" s="5"/>
    </row>
    <row r="237" spans="1:32" ht="18" x14ac:dyDescent="0.35">
      <c r="A237" s="6"/>
      <c r="C237" s="13" t="s">
        <v>577</v>
      </c>
      <c r="D237" s="13" t="str">
        <f t="shared" si="18"/>
        <v xml:space="preserve">xlif{t </v>
      </c>
      <c r="E237" s="13" t="str">
        <f t="shared" si="20"/>
        <v>If]qL</v>
      </c>
      <c r="F237" s="21" t="s">
        <v>233</v>
      </c>
      <c r="G237" s="21" t="s">
        <v>757</v>
      </c>
      <c r="H237" s="21">
        <f t="shared" si="17"/>
        <v>69</v>
      </c>
      <c r="I237" s="21"/>
      <c r="J237" s="21" t="s">
        <v>905</v>
      </c>
      <c r="K237" s="21">
        <f t="shared" si="16"/>
        <v>164</v>
      </c>
      <c r="L237" s="21"/>
      <c r="M237" s="15">
        <f t="shared" si="19"/>
        <v>14.263013698630138</v>
      </c>
      <c r="N237" s="15"/>
      <c r="O237" s="15"/>
      <c r="P237" s="15"/>
      <c r="Q237" s="15"/>
      <c r="R237" s="16"/>
      <c r="S237" s="16"/>
      <c r="T237" s="16"/>
      <c r="U237" s="16"/>
      <c r="V237" s="5">
        <v>61751</v>
      </c>
      <c r="W237" s="5">
        <v>66957</v>
      </c>
      <c r="Y237" s="5"/>
    </row>
    <row r="238" spans="1:32" ht="18" x14ac:dyDescent="0.35">
      <c r="A238" s="6"/>
      <c r="C238" s="13" t="s">
        <v>578</v>
      </c>
      <c r="D238" s="13" t="str">
        <f t="shared" si="18"/>
        <v xml:space="preserve">cfudg </v>
      </c>
      <c r="E238" s="13" t="str">
        <f t="shared" si="20"/>
        <v>If]qL</v>
      </c>
      <c r="F238" s="21" t="s">
        <v>233</v>
      </c>
      <c r="G238" s="21" t="s">
        <v>748</v>
      </c>
      <c r="H238" s="21" t="b">
        <f t="shared" si="17"/>
        <v>0</v>
      </c>
      <c r="I238" s="21"/>
      <c r="J238" s="21" t="s">
        <v>905</v>
      </c>
      <c r="K238" s="21">
        <f t="shared" si="16"/>
        <v>164</v>
      </c>
      <c r="L238" s="21"/>
      <c r="M238" s="15">
        <f t="shared" si="19"/>
        <v>8.3534246575342461</v>
      </c>
      <c r="N238" s="15"/>
      <c r="O238" s="15"/>
      <c r="P238" s="15"/>
      <c r="Q238" s="15"/>
      <c r="R238" s="16"/>
      <c r="S238" s="16"/>
      <c r="T238" s="16"/>
      <c r="U238" s="16"/>
      <c r="V238" s="5">
        <v>63908</v>
      </c>
      <c r="W238" s="5">
        <v>66957</v>
      </c>
      <c r="Y238" s="5"/>
    </row>
    <row r="239" spans="1:32" ht="18" x14ac:dyDescent="0.35">
      <c r="A239" s="6">
        <v>73</v>
      </c>
      <c r="B239" t="s">
        <v>138</v>
      </c>
      <c r="C239" s="13" t="s">
        <v>579</v>
      </c>
      <c r="D239" s="13" t="str">
        <f t="shared" si="18"/>
        <v xml:space="preserve">lbAof </v>
      </c>
      <c r="E239" s="13" t="str">
        <f t="shared" si="20"/>
        <v>uf}td</v>
      </c>
      <c r="F239" s="21" t="s">
        <v>234</v>
      </c>
      <c r="G239" s="21" t="s">
        <v>756</v>
      </c>
      <c r="H239" s="21">
        <f t="shared" si="17"/>
        <v>102</v>
      </c>
      <c r="I239" s="21"/>
      <c r="J239" s="21" t="s">
        <v>905</v>
      </c>
      <c r="K239" s="21">
        <f t="shared" si="16"/>
        <v>107</v>
      </c>
      <c r="L239" s="21"/>
      <c r="M239" s="15">
        <f t="shared" si="19"/>
        <v>34.452054794520549</v>
      </c>
      <c r="N239" s="15"/>
      <c r="O239" s="15"/>
      <c r="P239" s="15"/>
      <c r="Q239" s="15"/>
      <c r="R239" s="16">
        <v>0</v>
      </c>
      <c r="S239" s="16">
        <v>5</v>
      </c>
      <c r="T239" s="16">
        <v>2</v>
      </c>
      <c r="U239" s="16">
        <v>0</v>
      </c>
      <c r="V239" s="5">
        <v>54382</v>
      </c>
      <c r="W239" s="5">
        <v>66957</v>
      </c>
      <c r="Y239" s="5">
        <v>65306</v>
      </c>
      <c r="Z239" s="2" t="s">
        <v>2</v>
      </c>
      <c r="AA239" s="2">
        <v>4</v>
      </c>
      <c r="AB239" s="2">
        <v>2</v>
      </c>
      <c r="AC239" s="2">
        <v>2</v>
      </c>
      <c r="AD239" t="s">
        <v>242</v>
      </c>
      <c r="AE239" t="s">
        <v>263</v>
      </c>
      <c r="AF239" t="s">
        <v>245</v>
      </c>
    </row>
    <row r="240" spans="1:32" ht="18" x14ac:dyDescent="0.35">
      <c r="A240" s="6"/>
      <c r="C240" s="13" t="s">
        <v>580</v>
      </c>
      <c r="D240" s="13" t="str">
        <f t="shared" si="18"/>
        <v xml:space="preserve">k|sfz </v>
      </c>
      <c r="E240" s="13" t="str">
        <f t="shared" si="20"/>
        <v>uf}td</v>
      </c>
      <c r="F240" s="21" t="s">
        <v>233</v>
      </c>
      <c r="G240" s="21" t="s">
        <v>756</v>
      </c>
      <c r="H240" s="21">
        <f t="shared" si="17"/>
        <v>99</v>
      </c>
      <c r="I240" s="21"/>
      <c r="J240" s="21" t="s">
        <v>905</v>
      </c>
      <c r="K240" s="21">
        <f t="shared" si="16"/>
        <v>164</v>
      </c>
      <c r="L240" s="21"/>
      <c r="M240" s="15">
        <f t="shared" si="19"/>
        <v>43.413698630136984</v>
      </c>
      <c r="N240" s="15"/>
      <c r="O240" s="15"/>
      <c r="P240" s="15"/>
      <c r="Q240" s="15"/>
      <c r="R240" s="16"/>
      <c r="S240" s="16"/>
      <c r="T240" s="16"/>
      <c r="U240" s="16"/>
      <c r="V240" s="5">
        <v>51111</v>
      </c>
      <c r="W240" s="5">
        <v>66957</v>
      </c>
      <c r="Y240" s="5"/>
    </row>
    <row r="241" spans="1:32" ht="18" x14ac:dyDescent="0.35">
      <c r="A241" s="6"/>
      <c r="C241" s="13" t="s">
        <v>581</v>
      </c>
      <c r="D241" s="13" t="str">
        <f t="shared" si="18"/>
        <v xml:space="preserve">k|Ghn </v>
      </c>
      <c r="E241" s="13" t="str">
        <f t="shared" si="20"/>
        <v>uf}td</v>
      </c>
      <c r="F241" s="21" t="s">
        <v>233</v>
      </c>
      <c r="G241" s="21" t="s">
        <v>757</v>
      </c>
      <c r="H241" s="21">
        <f t="shared" si="17"/>
        <v>69</v>
      </c>
      <c r="I241" s="21"/>
      <c r="J241" s="21" t="s">
        <v>905</v>
      </c>
      <c r="K241" s="21">
        <f t="shared" si="16"/>
        <v>164</v>
      </c>
      <c r="L241" s="21"/>
      <c r="M241" s="15">
        <f t="shared" si="19"/>
        <v>16.846575342465755</v>
      </c>
      <c r="N241" s="15"/>
      <c r="O241" s="15"/>
      <c r="P241" s="15"/>
      <c r="Q241" s="15"/>
      <c r="R241" s="16"/>
      <c r="S241" s="16"/>
      <c r="T241" s="16"/>
      <c r="U241" s="16"/>
      <c r="V241" s="5">
        <v>60808</v>
      </c>
      <c r="W241" s="5">
        <v>66957</v>
      </c>
      <c r="Y241" s="5"/>
    </row>
    <row r="242" spans="1:32" ht="18" x14ac:dyDescent="0.35">
      <c r="A242" s="6"/>
      <c r="C242" s="13" t="s">
        <v>582</v>
      </c>
      <c r="D242" s="13" t="str">
        <f t="shared" si="18"/>
        <v xml:space="preserve">k|z+;f </v>
      </c>
      <c r="E242" s="13" t="str">
        <f t="shared" si="20"/>
        <v>uf}td</v>
      </c>
      <c r="F242" s="21" t="s">
        <v>234</v>
      </c>
      <c r="G242" s="21" t="s">
        <v>757</v>
      </c>
      <c r="H242" s="21">
        <f t="shared" si="17"/>
        <v>54</v>
      </c>
      <c r="I242" s="21"/>
      <c r="J242" s="21" t="s">
        <v>905</v>
      </c>
      <c r="K242" s="21">
        <f t="shared" si="16"/>
        <v>107</v>
      </c>
      <c r="L242" s="21"/>
      <c r="M242" s="15">
        <f t="shared" si="19"/>
        <v>12.191780821917808</v>
      </c>
      <c r="N242" s="15"/>
      <c r="O242" s="15"/>
      <c r="P242" s="15"/>
      <c r="Q242" s="15"/>
      <c r="R242" s="16"/>
      <c r="S242" s="16"/>
      <c r="T242" s="16"/>
      <c r="U242" s="16"/>
      <c r="V242" s="5">
        <v>62507</v>
      </c>
      <c r="W242" s="5">
        <v>66957</v>
      </c>
      <c r="Y242" s="5"/>
    </row>
    <row r="243" spans="1:32" ht="18" x14ac:dyDescent="0.35">
      <c r="A243" s="6">
        <v>74</v>
      </c>
      <c r="B243" t="s">
        <v>139</v>
      </c>
      <c r="C243" s="13" t="s">
        <v>583</v>
      </c>
      <c r="D243" s="13" t="str">
        <f t="shared" si="18"/>
        <v xml:space="preserve">ofbj </v>
      </c>
      <c r="E243" s="13" t="str">
        <f t="shared" si="20"/>
        <v>af;sf]6f</v>
      </c>
      <c r="F243" s="21" t="s">
        <v>233</v>
      </c>
      <c r="G243" s="21" t="s">
        <v>756</v>
      </c>
      <c r="H243" s="21">
        <f t="shared" si="17"/>
        <v>99</v>
      </c>
      <c r="I243" s="21"/>
      <c r="J243" s="21" t="s">
        <v>905</v>
      </c>
      <c r="K243" s="21">
        <f t="shared" si="16"/>
        <v>164</v>
      </c>
      <c r="L243" s="21"/>
      <c r="M243" s="15">
        <f t="shared" si="19"/>
        <v>63.441095890410956</v>
      </c>
      <c r="N243" s="15"/>
      <c r="O243" s="15"/>
      <c r="P243" s="15"/>
      <c r="Q243" s="15"/>
      <c r="R243" s="16" t="s">
        <v>748</v>
      </c>
      <c r="S243" s="16" t="s">
        <v>748</v>
      </c>
      <c r="T243" s="16" t="s">
        <v>748</v>
      </c>
      <c r="U243" s="16" t="s">
        <v>748</v>
      </c>
      <c r="V243" s="5">
        <v>43801</v>
      </c>
      <c r="W243" s="5">
        <v>66957</v>
      </c>
      <c r="Y243" s="5">
        <v>65304</v>
      </c>
      <c r="Z243" s="2" t="s">
        <v>2</v>
      </c>
      <c r="AA243" s="2">
        <v>1</v>
      </c>
      <c r="AB243" s="2">
        <v>1</v>
      </c>
      <c r="AD243" t="s">
        <v>242</v>
      </c>
      <c r="AE243" t="s">
        <v>334</v>
      </c>
      <c r="AF243" t="s">
        <v>245</v>
      </c>
    </row>
    <row r="244" spans="1:32" ht="18" x14ac:dyDescent="0.35">
      <c r="A244" s="6">
        <v>75</v>
      </c>
      <c r="B244" t="s">
        <v>140</v>
      </c>
      <c r="C244" s="13" t="s">
        <v>584</v>
      </c>
      <c r="D244" s="13" t="str">
        <f t="shared" si="18"/>
        <v xml:space="preserve">hfgsL </v>
      </c>
      <c r="E244" s="13" t="str">
        <f t="shared" si="20"/>
        <v>v8\sf</v>
      </c>
      <c r="F244" s="21" t="s">
        <v>234</v>
      </c>
      <c r="G244" s="21" t="s">
        <v>757</v>
      </c>
      <c r="H244" s="21">
        <f t="shared" si="17"/>
        <v>54</v>
      </c>
      <c r="I244" s="21"/>
      <c r="J244" s="21" t="s">
        <v>905</v>
      </c>
      <c r="K244" s="21">
        <f t="shared" si="16"/>
        <v>107</v>
      </c>
      <c r="L244" s="21"/>
      <c r="M244" s="15">
        <f t="shared" si="19"/>
        <v>36.860273972602741</v>
      </c>
      <c r="N244" s="15"/>
      <c r="O244" s="15"/>
      <c r="P244" s="15"/>
      <c r="Q244" s="15"/>
      <c r="R244" s="16">
        <v>0</v>
      </c>
      <c r="S244" s="16">
        <v>3</v>
      </c>
      <c r="T244" s="16">
        <v>2</v>
      </c>
      <c r="U244" s="16">
        <v>0</v>
      </c>
      <c r="V244" s="5">
        <v>53503</v>
      </c>
      <c r="W244" s="5">
        <v>66957</v>
      </c>
      <c r="Y244" s="5">
        <v>65302</v>
      </c>
      <c r="Z244" s="2" t="s">
        <v>2</v>
      </c>
      <c r="AA244" s="2">
        <v>3</v>
      </c>
      <c r="AB244" s="2">
        <v>2</v>
      </c>
      <c r="AC244" s="2">
        <v>1</v>
      </c>
      <c r="AD244" t="s">
        <v>241</v>
      </c>
      <c r="AE244" t="s">
        <v>273</v>
      </c>
      <c r="AF244" t="s">
        <v>245</v>
      </c>
    </row>
    <row r="245" spans="1:32" ht="18" x14ac:dyDescent="0.35">
      <c r="A245" s="6"/>
      <c r="C245" s="13" t="s">
        <v>585</v>
      </c>
      <c r="D245" s="13" t="str">
        <f t="shared" si="18"/>
        <v xml:space="preserve">lr/fu </v>
      </c>
      <c r="E245" s="13" t="str">
        <f t="shared" si="20"/>
        <v>v8\sf</v>
      </c>
      <c r="F245" s="21" t="s">
        <v>233</v>
      </c>
      <c r="G245" s="21" t="s">
        <v>757</v>
      </c>
      <c r="H245" s="21">
        <f t="shared" si="17"/>
        <v>69</v>
      </c>
      <c r="I245" s="21"/>
      <c r="J245" s="21" t="s">
        <v>905</v>
      </c>
      <c r="K245" s="21">
        <f t="shared" si="16"/>
        <v>164</v>
      </c>
      <c r="L245" s="21"/>
      <c r="M245" s="15">
        <f t="shared" si="19"/>
        <v>27.12876712328767</v>
      </c>
      <c r="N245" s="15"/>
      <c r="O245" s="15"/>
      <c r="P245" s="15"/>
      <c r="Q245" s="15"/>
      <c r="R245" s="16"/>
      <c r="S245" s="16"/>
      <c r="T245" s="16"/>
      <c r="U245" s="16"/>
      <c r="V245" s="5">
        <v>57055</v>
      </c>
      <c r="W245" s="5">
        <v>66957</v>
      </c>
      <c r="Y245" s="5"/>
    </row>
    <row r="246" spans="1:32" ht="18" x14ac:dyDescent="0.35">
      <c r="A246" s="6"/>
      <c r="C246" s="13" t="s">
        <v>586</v>
      </c>
      <c r="D246" s="13" t="str">
        <f t="shared" si="18"/>
        <v xml:space="preserve">sljtf </v>
      </c>
      <c r="E246" s="13" t="str">
        <f t="shared" si="20"/>
        <v>v8\sf</v>
      </c>
      <c r="F246" s="21" t="s">
        <v>234</v>
      </c>
      <c r="G246" s="21" t="s">
        <v>757</v>
      </c>
      <c r="H246" s="21">
        <f t="shared" si="17"/>
        <v>54</v>
      </c>
      <c r="I246" s="21"/>
      <c r="J246" s="21" t="s">
        <v>905</v>
      </c>
      <c r="K246" s="21">
        <f t="shared" si="16"/>
        <v>107</v>
      </c>
      <c r="L246" s="21"/>
      <c r="M246" s="15">
        <f t="shared" si="19"/>
        <v>34.178082191780824</v>
      </c>
      <c r="N246" s="15"/>
      <c r="O246" s="15"/>
      <c r="P246" s="15"/>
      <c r="Q246" s="15"/>
      <c r="R246" s="16"/>
      <c r="S246" s="16"/>
      <c r="T246" s="16"/>
      <c r="U246" s="16"/>
      <c r="V246" s="5">
        <v>54482</v>
      </c>
      <c r="W246" s="5">
        <v>66957</v>
      </c>
      <c r="Y246" s="5"/>
    </row>
    <row r="247" spans="1:32" ht="18" x14ac:dyDescent="0.35">
      <c r="A247" s="6">
        <v>76</v>
      </c>
      <c r="B247" t="s">
        <v>141</v>
      </c>
      <c r="C247" s="13" t="s">
        <v>587</v>
      </c>
      <c r="D247" s="13" t="str">
        <f t="shared" si="18"/>
        <v xml:space="preserve">lzj </v>
      </c>
      <c r="E247" s="13" t="str">
        <f t="shared" si="20"/>
        <v>r'8fn</v>
      </c>
      <c r="F247" s="21" t="s">
        <v>233</v>
      </c>
      <c r="G247" s="21" t="s">
        <v>756</v>
      </c>
      <c r="H247" s="21">
        <f t="shared" si="17"/>
        <v>99</v>
      </c>
      <c r="I247" s="21"/>
      <c r="J247" s="21" t="s">
        <v>905</v>
      </c>
      <c r="K247" s="21">
        <f t="shared" si="16"/>
        <v>164</v>
      </c>
      <c r="L247" s="21"/>
      <c r="M247" s="15">
        <f t="shared" si="19"/>
        <v>54.484931506849314</v>
      </c>
      <c r="N247" s="15"/>
      <c r="O247" s="15"/>
      <c r="P247" s="15"/>
      <c r="Q247" s="15"/>
      <c r="R247" s="16">
        <v>0</v>
      </c>
      <c r="S247" s="16">
        <v>4</v>
      </c>
      <c r="T247" s="16">
        <v>0</v>
      </c>
      <c r="U247" s="16">
        <v>0</v>
      </c>
      <c r="V247" s="5">
        <v>47070</v>
      </c>
      <c r="W247" s="5">
        <v>66957</v>
      </c>
      <c r="Y247" s="5">
        <v>65291</v>
      </c>
      <c r="Z247" s="2" t="s">
        <v>2</v>
      </c>
      <c r="AA247" s="2">
        <v>4</v>
      </c>
      <c r="AB247" s="2">
        <v>1</v>
      </c>
      <c r="AC247" s="2">
        <v>3</v>
      </c>
      <c r="AD247" t="s">
        <v>242</v>
      </c>
      <c r="AE247" t="s">
        <v>316</v>
      </c>
      <c r="AF247" t="s">
        <v>245</v>
      </c>
    </row>
    <row r="248" spans="1:32" ht="18" x14ac:dyDescent="0.35">
      <c r="A248" s="6"/>
      <c r="C248" s="13" t="s">
        <v>588</v>
      </c>
      <c r="D248" s="13" t="str">
        <f t="shared" si="18"/>
        <v xml:space="preserve">;+uLtf </v>
      </c>
      <c r="E248" s="13" t="str">
        <f t="shared" si="20"/>
        <v>r'8fn</v>
      </c>
      <c r="F248" s="21" t="s">
        <v>234</v>
      </c>
      <c r="G248" s="21" t="s">
        <v>756</v>
      </c>
      <c r="H248" s="21">
        <f t="shared" si="17"/>
        <v>102</v>
      </c>
      <c r="I248" s="21"/>
      <c r="J248" s="21" t="s">
        <v>906</v>
      </c>
      <c r="K248" s="21">
        <f t="shared" si="16"/>
        <v>53</v>
      </c>
      <c r="L248" s="21"/>
      <c r="M248" s="15">
        <f t="shared" si="19"/>
        <v>42.339726027397262</v>
      </c>
      <c r="N248" s="15"/>
      <c r="O248" s="15"/>
      <c r="P248" s="15"/>
      <c r="Q248" s="15"/>
      <c r="R248" s="16"/>
      <c r="S248" s="16"/>
      <c r="T248" s="16"/>
      <c r="U248" s="16"/>
      <c r="V248" s="5">
        <v>51503</v>
      </c>
      <c r="W248" s="5">
        <v>66957</v>
      </c>
      <c r="Y248" s="5"/>
    </row>
    <row r="249" spans="1:32" ht="18" x14ac:dyDescent="0.35">
      <c r="A249" s="6"/>
      <c r="C249" s="13" t="s">
        <v>589</v>
      </c>
      <c r="D249" s="13" t="str">
        <f t="shared" si="18"/>
        <v xml:space="preserve">cl:dtf </v>
      </c>
      <c r="E249" s="13" t="str">
        <f t="shared" si="20"/>
        <v>r'8fn</v>
      </c>
      <c r="F249" s="21" t="s">
        <v>234</v>
      </c>
      <c r="G249" s="21" t="s">
        <v>757</v>
      </c>
      <c r="H249" s="21">
        <f t="shared" si="17"/>
        <v>54</v>
      </c>
      <c r="I249" s="21"/>
      <c r="J249" s="21" t="s">
        <v>905</v>
      </c>
      <c r="K249" s="21">
        <f t="shared" si="16"/>
        <v>107</v>
      </c>
      <c r="L249" s="21"/>
      <c r="M249" s="15">
        <f t="shared" si="19"/>
        <v>29.972602739726028</v>
      </c>
      <c r="N249" s="15"/>
      <c r="O249" s="15"/>
      <c r="P249" s="15"/>
      <c r="Q249" s="15"/>
      <c r="R249" s="16"/>
      <c r="S249" s="16"/>
      <c r="T249" s="16"/>
      <c r="U249" s="16"/>
      <c r="V249" s="5">
        <v>56017</v>
      </c>
      <c r="W249" s="5">
        <v>66957</v>
      </c>
      <c r="Y249" s="5"/>
    </row>
    <row r="250" spans="1:32" ht="18" x14ac:dyDescent="0.35">
      <c r="A250" s="6"/>
      <c r="C250" s="13" t="s">
        <v>590</v>
      </c>
      <c r="D250" s="13" t="str">
        <f t="shared" si="18"/>
        <v xml:space="preserve">k|]/0ff </v>
      </c>
      <c r="E250" s="13" t="str">
        <f t="shared" si="20"/>
        <v>r'8fn</v>
      </c>
      <c r="F250" s="21" t="s">
        <v>234</v>
      </c>
      <c r="G250" s="21" t="s">
        <v>757</v>
      </c>
      <c r="H250" s="21">
        <f t="shared" si="17"/>
        <v>54</v>
      </c>
      <c r="I250" s="21"/>
      <c r="J250" s="21" t="s">
        <v>905</v>
      </c>
      <c r="K250" s="21">
        <f t="shared" si="16"/>
        <v>107</v>
      </c>
      <c r="L250" s="21"/>
      <c r="M250" s="15">
        <f t="shared" si="19"/>
        <v>22.816438356164383</v>
      </c>
      <c r="N250" s="15"/>
      <c r="O250" s="15"/>
      <c r="P250" s="15"/>
      <c r="Q250" s="15"/>
      <c r="R250" s="16"/>
      <c r="S250" s="16"/>
      <c r="T250" s="16"/>
      <c r="U250" s="16"/>
      <c r="V250" s="5">
        <v>58629</v>
      </c>
      <c r="W250" s="5">
        <v>66957</v>
      </c>
      <c r="Y250" s="5"/>
    </row>
    <row r="251" spans="1:32" ht="18" x14ac:dyDescent="0.35">
      <c r="A251" s="6">
        <v>77</v>
      </c>
      <c r="B251" t="s">
        <v>142</v>
      </c>
      <c r="C251" s="13" t="s">
        <v>591</v>
      </c>
      <c r="D251" s="13" t="str">
        <f t="shared" si="18"/>
        <v xml:space="preserve">lg? </v>
      </c>
      <c r="E251" s="13" t="str">
        <f t="shared" si="20"/>
        <v>ljZjsdf{</v>
      </c>
      <c r="F251" s="21" t="s">
        <v>234</v>
      </c>
      <c r="G251" s="21" t="s">
        <v>756</v>
      </c>
      <c r="H251" s="21">
        <f t="shared" si="17"/>
        <v>102</v>
      </c>
      <c r="I251" s="21"/>
      <c r="J251" s="21" t="s">
        <v>906</v>
      </c>
      <c r="K251" s="21">
        <f t="shared" si="16"/>
        <v>53</v>
      </c>
      <c r="L251" s="21"/>
      <c r="M251" s="15">
        <f t="shared" si="19"/>
        <v>44.482191780821921</v>
      </c>
      <c r="N251" s="15"/>
      <c r="O251" s="15"/>
      <c r="P251" s="15"/>
      <c r="Q251" s="15"/>
      <c r="R251" s="16" t="s">
        <v>748</v>
      </c>
      <c r="S251" s="16" t="s">
        <v>748</v>
      </c>
      <c r="T251" s="16" t="s">
        <v>748</v>
      </c>
      <c r="U251" s="16" t="s">
        <v>748</v>
      </c>
      <c r="V251" s="5">
        <v>50721</v>
      </c>
      <c r="W251" s="5">
        <v>66957</v>
      </c>
      <c r="Y251" s="5">
        <v>65290</v>
      </c>
      <c r="Z251" s="2" t="s">
        <v>2</v>
      </c>
      <c r="AA251" s="2">
        <v>3</v>
      </c>
      <c r="AB251" s="2">
        <v>2</v>
      </c>
      <c r="AC251" s="2">
        <v>1</v>
      </c>
      <c r="AD251" t="s">
        <v>242</v>
      </c>
      <c r="AE251" t="s">
        <v>299</v>
      </c>
      <c r="AF251" t="s">
        <v>245</v>
      </c>
    </row>
    <row r="252" spans="1:32" ht="18" x14ac:dyDescent="0.35">
      <c r="A252" s="6"/>
      <c r="C252" s="13" t="s">
        <v>482</v>
      </c>
      <c r="D252" s="13" t="str">
        <f t="shared" si="18"/>
        <v xml:space="preserve">6]s </v>
      </c>
      <c r="E252" s="13" t="str">
        <f t="shared" si="20"/>
        <v>ljZjsdf{</v>
      </c>
      <c r="F252" s="21" t="s">
        <v>233</v>
      </c>
      <c r="G252" s="21" t="s">
        <v>756</v>
      </c>
      <c r="H252" s="21">
        <f t="shared" si="17"/>
        <v>99</v>
      </c>
      <c r="I252" s="21"/>
      <c r="J252" s="21" t="s">
        <v>905</v>
      </c>
      <c r="K252" s="21">
        <f t="shared" si="16"/>
        <v>164</v>
      </c>
      <c r="L252" s="21"/>
      <c r="M252" s="15">
        <f t="shared" si="19"/>
        <v>45.56712328767123</v>
      </c>
      <c r="N252" s="15"/>
      <c r="O252" s="15"/>
      <c r="P252" s="15"/>
      <c r="Q252" s="15"/>
      <c r="R252" s="16"/>
      <c r="S252" s="16"/>
      <c r="T252" s="16"/>
      <c r="U252" s="16"/>
      <c r="V252" s="5">
        <v>50325</v>
      </c>
      <c r="W252" s="5">
        <v>66957</v>
      </c>
      <c r="Y252" s="5"/>
    </row>
    <row r="253" spans="1:32" ht="18" x14ac:dyDescent="0.35">
      <c r="A253" s="6"/>
      <c r="C253" s="13" t="s">
        <v>592</v>
      </c>
      <c r="D253" s="13" t="str">
        <f t="shared" si="18"/>
        <v xml:space="preserve">lg;fg </v>
      </c>
      <c r="E253" s="13" t="str">
        <f t="shared" si="20"/>
        <v>uxt/fh</v>
      </c>
      <c r="F253" s="21" t="s">
        <v>233</v>
      </c>
      <c r="G253" s="21" t="s">
        <v>757</v>
      </c>
      <c r="H253" s="21">
        <f t="shared" si="17"/>
        <v>69</v>
      </c>
      <c r="I253" s="21"/>
      <c r="J253" s="21" t="s">
        <v>905</v>
      </c>
      <c r="K253" s="21">
        <f t="shared" si="16"/>
        <v>164</v>
      </c>
      <c r="L253" s="21"/>
      <c r="M253" s="15">
        <f t="shared" si="19"/>
        <v>21.717808219178082</v>
      </c>
      <c r="N253" s="15"/>
      <c r="O253" s="15"/>
      <c r="P253" s="15"/>
      <c r="Q253" s="15"/>
      <c r="R253" s="16"/>
      <c r="S253" s="16"/>
      <c r="T253" s="16"/>
      <c r="U253" s="16"/>
      <c r="V253" s="5">
        <v>59030</v>
      </c>
      <c r="W253" s="5">
        <v>66957</v>
      </c>
      <c r="Y253" s="5"/>
    </row>
    <row r="254" spans="1:32" ht="18" x14ac:dyDescent="0.35">
      <c r="A254" s="6">
        <v>78</v>
      </c>
      <c r="B254" t="s">
        <v>143</v>
      </c>
      <c r="C254" s="13" t="s">
        <v>593</v>
      </c>
      <c r="D254" s="13" t="str">
        <f t="shared" si="18"/>
        <v xml:space="preserve">s'zn </v>
      </c>
      <c r="E254" s="13" t="str">
        <f t="shared" si="20"/>
        <v>wfdL</v>
      </c>
      <c r="F254" s="21" t="s">
        <v>233</v>
      </c>
      <c r="G254" s="21" t="s">
        <v>756</v>
      </c>
      <c r="H254" s="21">
        <f t="shared" si="17"/>
        <v>99</v>
      </c>
      <c r="I254" s="21"/>
      <c r="J254" s="21" t="s">
        <v>905</v>
      </c>
      <c r="K254" s="21">
        <f t="shared" si="16"/>
        <v>164</v>
      </c>
      <c r="L254" s="21"/>
      <c r="M254" s="15">
        <f t="shared" si="19"/>
        <v>51.326027397260276</v>
      </c>
      <c r="N254" s="15"/>
      <c r="O254" s="15"/>
      <c r="P254" s="15"/>
      <c r="Q254" s="15"/>
      <c r="R254" s="16">
        <v>0</v>
      </c>
      <c r="S254" s="16">
        <v>3</v>
      </c>
      <c r="T254" s="16">
        <v>0</v>
      </c>
      <c r="U254" s="16">
        <v>0</v>
      </c>
      <c r="V254" s="5">
        <v>48223</v>
      </c>
      <c r="W254" s="5">
        <v>66957</v>
      </c>
      <c r="Y254" s="5">
        <v>65287</v>
      </c>
      <c r="Z254" s="2" t="s">
        <v>2</v>
      </c>
      <c r="AA254" s="2">
        <v>3</v>
      </c>
      <c r="AB254" s="2">
        <v>2</v>
      </c>
      <c r="AC254" s="2">
        <v>1</v>
      </c>
      <c r="AD254" t="s">
        <v>242</v>
      </c>
      <c r="AE254" t="s">
        <v>291</v>
      </c>
      <c r="AF254" t="s">
        <v>245</v>
      </c>
    </row>
    <row r="255" spans="1:32" ht="18" x14ac:dyDescent="0.35">
      <c r="A255" s="6"/>
      <c r="C255" s="13" t="s">
        <v>594</v>
      </c>
      <c r="D255" s="13" t="str">
        <f t="shared" si="18"/>
        <v xml:space="preserve">&gt;LdtL </v>
      </c>
      <c r="E255" s="13" t="str">
        <f t="shared" si="20"/>
        <v>wfdL</v>
      </c>
      <c r="F255" s="21" t="s">
        <v>234</v>
      </c>
      <c r="G255" s="21" t="s">
        <v>756</v>
      </c>
      <c r="H255" s="21">
        <f t="shared" si="17"/>
        <v>102</v>
      </c>
      <c r="I255" s="21"/>
      <c r="J255" s="21" t="s">
        <v>906</v>
      </c>
      <c r="K255" s="21">
        <f t="shared" si="16"/>
        <v>53</v>
      </c>
      <c r="L255" s="21"/>
      <c r="M255" s="15">
        <f t="shared" si="19"/>
        <v>45.073972602739723</v>
      </c>
      <c r="N255" s="15"/>
      <c r="O255" s="15"/>
      <c r="P255" s="15"/>
      <c r="Q255" s="15"/>
      <c r="R255" s="16"/>
      <c r="S255" s="16"/>
      <c r="T255" s="16"/>
      <c r="U255" s="16"/>
      <c r="V255" s="5">
        <v>50505</v>
      </c>
      <c r="W255" s="5">
        <v>66957</v>
      </c>
      <c r="Y255" s="5"/>
    </row>
    <row r="256" spans="1:32" ht="18" x14ac:dyDescent="0.35">
      <c r="A256" s="6"/>
      <c r="C256" s="13" t="s">
        <v>595</v>
      </c>
      <c r="D256" s="13" t="str">
        <f t="shared" si="18"/>
        <v xml:space="preserve">gljg </v>
      </c>
      <c r="E256" s="13" t="str">
        <f t="shared" si="20"/>
        <v>wfdL</v>
      </c>
      <c r="F256" s="21" t="s">
        <v>233</v>
      </c>
      <c r="G256" s="21" t="s">
        <v>757</v>
      </c>
      <c r="H256" s="21">
        <f t="shared" si="17"/>
        <v>69</v>
      </c>
      <c r="I256" s="21"/>
      <c r="J256" s="21" t="s">
        <v>905</v>
      </c>
      <c r="K256" s="21">
        <f t="shared" si="16"/>
        <v>164</v>
      </c>
      <c r="L256" s="21"/>
      <c r="M256" s="15">
        <f t="shared" si="19"/>
        <v>24.076712328767123</v>
      </c>
      <c r="N256" s="15"/>
      <c r="O256" s="15"/>
      <c r="P256" s="15"/>
      <c r="Q256" s="15"/>
      <c r="R256" s="16"/>
      <c r="S256" s="16"/>
      <c r="T256" s="16"/>
      <c r="U256" s="16"/>
      <c r="V256" s="5">
        <v>58169</v>
      </c>
      <c r="W256" s="5">
        <v>66957</v>
      </c>
      <c r="Y256" s="5"/>
    </row>
    <row r="257" spans="1:32" ht="18" x14ac:dyDescent="0.35">
      <c r="A257" s="6">
        <v>81</v>
      </c>
      <c r="B257" t="s">
        <v>146</v>
      </c>
      <c r="C257" s="13" t="s">
        <v>604</v>
      </c>
      <c r="D257" s="13" t="str">
        <f t="shared" si="18"/>
        <v xml:space="preserve">hLt </v>
      </c>
      <c r="E257" s="13" t="str">
        <f t="shared" si="20"/>
        <v>a'9fyf]sL</v>
      </c>
      <c r="F257" s="21" t="s">
        <v>233</v>
      </c>
      <c r="G257" s="21" t="s">
        <v>756</v>
      </c>
      <c r="H257" s="21">
        <f t="shared" si="17"/>
        <v>99</v>
      </c>
      <c r="I257" s="21"/>
      <c r="J257" s="21" t="s">
        <v>905</v>
      </c>
      <c r="K257" s="21">
        <f t="shared" si="16"/>
        <v>164</v>
      </c>
      <c r="L257" s="21"/>
      <c r="M257" s="15">
        <f t="shared" si="19"/>
        <v>37.452054794520549</v>
      </c>
      <c r="N257" s="15"/>
      <c r="O257" s="15"/>
      <c r="P257" s="15"/>
      <c r="Q257" s="15"/>
      <c r="R257" s="16" t="s">
        <v>748</v>
      </c>
      <c r="S257" s="16" t="s">
        <v>748</v>
      </c>
      <c r="T257" s="16" t="s">
        <v>748</v>
      </c>
      <c r="U257" s="16" t="s">
        <v>748</v>
      </c>
      <c r="V257" s="5">
        <v>53287</v>
      </c>
      <c r="W257" s="5">
        <v>66957</v>
      </c>
      <c r="Y257" s="5">
        <v>65146</v>
      </c>
      <c r="Z257" s="2" t="s">
        <v>2</v>
      </c>
      <c r="AA257" s="2">
        <v>4</v>
      </c>
      <c r="AB257" s="2">
        <v>2</v>
      </c>
      <c r="AC257" s="2">
        <v>2</v>
      </c>
      <c r="AD257" t="s">
        <v>242</v>
      </c>
      <c r="AE257" t="s">
        <v>277</v>
      </c>
      <c r="AF257" t="s">
        <v>245</v>
      </c>
    </row>
    <row r="258" spans="1:32" ht="18" x14ac:dyDescent="0.35">
      <c r="A258" s="6"/>
      <c r="C258" s="13" t="s">
        <v>605</v>
      </c>
      <c r="D258" s="13" t="str">
        <f t="shared" si="18"/>
        <v xml:space="preserve">l/tf </v>
      </c>
      <c r="E258" s="13" t="str">
        <f t="shared" si="20"/>
        <v>s]=;L</v>
      </c>
      <c r="F258" s="21" t="s">
        <v>234</v>
      </c>
      <c r="G258" s="21" t="s">
        <v>756</v>
      </c>
      <c r="H258" s="21">
        <f t="shared" si="17"/>
        <v>102</v>
      </c>
      <c r="I258" s="21"/>
      <c r="J258" s="21" t="s">
        <v>905</v>
      </c>
      <c r="K258" s="21">
        <f t="shared" si="16"/>
        <v>107</v>
      </c>
      <c r="L258" s="21"/>
      <c r="M258" s="15">
        <f t="shared" si="19"/>
        <v>35.504109589041093</v>
      </c>
      <c r="N258" s="15"/>
      <c r="O258" s="15"/>
      <c r="P258" s="15"/>
      <c r="Q258" s="15"/>
      <c r="R258" s="16"/>
      <c r="S258" s="16"/>
      <c r="T258" s="16"/>
      <c r="U258" s="16"/>
      <c r="V258" s="5">
        <v>53998</v>
      </c>
      <c r="W258" s="5">
        <v>66957</v>
      </c>
      <c r="Y258" s="5"/>
    </row>
    <row r="259" spans="1:32" ht="18" x14ac:dyDescent="0.35">
      <c r="A259" s="6"/>
      <c r="C259" s="13" t="s">
        <v>606</v>
      </c>
      <c r="D259" s="13" t="str">
        <f t="shared" si="18"/>
        <v xml:space="preserve">s[idf </v>
      </c>
      <c r="E259" s="13" t="str">
        <f t="shared" si="20"/>
        <v>a'9fyf]sL</v>
      </c>
      <c r="F259" s="21" t="s">
        <v>234</v>
      </c>
      <c r="G259" s="21" t="s">
        <v>757</v>
      </c>
      <c r="H259" s="21">
        <f t="shared" si="17"/>
        <v>54</v>
      </c>
      <c r="I259" s="21"/>
      <c r="J259" s="21" t="s">
        <v>905</v>
      </c>
      <c r="K259" s="21">
        <f t="shared" si="16"/>
        <v>107</v>
      </c>
      <c r="L259" s="21"/>
      <c r="M259" s="15">
        <f t="shared" si="19"/>
        <v>11.764383561643836</v>
      </c>
      <c r="N259" s="15"/>
      <c r="O259" s="15"/>
      <c r="P259" s="15"/>
      <c r="Q259" s="15"/>
      <c r="R259" s="16"/>
      <c r="S259" s="16"/>
      <c r="T259" s="16"/>
      <c r="U259" s="16"/>
      <c r="V259" s="5">
        <v>62663</v>
      </c>
      <c r="W259" s="5">
        <v>66957</v>
      </c>
      <c r="Y259" s="5"/>
    </row>
    <row r="260" spans="1:32" ht="18" x14ac:dyDescent="0.35">
      <c r="A260" s="6"/>
      <c r="C260" s="13" t="s">
        <v>607</v>
      </c>
      <c r="D260" s="13" t="str">
        <f t="shared" si="18"/>
        <v xml:space="preserve">k|lht </v>
      </c>
      <c r="E260" s="13" t="str">
        <f t="shared" si="20"/>
        <v>a'9fyf]sL</v>
      </c>
      <c r="F260" s="21" t="s">
        <v>233</v>
      </c>
      <c r="G260" s="21" t="s">
        <v>748</v>
      </c>
      <c r="H260" s="21" t="b">
        <f t="shared" si="17"/>
        <v>0</v>
      </c>
      <c r="I260" s="21"/>
      <c r="J260" s="21" t="s">
        <v>905</v>
      </c>
      <c r="K260" s="21">
        <f t="shared" ref="K260:K323" si="21">IF(M260&gt;=5,(COUNTIFS($J$4:$J$348,J260,$F$4:$F$348,F260)))</f>
        <v>164</v>
      </c>
      <c r="L260" s="21"/>
      <c r="M260" s="15">
        <f t="shared" si="19"/>
        <v>6.8739726027397259</v>
      </c>
      <c r="N260" s="15"/>
      <c r="O260" s="15"/>
      <c r="P260" s="15"/>
      <c r="Q260" s="15"/>
      <c r="R260" s="16"/>
      <c r="S260" s="16"/>
      <c r="T260" s="16"/>
      <c r="U260" s="16"/>
      <c r="V260" s="5">
        <v>64448</v>
      </c>
      <c r="W260" s="5">
        <v>66957</v>
      </c>
      <c r="Y260" s="5"/>
    </row>
    <row r="261" spans="1:32" ht="18" x14ac:dyDescent="0.35">
      <c r="A261" s="6">
        <v>82</v>
      </c>
      <c r="B261" t="s">
        <v>147</v>
      </c>
      <c r="C261" s="13" t="s">
        <v>608</v>
      </c>
      <c r="D261" s="13" t="str">
        <f t="shared" si="18"/>
        <v xml:space="preserve">zld{nf </v>
      </c>
      <c r="E261" s="13" t="str">
        <f t="shared" si="20"/>
        <v>uf}td</v>
      </c>
      <c r="F261" s="21" t="s">
        <v>234</v>
      </c>
      <c r="G261" s="21" t="s">
        <v>756</v>
      </c>
      <c r="H261" s="21">
        <f t="shared" ref="H261:H324" si="22">IF(M261&gt;=10,(COUNTIFS($G$4:$G$348,G261,$F$4:$F$348,F261)))</f>
        <v>102</v>
      </c>
      <c r="I261" s="21"/>
      <c r="J261" s="21" t="s">
        <v>905</v>
      </c>
      <c r="K261" s="21">
        <f t="shared" si="21"/>
        <v>107</v>
      </c>
      <c r="L261" s="21"/>
      <c r="M261" s="15">
        <f t="shared" si="19"/>
        <v>37.791780821917811</v>
      </c>
      <c r="N261" s="15"/>
      <c r="O261" s="15"/>
      <c r="P261" s="15"/>
      <c r="Q261" s="15"/>
      <c r="R261" s="16" t="s">
        <v>748</v>
      </c>
      <c r="S261" s="16" t="s">
        <v>748</v>
      </c>
      <c r="T261" s="16" t="s">
        <v>748</v>
      </c>
      <c r="U261" s="16" t="s">
        <v>748</v>
      </c>
      <c r="V261" s="5">
        <v>53163</v>
      </c>
      <c r="W261" s="5">
        <v>66957</v>
      </c>
      <c r="Y261" s="5">
        <v>64977</v>
      </c>
      <c r="Z261" s="2" t="s">
        <v>2</v>
      </c>
      <c r="AA261" s="2">
        <v>2</v>
      </c>
      <c r="AB261" s="2">
        <v>1</v>
      </c>
      <c r="AC261" s="2">
        <v>1</v>
      </c>
      <c r="AD261" t="s">
        <v>240</v>
      </c>
      <c r="AE261" t="s">
        <v>315</v>
      </c>
      <c r="AF261" t="s">
        <v>245</v>
      </c>
    </row>
    <row r="262" spans="1:32" ht="18" x14ac:dyDescent="0.35">
      <c r="A262" s="6"/>
      <c r="C262" s="13" t="s">
        <v>609</v>
      </c>
      <c r="D262" s="13" t="str">
        <f t="shared" si="18"/>
        <v xml:space="preserve">ljsf;s </v>
      </c>
      <c r="E262" s="13" t="str">
        <f t="shared" si="20"/>
        <v>lu/L</v>
      </c>
      <c r="F262" s="21" t="s">
        <v>233</v>
      </c>
      <c r="G262" s="21" t="s">
        <v>757</v>
      </c>
      <c r="H262" s="21">
        <f t="shared" si="22"/>
        <v>69</v>
      </c>
      <c r="I262" s="21"/>
      <c r="J262" s="21" t="s">
        <v>905</v>
      </c>
      <c r="K262" s="21">
        <f t="shared" si="21"/>
        <v>164</v>
      </c>
      <c r="L262" s="21"/>
      <c r="M262" s="15">
        <f t="shared" si="19"/>
        <v>11.602739726027398</v>
      </c>
      <c r="N262" s="15"/>
      <c r="O262" s="15"/>
      <c r="P262" s="15"/>
      <c r="Q262" s="15"/>
      <c r="R262" s="16"/>
      <c r="S262" s="16"/>
      <c r="T262" s="16"/>
      <c r="U262" s="16"/>
      <c r="V262" s="5">
        <v>62722</v>
      </c>
      <c r="W262" s="5">
        <v>66957</v>
      </c>
      <c r="Y262" s="5"/>
    </row>
    <row r="263" spans="1:32" ht="18" x14ac:dyDescent="0.35">
      <c r="A263" s="6">
        <v>84</v>
      </c>
      <c r="B263" t="s">
        <v>149</v>
      </c>
      <c r="C263" s="13" t="s">
        <v>614</v>
      </c>
      <c r="D263" s="13" t="str">
        <f t="shared" ref="D263:D326" si="23">LEFT(C263,(FIND(" ",C263)))</f>
        <v xml:space="preserve">v8\u </v>
      </c>
      <c r="E263" s="13" t="str">
        <f t="shared" si="20"/>
        <v>&gt;]i7</v>
      </c>
      <c r="F263" s="21" t="s">
        <v>233</v>
      </c>
      <c r="G263" s="21" t="s">
        <v>756</v>
      </c>
      <c r="H263" s="21">
        <f t="shared" si="22"/>
        <v>99</v>
      </c>
      <c r="I263" s="21"/>
      <c r="J263" s="21" t="s">
        <v>905</v>
      </c>
      <c r="K263" s="21">
        <f t="shared" si="21"/>
        <v>164</v>
      </c>
      <c r="L263" s="21"/>
      <c r="M263" s="15">
        <f t="shared" ref="M263:M326" si="24">(W263-V263)/365</f>
        <v>46.334246575342469</v>
      </c>
      <c r="N263" s="15"/>
      <c r="O263" s="15"/>
      <c r="P263" s="15"/>
      <c r="Q263" s="15"/>
      <c r="R263" s="16">
        <v>2</v>
      </c>
      <c r="S263" s="16">
        <v>6</v>
      </c>
      <c r="T263" s="16">
        <v>1</v>
      </c>
      <c r="U263" s="16">
        <v>1</v>
      </c>
      <c r="V263" s="5">
        <v>50045</v>
      </c>
      <c r="W263" s="5">
        <v>66957</v>
      </c>
      <c r="Y263" s="5">
        <v>64887</v>
      </c>
      <c r="Z263" s="2" t="s">
        <v>2</v>
      </c>
      <c r="AA263" s="2">
        <v>4</v>
      </c>
      <c r="AB263" s="2">
        <v>2</v>
      </c>
      <c r="AC263" s="2">
        <v>2</v>
      </c>
      <c r="AD263" t="s">
        <v>242</v>
      </c>
      <c r="AE263" t="s">
        <v>286</v>
      </c>
      <c r="AF263" t="s">
        <v>245</v>
      </c>
    </row>
    <row r="264" spans="1:32" ht="18" x14ac:dyDescent="0.35">
      <c r="A264" s="6"/>
      <c r="C264" s="13" t="s">
        <v>615</v>
      </c>
      <c r="D264" s="13" t="str">
        <f t="shared" si="23"/>
        <v xml:space="preserve">cl:dtf </v>
      </c>
      <c r="E264" s="13" t="str">
        <f t="shared" ref="E264:E327" si="25">TRIM(RIGHT(SUBSTITUTE(C264," ",REPT(" ",255)),255))</f>
        <v>&gt;]i7</v>
      </c>
      <c r="F264" s="21" t="s">
        <v>234</v>
      </c>
      <c r="G264" s="21" t="s">
        <v>756</v>
      </c>
      <c r="H264" s="21">
        <f t="shared" si="22"/>
        <v>102</v>
      </c>
      <c r="I264" s="21"/>
      <c r="J264" s="21" t="s">
        <v>906</v>
      </c>
      <c r="K264" s="21">
        <f t="shared" si="21"/>
        <v>53</v>
      </c>
      <c r="L264" s="21"/>
      <c r="M264" s="15">
        <f t="shared" si="24"/>
        <v>43.893150684931506</v>
      </c>
      <c r="N264" s="15"/>
      <c r="O264" s="15"/>
      <c r="P264" s="15"/>
      <c r="Q264" s="15"/>
      <c r="R264" s="16"/>
      <c r="S264" s="16"/>
      <c r="T264" s="16"/>
      <c r="U264" s="16"/>
      <c r="V264" s="5">
        <v>50936</v>
      </c>
      <c r="W264" s="5">
        <v>66957</v>
      </c>
      <c r="Y264" s="5"/>
    </row>
    <row r="265" spans="1:32" ht="18" x14ac:dyDescent="0.35">
      <c r="A265" s="6"/>
      <c r="C265" s="13" t="s">
        <v>616</v>
      </c>
      <c r="D265" s="13" t="str">
        <f t="shared" si="23"/>
        <v xml:space="preserve">cldt </v>
      </c>
      <c r="E265" s="13" t="str">
        <f t="shared" si="25"/>
        <v>&gt;]i7</v>
      </c>
      <c r="F265" s="21" t="s">
        <v>233</v>
      </c>
      <c r="G265" s="21" t="s">
        <v>757</v>
      </c>
      <c r="H265" s="21">
        <f t="shared" si="22"/>
        <v>69</v>
      </c>
      <c r="I265" s="21"/>
      <c r="J265" s="21" t="s">
        <v>905</v>
      </c>
      <c r="K265" s="21">
        <f t="shared" si="21"/>
        <v>164</v>
      </c>
      <c r="L265" s="21"/>
      <c r="M265" s="15">
        <f t="shared" si="24"/>
        <v>22.761643835616439</v>
      </c>
      <c r="N265" s="15"/>
      <c r="O265" s="15"/>
      <c r="P265" s="15"/>
      <c r="Q265" s="15"/>
      <c r="R265" s="16"/>
      <c r="S265" s="16"/>
      <c r="T265" s="16"/>
      <c r="U265" s="16"/>
      <c r="V265" s="5">
        <v>58649</v>
      </c>
      <c r="W265" s="5">
        <v>66957</v>
      </c>
      <c r="Y265" s="5"/>
    </row>
    <row r="266" spans="1:32" ht="18" x14ac:dyDescent="0.35">
      <c r="A266" s="6"/>
      <c r="C266" s="13" t="s">
        <v>617</v>
      </c>
      <c r="D266" s="13" t="str">
        <f t="shared" si="23"/>
        <v xml:space="preserve">;'l:dtf </v>
      </c>
      <c r="E266" s="13" t="str">
        <f t="shared" si="25"/>
        <v>&gt;]i7</v>
      </c>
      <c r="F266" s="21" t="s">
        <v>234</v>
      </c>
      <c r="G266" s="21" t="s">
        <v>757</v>
      </c>
      <c r="H266" s="21">
        <f t="shared" si="22"/>
        <v>54</v>
      </c>
      <c r="I266" s="21"/>
      <c r="J266" s="21" t="s">
        <v>905</v>
      </c>
      <c r="K266" s="21">
        <f t="shared" si="21"/>
        <v>107</v>
      </c>
      <c r="L266" s="21"/>
      <c r="M266" s="15">
        <f t="shared" si="24"/>
        <v>20.339726027397262</v>
      </c>
      <c r="N266" s="15"/>
      <c r="O266" s="15"/>
      <c r="P266" s="15"/>
      <c r="Q266" s="15"/>
      <c r="R266" s="16"/>
      <c r="S266" s="16"/>
      <c r="T266" s="16"/>
      <c r="U266" s="16"/>
      <c r="V266" s="5">
        <v>59533</v>
      </c>
      <c r="W266" s="5">
        <v>66957</v>
      </c>
      <c r="Y266" s="5"/>
    </row>
    <row r="267" spans="1:32" ht="18" x14ac:dyDescent="0.35">
      <c r="A267" s="6">
        <v>86</v>
      </c>
      <c r="B267" t="s">
        <v>45</v>
      </c>
      <c r="C267" s="13" t="s">
        <v>622</v>
      </c>
      <c r="D267" s="13" t="str">
        <f t="shared" si="23"/>
        <v xml:space="preserve">clgtf </v>
      </c>
      <c r="E267" s="13" t="str">
        <f t="shared" si="25"/>
        <v>tfdfª</v>
      </c>
      <c r="F267" s="21" t="s">
        <v>234</v>
      </c>
      <c r="G267" s="21" t="s">
        <v>756</v>
      </c>
      <c r="H267" s="21">
        <f t="shared" si="22"/>
        <v>102</v>
      </c>
      <c r="I267" s="21"/>
      <c r="J267" s="21" t="s">
        <v>906</v>
      </c>
      <c r="K267" s="21">
        <f t="shared" si="21"/>
        <v>53</v>
      </c>
      <c r="L267" s="21"/>
      <c r="M267" s="15">
        <f t="shared" si="24"/>
        <v>52.339726027397262</v>
      </c>
      <c r="N267" s="15"/>
      <c r="O267" s="15"/>
      <c r="P267" s="15"/>
      <c r="Q267" s="15"/>
      <c r="R267" s="16">
        <v>0</v>
      </c>
      <c r="S267" s="16">
        <v>5</v>
      </c>
      <c r="T267" s="16">
        <v>1</v>
      </c>
      <c r="U267" s="16">
        <v>2</v>
      </c>
      <c r="V267" s="5">
        <v>47853</v>
      </c>
      <c r="W267" s="5">
        <v>66957</v>
      </c>
      <c r="Y267" s="5">
        <v>64618</v>
      </c>
      <c r="Z267" s="2" t="s">
        <v>2</v>
      </c>
      <c r="AA267" s="2">
        <v>4</v>
      </c>
      <c r="AB267" s="2">
        <v>3</v>
      </c>
      <c r="AC267" s="2">
        <v>1</v>
      </c>
      <c r="AD267" t="s">
        <v>241</v>
      </c>
      <c r="AE267" t="s">
        <v>250</v>
      </c>
      <c r="AF267" t="s">
        <v>245</v>
      </c>
    </row>
    <row r="268" spans="1:32" ht="18" x14ac:dyDescent="0.35">
      <c r="A268" s="6"/>
      <c r="C268" s="13" t="s">
        <v>623</v>
      </c>
      <c r="D268" s="13" t="str">
        <f t="shared" si="23"/>
        <v xml:space="preserve">k]Daf </v>
      </c>
      <c r="E268" s="13" t="str">
        <f t="shared" si="25"/>
        <v>tfdfª</v>
      </c>
      <c r="F268" s="21" t="s">
        <v>233</v>
      </c>
      <c r="G268" s="21" t="s">
        <v>756</v>
      </c>
      <c r="H268" s="21">
        <f t="shared" si="22"/>
        <v>99</v>
      </c>
      <c r="I268" s="21"/>
      <c r="J268" s="21" t="s">
        <v>905</v>
      </c>
      <c r="K268" s="21">
        <f t="shared" si="21"/>
        <v>164</v>
      </c>
      <c r="L268" s="21"/>
      <c r="M268" s="15">
        <f t="shared" si="24"/>
        <v>59.197260273972603</v>
      </c>
      <c r="N268" s="15"/>
      <c r="O268" s="15"/>
      <c r="P268" s="15"/>
      <c r="Q268" s="15"/>
      <c r="R268" s="16"/>
      <c r="S268" s="16"/>
      <c r="T268" s="16"/>
      <c r="U268" s="16"/>
      <c r="V268" s="5">
        <v>45350</v>
      </c>
      <c r="W268" s="5">
        <v>66957</v>
      </c>
      <c r="Y268" s="5"/>
    </row>
    <row r="269" spans="1:32" ht="18" x14ac:dyDescent="0.35">
      <c r="A269" s="6"/>
      <c r="C269" s="13" t="s">
        <v>624</v>
      </c>
      <c r="D269" s="13" t="str">
        <f t="shared" si="23"/>
        <v xml:space="preserve">las|d </v>
      </c>
      <c r="E269" s="13" t="str">
        <f t="shared" si="25"/>
        <v>tfdfª</v>
      </c>
      <c r="F269" s="21" t="s">
        <v>233</v>
      </c>
      <c r="G269" s="21" t="s">
        <v>757</v>
      </c>
      <c r="H269" s="21">
        <f t="shared" si="22"/>
        <v>69</v>
      </c>
      <c r="I269" s="21"/>
      <c r="J269" s="21" t="s">
        <v>905</v>
      </c>
      <c r="K269" s="21">
        <f t="shared" si="21"/>
        <v>164</v>
      </c>
      <c r="L269" s="21"/>
      <c r="M269" s="15">
        <f t="shared" si="24"/>
        <v>33.172602739726024</v>
      </c>
      <c r="N269" s="15"/>
      <c r="O269" s="15"/>
      <c r="P269" s="15"/>
      <c r="Q269" s="15"/>
      <c r="R269" s="16"/>
      <c r="S269" s="16"/>
      <c r="T269" s="16"/>
      <c r="U269" s="16"/>
      <c r="V269" s="5">
        <v>54849</v>
      </c>
      <c r="W269" s="5">
        <v>66957</v>
      </c>
      <c r="Y269" s="5"/>
    </row>
    <row r="270" spans="1:32" ht="18" x14ac:dyDescent="0.35">
      <c r="A270" s="6"/>
      <c r="C270" s="13" t="s">
        <v>625</v>
      </c>
      <c r="D270" s="13" t="str">
        <f t="shared" si="23"/>
        <v xml:space="preserve">;+lha </v>
      </c>
      <c r="E270" s="13" t="str">
        <f t="shared" si="25"/>
        <v>tfdfª</v>
      </c>
      <c r="F270" s="21" t="s">
        <v>233</v>
      </c>
      <c r="G270" s="21" t="s">
        <v>757</v>
      </c>
      <c r="H270" s="21">
        <f t="shared" si="22"/>
        <v>69</v>
      </c>
      <c r="I270" s="21"/>
      <c r="J270" s="21" t="s">
        <v>905</v>
      </c>
      <c r="K270" s="21">
        <f t="shared" si="21"/>
        <v>164</v>
      </c>
      <c r="L270" s="21"/>
      <c r="M270" s="15">
        <f t="shared" si="24"/>
        <v>30.980821917808218</v>
      </c>
      <c r="N270" s="15"/>
      <c r="O270" s="15"/>
      <c r="P270" s="15"/>
      <c r="Q270" s="15"/>
      <c r="R270" s="16"/>
      <c r="S270" s="16"/>
      <c r="T270" s="16"/>
      <c r="U270" s="16"/>
      <c r="V270" s="5">
        <v>55649</v>
      </c>
      <c r="W270" s="5">
        <v>66957</v>
      </c>
      <c r="Y270" s="5"/>
    </row>
    <row r="271" spans="1:32" ht="18" x14ac:dyDescent="0.35">
      <c r="A271" s="6">
        <v>87</v>
      </c>
      <c r="B271" t="s">
        <v>151</v>
      </c>
      <c r="C271" s="13" t="s">
        <v>626</v>
      </c>
      <c r="D271" s="13" t="str">
        <f t="shared" si="23"/>
        <v xml:space="preserve">k'gd </v>
      </c>
      <c r="E271" s="13" t="str">
        <f t="shared" si="25"/>
        <v>ld&gt;</v>
      </c>
      <c r="F271" s="21" t="s">
        <v>234</v>
      </c>
      <c r="G271" s="21" t="s">
        <v>756</v>
      </c>
      <c r="H271" s="21">
        <f t="shared" si="22"/>
        <v>102</v>
      </c>
      <c r="I271" s="21"/>
      <c r="J271" s="21" t="s">
        <v>905</v>
      </c>
      <c r="K271" s="21">
        <f t="shared" si="21"/>
        <v>107</v>
      </c>
      <c r="L271" s="21"/>
      <c r="M271" s="15">
        <f t="shared" si="24"/>
        <v>44.709589041095889</v>
      </c>
      <c r="N271" s="15"/>
      <c r="O271" s="15"/>
      <c r="P271" s="15"/>
      <c r="Q271" s="15"/>
      <c r="R271" s="16" t="s">
        <v>748</v>
      </c>
      <c r="S271" s="16" t="s">
        <v>748</v>
      </c>
      <c r="T271" s="16" t="s">
        <v>748</v>
      </c>
      <c r="U271" s="16" t="s">
        <v>748</v>
      </c>
      <c r="V271" s="5">
        <v>50638</v>
      </c>
      <c r="W271" s="5">
        <v>66957</v>
      </c>
      <c r="Y271" s="5">
        <v>64618</v>
      </c>
      <c r="Z271" s="2" t="s">
        <v>2</v>
      </c>
      <c r="AA271" s="2">
        <v>1</v>
      </c>
      <c r="AC271" s="2">
        <v>1</v>
      </c>
      <c r="AD271" t="s">
        <v>242</v>
      </c>
      <c r="AE271" t="s">
        <v>301</v>
      </c>
      <c r="AF271" t="s">
        <v>245</v>
      </c>
    </row>
    <row r="272" spans="1:32" ht="18" x14ac:dyDescent="0.35">
      <c r="A272" s="6">
        <v>88</v>
      </c>
      <c r="B272" t="s">
        <v>152</v>
      </c>
      <c r="C272" s="13" t="s">
        <v>627</v>
      </c>
      <c r="D272" s="13" t="str">
        <f t="shared" si="23"/>
        <v xml:space="preserve">s]bf/ </v>
      </c>
      <c r="E272" s="13" t="str">
        <f t="shared" si="25"/>
        <v>yfkf</v>
      </c>
      <c r="F272" s="21" t="s">
        <v>233</v>
      </c>
      <c r="G272" s="21" t="s">
        <v>756</v>
      </c>
      <c r="H272" s="21">
        <f t="shared" si="22"/>
        <v>99</v>
      </c>
      <c r="I272" s="21"/>
      <c r="J272" s="21" t="s">
        <v>905</v>
      </c>
      <c r="K272" s="21">
        <f t="shared" si="21"/>
        <v>164</v>
      </c>
      <c r="L272" s="21"/>
      <c r="M272" s="15">
        <f t="shared" si="24"/>
        <v>58.126027397260273</v>
      </c>
      <c r="N272" s="15"/>
      <c r="O272" s="15"/>
      <c r="P272" s="15"/>
      <c r="Q272" s="15"/>
      <c r="R272" s="16">
        <v>0</v>
      </c>
      <c r="S272" s="16">
        <v>4</v>
      </c>
      <c r="T272" s="16">
        <v>0</v>
      </c>
      <c r="U272" s="20">
        <v>2</v>
      </c>
      <c r="V272" s="5">
        <v>45741</v>
      </c>
      <c r="W272" s="5">
        <v>66957</v>
      </c>
      <c r="Y272" s="5">
        <v>64571</v>
      </c>
      <c r="Z272" s="2" t="s">
        <v>2</v>
      </c>
      <c r="AA272" s="2">
        <v>5</v>
      </c>
      <c r="AB272" s="2">
        <v>3</v>
      </c>
      <c r="AC272" s="2">
        <v>2</v>
      </c>
      <c r="AD272" t="s">
        <v>242</v>
      </c>
      <c r="AE272" t="s">
        <v>281</v>
      </c>
      <c r="AF272" t="s">
        <v>245</v>
      </c>
    </row>
    <row r="273" spans="1:32" ht="18" x14ac:dyDescent="0.35">
      <c r="A273" s="6"/>
      <c r="C273" s="13" t="s">
        <v>628</v>
      </c>
      <c r="D273" s="13" t="str">
        <f t="shared" si="23"/>
        <v xml:space="preserve">ljzfn </v>
      </c>
      <c r="E273" s="13" t="str">
        <f t="shared" si="25"/>
        <v>yfkf</v>
      </c>
      <c r="F273" s="21" t="s">
        <v>233</v>
      </c>
      <c r="G273" s="21" t="s">
        <v>757</v>
      </c>
      <c r="H273" s="21">
        <f t="shared" si="22"/>
        <v>69</v>
      </c>
      <c r="I273" s="21"/>
      <c r="J273" s="21" t="s">
        <v>905</v>
      </c>
      <c r="K273" s="21">
        <f t="shared" si="21"/>
        <v>164</v>
      </c>
      <c r="L273" s="21"/>
      <c r="M273" s="15">
        <f t="shared" si="24"/>
        <v>31.054794520547944</v>
      </c>
      <c r="N273" s="15"/>
      <c r="O273" s="15"/>
      <c r="P273" s="15"/>
      <c r="Q273" s="15"/>
      <c r="R273" s="16"/>
      <c r="S273" s="16"/>
      <c r="T273" s="16"/>
      <c r="U273" s="16"/>
      <c r="V273" s="5">
        <v>55622</v>
      </c>
      <c r="W273" s="5">
        <v>66957</v>
      </c>
      <c r="Y273" s="5"/>
    </row>
    <row r="274" spans="1:32" ht="18" x14ac:dyDescent="0.35">
      <c r="A274" s="6"/>
      <c r="C274" s="13" t="s">
        <v>629</v>
      </c>
      <c r="D274" s="13" t="str">
        <f t="shared" si="23"/>
        <v xml:space="preserve">jiff{ </v>
      </c>
      <c r="E274" s="13" t="str">
        <f t="shared" si="25"/>
        <v>yfkf</v>
      </c>
      <c r="F274" s="21" t="s">
        <v>234</v>
      </c>
      <c r="G274" s="21" t="s">
        <v>757</v>
      </c>
      <c r="H274" s="21">
        <f t="shared" si="22"/>
        <v>54</v>
      </c>
      <c r="I274" s="21"/>
      <c r="J274" s="21" t="s">
        <v>905</v>
      </c>
      <c r="K274" s="21">
        <f t="shared" si="21"/>
        <v>107</v>
      </c>
      <c r="L274" s="21"/>
      <c r="M274" s="15">
        <f t="shared" si="24"/>
        <v>28.641095890410959</v>
      </c>
      <c r="N274" s="15"/>
      <c r="O274" s="15"/>
      <c r="P274" s="15"/>
      <c r="Q274" s="15"/>
      <c r="R274" s="16"/>
      <c r="S274" s="16"/>
      <c r="T274" s="16"/>
      <c r="U274" s="16"/>
      <c r="V274" s="5">
        <v>56503</v>
      </c>
      <c r="W274" s="5">
        <v>66957</v>
      </c>
      <c r="Y274" s="5"/>
    </row>
    <row r="275" spans="1:32" ht="18" x14ac:dyDescent="0.35">
      <c r="A275" s="6"/>
      <c r="C275" s="13" t="s">
        <v>630</v>
      </c>
      <c r="D275" s="13" t="str">
        <f t="shared" si="23"/>
        <v xml:space="preserve">/f]lhgf </v>
      </c>
      <c r="E275" s="13" t="str">
        <f t="shared" si="25"/>
        <v>yfkf</v>
      </c>
      <c r="F275" s="21" t="s">
        <v>234</v>
      </c>
      <c r="G275" s="21" t="s">
        <v>756</v>
      </c>
      <c r="H275" s="21">
        <f t="shared" si="22"/>
        <v>102</v>
      </c>
      <c r="I275" s="21"/>
      <c r="J275" s="21" t="s">
        <v>905</v>
      </c>
      <c r="K275" s="21">
        <f t="shared" si="21"/>
        <v>107</v>
      </c>
      <c r="L275" s="21"/>
      <c r="M275" s="15">
        <f t="shared" si="24"/>
        <v>52.9972602739726</v>
      </c>
      <c r="N275" s="15"/>
      <c r="O275" s="15"/>
      <c r="P275" s="15"/>
      <c r="Q275" s="15"/>
      <c r="R275" s="16"/>
      <c r="S275" s="16"/>
      <c r="T275" s="16"/>
      <c r="U275" s="16"/>
      <c r="V275" s="5">
        <v>47613</v>
      </c>
      <c r="W275" s="5">
        <v>66957</v>
      </c>
      <c r="Y275" s="5"/>
    </row>
    <row r="276" spans="1:32" ht="18" x14ac:dyDescent="0.35">
      <c r="A276" s="6"/>
      <c r="C276" s="13" t="s">
        <v>631</v>
      </c>
      <c r="D276" s="13" t="str">
        <f t="shared" si="23"/>
        <v xml:space="preserve">ljjz </v>
      </c>
      <c r="E276" s="13" t="str">
        <f t="shared" si="25"/>
        <v>yfkf</v>
      </c>
      <c r="F276" s="21" t="s">
        <v>233</v>
      </c>
      <c r="G276" s="21" t="s">
        <v>757</v>
      </c>
      <c r="H276" s="21">
        <f t="shared" si="22"/>
        <v>69</v>
      </c>
      <c r="I276" s="21"/>
      <c r="J276" s="21" t="s">
        <v>905</v>
      </c>
      <c r="K276" s="21">
        <f t="shared" si="21"/>
        <v>164</v>
      </c>
      <c r="L276" s="21"/>
      <c r="M276" s="15">
        <f t="shared" si="24"/>
        <v>23.641095890410959</v>
      </c>
      <c r="N276" s="15"/>
      <c r="O276" s="15"/>
      <c r="P276" s="15"/>
      <c r="Q276" s="15"/>
      <c r="R276" s="16"/>
      <c r="S276" s="16"/>
      <c r="T276" s="16"/>
      <c r="U276" s="16"/>
      <c r="V276" s="5">
        <v>58328</v>
      </c>
      <c r="W276" s="5">
        <v>66957</v>
      </c>
      <c r="Y276" s="5"/>
    </row>
    <row r="277" spans="1:32" ht="18" x14ac:dyDescent="0.35">
      <c r="A277" s="6">
        <v>90</v>
      </c>
      <c r="B277" t="s">
        <v>154</v>
      </c>
      <c r="C277" s="13" t="s">
        <v>636</v>
      </c>
      <c r="D277" s="13" t="str">
        <f t="shared" si="23"/>
        <v xml:space="preserve">k'?iff]Qd </v>
      </c>
      <c r="E277" s="13" t="str">
        <f t="shared" si="25"/>
        <v>v8\sf</v>
      </c>
      <c r="F277" s="21" t="s">
        <v>233</v>
      </c>
      <c r="G277" s="21" t="s">
        <v>756</v>
      </c>
      <c r="H277" s="21">
        <f t="shared" si="22"/>
        <v>99</v>
      </c>
      <c r="I277" s="21"/>
      <c r="J277" s="21" t="s">
        <v>905</v>
      </c>
      <c r="K277" s="21">
        <f t="shared" si="21"/>
        <v>164</v>
      </c>
      <c r="L277" s="21"/>
      <c r="M277" s="15">
        <f t="shared" si="24"/>
        <v>55.610958904109587</v>
      </c>
      <c r="N277" s="15"/>
      <c r="O277" s="15"/>
      <c r="P277" s="15"/>
      <c r="Q277" s="15"/>
      <c r="R277" s="16">
        <v>1</v>
      </c>
      <c r="S277" s="16">
        <v>5</v>
      </c>
      <c r="T277" s="16">
        <v>0</v>
      </c>
      <c r="U277" s="16">
        <v>0</v>
      </c>
      <c r="V277" s="5">
        <v>46659</v>
      </c>
      <c r="W277" s="5">
        <v>66957</v>
      </c>
      <c r="Y277" s="5">
        <v>64446</v>
      </c>
      <c r="Z277" s="2" t="s">
        <v>2</v>
      </c>
      <c r="AA277" s="2">
        <v>4</v>
      </c>
      <c r="AB277" s="2">
        <v>1</v>
      </c>
      <c r="AC277" s="2">
        <v>3</v>
      </c>
      <c r="AD277" t="s">
        <v>242</v>
      </c>
      <c r="AE277" t="s">
        <v>294</v>
      </c>
      <c r="AF277" t="s">
        <v>245</v>
      </c>
    </row>
    <row r="278" spans="1:32" ht="18" x14ac:dyDescent="0.35">
      <c r="A278" s="6"/>
      <c r="C278" s="13" t="s">
        <v>637</v>
      </c>
      <c r="D278" s="13" t="str">
        <f t="shared" si="23"/>
        <v xml:space="preserve">;'lznf </v>
      </c>
      <c r="E278" s="13" t="str">
        <f t="shared" si="25"/>
        <v>v8\sf</v>
      </c>
      <c r="F278" s="21" t="s">
        <v>234</v>
      </c>
      <c r="G278" s="21" t="s">
        <v>756</v>
      </c>
      <c r="H278" s="21">
        <f t="shared" si="22"/>
        <v>102</v>
      </c>
      <c r="I278" s="21"/>
      <c r="J278" s="21" t="s">
        <v>906</v>
      </c>
      <c r="K278" s="21">
        <f t="shared" si="21"/>
        <v>53</v>
      </c>
      <c r="L278" s="21"/>
      <c r="M278" s="15">
        <f t="shared" si="24"/>
        <v>51.843835616438355</v>
      </c>
      <c r="N278" s="15"/>
      <c r="O278" s="15"/>
      <c r="P278" s="15"/>
      <c r="Q278" s="15"/>
      <c r="R278" s="16"/>
      <c r="S278" s="16"/>
      <c r="T278" s="16"/>
      <c r="U278" s="16"/>
      <c r="V278" s="5">
        <v>48034</v>
      </c>
      <c r="W278" s="5">
        <v>66957</v>
      </c>
      <c r="Y278" s="5"/>
    </row>
    <row r="279" spans="1:32" ht="18" x14ac:dyDescent="0.35">
      <c r="A279" s="6"/>
      <c r="C279" s="13" t="s">
        <v>638</v>
      </c>
      <c r="D279" s="13" t="str">
        <f t="shared" si="23"/>
        <v xml:space="preserve">k'ikf </v>
      </c>
      <c r="E279" s="13" t="str">
        <f t="shared" si="25"/>
        <v>v8\sf</v>
      </c>
      <c r="F279" s="21" t="s">
        <v>234</v>
      </c>
      <c r="G279" s="21" t="s">
        <v>757</v>
      </c>
      <c r="H279" s="21">
        <f t="shared" si="22"/>
        <v>54</v>
      </c>
      <c r="I279" s="21"/>
      <c r="J279" s="21" t="s">
        <v>905</v>
      </c>
      <c r="K279" s="21">
        <f t="shared" si="21"/>
        <v>107</v>
      </c>
      <c r="L279" s="21"/>
      <c r="M279" s="15">
        <f t="shared" si="24"/>
        <v>29.605479452054794</v>
      </c>
      <c r="N279" s="15"/>
      <c r="O279" s="15"/>
      <c r="P279" s="15"/>
      <c r="Q279" s="15"/>
      <c r="R279" s="16"/>
      <c r="S279" s="16"/>
      <c r="T279" s="16"/>
      <c r="U279" s="16"/>
      <c r="V279" s="5">
        <v>56151</v>
      </c>
      <c r="W279" s="5">
        <v>66957</v>
      </c>
      <c r="Y279" s="5"/>
    </row>
    <row r="280" spans="1:32" ht="18" x14ac:dyDescent="0.35">
      <c r="A280" s="6"/>
      <c r="C280" s="13" t="s">
        <v>639</v>
      </c>
      <c r="D280" s="13" t="str">
        <f t="shared" si="23"/>
        <v xml:space="preserve">k'is/ </v>
      </c>
      <c r="E280" s="13" t="str">
        <f t="shared" si="25"/>
        <v>v8\sf</v>
      </c>
      <c r="F280" s="21" t="s">
        <v>233</v>
      </c>
      <c r="G280" s="21" t="s">
        <v>757</v>
      </c>
      <c r="H280" s="21">
        <f t="shared" si="22"/>
        <v>69</v>
      </c>
      <c r="I280" s="21"/>
      <c r="J280" s="21" t="s">
        <v>905</v>
      </c>
      <c r="K280" s="21">
        <f t="shared" si="21"/>
        <v>164</v>
      </c>
      <c r="L280" s="21"/>
      <c r="M280" s="15">
        <f t="shared" si="24"/>
        <v>26.709589041095889</v>
      </c>
      <c r="N280" s="15"/>
      <c r="O280" s="15"/>
      <c r="P280" s="15"/>
      <c r="Q280" s="15"/>
      <c r="R280" s="16"/>
      <c r="S280" s="16"/>
      <c r="T280" s="16"/>
      <c r="U280" s="16"/>
      <c r="V280" s="5">
        <v>57208</v>
      </c>
      <c r="W280" s="5">
        <v>66957</v>
      </c>
      <c r="Y280" s="5"/>
    </row>
    <row r="281" spans="1:32" ht="18" x14ac:dyDescent="0.35">
      <c r="A281" s="6">
        <v>91</v>
      </c>
      <c r="B281" t="s">
        <v>155</v>
      </c>
      <c r="C281" s="13" t="s">
        <v>640</v>
      </c>
      <c r="D281" s="13" t="str">
        <f t="shared" si="23"/>
        <v xml:space="preserve">Rofd' </v>
      </c>
      <c r="E281" s="13" t="str">
        <f t="shared" si="25"/>
        <v>rf}w/L</v>
      </c>
      <c r="F281" s="21" t="s">
        <v>233</v>
      </c>
      <c r="G281" s="21" t="s">
        <v>756</v>
      </c>
      <c r="H281" s="21">
        <f t="shared" si="22"/>
        <v>99</v>
      </c>
      <c r="I281" s="21"/>
      <c r="J281" s="21" t="s">
        <v>905</v>
      </c>
      <c r="K281" s="21">
        <f t="shared" si="21"/>
        <v>164</v>
      </c>
      <c r="L281" s="21"/>
      <c r="M281" s="15">
        <f t="shared" si="24"/>
        <v>59.750684931506846</v>
      </c>
      <c r="N281" s="15"/>
      <c r="O281" s="15"/>
      <c r="P281" s="15"/>
      <c r="Q281" s="15"/>
      <c r="R281" s="16">
        <v>1</v>
      </c>
      <c r="S281" s="16">
        <v>6</v>
      </c>
      <c r="T281" s="16">
        <f>2</f>
        <v>2</v>
      </c>
      <c r="U281" s="16">
        <f>2</f>
        <v>2</v>
      </c>
      <c r="V281" s="5">
        <v>45148</v>
      </c>
      <c r="W281" s="5">
        <v>66957</v>
      </c>
      <c r="Y281" s="5">
        <v>64444</v>
      </c>
      <c r="Z281" s="2" t="s">
        <v>2</v>
      </c>
      <c r="AA281" s="2">
        <v>4</v>
      </c>
      <c r="AB281" s="2">
        <v>3</v>
      </c>
      <c r="AC281" s="2">
        <v>1</v>
      </c>
      <c r="AD281" t="s">
        <v>242</v>
      </c>
      <c r="AE281" t="s">
        <v>262</v>
      </c>
      <c r="AF281" t="s">
        <v>245</v>
      </c>
    </row>
    <row r="282" spans="1:32" ht="18" x14ac:dyDescent="0.35">
      <c r="A282" s="6"/>
      <c r="C282" s="13" t="s">
        <v>641</v>
      </c>
      <c r="D282" s="13" t="str">
        <f t="shared" si="23"/>
        <v xml:space="preserve">lg/h </v>
      </c>
      <c r="E282" s="13" t="str">
        <f t="shared" si="25"/>
        <v>rf}w/L</v>
      </c>
      <c r="F282" s="21" t="s">
        <v>233</v>
      </c>
      <c r="G282" s="21" t="s">
        <v>757</v>
      </c>
      <c r="H282" s="21">
        <f t="shared" si="22"/>
        <v>69</v>
      </c>
      <c r="I282" s="21"/>
      <c r="J282" s="21" t="s">
        <v>905</v>
      </c>
      <c r="K282" s="21">
        <f t="shared" si="21"/>
        <v>164</v>
      </c>
      <c r="L282" s="21"/>
      <c r="M282" s="15">
        <f t="shared" si="24"/>
        <v>30.416438356164385</v>
      </c>
      <c r="N282" s="15"/>
      <c r="O282" s="15"/>
      <c r="P282" s="15"/>
      <c r="Q282" s="15"/>
      <c r="R282" s="16"/>
      <c r="S282" s="16"/>
      <c r="T282" s="16"/>
      <c r="U282" s="16"/>
      <c r="V282" s="5">
        <v>55855</v>
      </c>
      <c r="W282" s="5">
        <v>66957</v>
      </c>
      <c r="Y282" s="5"/>
    </row>
    <row r="283" spans="1:32" ht="18" x14ac:dyDescent="0.35">
      <c r="A283" s="6"/>
      <c r="C283" s="13" t="s">
        <v>642</v>
      </c>
      <c r="D283" s="13" t="str">
        <f t="shared" si="23"/>
        <v xml:space="preserve">lgzfGt </v>
      </c>
      <c r="E283" s="13" t="str">
        <f t="shared" si="25"/>
        <v>rf}w/L</v>
      </c>
      <c r="F283" s="21" t="s">
        <v>233</v>
      </c>
      <c r="G283" s="21" t="s">
        <v>757</v>
      </c>
      <c r="H283" s="21">
        <f t="shared" si="22"/>
        <v>69</v>
      </c>
      <c r="I283" s="21"/>
      <c r="J283" s="21" t="s">
        <v>905</v>
      </c>
      <c r="K283" s="21">
        <f t="shared" si="21"/>
        <v>164</v>
      </c>
      <c r="L283" s="21"/>
      <c r="M283" s="15">
        <f t="shared" si="24"/>
        <v>22.758904109589039</v>
      </c>
      <c r="N283" s="15"/>
      <c r="O283" s="15"/>
      <c r="P283" s="15"/>
      <c r="Q283" s="15"/>
      <c r="R283" s="16"/>
      <c r="S283" s="16"/>
      <c r="T283" s="16"/>
      <c r="U283" s="16"/>
      <c r="V283" s="5">
        <v>58650</v>
      </c>
      <c r="W283" s="5">
        <v>66957</v>
      </c>
      <c r="Y283" s="5"/>
    </row>
    <row r="284" spans="1:32" ht="18" x14ac:dyDescent="0.35">
      <c r="A284" s="6"/>
      <c r="C284" s="13" t="s">
        <v>643</v>
      </c>
      <c r="D284" s="13" t="str">
        <f t="shared" si="23"/>
        <v xml:space="preserve">e'jg </v>
      </c>
      <c r="E284" s="13" t="str">
        <f t="shared" si="25"/>
        <v>rf}w/L</v>
      </c>
      <c r="F284" s="21" t="s">
        <v>234</v>
      </c>
      <c r="G284" s="21" t="s">
        <v>756</v>
      </c>
      <c r="H284" s="21">
        <f t="shared" si="22"/>
        <v>102</v>
      </c>
      <c r="I284" s="21"/>
      <c r="J284" s="21" t="s">
        <v>906</v>
      </c>
      <c r="K284" s="21">
        <f t="shared" si="21"/>
        <v>53</v>
      </c>
      <c r="L284" s="21"/>
      <c r="M284" s="15">
        <f t="shared" si="24"/>
        <v>51.063013698630137</v>
      </c>
      <c r="N284" s="15"/>
      <c r="O284" s="15"/>
      <c r="P284" s="15"/>
      <c r="Q284" s="15"/>
      <c r="R284" s="16"/>
      <c r="S284" s="16"/>
      <c r="T284" s="16"/>
      <c r="U284" s="16"/>
      <c r="V284" s="5">
        <v>48319</v>
      </c>
      <c r="W284" s="5">
        <v>66957</v>
      </c>
      <c r="Y284" s="5"/>
    </row>
    <row r="285" spans="1:32" ht="18" x14ac:dyDescent="0.35">
      <c r="A285" s="6">
        <v>92</v>
      </c>
      <c r="B285" t="s">
        <v>156</v>
      </c>
      <c r="C285" s="13" t="s">
        <v>644</v>
      </c>
      <c r="D285" s="13" t="str">
        <f t="shared" si="23"/>
        <v xml:space="preserve">l8NnL </v>
      </c>
      <c r="E285" s="13" t="str">
        <f t="shared" si="25"/>
        <v>&gt;]i7</v>
      </c>
      <c r="F285" s="21" t="s">
        <v>234</v>
      </c>
      <c r="G285" s="21" t="s">
        <v>756</v>
      </c>
      <c r="H285" s="21">
        <f t="shared" si="22"/>
        <v>102</v>
      </c>
      <c r="I285" s="21"/>
      <c r="J285" s="21" t="s">
        <v>906</v>
      </c>
      <c r="K285" s="21">
        <f t="shared" si="21"/>
        <v>53</v>
      </c>
      <c r="L285" s="21"/>
      <c r="M285" s="15">
        <f t="shared" si="24"/>
        <v>47.073972602739723</v>
      </c>
      <c r="N285" s="15"/>
      <c r="O285" s="15"/>
      <c r="P285" s="15"/>
      <c r="Q285" s="15"/>
      <c r="R285" s="16">
        <v>0</v>
      </c>
      <c r="S285" s="16">
        <v>8</v>
      </c>
      <c r="T285" s="16">
        <v>0</v>
      </c>
      <c r="U285" s="16">
        <v>0</v>
      </c>
      <c r="V285" s="5">
        <v>49775</v>
      </c>
      <c r="W285" s="5">
        <v>66957</v>
      </c>
      <c r="Y285" s="5">
        <v>64424</v>
      </c>
      <c r="Z285" s="2" t="s">
        <v>2</v>
      </c>
      <c r="AA285" s="2">
        <v>4</v>
      </c>
      <c r="AB285" s="2">
        <v>2</v>
      </c>
      <c r="AC285" s="2">
        <v>2</v>
      </c>
      <c r="AD285" t="s">
        <v>242</v>
      </c>
      <c r="AE285" t="s">
        <v>265</v>
      </c>
      <c r="AF285" t="s">
        <v>245</v>
      </c>
    </row>
    <row r="286" spans="1:32" ht="18" x14ac:dyDescent="0.35">
      <c r="A286" s="6"/>
      <c r="C286" s="13" t="s">
        <v>645</v>
      </c>
      <c r="D286" s="13" t="str">
        <f t="shared" si="23"/>
        <v xml:space="preserve">k|]d </v>
      </c>
      <c r="E286" s="13" t="str">
        <f t="shared" si="25"/>
        <v>&gt;]i7</v>
      </c>
      <c r="F286" s="21" t="s">
        <v>233</v>
      </c>
      <c r="G286" s="21" t="s">
        <v>756</v>
      </c>
      <c r="H286" s="21">
        <f t="shared" si="22"/>
        <v>99</v>
      </c>
      <c r="I286" s="21"/>
      <c r="J286" s="21" t="s">
        <v>905</v>
      </c>
      <c r="K286" s="21">
        <f t="shared" si="21"/>
        <v>164</v>
      </c>
      <c r="L286" s="21"/>
      <c r="M286" s="15">
        <f t="shared" si="24"/>
        <v>62.156164383561645</v>
      </c>
      <c r="N286" s="15"/>
      <c r="O286" s="15"/>
      <c r="P286" s="15"/>
      <c r="Q286" s="15"/>
      <c r="R286" s="16"/>
      <c r="S286" s="16"/>
      <c r="T286" s="16"/>
      <c r="U286" s="16"/>
      <c r="V286" s="5">
        <v>44270</v>
      </c>
      <c r="W286" s="5">
        <v>66957</v>
      </c>
      <c r="Y286" s="5"/>
    </row>
    <row r="287" spans="1:32" ht="18" x14ac:dyDescent="0.35">
      <c r="A287" s="6"/>
      <c r="C287" s="13" t="s">
        <v>646</v>
      </c>
      <c r="D287" s="13" t="str">
        <f t="shared" si="23"/>
        <v xml:space="preserve">k'gd </v>
      </c>
      <c r="E287" s="13" t="str">
        <f t="shared" si="25"/>
        <v>&gt;]i7</v>
      </c>
      <c r="F287" s="21" t="s">
        <v>234</v>
      </c>
      <c r="G287" s="21" t="s">
        <v>757</v>
      </c>
      <c r="H287" s="21">
        <f t="shared" si="22"/>
        <v>54</v>
      </c>
      <c r="I287" s="21"/>
      <c r="J287" s="21" t="s">
        <v>905</v>
      </c>
      <c r="K287" s="21">
        <f t="shared" si="21"/>
        <v>107</v>
      </c>
      <c r="L287" s="21"/>
      <c r="M287" s="15">
        <f t="shared" si="24"/>
        <v>25.246575342465754</v>
      </c>
      <c r="N287" s="15"/>
      <c r="O287" s="15"/>
      <c r="P287" s="15"/>
      <c r="Q287" s="15"/>
      <c r="R287" s="16"/>
      <c r="S287" s="16"/>
      <c r="T287" s="16"/>
      <c r="U287" s="16"/>
      <c r="V287" s="5">
        <v>57742</v>
      </c>
      <c r="W287" s="5">
        <v>66957</v>
      </c>
      <c r="Y287" s="5"/>
    </row>
    <row r="288" spans="1:32" ht="18" x14ac:dyDescent="0.35">
      <c r="A288" s="6"/>
      <c r="C288" s="13" t="s">
        <v>647</v>
      </c>
      <c r="D288" s="13" t="str">
        <f t="shared" si="23"/>
        <v xml:space="preserve">k|lbk </v>
      </c>
      <c r="E288" s="13" t="str">
        <f t="shared" si="25"/>
        <v>&gt;]i7</v>
      </c>
      <c r="F288" s="21" t="s">
        <v>233</v>
      </c>
      <c r="G288" s="21" t="s">
        <v>757</v>
      </c>
      <c r="H288" s="21">
        <f t="shared" si="22"/>
        <v>69</v>
      </c>
      <c r="I288" s="21"/>
      <c r="J288" s="21" t="s">
        <v>905</v>
      </c>
      <c r="K288" s="21">
        <f t="shared" si="21"/>
        <v>164</v>
      </c>
      <c r="L288" s="21"/>
      <c r="M288" s="15">
        <f t="shared" si="24"/>
        <v>20.646575342465752</v>
      </c>
      <c r="N288" s="15"/>
      <c r="O288" s="15"/>
      <c r="P288" s="15"/>
      <c r="Q288" s="15"/>
      <c r="R288" s="16"/>
      <c r="S288" s="16"/>
      <c r="T288" s="16"/>
      <c r="U288" s="16"/>
      <c r="V288" s="5">
        <v>59421</v>
      </c>
      <c r="W288" s="5">
        <v>66957</v>
      </c>
      <c r="Y288" s="5"/>
    </row>
    <row r="289" spans="1:32" ht="18" x14ac:dyDescent="0.35">
      <c r="A289" s="6">
        <v>93</v>
      </c>
      <c r="B289" t="s">
        <v>157</v>
      </c>
      <c r="C289" s="13" t="s">
        <v>648</v>
      </c>
      <c r="D289" s="13" t="str">
        <f t="shared" si="23"/>
        <v xml:space="preserve">o1 </v>
      </c>
      <c r="E289" s="13" t="str">
        <f t="shared" si="25"/>
        <v>j/fn</v>
      </c>
      <c r="F289" s="21" t="s">
        <v>233</v>
      </c>
      <c r="G289" s="21" t="s">
        <v>756</v>
      </c>
      <c r="H289" s="21">
        <f t="shared" si="22"/>
        <v>99</v>
      </c>
      <c r="I289" s="21"/>
      <c r="J289" s="21" t="s">
        <v>905</v>
      </c>
      <c r="K289" s="21">
        <f t="shared" si="21"/>
        <v>164</v>
      </c>
      <c r="L289" s="21"/>
      <c r="M289" s="15">
        <f t="shared" si="24"/>
        <v>39.731506849315068</v>
      </c>
      <c r="N289" s="15"/>
      <c r="O289" s="15"/>
      <c r="P289" s="15"/>
      <c r="Q289" s="15"/>
      <c r="R289" s="16">
        <v>1</v>
      </c>
      <c r="S289" s="16">
        <v>0</v>
      </c>
      <c r="T289" s="16">
        <v>3</v>
      </c>
      <c r="U289" s="16">
        <v>0</v>
      </c>
      <c r="V289" s="5">
        <v>52455</v>
      </c>
      <c r="W289" s="5">
        <v>66957</v>
      </c>
      <c r="Y289" s="5">
        <v>64395</v>
      </c>
      <c r="Z289" s="2" t="s">
        <v>2</v>
      </c>
      <c r="AA289" s="2">
        <v>2</v>
      </c>
      <c r="AB289" s="2">
        <v>1</v>
      </c>
      <c r="AC289" s="2">
        <v>1</v>
      </c>
      <c r="AD289" t="s">
        <v>242</v>
      </c>
      <c r="AE289" t="s">
        <v>335</v>
      </c>
      <c r="AF289" t="s">
        <v>245</v>
      </c>
    </row>
    <row r="290" spans="1:32" ht="18" x14ac:dyDescent="0.35">
      <c r="A290" s="6"/>
      <c r="C290" s="13" t="s">
        <v>649</v>
      </c>
      <c r="D290" s="13" t="str">
        <f t="shared" si="23"/>
        <v xml:space="preserve">/df </v>
      </c>
      <c r="E290" s="13" t="str">
        <f t="shared" si="25"/>
        <v>&gt;]i7</v>
      </c>
      <c r="F290" s="21" t="s">
        <v>234</v>
      </c>
      <c r="G290" s="21" t="s">
        <v>756</v>
      </c>
      <c r="H290" s="21">
        <f t="shared" si="22"/>
        <v>102</v>
      </c>
      <c r="I290" s="21"/>
      <c r="J290" s="21" t="s">
        <v>905</v>
      </c>
      <c r="K290" s="21">
        <f t="shared" si="21"/>
        <v>107</v>
      </c>
      <c r="L290" s="21"/>
      <c r="M290" s="15">
        <f t="shared" si="24"/>
        <v>35.895890410958906</v>
      </c>
      <c r="N290" s="15"/>
      <c r="O290" s="15"/>
      <c r="P290" s="15"/>
      <c r="Q290" s="15"/>
      <c r="R290" s="16"/>
      <c r="S290" s="16"/>
      <c r="T290" s="16"/>
      <c r="U290" s="16"/>
      <c r="V290" s="5">
        <v>53855</v>
      </c>
      <c r="W290" s="5">
        <v>66957</v>
      </c>
      <c r="Y290" s="5"/>
    </row>
    <row r="291" spans="1:32" ht="18" x14ac:dyDescent="0.35">
      <c r="A291" s="6">
        <v>94</v>
      </c>
      <c r="B291" t="s">
        <v>158</v>
      </c>
      <c r="C291" s="13" t="s">
        <v>650</v>
      </c>
      <c r="D291" s="13" t="str">
        <f t="shared" si="23"/>
        <v xml:space="preserve">;f]d </v>
      </c>
      <c r="E291" s="13" t="str">
        <f t="shared" si="25"/>
        <v>/fO{</v>
      </c>
      <c r="F291" s="21" t="s">
        <v>233</v>
      </c>
      <c r="G291" s="21" t="s">
        <v>756</v>
      </c>
      <c r="H291" s="21">
        <f t="shared" si="22"/>
        <v>99</v>
      </c>
      <c r="I291" s="21"/>
      <c r="J291" s="21" t="s">
        <v>905</v>
      </c>
      <c r="K291" s="21">
        <f t="shared" si="21"/>
        <v>164</v>
      </c>
      <c r="L291" s="21"/>
      <c r="M291" s="15">
        <f t="shared" si="24"/>
        <v>56.457534246575342</v>
      </c>
      <c r="N291" s="15"/>
      <c r="O291" s="15"/>
      <c r="P291" s="15"/>
      <c r="Q291" s="15"/>
      <c r="R291" s="16" t="s">
        <v>748</v>
      </c>
      <c r="S291" s="16" t="s">
        <v>748</v>
      </c>
      <c r="T291" s="16" t="s">
        <v>748</v>
      </c>
      <c r="U291" s="16" t="s">
        <v>748</v>
      </c>
      <c r="V291" s="5">
        <v>46350</v>
      </c>
      <c r="W291" s="5">
        <v>66957</v>
      </c>
      <c r="Y291" s="5">
        <v>64320</v>
      </c>
      <c r="Z291" s="2" t="s">
        <v>2</v>
      </c>
      <c r="AA291" s="2">
        <v>4</v>
      </c>
      <c r="AB291" s="2">
        <v>1</v>
      </c>
      <c r="AC291" s="2">
        <v>3</v>
      </c>
      <c r="AD291" t="s">
        <v>241</v>
      </c>
      <c r="AE291" t="s">
        <v>323</v>
      </c>
      <c r="AF291" t="s">
        <v>245</v>
      </c>
    </row>
    <row r="292" spans="1:32" ht="18" x14ac:dyDescent="0.35">
      <c r="A292" s="6"/>
      <c r="C292" s="13" t="s">
        <v>651</v>
      </c>
      <c r="D292" s="13" t="str">
        <f t="shared" si="23"/>
        <v xml:space="preserve">vf]l/gf </v>
      </c>
      <c r="E292" s="13" t="str">
        <f t="shared" si="25"/>
        <v>/fO{</v>
      </c>
      <c r="F292" s="21" t="s">
        <v>234</v>
      </c>
      <c r="G292" s="21" t="s">
        <v>757</v>
      </c>
      <c r="H292" s="21">
        <f t="shared" si="22"/>
        <v>54</v>
      </c>
      <c r="I292" s="21"/>
      <c r="J292" s="21" t="s">
        <v>905</v>
      </c>
      <c r="K292" s="21">
        <f t="shared" si="21"/>
        <v>107</v>
      </c>
      <c r="L292" s="21"/>
      <c r="M292" s="15">
        <f t="shared" si="24"/>
        <v>29.830136986301369</v>
      </c>
      <c r="N292" s="15"/>
      <c r="O292" s="15"/>
      <c r="P292" s="15"/>
      <c r="Q292" s="15"/>
      <c r="R292" s="16"/>
      <c r="S292" s="16"/>
      <c r="T292" s="16"/>
      <c r="U292" s="16"/>
      <c r="V292" s="5">
        <v>56069</v>
      </c>
      <c r="W292" s="5">
        <v>66957</v>
      </c>
      <c r="Y292" s="5"/>
    </row>
    <row r="293" spans="1:32" ht="18" x14ac:dyDescent="0.35">
      <c r="A293" s="6"/>
      <c r="C293" s="13" t="s">
        <v>652</v>
      </c>
      <c r="D293" s="13" t="str">
        <f t="shared" si="23"/>
        <v xml:space="preserve">s?0ff </v>
      </c>
      <c r="E293" s="13" t="str">
        <f t="shared" si="25"/>
        <v>/fO{</v>
      </c>
      <c r="F293" s="21" t="s">
        <v>234</v>
      </c>
      <c r="G293" s="21" t="s">
        <v>757</v>
      </c>
      <c r="H293" s="21">
        <f t="shared" si="22"/>
        <v>54</v>
      </c>
      <c r="I293" s="21"/>
      <c r="J293" s="21" t="s">
        <v>905</v>
      </c>
      <c r="K293" s="21">
        <f t="shared" si="21"/>
        <v>107</v>
      </c>
      <c r="L293" s="21"/>
      <c r="M293" s="15">
        <f t="shared" si="24"/>
        <v>25.095890410958905</v>
      </c>
      <c r="N293" s="15"/>
      <c r="O293" s="15"/>
      <c r="P293" s="15"/>
      <c r="Q293" s="15"/>
      <c r="R293" s="16"/>
      <c r="S293" s="16"/>
      <c r="T293" s="16"/>
      <c r="U293" s="16"/>
      <c r="V293" s="5">
        <v>57797</v>
      </c>
      <c r="W293" s="5">
        <v>66957</v>
      </c>
      <c r="Y293" s="5"/>
    </row>
    <row r="294" spans="1:32" ht="18" x14ac:dyDescent="0.35">
      <c r="A294" s="6"/>
      <c r="C294" s="13" t="s">
        <v>653</v>
      </c>
      <c r="D294" s="13" t="str">
        <f t="shared" si="23"/>
        <v xml:space="preserve">hf]/dtL </v>
      </c>
      <c r="E294" s="13" t="str">
        <f t="shared" si="25"/>
        <v>/fO{</v>
      </c>
      <c r="F294" s="21" t="s">
        <v>234</v>
      </c>
      <c r="G294" s="21" t="s">
        <v>756</v>
      </c>
      <c r="H294" s="21">
        <f t="shared" si="22"/>
        <v>102</v>
      </c>
      <c r="I294" s="21"/>
      <c r="J294" s="21" t="s">
        <v>906</v>
      </c>
      <c r="K294" s="21">
        <f t="shared" si="21"/>
        <v>53</v>
      </c>
      <c r="L294" s="21"/>
      <c r="M294" s="15">
        <f t="shared" si="24"/>
        <v>59.5013698630137</v>
      </c>
      <c r="N294" s="15"/>
      <c r="O294" s="15"/>
      <c r="P294" s="15"/>
      <c r="Q294" s="15"/>
      <c r="R294" s="16"/>
      <c r="S294" s="16"/>
      <c r="T294" s="16"/>
      <c r="U294" s="16"/>
      <c r="V294" s="5">
        <v>45239</v>
      </c>
      <c r="W294" s="5">
        <v>66957</v>
      </c>
      <c r="Y294" s="5"/>
    </row>
    <row r="295" spans="1:32" ht="18" x14ac:dyDescent="0.35">
      <c r="A295" s="6">
        <v>95</v>
      </c>
      <c r="B295" t="s">
        <v>159</v>
      </c>
      <c r="C295" s="13" t="s">
        <v>654</v>
      </c>
      <c r="D295" s="13" t="str">
        <f t="shared" si="23"/>
        <v xml:space="preserve">/fdnfn </v>
      </c>
      <c r="E295" s="13" t="str">
        <f t="shared" si="25"/>
        <v>l3ld/]</v>
      </c>
      <c r="F295" s="21" t="s">
        <v>233</v>
      </c>
      <c r="G295" s="21" t="s">
        <v>756</v>
      </c>
      <c r="H295" s="21">
        <f t="shared" si="22"/>
        <v>99</v>
      </c>
      <c r="I295" s="21"/>
      <c r="J295" s="21" t="s">
        <v>905</v>
      </c>
      <c r="K295" s="21">
        <f t="shared" si="21"/>
        <v>164</v>
      </c>
      <c r="L295" s="21"/>
      <c r="M295" s="15">
        <f t="shared" si="24"/>
        <v>81.454794520547949</v>
      </c>
      <c r="N295" s="15"/>
      <c r="O295" s="15"/>
      <c r="P295" s="15"/>
      <c r="Q295" s="15"/>
      <c r="R295" s="16">
        <v>0</v>
      </c>
      <c r="S295" s="16">
        <v>3</v>
      </c>
      <c r="T295" s="16">
        <v>3</v>
      </c>
      <c r="U295" s="16">
        <v>0</v>
      </c>
      <c r="V295" s="5">
        <v>37226</v>
      </c>
      <c r="W295" s="5">
        <v>66957</v>
      </c>
      <c r="Y295" s="5">
        <v>64167</v>
      </c>
      <c r="Z295" s="2" t="s">
        <v>2</v>
      </c>
      <c r="AA295" s="2">
        <v>2</v>
      </c>
      <c r="AB295" s="2">
        <v>1</v>
      </c>
      <c r="AC295" s="2">
        <v>1</v>
      </c>
      <c r="AD295" t="s">
        <v>242</v>
      </c>
      <c r="AE295" t="s">
        <v>306</v>
      </c>
      <c r="AF295" t="s">
        <v>245</v>
      </c>
    </row>
    <row r="296" spans="1:32" ht="18" x14ac:dyDescent="0.35">
      <c r="A296" s="6"/>
      <c r="C296" s="13" t="s">
        <v>409</v>
      </c>
      <c r="D296" s="13" t="str">
        <f t="shared" si="23"/>
        <v xml:space="preserve">ltndfof </v>
      </c>
      <c r="E296" s="13" t="str">
        <f t="shared" si="25"/>
        <v>l3ld/]</v>
      </c>
      <c r="F296" s="21" t="s">
        <v>234</v>
      </c>
      <c r="G296" s="21" t="s">
        <v>756</v>
      </c>
      <c r="H296" s="21">
        <f t="shared" si="22"/>
        <v>102</v>
      </c>
      <c r="I296" s="21"/>
      <c r="J296" s="21" t="s">
        <v>906</v>
      </c>
      <c r="K296" s="21">
        <f t="shared" si="21"/>
        <v>53</v>
      </c>
      <c r="L296" s="21"/>
      <c r="M296" s="15">
        <f t="shared" si="24"/>
        <v>76.452054794520549</v>
      </c>
      <c r="N296" s="15"/>
      <c r="O296" s="15"/>
      <c r="P296" s="15"/>
      <c r="Q296" s="15"/>
      <c r="R296" s="16"/>
      <c r="S296" s="16"/>
      <c r="T296" s="16"/>
      <c r="U296" s="16"/>
      <c r="V296" s="5">
        <v>39052</v>
      </c>
      <c r="W296" s="5">
        <v>66957</v>
      </c>
      <c r="Y296" s="5"/>
    </row>
    <row r="297" spans="1:32" ht="18" x14ac:dyDescent="0.35">
      <c r="A297" s="6">
        <v>97</v>
      </c>
      <c r="B297" t="s">
        <v>161</v>
      </c>
      <c r="C297" s="13" t="s">
        <v>660</v>
      </c>
      <c r="D297" s="13" t="str">
        <f t="shared" si="23"/>
        <v xml:space="preserve">5]q </v>
      </c>
      <c r="E297" s="13" t="str">
        <f t="shared" si="25"/>
        <v>&gt;]i7</v>
      </c>
      <c r="F297" s="21" t="s">
        <v>233</v>
      </c>
      <c r="G297" s="21" t="s">
        <v>756</v>
      </c>
      <c r="H297" s="21">
        <f t="shared" si="22"/>
        <v>99</v>
      </c>
      <c r="I297" s="21"/>
      <c r="J297" s="21" t="s">
        <v>905</v>
      </c>
      <c r="K297" s="21">
        <f t="shared" si="21"/>
        <v>164</v>
      </c>
      <c r="L297" s="21"/>
      <c r="M297" s="15">
        <f t="shared" si="24"/>
        <v>59.457534246575342</v>
      </c>
      <c r="N297" s="15"/>
      <c r="O297" s="15"/>
      <c r="P297" s="15"/>
      <c r="Q297" s="15"/>
      <c r="R297" s="16" t="s">
        <v>748</v>
      </c>
      <c r="S297" s="16" t="s">
        <v>748</v>
      </c>
      <c r="T297" s="16" t="s">
        <v>748</v>
      </c>
      <c r="U297" s="16" t="s">
        <v>748</v>
      </c>
      <c r="V297" s="5">
        <v>45255</v>
      </c>
      <c r="W297" s="5">
        <v>66957</v>
      </c>
      <c r="Y297" s="5">
        <v>64099</v>
      </c>
      <c r="Z297" s="2" t="s">
        <v>2</v>
      </c>
      <c r="AA297" s="2">
        <v>5</v>
      </c>
      <c r="AB297" s="2">
        <v>3</v>
      </c>
      <c r="AC297" s="2">
        <v>2</v>
      </c>
      <c r="AD297" t="s">
        <v>242</v>
      </c>
      <c r="AE297" t="s">
        <v>284</v>
      </c>
      <c r="AF297" t="s">
        <v>245</v>
      </c>
    </row>
    <row r="298" spans="1:32" ht="18" x14ac:dyDescent="0.35">
      <c r="A298" s="6"/>
      <c r="C298" s="13" t="s">
        <v>661</v>
      </c>
      <c r="D298" s="13" t="str">
        <f t="shared" si="23"/>
        <v xml:space="preserve">;]tL </v>
      </c>
      <c r="E298" s="13" t="str">
        <f t="shared" si="25"/>
        <v>&gt;]i7</v>
      </c>
      <c r="F298" s="21" t="s">
        <v>234</v>
      </c>
      <c r="G298" s="21" t="s">
        <v>756</v>
      </c>
      <c r="H298" s="21">
        <f t="shared" si="22"/>
        <v>102</v>
      </c>
      <c r="I298" s="21"/>
      <c r="J298" s="21" t="s">
        <v>906</v>
      </c>
      <c r="K298" s="21">
        <f t="shared" si="21"/>
        <v>53</v>
      </c>
      <c r="L298" s="21"/>
      <c r="M298" s="15">
        <f t="shared" si="24"/>
        <v>54.821917808219176</v>
      </c>
      <c r="N298" s="15"/>
      <c r="O298" s="15"/>
      <c r="P298" s="15"/>
      <c r="Q298" s="15"/>
      <c r="R298" s="16"/>
      <c r="S298" s="16"/>
      <c r="T298" s="16"/>
      <c r="U298" s="16"/>
      <c r="V298" s="5">
        <v>46947</v>
      </c>
      <c r="W298" s="5">
        <v>66957</v>
      </c>
      <c r="Y298" s="5"/>
    </row>
    <row r="299" spans="1:32" ht="18" x14ac:dyDescent="0.35">
      <c r="A299" s="6"/>
      <c r="C299" s="13" t="s">
        <v>662</v>
      </c>
      <c r="D299" s="13" t="str">
        <f t="shared" si="23"/>
        <v xml:space="preserve">Vofg </v>
      </c>
      <c r="E299" s="13" t="str">
        <f t="shared" si="25"/>
        <v>&gt;]i7</v>
      </c>
      <c r="F299" s="21" t="s">
        <v>233</v>
      </c>
      <c r="G299" s="21" t="s">
        <v>757</v>
      </c>
      <c r="H299" s="21">
        <f t="shared" si="22"/>
        <v>69</v>
      </c>
      <c r="I299" s="21"/>
      <c r="J299" s="21" t="s">
        <v>905</v>
      </c>
      <c r="K299" s="21">
        <f t="shared" si="21"/>
        <v>164</v>
      </c>
      <c r="L299" s="21"/>
      <c r="M299" s="15">
        <f t="shared" si="24"/>
        <v>32.438356164383563</v>
      </c>
      <c r="N299" s="15"/>
      <c r="O299" s="15"/>
      <c r="P299" s="15"/>
      <c r="Q299" s="15"/>
      <c r="R299" s="16"/>
      <c r="S299" s="16"/>
      <c r="T299" s="16"/>
      <c r="U299" s="16"/>
      <c r="V299" s="5">
        <v>55117</v>
      </c>
      <c r="W299" s="5">
        <v>66957</v>
      </c>
      <c r="Y299" s="5"/>
    </row>
    <row r="300" spans="1:32" ht="18" x14ac:dyDescent="0.35">
      <c r="A300" s="6"/>
      <c r="C300" s="13" t="s">
        <v>663</v>
      </c>
      <c r="D300" s="13" t="str">
        <f t="shared" si="23"/>
        <v xml:space="preserve">clgz </v>
      </c>
      <c r="E300" s="13" t="str">
        <f t="shared" si="25"/>
        <v>&gt;]i7</v>
      </c>
      <c r="F300" s="21" t="s">
        <v>233</v>
      </c>
      <c r="G300" s="21" t="s">
        <v>757</v>
      </c>
      <c r="H300" s="21">
        <f t="shared" si="22"/>
        <v>69</v>
      </c>
      <c r="I300" s="21"/>
      <c r="J300" s="21" t="s">
        <v>905</v>
      </c>
      <c r="K300" s="21">
        <f t="shared" si="21"/>
        <v>164</v>
      </c>
      <c r="L300" s="21"/>
      <c r="M300" s="15">
        <f t="shared" si="24"/>
        <v>28.715068493150685</v>
      </c>
      <c r="N300" s="15"/>
      <c r="O300" s="15"/>
      <c r="P300" s="15"/>
      <c r="Q300" s="15"/>
      <c r="R300" s="16"/>
      <c r="S300" s="16"/>
      <c r="T300" s="16"/>
      <c r="U300" s="16"/>
      <c r="V300" s="5">
        <v>56476</v>
      </c>
      <c r="W300" s="5">
        <v>66957</v>
      </c>
      <c r="Y300" s="5"/>
    </row>
    <row r="301" spans="1:32" ht="18" x14ac:dyDescent="0.35">
      <c r="A301" s="6"/>
      <c r="C301" s="13" t="s">
        <v>664</v>
      </c>
      <c r="D301" s="13" t="str">
        <f t="shared" si="23"/>
        <v xml:space="preserve">clgzf </v>
      </c>
      <c r="E301" s="13" t="str">
        <f t="shared" si="25"/>
        <v>&gt;]i7</v>
      </c>
      <c r="F301" s="21" t="s">
        <v>234</v>
      </c>
      <c r="G301" s="21" t="s">
        <v>757</v>
      </c>
      <c r="H301" s="21">
        <f t="shared" si="22"/>
        <v>54</v>
      </c>
      <c r="I301" s="21"/>
      <c r="J301" s="21" t="s">
        <v>905</v>
      </c>
      <c r="K301" s="21">
        <f t="shared" si="21"/>
        <v>107</v>
      </c>
      <c r="L301" s="21"/>
      <c r="M301" s="15">
        <f t="shared" si="24"/>
        <v>23.339726027397262</v>
      </c>
      <c r="N301" s="15"/>
      <c r="O301" s="15"/>
      <c r="P301" s="15"/>
      <c r="Q301" s="15"/>
      <c r="R301" s="16"/>
      <c r="S301" s="16"/>
      <c r="T301" s="16"/>
      <c r="U301" s="16"/>
      <c r="V301" s="5">
        <v>58438</v>
      </c>
      <c r="W301" s="5">
        <v>66957</v>
      </c>
      <c r="Y301" s="5"/>
    </row>
    <row r="302" spans="1:32" ht="18" x14ac:dyDescent="0.35">
      <c r="A302" s="6">
        <v>99</v>
      </c>
      <c r="B302" t="s">
        <v>163</v>
      </c>
      <c r="C302" s="13" t="s">
        <v>665</v>
      </c>
      <c r="D302" s="13" t="str">
        <f t="shared" si="23"/>
        <v xml:space="preserve">s]zj </v>
      </c>
      <c r="E302" s="13" t="str">
        <f t="shared" si="25"/>
        <v>&gt;]i7</v>
      </c>
      <c r="F302" s="21" t="s">
        <v>233</v>
      </c>
      <c r="G302" s="21" t="s">
        <v>756</v>
      </c>
      <c r="H302" s="21">
        <f t="shared" si="22"/>
        <v>99</v>
      </c>
      <c r="I302" s="21"/>
      <c r="J302" s="21" t="s">
        <v>905</v>
      </c>
      <c r="K302" s="21">
        <f t="shared" si="21"/>
        <v>164</v>
      </c>
      <c r="L302" s="21"/>
      <c r="M302" s="15">
        <f t="shared" si="24"/>
        <v>67.523287671232879</v>
      </c>
      <c r="N302" s="15"/>
      <c r="O302" s="15"/>
      <c r="P302" s="15"/>
      <c r="Q302" s="15"/>
      <c r="R302" s="16">
        <v>0</v>
      </c>
      <c r="S302" s="16">
        <v>5</v>
      </c>
      <c r="T302" s="16">
        <v>3</v>
      </c>
      <c r="U302" s="16">
        <v>0</v>
      </c>
      <c r="V302" s="5">
        <v>42311</v>
      </c>
      <c r="W302" s="5">
        <v>66957</v>
      </c>
      <c r="Y302" s="5">
        <v>63997</v>
      </c>
      <c r="Z302" s="2" t="s">
        <v>2</v>
      </c>
      <c r="AA302" s="2">
        <v>4</v>
      </c>
      <c r="AB302" s="2">
        <v>2</v>
      </c>
      <c r="AC302" s="2">
        <v>2</v>
      </c>
      <c r="AD302" t="s">
        <v>242</v>
      </c>
      <c r="AE302" t="s">
        <v>282</v>
      </c>
      <c r="AF302" t="s">
        <v>245</v>
      </c>
    </row>
    <row r="303" spans="1:32" ht="18" x14ac:dyDescent="0.35">
      <c r="A303" s="6"/>
      <c r="C303" s="13" t="s">
        <v>666</v>
      </c>
      <c r="D303" s="13" t="str">
        <f t="shared" si="23"/>
        <v xml:space="preserve">lutf </v>
      </c>
      <c r="E303" s="13" t="str">
        <f t="shared" si="25"/>
        <v>&gt;]i7</v>
      </c>
      <c r="F303" s="21" t="s">
        <v>234</v>
      </c>
      <c r="G303" s="21" t="s">
        <v>756</v>
      </c>
      <c r="H303" s="21">
        <f t="shared" si="22"/>
        <v>102</v>
      </c>
      <c r="I303" s="21"/>
      <c r="J303" s="21" t="s">
        <v>905</v>
      </c>
      <c r="K303" s="21">
        <f t="shared" si="21"/>
        <v>107</v>
      </c>
      <c r="L303" s="21"/>
      <c r="M303" s="15">
        <f t="shared" si="24"/>
        <v>55.509589041095893</v>
      </c>
      <c r="N303" s="15"/>
      <c r="O303" s="15"/>
      <c r="P303" s="15"/>
      <c r="Q303" s="15"/>
      <c r="R303" s="16"/>
      <c r="S303" s="16"/>
      <c r="T303" s="16"/>
      <c r="U303" s="16"/>
      <c r="V303" s="5">
        <v>46696</v>
      </c>
      <c r="W303" s="5">
        <v>66957</v>
      </c>
      <c r="Y303" s="5"/>
    </row>
    <row r="304" spans="1:32" ht="18" x14ac:dyDescent="0.35">
      <c r="A304" s="6"/>
      <c r="C304" s="13" t="s">
        <v>667</v>
      </c>
      <c r="D304" s="13" t="str">
        <f t="shared" si="23"/>
        <v xml:space="preserve">;l/g </v>
      </c>
      <c r="E304" s="13" t="str">
        <f t="shared" si="25"/>
        <v>&gt;]i7</v>
      </c>
      <c r="F304" s="21" t="s">
        <v>234</v>
      </c>
      <c r="G304" s="21" t="s">
        <v>757</v>
      </c>
      <c r="H304" s="21">
        <f t="shared" si="22"/>
        <v>54</v>
      </c>
      <c r="I304" s="21"/>
      <c r="J304" s="21" t="s">
        <v>905</v>
      </c>
      <c r="K304" s="21">
        <f t="shared" si="21"/>
        <v>107</v>
      </c>
      <c r="L304" s="21"/>
      <c r="M304" s="15">
        <f t="shared" si="24"/>
        <v>33.704109589041096</v>
      </c>
      <c r="N304" s="15"/>
      <c r="O304" s="15"/>
      <c r="P304" s="15"/>
      <c r="Q304" s="15"/>
      <c r="R304" s="16"/>
      <c r="S304" s="16"/>
      <c r="T304" s="16"/>
      <c r="U304" s="16"/>
      <c r="V304" s="5">
        <v>54655</v>
      </c>
      <c r="W304" s="5">
        <v>66957</v>
      </c>
      <c r="Y304" s="5"/>
    </row>
    <row r="305" spans="1:32" ht="18" x14ac:dyDescent="0.35">
      <c r="A305" s="6"/>
      <c r="C305" s="13" t="s">
        <v>668</v>
      </c>
      <c r="D305" s="13" t="str">
        <f t="shared" si="23"/>
        <v xml:space="preserve">;lng </v>
      </c>
      <c r="E305" s="13" t="str">
        <f t="shared" si="25"/>
        <v>&gt;]i7</v>
      </c>
      <c r="F305" s="21" t="s">
        <v>233</v>
      </c>
      <c r="G305" s="21" t="s">
        <v>757</v>
      </c>
      <c r="H305" s="21">
        <f t="shared" si="22"/>
        <v>69</v>
      </c>
      <c r="I305" s="21"/>
      <c r="J305" s="21" t="s">
        <v>905</v>
      </c>
      <c r="K305" s="21">
        <f t="shared" si="21"/>
        <v>164</v>
      </c>
      <c r="L305" s="21"/>
      <c r="M305" s="15">
        <f t="shared" si="24"/>
        <v>36.046575342465751</v>
      </c>
      <c r="N305" s="15"/>
      <c r="O305" s="15"/>
      <c r="P305" s="15"/>
      <c r="Q305" s="15"/>
      <c r="R305" s="16"/>
      <c r="S305" s="16"/>
      <c r="T305" s="16"/>
      <c r="U305" s="16"/>
      <c r="V305" s="5">
        <v>53800</v>
      </c>
      <c r="W305" s="5">
        <v>66957</v>
      </c>
      <c r="Y305" s="5"/>
    </row>
    <row r="306" spans="1:32" ht="18" x14ac:dyDescent="0.35">
      <c r="A306" s="6">
        <v>100</v>
      </c>
      <c r="B306" t="s">
        <v>164</v>
      </c>
      <c r="C306" s="13" t="s">
        <v>669</v>
      </c>
      <c r="D306" s="13" t="str">
        <f t="shared" si="23"/>
        <v xml:space="preserve">u+uf/fd </v>
      </c>
      <c r="E306" s="13" t="str">
        <f t="shared" si="25"/>
        <v>8+uf]n</v>
      </c>
      <c r="F306" s="21" t="s">
        <v>233</v>
      </c>
      <c r="G306" s="21" t="s">
        <v>756</v>
      </c>
      <c r="H306" s="21">
        <f t="shared" si="22"/>
        <v>99</v>
      </c>
      <c r="I306" s="21"/>
      <c r="J306" s="21" t="s">
        <v>905</v>
      </c>
      <c r="K306" s="21">
        <f t="shared" si="21"/>
        <v>164</v>
      </c>
      <c r="L306" s="21"/>
      <c r="M306" s="15">
        <f t="shared" si="24"/>
        <v>84.205479452054789</v>
      </c>
      <c r="N306" s="15"/>
      <c r="O306" s="15"/>
      <c r="P306" s="15"/>
      <c r="Q306" s="15"/>
      <c r="R306" s="16" t="s">
        <v>748</v>
      </c>
      <c r="S306" s="16" t="s">
        <v>748</v>
      </c>
      <c r="T306" s="16" t="s">
        <v>748</v>
      </c>
      <c r="U306" s="16" t="s">
        <v>748</v>
      </c>
      <c r="V306" s="5">
        <v>36222</v>
      </c>
      <c r="W306" s="5">
        <v>66957</v>
      </c>
      <c r="X306" t="s">
        <v>214</v>
      </c>
      <c r="Y306" s="5">
        <v>63944</v>
      </c>
      <c r="Z306" s="2" t="s">
        <v>2</v>
      </c>
      <c r="AA306" s="2">
        <v>2</v>
      </c>
      <c r="AB306" s="2">
        <v>1</v>
      </c>
      <c r="AC306" s="2">
        <v>1</v>
      </c>
      <c r="AD306" t="s">
        <v>242</v>
      </c>
      <c r="AE306" t="s">
        <v>269</v>
      </c>
      <c r="AF306" t="s">
        <v>245</v>
      </c>
    </row>
    <row r="307" spans="1:32" ht="18" x14ac:dyDescent="0.35">
      <c r="A307" s="6"/>
      <c r="C307" s="13" t="s">
        <v>670</v>
      </c>
      <c r="D307" s="13" t="str">
        <f t="shared" si="23"/>
        <v xml:space="preserve">sfnLdfof </v>
      </c>
      <c r="E307" s="13" t="str">
        <f t="shared" si="25"/>
        <v>8+uf]n</v>
      </c>
      <c r="F307" s="21" t="s">
        <v>234</v>
      </c>
      <c r="G307" s="21" t="s">
        <v>756</v>
      </c>
      <c r="H307" s="21">
        <f t="shared" si="22"/>
        <v>102</v>
      </c>
      <c r="I307" s="21"/>
      <c r="J307" s="21" t="s">
        <v>906</v>
      </c>
      <c r="K307" s="21">
        <f t="shared" si="21"/>
        <v>53</v>
      </c>
      <c r="L307" s="21"/>
      <c r="M307" s="15">
        <f t="shared" si="24"/>
        <v>89.008219178082186</v>
      </c>
      <c r="N307" s="15"/>
      <c r="O307" s="15"/>
      <c r="P307" s="15"/>
      <c r="Q307" s="15"/>
      <c r="R307" s="16"/>
      <c r="S307" s="16"/>
      <c r="T307" s="16"/>
      <c r="U307" s="16"/>
      <c r="V307" s="5">
        <v>34469</v>
      </c>
      <c r="W307" s="5">
        <v>66957</v>
      </c>
      <c r="Y307" s="5"/>
    </row>
    <row r="308" spans="1:32" ht="18" x14ac:dyDescent="0.35">
      <c r="A308" s="6">
        <v>101</v>
      </c>
      <c r="B308" t="s">
        <v>216</v>
      </c>
      <c r="C308" s="13" t="s">
        <v>671</v>
      </c>
      <c r="D308" s="13" t="str">
        <f t="shared" si="23"/>
        <v xml:space="preserve">g/Wjh </v>
      </c>
      <c r="E308" s="13" t="str">
        <f t="shared" si="25"/>
        <v>yfkf</v>
      </c>
      <c r="F308" s="21" t="s">
        <v>233</v>
      </c>
      <c r="G308" s="21" t="s">
        <v>756</v>
      </c>
      <c r="H308" s="21">
        <f t="shared" si="22"/>
        <v>99</v>
      </c>
      <c r="I308" s="21"/>
      <c r="J308" s="21" t="s">
        <v>905</v>
      </c>
      <c r="K308" s="21">
        <f t="shared" si="21"/>
        <v>164</v>
      </c>
      <c r="L308" s="21"/>
      <c r="M308" s="15">
        <f t="shared" si="24"/>
        <v>47.323287671232876</v>
      </c>
      <c r="N308" s="15"/>
      <c r="O308" s="15"/>
      <c r="P308" s="15"/>
      <c r="Q308" s="15"/>
      <c r="R308" s="16">
        <v>0</v>
      </c>
      <c r="S308" s="16">
        <v>5</v>
      </c>
      <c r="T308" s="16">
        <v>1</v>
      </c>
      <c r="U308" s="16">
        <v>0</v>
      </c>
      <c r="V308" s="5">
        <v>49684</v>
      </c>
      <c r="W308" s="5">
        <v>66957</v>
      </c>
      <c r="X308" t="s">
        <v>230</v>
      </c>
      <c r="Y308" s="5">
        <v>63928</v>
      </c>
      <c r="Z308" s="2" t="s">
        <v>2</v>
      </c>
      <c r="AA308" s="2">
        <v>4</v>
      </c>
      <c r="AB308" s="2">
        <v>2</v>
      </c>
      <c r="AC308" s="2">
        <v>2</v>
      </c>
      <c r="AD308" t="s">
        <v>237</v>
      </c>
      <c r="AE308" t="s">
        <v>297</v>
      </c>
      <c r="AF308" t="s">
        <v>245</v>
      </c>
    </row>
    <row r="309" spans="1:32" ht="18" x14ac:dyDescent="0.35">
      <c r="A309" s="6"/>
      <c r="C309" s="13" t="s">
        <v>672</v>
      </c>
      <c r="D309" s="13" t="str">
        <f t="shared" si="23"/>
        <v xml:space="preserve">;+lutf </v>
      </c>
      <c r="E309" s="13" t="str">
        <f t="shared" si="25"/>
        <v>yfkf</v>
      </c>
      <c r="F309" s="21" t="s">
        <v>234</v>
      </c>
      <c r="G309" s="21" t="s">
        <v>756</v>
      </c>
      <c r="H309" s="21">
        <f t="shared" si="22"/>
        <v>102</v>
      </c>
      <c r="I309" s="21"/>
      <c r="J309" s="21" t="s">
        <v>905</v>
      </c>
      <c r="K309" s="21">
        <f t="shared" si="21"/>
        <v>107</v>
      </c>
      <c r="L309" s="21"/>
      <c r="M309" s="15">
        <f t="shared" si="24"/>
        <v>44.098630136986301</v>
      </c>
      <c r="N309" s="15"/>
      <c r="O309" s="15"/>
      <c r="P309" s="15"/>
      <c r="Q309" s="15"/>
      <c r="R309" s="16"/>
      <c r="S309" s="16"/>
      <c r="T309" s="16"/>
      <c r="U309" s="16"/>
      <c r="V309" s="5">
        <v>50861</v>
      </c>
      <c r="W309" s="5">
        <v>66957</v>
      </c>
      <c r="Y309" s="5"/>
    </row>
    <row r="310" spans="1:32" ht="18" x14ac:dyDescent="0.35">
      <c r="A310" s="6"/>
      <c r="C310" s="13" t="s">
        <v>673</v>
      </c>
      <c r="D310" s="13" t="str">
        <f t="shared" si="23"/>
        <v xml:space="preserve">g/dfof </v>
      </c>
      <c r="E310" s="13" t="str">
        <f t="shared" si="25"/>
        <v>yfkf</v>
      </c>
      <c r="F310" s="21" t="s">
        <v>234</v>
      </c>
      <c r="G310" s="21" t="s">
        <v>756</v>
      </c>
      <c r="H310" s="21">
        <f t="shared" si="22"/>
        <v>102</v>
      </c>
      <c r="I310" s="21"/>
      <c r="J310" s="21" t="s">
        <v>906</v>
      </c>
      <c r="K310" s="21">
        <f t="shared" si="21"/>
        <v>53</v>
      </c>
      <c r="L310" s="21"/>
      <c r="M310" s="15">
        <f t="shared" si="24"/>
        <v>75.331506849315062</v>
      </c>
      <c r="N310" s="15"/>
      <c r="O310" s="15"/>
      <c r="P310" s="15"/>
      <c r="Q310" s="15"/>
      <c r="R310" s="16"/>
      <c r="S310" s="16"/>
      <c r="T310" s="16"/>
      <c r="U310" s="16"/>
      <c r="V310" s="5">
        <v>39461</v>
      </c>
      <c r="W310" s="5">
        <v>66957</v>
      </c>
      <c r="Y310" s="5"/>
    </row>
    <row r="311" spans="1:32" ht="18" x14ac:dyDescent="0.35">
      <c r="A311" s="6"/>
      <c r="C311" s="13" t="s">
        <v>674</v>
      </c>
      <c r="D311" s="13" t="str">
        <f t="shared" si="23"/>
        <v xml:space="preserve">;ld/ </v>
      </c>
      <c r="E311" s="13" t="str">
        <f t="shared" si="25"/>
        <v>yfkf</v>
      </c>
      <c r="F311" s="21" t="s">
        <v>233</v>
      </c>
      <c r="G311" s="21" t="s">
        <v>757</v>
      </c>
      <c r="H311" s="21">
        <f t="shared" si="22"/>
        <v>69</v>
      </c>
      <c r="I311" s="21"/>
      <c r="J311" s="21" t="s">
        <v>905</v>
      </c>
      <c r="K311" s="21">
        <f t="shared" si="21"/>
        <v>164</v>
      </c>
      <c r="L311" s="21"/>
      <c r="M311" s="15">
        <f t="shared" si="24"/>
        <v>23.945205479452056</v>
      </c>
      <c r="N311" s="15"/>
      <c r="O311" s="15"/>
      <c r="P311" s="15"/>
      <c r="Q311" s="15"/>
      <c r="R311" s="16"/>
      <c r="S311" s="16"/>
      <c r="T311" s="16"/>
      <c r="U311" s="16"/>
      <c r="V311" s="5">
        <v>58217</v>
      </c>
      <c r="W311" s="5">
        <v>66957</v>
      </c>
      <c r="Y311" s="5"/>
    </row>
    <row r="312" spans="1:32" ht="18" x14ac:dyDescent="0.35">
      <c r="A312" s="6">
        <v>102</v>
      </c>
      <c r="B312" t="s">
        <v>145</v>
      </c>
      <c r="C312" s="13" t="s">
        <v>675</v>
      </c>
      <c r="D312" s="13" t="str">
        <f t="shared" si="23"/>
        <v xml:space="preserve">s[i0f </v>
      </c>
      <c r="E312" s="13" t="str">
        <f t="shared" si="25"/>
        <v>rf}nfufO{</v>
      </c>
      <c r="F312" s="21" t="s">
        <v>233</v>
      </c>
      <c r="G312" s="21" t="s">
        <v>756</v>
      </c>
      <c r="H312" s="21">
        <f t="shared" si="22"/>
        <v>99</v>
      </c>
      <c r="I312" s="21"/>
      <c r="J312" s="21" t="s">
        <v>905</v>
      </c>
      <c r="K312" s="21">
        <f t="shared" si="21"/>
        <v>164</v>
      </c>
      <c r="L312" s="21"/>
      <c r="M312" s="15">
        <f t="shared" si="24"/>
        <v>40.5013698630137</v>
      </c>
      <c r="N312" s="15"/>
      <c r="O312" s="15"/>
      <c r="P312" s="15"/>
      <c r="Q312" s="15"/>
      <c r="R312" s="16" t="s">
        <v>748</v>
      </c>
      <c r="S312" s="16" t="s">
        <v>748</v>
      </c>
      <c r="T312" s="16" t="s">
        <v>748</v>
      </c>
      <c r="U312" s="16" t="s">
        <v>748</v>
      </c>
      <c r="V312" s="5">
        <v>52174</v>
      </c>
      <c r="W312" s="5">
        <v>66957</v>
      </c>
      <c r="Y312" s="5">
        <v>63834</v>
      </c>
      <c r="Z312" s="2" t="s">
        <v>2</v>
      </c>
      <c r="AA312" s="2">
        <v>4</v>
      </c>
      <c r="AB312" s="2">
        <v>2</v>
      </c>
      <c r="AC312" s="2">
        <v>2</v>
      </c>
      <c r="AD312" t="s">
        <v>241</v>
      </c>
      <c r="AE312" t="s">
        <v>288</v>
      </c>
      <c r="AF312" t="s">
        <v>245</v>
      </c>
    </row>
    <row r="313" spans="1:32" ht="18" x14ac:dyDescent="0.35">
      <c r="A313" s="6"/>
      <c r="C313" s="13" t="s">
        <v>676</v>
      </c>
      <c r="D313" s="13" t="str">
        <f t="shared" si="23"/>
        <v xml:space="preserve">cl:dtf </v>
      </c>
      <c r="E313" s="13" t="str">
        <f t="shared" si="25"/>
        <v>rf}nfufO{</v>
      </c>
      <c r="F313" s="21" t="s">
        <v>234</v>
      </c>
      <c r="G313" s="21" t="s">
        <v>756</v>
      </c>
      <c r="H313" s="21">
        <f t="shared" si="22"/>
        <v>102</v>
      </c>
      <c r="I313" s="21"/>
      <c r="J313" s="21" t="s">
        <v>905</v>
      </c>
      <c r="K313" s="21">
        <f t="shared" si="21"/>
        <v>107</v>
      </c>
      <c r="L313" s="21"/>
      <c r="M313" s="15">
        <f t="shared" si="24"/>
        <v>39.082191780821915</v>
      </c>
      <c r="N313" s="15"/>
      <c r="O313" s="15"/>
      <c r="P313" s="15"/>
      <c r="Q313" s="15"/>
      <c r="R313" s="16"/>
      <c r="S313" s="16"/>
      <c r="T313" s="16"/>
      <c r="U313" s="16"/>
      <c r="V313" s="5">
        <v>52692</v>
      </c>
      <c r="W313" s="5">
        <v>66957</v>
      </c>
      <c r="Y313" s="5"/>
    </row>
    <row r="314" spans="1:32" ht="18" x14ac:dyDescent="0.35">
      <c r="A314" s="6"/>
      <c r="C314" s="13" t="s">
        <v>677</v>
      </c>
      <c r="D314" s="13" t="str">
        <f t="shared" si="23"/>
        <v xml:space="preserve">cfo'if </v>
      </c>
      <c r="E314" s="13" t="str">
        <f t="shared" si="25"/>
        <v>rf}nfufO{</v>
      </c>
      <c r="F314" s="21" t="s">
        <v>233</v>
      </c>
      <c r="G314" s="21" t="s">
        <v>757</v>
      </c>
      <c r="H314" s="21">
        <f t="shared" si="22"/>
        <v>69</v>
      </c>
      <c r="I314" s="21"/>
      <c r="J314" s="21" t="s">
        <v>905</v>
      </c>
      <c r="K314" s="21">
        <f t="shared" si="21"/>
        <v>164</v>
      </c>
      <c r="L314" s="21"/>
      <c r="M314" s="15">
        <f t="shared" si="24"/>
        <v>14.96986301369863</v>
      </c>
      <c r="N314" s="15"/>
      <c r="O314" s="15"/>
      <c r="P314" s="15"/>
      <c r="Q314" s="15"/>
      <c r="R314" s="16"/>
      <c r="S314" s="16"/>
      <c r="T314" s="16"/>
      <c r="U314" s="16"/>
      <c r="V314" s="5">
        <v>61493</v>
      </c>
      <c r="W314" s="5">
        <v>66957</v>
      </c>
      <c r="Y314" s="5"/>
    </row>
    <row r="315" spans="1:32" ht="18" x14ac:dyDescent="0.35">
      <c r="A315" s="6"/>
      <c r="C315" s="13" t="s">
        <v>678</v>
      </c>
      <c r="D315" s="13" t="str">
        <f t="shared" si="23"/>
        <v xml:space="preserve">cfo'idf </v>
      </c>
      <c r="E315" s="13" t="str">
        <f t="shared" si="25"/>
        <v>rf}nfufO{</v>
      </c>
      <c r="F315" s="21" t="s">
        <v>234</v>
      </c>
      <c r="G315" s="21" t="s">
        <v>757</v>
      </c>
      <c r="H315" s="21">
        <f t="shared" si="22"/>
        <v>54</v>
      </c>
      <c r="I315" s="21"/>
      <c r="J315" s="21" t="s">
        <v>905</v>
      </c>
      <c r="K315" s="21">
        <f t="shared" si="21"/>
        <v>107</v>
      </c>
      <c r="L315" s="21"/>
      <c r="M315" s="15">
        <f t="shared" si="24"/>
        <v>10.268493150684931</v>
      </c>
      <c r="N315" s="15"/>
      <c r="O315" s="15"/>
      <c r="P315" s="15"/>
      <c r="Q315" s="15"/>
      <c r="R315" s="16"/>
      <c r="S315" s="16"/>
      <c r="T315" s="16"/>
      <c r="U315" s="16"/>
      <c r="V315" s="5">
        <v>63209</v>
      </c>
      <c r="W315" s="5">
        <v>66957</v>
      </c>
      <c r="Y315" s="5"/>
    </row>
    <row r="316" spans="1:32" ht="18" x14ac:dyDescent="0.35">
      <c r="A316" s="6">
        <v>103</v>
      </c>
      <c r="B316" t="s">
        <v>217</v>
      </c>
      <c r="C316" s="13" t="s">
        <v>679</v>
      </c>
      <c r="D316" s="13" t="str">
        <f t="shared" si="23"/>
        <v xml:space="preserve">/fh]Gb| </v>
      </c>
      <c r="E316" s="13" t="str">
        <f t="shared" si="25"/>
        <v>kf]v|]n</v>
      </c>
      <c r="F316" s="21" t="s">
        <v>233</v>
      </c>
      <c r="G316" s="21" t="s">
        <v>756</v>
      </c>
      <c r="H316" s="21">
        <f t="shared" si="22"/>
        <v>99</v>
      </c>
      <c r="I316" s="21"/>
      <c r="J316" s="21" t="s">
        <v>905</v>
      </c>
      <c r="K316" s="21">
        <f t="shared" si="21"/>
        <v>164</v>
      </c>
      <c r="L316" s="21"/>
      <c r="M316" s="15">
        <f t="shared" si="24"/>
        <v>48.4986301369863</v>
      </c>
      <c r="N316" s="15"/>
      <c r="O316" s="15"/>
      <c r="P316" s="15"/>
      <c r="Q316" s="15"/>
      <c r="R316" s="16" t="s">
        <v>748</v>
      </c>
      <c r="S316" s="16" t="s">
        <v>748</v>
      </c>
      <c r="T316" s="16" t="s">
        <v>748</v>
      </c>
      <c r="U316" s="16" t="s">
        <v>748</v>
      </c>
      <c r="V316" s="5">
        <v>49255</v>
      </c>
      <c r="W316" s="5">
        <v>66957</v>
      </c>
      <c r="Y316" s="5">
        <v>63817</v>
      </c>
      <c r="Z316" s="2" t="s">
        <v>2</v>
      </c>
      <c r="AA316" s="2">
        <v>3</v>
      </c>
      <c r="AB316" s="2">
        <v>1</v>
      </c>
      <c r="AC316" s="2">
        <v>2</v>
      </c>
      <c r="AD316" t="s">
        <v>242</v>
      </c>
      <c r="AE316" t="s">
        <v>295</v>
      </c>
      <c r="AF316" t="s">
        <v>245</v>
      </c>
    </row>
    <row r="317" spans="1:32" ht="18" x14ac:dyDescent="0.35">
      <c r="A317" s="6"/>
      <c r="C317" s="13" t="s">
        <v>680</v>
      </c>
      <c r="D317" s="13" t="str">
        <f t="shared" si="23"/>
        <v xml:space="preserve">d08Lsf </v>
      </c>
      <c r="E317" s="13" t="str">
        <f t="shared" si="25"/>
        <v>yfdL</v>
      </c>
      <c r="F317" s="21" t="s">
        <v>234</v>
      </c>
      <c r="G317" s="21" t="s">
        <v>756</v>
      </c>
      <c r="H317" s="21">
        <f t="shared" si="22"/>
        <v>102</v>
      </c>
      <c r="I317" s="21"/>
      <c r="J317" s="21" t="s">
        <v>906</v>
      </c>
      <c r="K317" s="21">
        <f t="shared" si="21"/>
        <v>53</v>
      </c>
      <c r="L317" s="21"/>
      <c r="M317" s="15">
        <f t="shared" si="24"/>
        <v>39.490410958904107</v>
      </c>
      <c r="N317" s="15"/>
      <c r="O317" s="15"/>
      <c r="P317" s="15"/>
      <c r="Q317" s="15"/>
      <c r="R317" s="16"/>
      <c r="S317" s="16"/>
      <c r="T317" s="16"/>
      <c r="U317" s="16"/>
      <c r="V317" s="5">
        <v>52543</v>
      </c>
      <c r="W317" s="5">
        <v>66957</v>
      </c>
      <c r="Y317" s="5"/>
    </row>
    <row r="318" spans="1:32" ht="18" x14ac:dyDescent="0.35">
      <c r="A318" s="6"/>
      <c r="C318" s="13" t="s">
        <v>681</v>
      </c>
      <c r="D318" s="13" t="str">
        <f t="shared" si="23"/>
        <v xml:space="preserve">/:dL </v>
      </c>
      <c r="E318" s="13" t="str">
        <f t="shared" si="25"/>
        <v>kf]v|]n</v>
      </c>
      <c r="F318" s="21" t="s">
        <v>234</v>
      </c>
      <c r="G318" s="21" t="s">
        <v>748</v>
      </c>
      <c r="H318" s="21" t="b">
        <f t="shared" si="22"/>
        <v>0</v>
      </c>
      <c r="I318" s="21"/>
      <c r="J318" s="21" t="s">
        <v>905</v>
      </c>
      <c r="K318" s="21">
        <f t="shared" si="21"/>
        <v>107</v>
      </c>
      <c r="L318" s="21"/>
      <c r="M318" s="15">
        <f t="shared" si="24"/>
        <v>9.8547945205479444</v>
      </c>
      <c r="N318" s="15"/>
      <c r="O318" s="15"/>
      <c r="P318" s="15"/>
      <c r="Q318" s="15"/>
      <c r="R318" s="16"/>
      <c r="S318" s="16"/>
      <c r="T318" s="16"/>
      <c r="U318" s="16"/>
      <c r="V318" s="5">
        <v>63360</v>
      </c>
      <c r="W318" s="5">
        <v>66957</v>
      </c>
      <c r="Y318" s="5"/>
    </row>
    <row r="319" spans="1:32" ht="18" x14ac:dyDescent="0.35">
      <c r="A319" s="6">
        <v>104</v>
      </c>
      <c r="B319" t="s">
        <v>38</v>
      </c>
      <c r="C319" s="13" t="s">
        <v>457</v>
      </c>
      <c r="D319" s="13" t="str">
        <f t="shared" si="23"/>
        <v xml:space="preserve">slkn </v>
      </c>
      <c r="E319" s="13" t="str">
        <f t="shared" si="25"/>
        <v>kf}8]n</v>
      </c>
      <c r="F319" s="21" t="s">
        <v>233</v>
      </c>
      <c r="G319" s="21" t="s">
        <v>756</v>
      </c>
      <c r="H319" s="21">
        <f t="shared" si="22"/>
        <v>99</v>
      </c>
      <c r="I319" s="21"/>
      <c r="J319" s="21" t="s">
        <v>905</v>
      </c>
      <c r="K319" s="21">
        <f t="shared" si="21"/>
        <v>164</v>
      </c>
      <c r="L319" s="21"/>
      <c r="M319" s="15">
        <f t="shared" si="24"/>
        <v>63.073972602739723</v>
      </c>
      <c r="N319" s="15"/>
      <c r="O319" s="15"/>
      <c r="P319" s="15"/>
      <c r="Q319" s="15"/>
      <c r="R319" s="16">
        <v>0</v>
      </c>
      <c r="S319" s="16">
        <v>4</v>
      </c>
      <c r="T319" s="16">
        <v>0</v>
      </c>
      <c r="U319" s="16">
        <v>1</v>
      </c>
      <c r="V319" s="5">
        <v>43935</v>
      </c>
      <c r="W319" s="5">
        <v>66957</v>
      </c>
      <c r="Y319" s="5">
        <v>63725</v>
      </c>
      <c r="Z319" s="2" t="s">
        <v>2</v>
      </c>
      <c r="AA319" s="2">
        <v>5</v>
      </c>
      <c r="AB319" s="2">
        <v>3</v>
      </c>
      <c r="AC319" s="2">
        <v>2</v>
      </c>
      <c r="AD319" t="s">
        <v>239</v>
      </c>
      <c r="AE319" t="s">
        <v>279</v>
      </c>
      <c r="AF319" t="s">
        <v>245</v>
      </c>
    </row>
    <row r="320" spans="1:32" ht="18" x14ac:dyDescent="0.35">
      <c r="A320" s="6"/>
      <c r="C320" s="13" t="s">
        <v>458</v>
      </c>
      <c r="D320" s="13" t="str">
        <f t="shared" si="23"/>
        <v xml:space="preserve">Clif/fd </v>
      </c>
      <c r="E320" s="13" t="str">
        <f t="shared" si="25"/>
        <v>pkfWofo</v>
      </c>
      <c r="F320" s="21" t="s">
        <v>233</v>
      </c>
      <c r="G320" s="21" t="s">
        <v>756</v>
      </c>
      <c r="H320" s="21">
        <f t="shared" si="22"/>
        <v>99</v>
      </c>
      <c r="I320" s="21"/>
      <c r="J320" s="21" t="s">
        <v>906</v>
      </c>
      <c r="K320" s="21">
        <f t="shared" si="21"/>
        <v>11</v>
      </c>
      <c r="L320" s="21"/>
      <c r="M320" s="15">
        <f t="shared" si="24"/>
        <v>94.589041095890408</v>
      </c>
      <c r="N320" s="15"/>
      <c r="O320" s="15"/>
      <c r="P320" s="15"/>
      <c r="Q320" s="15"/>
      <c r="R320" s="16"/>
      <c r="S320" s="16"/>
      <c r="T320" s="16"/>
      <c r="U320" s="16"/>
      <c r="V320" s="5">
        <v>32432</v>
      </c>
      <c r="W320" s="5">
        <v>66957</v>
      </c>
      <c r="Y320" s="5"/>
    </row>
    <row r="321" spans="1:32" ht="18" x14ac:dyDescent="0.35">
      <c r="A321" s="6"/>
      <c r="C321" s="13" t="s">
        <v>682</v>
      </c>
      <c r="D321" s="13" t="str">
        <f t="shared" si="23"/>
        <v xml:space="preserve">ef]h </v>
      </c>
      <c r="E321" s="13" t="str">
        <f t="shared" si="25"/>
        <v>kf}8]n</v>
      </c>
      <c r="F321" s="21" t="s">
        <v>234</v>
      </c>
      <c r="G321" s="21" t="s">
        <v>756</v>
      </c>
      <c r="H321" s="21">
        <f t="shared" si="22"/>
        <v>102</v>
      </c>
      <c r="I321" s="21"/>
      <c r="J321" s="21" t="s">
        <v>906</v>
      </c>
      <c r="K321" s="21">
        <f t="shared" si="21"/>
        <v>53</v>
      </c>
      <c r="L321" s="21"/>
      <c r="M321" s="15">
        <f t="shared" si="24"/>
        <v>92.964383561643842</v>
      </c>
      <c r="N321" s="15"/>
      <c r="O321" s="15"/>
      <c r="P321" s="15"/>
      <c r="Q321" s="15"/>
      <c r="R321" s="16"/>
      <c r="S321" s="16"/>
      <c r="T321" s="16"/>
      <c r="U321" s="16"/>
      <c r="V321" s="5">
        <v>33025</v>
      </c>
      <c r="W321" s="5">
        <v>66957</v>
      </c>
      <c r="Y321" s="5"/>
    </row>
    <row r="322" spans="1:32" ht="18" x14ac:dyDescent="0.35">
      <c r="A322" s="6"/>
      <c r="C322" s="13" t="s">
        <v>459</v>
      </c>
      <c r="D322" s="13" t="str">
        <f t="shared" si="23"/>
        <v xml:space="preserve">;Ltf </v>
      </c>
      <c r="E322" s="13" t="str">
        <f t="shared" si="25"/>
        <v>kf}8]n</v>
      </c>
      <c r="F322" s="21" t="s">
        <v>234</v>
      </c>
      <c r="G322" s="21" t="s">
        <v>756</v>
      </c>
      <c r="H322" s="21">
        <f t="shared" si="22"/>
        <v>102</v>
      </c>
      <c r="I322" s="21"/>
      <c r="J322" s="21" t="s">
        <v>905</v>
      </c>
      <c r="K322" s="21">
        <f t="shared" si="21"/>
        <v>107</v>
      </c>
      <c r="L322" s="21"/>
      <c r="M322" s="15">
        <f t="shared" si="24"/>
        <v>60.843835616438355</v>
      </c>
      <c r="N322" s="15"/>
      <c r="O322" s="15"/>
      <c r="P322" s="15"/>
      <c r="Q322" s="15"/>
      <c r="R322" s="16"/>
      <c r="S322" s="16"/>
      <c r="T322" s="16"/>
      <c r="U322" s="16"/>
      <c r="V322" s="5">
        <v>44749</v>
      </c>
      <c r="W322" s="5">
        <v>66957</v>
      </c>
      <c r="Y322" s="5"/>
    </row>
    <row r="323" spans="1:32" ht="18" x14ac:dyDescent="0.35">
      <c r="A323" s="6"/>
      <c r="C323" s="13" t="s">
        <v>683</v>
      </c>
      <c r="D323" s="13" t="str">
        <f t="shared" si="23"/>
        <v xml:space="preserve">;GbLk </v>
      </c>
      <c r="E323" s="13" t="str">
        <f t="shared" si="25"/>
        <v>kf}8]n</v>
      </c>
      <c r="F323" s="21" t="s">
        <v>233</v>
      </c>
      <c r="G323" s="21" t="s">
        <v>757</v>
      </c>
      <c r="H323" s="21">
        <f t="shared" si="22"/>
        <v>69</v>
      </c>
      <c r="I323" s="21"/>
      <c r="J323" s="21" t="s">
        <v>905</v>
      </c>
      <c r="K323" s="21">
        <f t="shared" si="21"/>
        <v>164</v>
      </c>
      <c r="L323" s="21"/>
      <c r="M323" s="15">
        <f t="shared" si="24"/>
        <v>33.421917808219177</v>
      </c>
      <c r="N323" s="15"/>
      <c r="O323" s="15"/>
      <c r="P323" s="15"/>
      <c r="Q323" s="15"/>
      <c r="R323" s="16"/>
      <c r="S323" s="16"/>
      <c r="T323" s="16"/>
      <c r="U323" s="16"/>
      <c r="V323" s="5">
        <v>54758</v>
      </c>
      <c r="W323" s="5">
        <v>66957</v>
      </c>
      <c r="Y323" s="5"/>
    </row>
    <row r="324" spans="1:32" ht="18" x14ac:dyDescent="0.35">
      <c r="A324" s="6">
        <v>105</v>
      </c>
      <c r="B324" t="s">
        <v>218</v>
      </c>
      <c r="C324" s="13" t="s">
        <v>684</v>
      </c>
      <c r="D324" s="13" t="str">
        <f t="shared" si="23"/>
        <v xml:space="preserve">nIdL </v>
      </c>
      <c r="E324" s="13" t="str">
        <f t="shared" si="25"/>
        <v>ltjf/L</v>
      </c>
      <c r="F324" s="21" t="s">
        <v>233</v>
      </c>
      <c r="G324" s="21" t="s">
        <v>756</v>
      </c>
      <c r="H324" s="21">
        <f t="shared" si="22"/>
        <v>99</v>
      </c>
      <c r="I324" s="21"/>
      <c r="J324" s="21" t="s">
        <v>905</v>
      </c>
      <c r="K324" s="21">
        <f t="shared" ref="K324:K348" si="26">IF(M324&gt;=5,(COUNTIFS($J$4:$J$348,J324,$F$4:$F$348,F324)))</f>
        <v>164</v>
      </c>
      <c r="L324" s="21"/>
      <c r="M324" s="15">
        <f t="shared" si="24"/>
        <v>68.575342465753423</v>
      </c>
      <c r="N324" s="15"/>
      <c r="O324" s="15"/>
      <c r="P324" s="15"/>
      <c r="Q324" s="15"/>
      <c r="R324" s="16">
        <v>0</v>
      </c>
      <c r="S324" s="16">
        <v>8</v>
      </c>
      <c r="T324" s="16">
        <v>3</v>
      </c>
      <c r="U324" s="16">
        <v>2</v>
      </c>
      <c r="V324" s="5">
        <v>41927</v>
      </c>
      <c r="W324" s="5">
        <v>66957</v>
      </c>
      <c r="Y324" s="5">
        <v>63683</v>
      </c>
      <c r="Z324" s="2" t="s">
        <v>2</v>
      </c>
      <c r="AA324" s="2">
        <v>3</v>
      </c>
      <c r="AB324" s="2">
        <v>2</v>
      </c>
      <c r="AC324" s="2">
        <v>1</v>
      </c>
      <c r="AD324" t="s">
        <v>242</v>
      </c>
      <c r="AE324" t="s">
        <v>269</v>
      </c>
      <c r="AF324" t="s">
        <v>245</v>
      </c>
    </row>
    <row r="325" spans="1:32" ht="18" x14ac:dyDescent="0.35">
      <c r="A325" s="6"/>
      <c r="C325" s="13" t="s">
        <v>685</v>
      </c>
      <c r="D325" s="13" t="str">
        <f t="shared" si="23"/>
        <v xml:space="preserve">k"0f{ </v>
      </c>
      <c r="E325" s="13" t="str">
        <f t="shared" si="25"/>
        <v>clwsf/L</v>
      </c>
      <c r="F325" s="21" t="s">
        <v>234</v>
      </c>
      <c r="G325" s="21" t="s">
        <v>756</v>
      </c>
      <c r="H325" s="21">
        <f t="shared" ref="H325:H348" si="27">IF(M325&gt;=10,(COUNTIFS($G$4:$G$348,G325,$F$4:$F$348,F325)))</f>
        <v>102</v>
      </c>
      <c r="I325" s="21"/>
      <c r="J325" s="21" t="s">
        <v>906</v>
      </c>
      <c r="K325" s="21">
        <f t="shared" si="26"/>
        <v>53</v>
      </c>
      <c r="L325" s="21"/>
      <c r="M325" s="15">
        <f t="shared" si="24"/>
        <v>63.936986301369863</v>
      </c>
      <c r="N325" s="15"/>
      <c r="O325" s="15"/>
      <c r="P325" s="15"/>
      <c r="Q325" s="15"/>
      <c r="R325" s="16"/>
      <c r="S325" s="16"/>
      <c r="T325" s="16"/>
      <c r="U325" s="16"/>
      <c r="V325" s="5">
        <v>43620</v>
      </c>
      <c r="W325" s="5">
        <v>66957</v>
      </c>
      <c r="Y325" s="5"/>
    </row>
    <row r="326" spans="1:32" ht="18" x14ac:dyDescent="0.35">
      <c r="A326" s="6"/>
      <c r="C326" s="13" t="s">
        <v>686</v>
      </c>
      <c r="D326" s="13" t="str">
        <f t="shared" si="23"/>
        <v xml:space="preserve">s[i0f </v>
      </c>
      <c r="E326" s="13" t="str">
        <f t="shared" si="25"/>
        <v>ltjf/L</v>
      </c>
      <c r="F326" s="21" t="s">
        <v>233</v>
      </c>
      <c r="G326" s="21" t="s">
        <v>757</v>
      </c>
      <c r="H326" s="21">
        <f t="shared" si="27"/>
        <v>69</v>
      </c>
      <c r="I326" s="21"/>
      <c r="J326" s="21" t="s">
        <v>905</v>
      </c>
      <c r="K326" s="21">
        <f t="shared" si="26"/>
        <v>164</v>
      </c>
      <c r="L326" s="21"/>
      <c r="M326" s="15">
        <f t="shared" si="24"/>
        <v>26.073972602739726</v>
      </c>
      <c r="N326" s="15"/>
      <c r="O326" s="15"/>
      <c r="P326" s="15"/>
      <c r="Q326" s="15"/>
      <c r="R326" s="16"/>
      <c r="S326" s="16"/>
      <c r="T326" s="16"/>
      <c r="U326" s="16"/>
      <c r="V326" s="5">
        <v>57440</v>
      </c>
      <c r="W326" s="5">
        <v>66957</v>
      </c>
      <c r="Y326" s="5"/>
    </row>
    <row r="327" spans="1:32" ht="18" x14ac:dyDescent="0.35">
      <c r="A327" s="6">
        <v>106</v>
      </c>
      <c r="B327" t="s">
        <v>46</v>
      </c>
      <c r="C327" s="13" t="s">
        <v>687</v>
      </c>
      <c r="D327" s="13" t="str">
        <f t="shared" ref="D327:D348" si="28">LEFT(C327,(FIND(" ",C327)))</f>
        <v xml:space="preserve">/Tg </v>
      </c>
      <c r="E327" s="13" t="str">
        <f t="shared" si="25"/>
        <v>&gt;]i7</v>
      </c>
      <c r="F327" s="21" t="s">
        <v>234</v>
      </c>
      <c r="G327" s="21" t="s">
        <v>756</v>
      </c>
      <c r="H327" s="21">
        <f t="shared" si="27"/>
        <v>102</v>
      </c>
      <c r="I327" s="21"/>
      <c r="J327" s="21" t="s">
        <v>906</v>
      </c>
      <c r="K327" s="21">
        <f t="shared" si="26"/>
        <v>53</v>
      </c>
      <c r="L327" s="21"/>
      <c r="M327" s="15">
        <f t="shared" ref="M327:M348" si="29">(W327-V327)/365</f>
        <v>83.295890410958904</v>
      </c>
      <c r="N327" s="15"/>
      <c r="O327" s="15"/>
      <c r="P327" s="15"/>
      <c r="Q327" s="15"/>
      <c r="R327" s="16">
        <v>0</v>
      </c>
      <c r="S327" s="16">
        <v>4</v>
      </c>
      <c r="T327" s="16">
        <v>0</v>
      </c>
      <c r="U327" s="16">
        <v>0</v>
      </c>
      <c r="V327" s="5">
        <v>36554</v>
      </c>
      <c r="W327" s="5">
        <v>66957</v>
      </c>
      <c r="Y327" s="5">
        <v>63673</v>
      </c>
      <c r="Z327" s="2" t="s">
        <v>2</v>
      </c>
      <c r="AA327" s="2">
        <v>5</v>
      </c>
      <c r="AB327" s="2">
        <v>2</v>
      </c>
      <c r="AC327" s="2">
        <v>3</v>
      </c>
      <c r="AD327" t="s">
        <v>242</v>
      </c>
      <c r="AE327" t="s">
        <v>307</v>
      </c>
      <c r="AF327" t="s">
        <v>245</v>
      </c>
    </row>
    <row r="328" spans="1:32" ht="18" x14ac:dyDescent="0.35">
      <c r="A328" s="6"/>
      <c r="C328" s="13" t="s">
        <v>688</v>
      </c>
      <c r="D328" s="13" t="str">
        <f t="shared" si="28"/>
        <v xml:space="preserve">/fd </v>
      </c>
      <c r="E328" s="13" t="str">
        <f t="shared" ref="E328:E348" si="30">TRIM(RIGHT(SUBSTITUTE(C328," ",REPT(" ",255)),255))</f>
        <v>&gt;]i7</v>
      </c>
      <c r="F328" s="21" t="s">
        <v>233</v>
      </c>
      <c r="G328" s="21" t="s">
        <v>756</v>
      </c>
      <c r="H328" s="21">
        <f t="shared" si="27"/>
        <v>99</v>
      </c>
      <c r="I328" s="21"/>
      <c r="J328" s="21" t="s">
        <v>905</v>
      </c>
      <c r="K328" s="21">
        <f t="shared" si="26"/>
        <v>164</v>
      </c>
      <c r="L328" s="21"/>
      <c r="M328" s="15">
        <f t="shared" si="29"/>
        <v>44.778082191780825</v>
      </c>
      <c r="N328" s="15"/>
      <c r="O328" s="15"/>
      <c r="P328" s="15"/>
      <c r="Q328" s="15"/>
      <c r="R328" s="16"/>
      <c r="S328" s="16"/>
      <c r="T328" s="16"/>
      <c r="U328" s="16"/>
      <c r="V328" s="5">
        <v>50613</v>
      </c>
      <c r="W328" s="5">
        <v>66957</v>
      </c>
      <c r="Y328" s="5"/>
    </row>
    <row r="329" spans="1:32" ht="18" x14ac:dyDescent="0.35">
      <c r="A329" s="6"/>
      <c r="C329" s="13" t="s">
        <v>689</v>
      </c>
      <c r="D329" s="13" t="str">
        <f t="shared" si="28"/>
        <v xml:space="preserve">;/:jtL </v>
      </c>
      <c r="E329" s="13" t="str">
        <f t="shared" si="30"/>
        <v>&gt;]i7</v>
      </c>
      <c r="F329" s="21" t="s">
        <v>234</v>
      </c>
      <c r="G329" s="21" t="s">
        <v>756</v>
      </c>
      <c r="H329" s="21">
        <f t="shared" si="27"/>
        <v>102</v>
      </c>
      <c r="I329" s="21"/>
      <c r="J329" s="21" t="s">
        <v>905</v>
      </c>
      <c r="K329" s="21">
        <f t="shared" si="26"/>
        <v>107</v>
      </c>
      <c r="L329" s="21"/>
      <c r="M329" s="15">
        <f t="shared" si="29"/>
        <v>37.671232876712331</v>
      </c>
      <c r="N329" s="15"/>
      <c r="O329" s="15"/>
      <c r="P329" s="15"/>
      <c r="Q329" s="15"/>
      <c r="R329" s="16"/>
      <c r="S329" s="16"/>
      <c r="T329" s="16"/>
      <c r="U329" s="16"/>
      <c r="V329" s="5">
        <v>53207</v>
      </c>
      <c r="W329" s="5">
        <v>66957</v>
      </c>
      <c r="Y329" s="5"/>
    </row>
    <row r="330" spans="1:32" ht="18" x14ac:dyDescent="0.35">
      <c r="A330" s="6"/>
      <c r="C330" s="13" t="s">
        <v>690</v>
      </c>
      <c r="D330" s="13" t="str">
        <f t="shared" si="28"/>
        <v xml:space="preserve">l/ltdf </v>
      </c>
      <c r="E330" s="13" t="str">
        <f t="shared" si="30"/>
        <v>&gt;]i7</v>
      </c>
      <c r="F330" s="21" t="s">
        <v>234</v>
      </c>
      <c r="G330" s="21" t="s">
        <v>757</v>
      </c>
      <c r="H330" s="21">
        <f t="shared" si="27"/>
        <v>54</v>
      </c>
      <c r="I330" s="21"/>
      <c r="J330" s="21" t="s">
        <v>905</v>
      </c>
      <c r="K330" s="21">
        <f t="shared" si="26"/>
        <v>107</v>
      </c>
      <c r="L330" s="21"/>
      <c r="M330" s="15">
        <f t="shared" si="29"/>
        <v>19.671232876712327</v>
      </c>
      <c r="N330" s="15"/>
      <c r="O330" s="15"/>
      <c r="P330" s="15"/>
      <c r="Q330" s="15"/>
      <c r="R330" s="16"/>
      <c r="S330" s="16"/>
      <c r="T330" s="16"/>
      <c r="U330" s="16"/>
      <c r="V330" s="5">
        <v>59777</v>
      </c>
      <c r="W330" s="5">
        <v>66957</v>
      </c>
      <c r="Y330" s="5"/>
    </row>
    <row r="331" spans="1:32" ht="18" x14ac:dyDescent="0.35">
      <c r="A331" s="6"/>
      <c r="C331" s="13" t="s">
        <v>691</v>
      </c>
      <c r="D331" s="13" t="str">
        <f t="shared" si="28"/>
        <v xml:space="preserve">cflbTo </v>
      </c>
      <c r="E331" s="13" t="str">
        <f t="shared" si="30"/>
        <v>&gt;]i7</v>
      </c>
      <c r="F331" s="21" t="s">
        <v>233</v>
      </c>
      <c r="G331" s="21" t="s">
        <v>757</v>
      </c>
      <c r="H331" s="21">
        <f t="shared" si="27"/>
        <v>69</v>
      </c>
      <c r="I331" s="21"/>
      <c r="J331" s="21" t="s">
        <v>905</v>
      </c>
      <c r="K331" s="21">
        <f t="shared" si="26"/>
        <v>164</v>
      </c>
      <c r="L331" s="21"/>
      <c r="M331" s="15">
        <f t="shared" si="29"/>
        <v>15.917808219178083</v>
      </c>
      <c r="N331" s="15"/>
      <c r="O331" s="15"/>
      <c r="P331" s="15"/>
      <c r="Q331" s="15"/>
      <c r="R331" s="16"/>
      <c r="S331" s="16"/>
      <c r="T331" s="16"/>
      <c r="U331" s="16"/>
      <c r="V331" s="5">
        <v>61147</v>
      </c>
      <c r="W331" s="5">
        <v>66957</v>
      </c>
      <c r="Y331" s="5"/>
    </row>
    <row r="332" spans="1:32" ht="18" x14ac:dyDescent="0.35">
      <c r="A332" s="6">
        <v>107</v>
      </c>
      <c r="B332" t="s">
        <v>219</v>
      </c>
      <c r="C332" s="13" t="s">
        <v>692</v>
      </c>
      <c r="D332" s="13" t="str">
        <f t="shared" si="28"/>
        <v xml:space="preserve">hLa </v>
      </c>
      <c r="E332" s="13" t="str">
        <f t="shared" si="30"/>
        <v>bfxfn</v>
      </c>
      <c r="F332" s="21" t="s">
        <v>233</v>
      </c>
      <c r="G332" s="21" t="s">
        <v>756</v>
      </c>
      <c r="H332" s="21">
        <f t="shared" si="27"/>
        <v>99</v>
      </c>
      <c r="I332" s="21"/>
      <c r="J332" s="21" t="s">
        <v>905</v>
      </c>
      <c r="K332" s="21">
        <f t="shared" si="26"/>
        <v>164</v>
      </c>
      <c r="L332" s="21"/>
      <c r="M332" s="15">
        <f t="shared" si="29"/>
        <v>77</v>
      </c>
      <c r="N332" s="15"/>
      <c r="O332" s="15"/>
      <c r="P332" s="15"/>
      <c r="Q332" s="15"/>
      <c r="R332" s="16">
        <v>0</v>
      </c>
      <c r="S332" s="16">
        <v>11</v>
      </c>
      <c r="T332" s="16">
        <v>1</v>
      </c>
      <c r="U332" s="16">
        <v>0</v>
      </c>
      <c r="V332" s="5">
        <v>38852</v>
      </c>
      <c r="W332" s="5">
        <v>66957</v>
      </c>
      <c r="Y332" s="5">
        <v>63649</v>
      </c>
      <c r="Z332" s="2" t="s">
        <v>2</v>
      </c>
      <c r="AA332" s="2">
        <v>6</v>
      </c>
      <c r="AB332" s="2">
        <v>1</v>
      </c>
      <c r="AC332" s="2">
        <v>5</v>
      </c>
      <c r="AD332" t="s">
        <v>239</v>
      </c>
      <c r="AE332" t="s">
        <v>274</v>
      </c>
      <c r="AF332" t="s">
        <v>245</v>
      </c>
    </row>
    <row r="333" spans="1:32" ht="18" x14ac:dyDescent="0.35">
      <c r="A333" s="6"/>
      <c r="C333" s="13" t="s">
        <v>693</v>
      </c>
      <c r="D333" s="13" t="str">
        <f t="shared" si="28"/>
        <v xml:space="preserve">s]z/ </v>
      </c>
      <c r="E333" s="13" t="str">
        <f t="shared" si="30"/>
        <v>bfxfn</v>
      </c>
      <c r="F333" s="21" t="s">
        <v>234</v>
      </c>
      <c r="G333" s="21" t="s">
        <v>756</v>
      </c>
      <c r="H333" s="21">
        <f t="shared" si="27"/>
        <v>102</v>
      </c>
      <c r="I333" s="21"/>
      <c r="J333" s="21" t="s">
        <v>906</v>
      </c>
      <c r="K333" s="21">
        <f t="shared" si="26"/>
        <v>53</v>
      </c>
      <c r="L333" s="21"/>
      <c r="M333" s="15">
        <f t="shared" si="29"/>
        <v>73.205479452054789</v>
      </c>
      <c r="N333" s="15"/>
      <c r="O333" s="15"/>
      <c r="P333" s="15"/>
      <c r="Q333" s="15"/>
      <c r="R333" s="16"/>
      <c r="S333" s="16"/>
      <c r="T333" s="16"/>
      <c r="U333" s="16"/>
      <c r="V333" s="5">
        <v>40237</v>
      </c>
      <c r="W333" s="5">
        <v>66957</v>
      </c>
      <c r="Y333" s="5"/>
    </row>
    <row r="334" spans="1:32" ht="18" x14ac:dyDescent="0.35">
      <c r="A334" s="6"/>
      <c r="C334" s="13" t="s">
        <v>694</v>
      </c>
      <c r="D334" s="13" t="str">
        <f t="shared" si="28"/>
        <v xml:space="preserve">lgzf </v>
      </c>
      <c r="E334" s="13" t="str">
        <f t="shared" si="30"/>
        <v>zdf{</v>
      </c>
      <c r="F334" s="21" t="s">
        <v>234</v>
      </c>
      <c r="G334" s="21" t="s">
        <v>757</v>
      </c>
      <c r="H334" s="21">
        <f t="shared" si="27"/>
        <v>54</v>
      </c>
      <c r="I334" s="21"/>
      <c r="J334" s="21" t="s">
        <v>905</v>
      </c>
      <c r="K334" s="21">
        <f t="shared" si="26"/>
        <v>107</v>
      </c>
      <c r="L334" s="21"/>
      <c r="M334" s="15">
        <f t="shared" si="29"/>
        <v>40.06849315068493</v>
      </c>
      <c r="N334" s="15"/>
      <c r="O334" s="15"/>
      <c r="P334" s="15"/>
      <c r="Q334" s="15"/>
      <c r="R334" s="16"/>
      <c r="S334" s="16"/>
      <c r="T334" s="16"/>
      <c r="U334" s="16"/>
      <c r="V334" s="5">
        <v>52332</v>
      </c>
      <c r="W334" s="5">
        <v>66957</v>
      </c>
      <c r="Y334" s="5"/>
    </row>
    <row r="335" spans="1:32" ht="18" x14ac:dyDescent="0.35">
      <c r="A335" s="6"/>
      <c r="C335" s="13" t="s">
        <v>695</v>
      </c>
      <c r="D335" s="13" t="str">
        <f t="shared" si="28"/>
        <v xml:space="preserve">kf]if0f </v>
      </c>
      <c r="E335" s="13" t="str">
        <f t="shared" si="30"/>
        <v>zdf{</v>
      </c>
      <c r="F335" s="21" t="s">
        <v>234</v>
      </c>
      <c r="G335" s="21" t="s">
        <v>757</v>
      </c>
      <c r="H335" s="21">
        <f t="shared" si="27"/>
        <v>54</v>
      </c>
      <c r="I335" s="21"/>
      <c r="J335" s="21" t="s">
        <v>905</v>
      </c>
      <c r="K335" s="21">
        <f t="shared" si="26"/>
        <v>107</v>
      </c>
      <c r="L335" s="21"/>
      <c r="M335" s="15">
        <f t="shared" si="29"/>
        <v>33.090410958904108</v>
      </c>
      <c r="N335" s="15"/>
      <c r="O335" s="15"/>
      <c r="P335" s="15"/>
      <c r="Q335" s="15"/>
      <c r="R335" s="16"/>
      <c r="S335" s="16"/>
      <c r="T335" s="16"/>
      <c r="U335" s="16"/>
      <c r="V335" s="5">
        <v>54879</v>
      </c>
      <c r="W335" s="5">
        <v>66957</v>
      </c>
      <c r="Y335" s="5"/>
    </row>
    <row r="336" spans="1:32" ht="18" x14ac:dyDescent="0.35">
      <c r="A336" s="6"/>
      <c r="C336" s="13" t="s">
        <v>696</v>
      </c>
      <c r="D336" s="13" t="str">
        <f t="shared" si="28"/>
        <v xml:space="preserve">g]z' </v>
      </c>
      <c r="E336" s="13" t="str">
        <f t="shared" si="30"/>
        <v>zdf{</v>
      </c>
      <c r="F336" s="21" t="s">
        <v>234</v>
      </c>
      <c r="G336" s="21" t="s">
        <v>757</v>
      </c>
      <c r="H336" s="21">
        <f t="shared" si="27"/>
        <v>54</v>
      </c>
      <c r="I336" s="21"/>
      <c r="J336" s="21" t="s">
        <v>905</v>
      </c>
      <c r="K336" s="21">
        <f t="shared" si="26"/>
        <v>107</v>
      </c>
      <c r="L336" s="21"/>
      <c r="M336" s="15">
        <f t="shared" si="29"/>
        <v>31.791780821917808</v>
      </c>
      <c r="N336" s="15"/>
      <c r="O336" s="15"/>
      <c r="P336" s="15"/>
      <c r="Q336" s="15"/>
      <c r="R336" s="16"/>
      <c r="S336" s="16"/>
      <c r="T336" s="16"/>
      <c r="U336" s="16"/>
      <c r="V336" s="5">
        <v>55353</v>
      </c>
      <c r="W336" s="5">
        <v>66957</v>
      </c>
      <c r="Y336" s="5"/>
    </row>
    <row r="337" spans="1:32" ht="18" x14ac:dyDescent="0.35">
      <c r="A337" s="6"/>
      <c r="C337" s="13" t="s">
        <v>697</v>
      </c>
      <c r="D337" s="13" t="str">
        <f t="shared" si="28"/>
        <v xml:space="preserve">piff </v>
      </c>
      <c r="E337" s="13" t="str">
        <f t="shared" si="30"/>
        <v>zdf{</v>
      </c>
      <c r="F337" s="21" t="s">
        <v>234</v>
      </c>
      <c r="G337" s="21" t="s">
        <v>757</v>
      </c>
      <c r="H337" s="21">
        <f t="shared" si="27"/>
        <v>54</v>
      </c>
      <c r="I337" s="21"/>
      <c r="J337" s="21" t="s">
        <v>905</v>
      </c>
      <c r="K337" s="21">
        <f t="shared" si="26"/>
        <v>107</v>
      </c>
      <c r="L337" s="21"/>
      <c r="M337" s="15">
        <f t="shared" si="29"/>
        <v>50.441095890410956</v>
      </c>
      <c r="N337" s="15"/>
      <c r="O337" s="15"/>
      <c r="P337" s="15"/>
      <c r="Q337" s="15"/>
      <c r="R337" s="16"/>
      <c r="S337" s="16"/>
      <c r="T337" s="16"/>
      <c r="U337" s="16"/>
      <c r="V337" s="5">
        <v>48546</v>
      </c>
      <c r="W337" s="5">
        <v>66957</v>
      </c>
      <c r="Y337" s="5"/>
    </row>
    <row r="338" spans="1:32" ht="18" x14ac:dyDescent="0.35">
      <c r="A338" s="6">
        <v>108</v>
      </c>
      <c r="B338" t="s">
        <v>148</v>
      </c>
      <c r="C338" s="13" t="s">
        <v>698</v>
      </c>
      <c r="D338" s="13" t="str">
        <f t="shared" si="28"/>
        <v xml:space="preserve">rGb| </v>
      </c>
      <c r="E338" s="13" t="str">
        <f t="shared" si="30"/>
        <v>a:g]t</v>
      </c>
      <c r="F338" s="21" t="s">
        <v>233</v>
      </c>
      <c r="G338" s="21" t="s">
        <v>756</v>
      </c>
      <c r="H338" s="21">
        <f t="shared" si="27"/>
        <v>99</v>
      </c>
      <c r="I338" s="21"/>
      <c r="J338" s="21" t="s">
        <v>905</v>
      </c>
      <c r="K338" s="21">
        <f t="shared" si="26"/>
        <v>164</v>
      </c>
      <c r="L338" s="21"/>
      <c r="M338" s="15">
        <f t="shared" si="29"/>
        <v>55.589041095890408</v>
      </c>
      <c r="N338" s="15"/>
      <c r="O338" s="15"/>
      <c r="P338" s="15"/>
      <c r="Q338" s="15"/>
      <c r="R338" s="16" t="s">
        <v>748</v>
      </c>
      <c r="S338" s="16" t="s">
        <v>748</v>
      </c>
      <c r="T338" s="16" t="s">
        <v>748</v>
      </c>
      <c r="U338" s="16" t="s">
        <v>748</v>
      </c>
      <c r="V338" s="5">
        <v>46667</v>
      </c>
      <c r="W338" s="5">
        <v>66957</v>
      </c>
      <c r="Y338" s="5">
        <v>63601</v>
      </c>
      <c r="Z338" s="2" t="s">
        <v>2</v>
      </c>
      <c r="AA338" s="2">
        <v>4</v>
      </c>
      <c r="AB338" s="2">
        <v>2</v>
      </c>
      <c r="AC338" s="2">
        <v>2</v>
      </c>
      <c r="AD338" t="s">
        <v>242</v>
      </c>
      <c r="AE338" t="s">
        <v>260</v>
      </c>
      <c r="AF338" t="s">
        <v>245</v>
      </c>
    </row>
    <row r="339" spans="1:32" ht="18" x14ac:dyDescent="0.35">
      <c r="A339" s="6"/>
      <c r="C339" s="13" t="s">
        <v>699</v>
      </c>
      <c r="D339" s="13" t="str">
        <f t="shared" si="28"/>
        <v xml:space="preserve">kz'klt </v>
      </c>
      <c r="E339" s="13" t="str">
        <f t="shared" si="30"/>
        <v>sfsL{</v>
      </c>
      <c r="F339" s="21" t="s">
        <v>234</v>
      </c>
      <c r="G339" s="21" t="s">
        <v>756</v>
      </c>
      <c r="H339" s="21">
        <f t="shared" si="27"/>
        <v>102</v>
      </c>
      <c r="I339" s="21"/>
      <c r="J339" s="21" t="s">
        <v>905</v>
      </c>
      <c r="K339" s="21">
        <f t="shared" si="26"/>
        <v>107</v>
      </c>
      <c r="L339" s="21"/>
      <c r="M339" s="15">
        <f t="shared" si="29"/>
        <v>42.750684931506846</v>
      </c>
      <c r="R339" s="16"/>
      <c r="S339" s="16"/>
      <c r="T339" s="16"/>
      <c r="U339" s="16"/>
      <c r="V339" s="5">
        <v>51353</v>
      </c>
      <c r="W339" s="5">
        <v>66957</v>
      </c>
      <c r="Y339" s="5"/>
    </row>
    <row r="340" spans="1:32" ht="18" x14ac:dyDescent="0.35">
      <c r="A340" s="6"/>
      <c r="C340" s="13" t="s">
        <v>612</v>
      </c>
      <c r="D340" s="13" t="str">
        <f t="shared" si="28"/>
        <v xml:space="preserve">ljzfn </v>
      </c>
      <c r="E340" s="13" t="str">
        <f t="shared" si="30"/>
        <v>a:g]t</v>
      </c>
      <c r="F340" s="21" t="s">
        <v>233</v>
      </c>
      <c r="G340" s="21" t="s">
        <v>757</v>
      </c>
      <c r="H340" s="21">
        <f t="shared" si="27"/>
        <v>69</v>
      </c>
      <c r="I340" s="21"/>
      <c r="J340" s="21" t="s">
        <v>905</v>
      </c>
      <c r="K340" s="21">
        <f t="shared" si="26"/>
        <v>164</v>
      </c>
      <c r="L340" s="21"/>
      <c r="M340" s="15">
        <f t="shared" si="29"/>
        <v>20.235616438356164</v>
      </c>
      <c r="R340" s="16"/>
      <c r="S340" s="16"/>
      <c r="T340" s="16"/>
      <c r="U340" s="16"/>
      <c r="V340" s="5">
        <v>59571</v>
      </c>
      <c r="W340" s="5">
        <v>66957</v>
      </c>
      <c r="Y340" s="5"/>
    </row>
    <row r="341" spans="1:32" ht="18" x14ac:dyDescent="0.35">
      <c r="A341" s="6"/>
      <c r="C341" s="13" t="s">
        <v>613</v>
      </c>
      <c r="D341" s="13" t="str">
        <f t="shared" si="28"/>
        <v xml:space="preserve">ljj]s </v>
      </c>
      <c r="E341" s="13" t="str">
        <f t="shared" si="30"/>
        <v>a:g]t</v>
      </c>
      <c r="F341" s="21" t="s">
        <v>233</v>
      </c>
      <c r="G341" s="21" t="s">
        <v>757</v>
      </c>
      <c r="H341" s="21">
        <f t="shared" si="27"/>
        <v>69</v>
      </c>
      <c r="I341" s="21"/>
      <c r="J341" s="21" t="s">
        <v>905</v>
      </c>
      <c r="K341" s="21">
        <f t="shared" si="26"/>
        <v>164</v>
      </c>
      <c r="L341" s="21"/>
      <c r="M341" s="15">
        <f t="shared" si="29"/>
        <v>19.013698630136986</v>
      </c>
      <c r="R341" s="16"/>
      <c r="S341" s="16"/>
      <c r="T341" s="16"/>
      <c r="U341" s="16"/>
      <c r="V341" s="5">
        <v>60017</v>
      </c>
      <c r="W341" s="5">
        <v>66957</v>
      </c>
      <c r="Y341" s="5"/>
    </row>
    <row r="342" spans="1:32" ht="18" x14ac:dyDescent="0.35">
      <c r="A342" s="6">
        <v>109</v>
      </c>
      <c r="B342" t="s">
        <v>220</v>
      </c>
      <c r="C342" s="13" t="s">
        <v>700</v>
      </c>
      <c r="D342" s="13" t="str">
        <f t="shared" si="28"/>
        <v xml:space="preserve">r'8fd0fL </v>
      </c>
      <c r="E342" s="13" t="str">
        <f t="shared" si="30"/>
        <v>vgfn</v>
      </c>
      <c r="F342" s="21" t="s">
        <v>233</v>
      </c>
      <c r="G342" s="21" t="s">
        <v>756</v>
      </c>
      <c r="H342" s="21">
        <f t="shared" si="27"/>
        <v>99</v>
      </c>
      <c r="I342" s="21"/>
      <c r="J342" s="21" t="s">
        <v>905</v>
      </c>
      <c r="K342" s="21">
        <f t="shared" si="26"/>
        <v>164</v>
      </c>
      <c r="L342" s="21"/>
      <c r="M342" s="15">
        <f t="shared" si="29"/>
        <v>51.819178082191783</v>
      </c>
      <c r="R342" s="16" t="s">
        <v>748</v>
      </c>
      <c r="S342" s="16" t="s">
        <v>748</v>
      </c>
      <c r="T342" s="16" t="s">
        <v>748</v>
      </c>
      <c r="U342" s="16" t="s">
        <v>748</v>
      </c>
      <c r="V342" s="5">
        <v>48043</v>
      </c>
      <c r="W342" s="5">
        <v>66957</v>
      </c>
      <c r="Y342" s="5">
        <v>63569</v>
      </c>
      <c r="Z342" s="2" t="s">
        <v>2</v>
      </c>
      <c r="AA342" s="2">
        <v>3</v>
      </c>
      <c r="AB342" s="2">
        <v>2</v>
      </c>
      <c r="AC342" s="2">
        <v>1</v>
      </c>
      <c r="AD342" t="s">
        <v>242</v>
      </c>
      <c r="AE342" t="s">
        <v>261</v>
      </c>
      <c r="AF342" t="s">
        <v>245</v>
      </c>
    </row>
    <row r="343" spans="1:32" ht="18" x14ac:dyDescent="0.35">
      <c r="A343" s="6"/>
      <c r="C343" s="13" t="s">
        <v>701</v>
      </c>
      <c r="D343" s="13" t="str">
        <f t="shared" si="28"/>
        <v xml:space="preserve">;'gfb]jL </v>
      </c>
      <c r="E343" s="13" t="str">
        <f t="shared" si="30"/>
        <v>clwsf/L</v>
      </c>
      <c r="F343" s="21" t="s">
        <v>234</v>
      </c>
      <c r="G343" s="21" t="s">
        <v>756</v>
      </c>
      <c r="H343" s="21">
        <f t="shared" si="27"/>
        <v>102</v>
      </c>
      <c r="I343" s="21"/>
      <c r="J343" s="21" t="s">
        <v>905</v>
      </c>
      <c r="K343" s="21">
        <f t="shared" si="26"/>
        <v>107</v>
      </c>
      <c r="L343" s="21"/>
      <c r="M343" s="15">
        <f t="shared" si="29"/>
        <v>50.320547945205476</v>
      </c>
      <c r="R343" s="16"/>
      <c r="S343" s="16"/>
      <c r="T343" s="16"/>
      <c r="U343" s="16"/>
      <c r="V343" s="5">
        <v>48590</v>
      </c>
      <c r="W343" s="5">
        <v>66957</v>
      </c>
      <c r="Y343" s="5"/>
    </row>
    <row r="344" spans="1:32" ht="18" x14ac:dyDescent="0.35">
      <c r="A344" s="6"/>
      <c r="C344" s="13" t="s">
        <v>702</v>
      </c>
      <c r="D344" s="13" t="str">
        <f t="shared" si="28"/>
        <v xml:space="preserve">;'j0f{ </v>
      </c>
      <c r="E344" s="13" t="str">
        <f t="shared" si="30"/>
        <v>vgfn</v>
      </c>
      <c r="F344" s="21" t="s">
        <v>233</v>
      </c>
      <c r="G344" s="21" t="s">
        <v>757</v>
      </c>
      <c r="H344" s="21">
        <f t="shared" si="27"/>
        <v>69</v>
      </c>
      <c r="I344" s="21"/>
      <c r="J344" s="21" t="s">
        <v>905</v>
      </c>
      <c r="K344" s="21">
        <f t="shared" si="26"/>
        <v>164</v>
      </c>
      <c r="L344" s="21"/>
      <c r="M344" s="15">
        <f t="shared" si="29"/>
        <v>22.07123287671233</v>
      </c>
      <c r="R344" s="16"/>
      <c r="S344" s="16"/>
      <c r="T344" s="16"/>
      <c r="U344" s="16"/>
      <c r="V344" s="5">
        <v>58901</v>
      </c>
      <c r="W344" s="5">
        <v>66957</v>
      </c>
      <c r="Y344" s="5"/>
    </row>
    <row r="345" spans="1:32" ht="18" x14ac:dyDescent="0.35">
      <c r="A345" s="6">
        <v>110</v>
      </c>
      <c r="B345" t="s">
        <v>221</v>
      </c>
      <c r="C345" s="13" t="s">
        <v>703</v>
      </c>
      <c r="D345" s="13" t="str">
        <f t="shared" si="28"/>
        <v xml:space="preserve">d'/f/L </v>
      </c>
      <c r="E345" s="13" t="str">
        <f t="shared" si="30"/>
        <v>;'j]bL</v>
      </c>
      <c r="F345" s="21" t="s">
        <v>233</v>
      </c>
      <c r="G345" s="21" t="s">
        <v>756</v>
      </c>
      <c r="H345" s="21">
        <f t="shared" si="27"/>
        <v>99</v>
      </c>
      <c r="I345" s="21"/>
      <c r="J345" s="21" t="s">
        <v>905</v>
      </c>
      <c r="K345" s="21">
        <f t="shared" si="26"/>
        <v>164</v>
      </c>
      <c r="L345" s="21"/>
      <c r="M345" s="15">
        <f t="shared" si="29"/>
        <v>54.293150684931504</v>
      </c>
      <c r="R345" s="16">
        <v>1</v>
      </c>
      <c r="S345" s="16">
        <v>10</v>
      </c>
      <c r="T345" s="16">
        <v>0</v>
      </c>
      <c r="U345" s="16">
        <v>0</v>
      </c>
      <c r="V345" s="5">
        <v>47140</v>
      </c>
      <c r="W345" s="5">
        <v>66957</v>
      </c>
      <c r="X345" t="s">
        <v>229</v>
      </c>
      <c r="Y345" s="5">
        <v>63566</v>
      </c>
      <c r="Z345" s="2" t="s">
        <v>2</v>
      </c>
      <c r="AA345" s="2">
        <v>4</v>
      </c>
      <c r="AB345" s="2">
        <v>2</v>
      </c>
      <c r="AC345" s="2">
        <v>2</v>
      </c>
      <c r="AD345" t="s">
        <v>242</v>
      </c>
      <c r="AE345" t="s">
        <v>295</v>
      </c>
      <c r="AF345" t="s">
        <v>245</v>
      </c>
    </row>
    <row r="346" spans="1:32" ht="18" x14ac:dyDescent="0.35">
      <c r="A346" s="6"/>
      <c r="C346" s="13" t="s">
        <v>704</v>
      </c>
      <c r="D346" s="13" t="str">
        <f t="shared" si="28"/>
        <v xml:space="preserve">;'ldqf </v>
      </c>
      <c r="E346" s="13" t="str">
        <f t="shared" si="30"/>
        <v>;'j]bL</v>
      </c>
      <c r="F346" s="21" t="s">
        <v>234</v>
      </c>
      <c r="G346" s="21" t="s">
        <v>756</v>
      </c>
      <c r="H346" s="21">
        <f t="shared" si="27"/>
        <v>102</v>
      </c>
      <c r="I346" s="21"/>
      <c r="J346" s="21" t="s">
        <v>906</v>
      </c>
      <c r="K346" s="21">
        <f t="shared" si="26"/>
        <v>53</v>
      </c>
      <c r="L346" s="21"/>
      <c r="M346" s="15">
        <f t="shared" si="29"/>
        <v>49.035616438356165</v>
      </c>
      <c r="R346" s="16"/>
      <c r="S346" s="16"/>
      <c r="T346" s="16"/>
      <c r="U346" s="16"/>
      <c r="V346" s="5">
        <v>49059</v>
      </c>
      <c r="W346" s="5">
        <v>66957</v>
      </c>
      <c r="Y346" s="5"/>
    </row>
    <row r="347" spans="1:32" ht="18" x14ac:dyDescent="0.35">
      <c r="A347" s="6"/>
      <c r="C347" s="13" t="s">
        <v>705</v>
      </c>
      <c r="D347" s="13" t="str">
        <f t="shared" si="28"/>
        <v xml:space="preserve">laa]s </v>
      </c>
      <c r="E347" s="13" t="str">
        <f t="shared" si="30"/>
        <v>;'j]bL</v>
      </c>
      <c r="F347" s="21" t="s">
        <v>233</v>
      </c>
      <c r="G347" s="21" t="s">
        <v>757</v>
      </c>
      <c r="H347" s="21">
        <f t="shared" si="27"/>
        <v>69</v>
      </c>
      <c r="I347" s="21"/>
      <c r="J347" s="21" t="s">
        <v>905</v>
      </c>
      <c r="K347" s="21">
        <f t="shared" si="26"/>
        <v>164</v>
      </c>
      <c r="L347" s="21"/>
      <c r="M347" s="15">
        <f t="shared" si="29"/>
        <v>21.641095890410959</v>
      </c>
      <c r="R347" s="16"/>
      <c r="S347" s="16"/>
      <c r="T347" s="16"/>
      <c r="U347" s="16"/>
      <c r="V347" s="5">
        <v>59058</v>
      </c>
      <c r="W347" s="5">
        <v>66957</v>
      </c>
      <c r="Y347" s="5"/>
    </row>
    <row r="348" spans="1:32" ht="18" x14ac:dyDescent="0.35">
      <c r="A348" s="6"/>
      <c r="C348" s="13" t="s">
        <v>706</v>
      </c>
      <c r="D348" s="13" t="str">
        <f t="shared" si="28"/>
        <v xml:space="preserve">;[li6 </v>
      </c>
      <c r="E348" s="13" t="str">
        <f t="shared" si="30"/>
        <v>;'j]bL</v>
      </c>
      <c r="F348" s="21" t="s">
        <v>234</v>
      </c>
      <c r="G348" s="21" t="s">
        <v>757</v>
      </c>
      <c r="H348" s="21">
        <f t="shared" si="27"/>
        <v>54</v>
      </c>
      <c r="I348" s="21"/>
      <c r="J348" s="21" t="s">
        <v>905</v>
      </c>
      <c r="K348" s="21">
        <f t="shared" si="26"/>
        <v>107</v>
      </c>
      <c r="L348" s="21"/>
      <c r="M348" s="15">
        <f t="shared" si="29"/>
        <v>13.282191780821918</v>
      </c>
      <c r="R348" s="16"/>
      <c r="S348" s="16"/>
      <c r="T348" s="16"/>
      <c r="U348" s="16"/>
      <c r="V348" s="5">
        <v>62109</v>
      </c>
      <c r="W348" s="5">
        <v>66957</v>
      </c>
      <c r="Y348" s="5"/>
    </row>
    <row r="349" spans="1:32" x14ac:dyDescent="0.3">
      <c r="AA349" s="3">
        <f>SUM(AA4:AA348)</f>
        <v>345</v>
      </c>
      <c r="AB349" s="3">
        <f t="shared" ref="AB349:AC349" si="31">SUM(AB4:AB348)</f>
        <v>182</v>
      </c>
      <c r="AC349" s="3">
        <f t="shared" si="31"/>
        <v>163</v>
      </c>
    </row>
  </sheetData>
  <mergeCells count="27">
    <mergeCell ref="AG1:AG2"/>
    <mergeCell ref="H1:H2"/>
    <mergeCell ref="I1:I2"/>
    <mergeCell ref="Y1:Y2"/>
    <mergeCell ref="Z1:Z2"/>
    <mergeCell ref="AA1:AC1"/>
    <mergeCell ref="AD1:AD2"/>
    <mergeCell ref="AE1:AE2"/>
    <mergeCell ref="AF1:AF2"/>
    <mergeCell ref="P1:P2"/>
    <mergeCell ref="Q1:Q2"/>
    <mergeCell ref="R1:U1"/>
    <mergeCell ref="V1:V2"/>
    <mergeCell ref="W1:W2"/>
    <mergeCell ref="X1:X2"/>
    <mergeCell ref="J1:J2"/>
    <mergeCell ref="K1:K2"/>
    <mergeCell ref="L1:L2"/>
    <mergeCell ref="M1:M2"/>
    <mergeCell ref="N1:N2"/>
    <mergeCell ref="O1:O2"/>
    <mergeCell ref="G1:G2"/>
    <mergeCell ref="A1:A2"/>
    <mergeCell ref="C1:C2"/>
    <mergeCell ref="D1:D2"/>
    <mergeCell ref="E1:E2"/>
    <mergeCell ref="F1:F2"/>
  </mergeCells>
  <dataValidations disablePrompts="1" count="1">
    <dataValidation type="list" allowBlank="1" showInputMessage="1" showErrorMessage="1" sqref="Z4:Z348" xr:uid="{1438290E-8E2D-410D-AD55-667B29630D88}">
      <formula1>$Z$4:$Z$73</formula1>
    </dataValidation>
  </dataValidations>
  <pageMargins left="0.7" right="0.7" top="0.75" bottom="0.75" header="0.3" footer="0.3"/>
  <pageSetup paperSize="9" scale="8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087BD7A-FF64-4EC3-9CDE-DB4F57CB0370}">
          <x14:formula1>
            <xm:f>Reasons!$A$2:$A$8</xm:f>
          </x14:formula1>
          <xm:sqref>AD4:AD348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Detailed</vt:lpstr>
      <vt:lpstr>for graph</vt:lpstr>
      <vt:lpstr>Sheet2</vt:lpstr>
      <vt:lpstr>Reasons</vt:lpstr>
      <vt:lpstr>Detailed (2)</vt:lpstr>
      <vt:lpstr>5yrs above</vt:lpstr>
      <vt:lpstr>10yrs above</vt:lpstr>
      <vt:lpstr>Detailed!Print_Area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rabina baga</cp:lastModifiedBy>
  <cp:lastPrinted>2026-09-11T07:27:45Z</cp:lastPrinted>
  <dcterms:created xsi:type="dcterms:W3CDTF">2015-06-05T18:17:20Z</dcterms:created>
  <dcterms:modified xsi:type="dcterms:W3CDTF">2026-09-20T16:08:30Z</dcterms:modified>
</cp:coreProperties>
</file>