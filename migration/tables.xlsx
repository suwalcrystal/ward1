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3F9FBE09-9D85-4FAF-B6B7-2FD3E977FF05}" xr6:coauthVersionLast="47" xr6:coauthVersionMax="47" xr10:uidLastSave="{00000000-0000-0000-0000-000000000000}"/>
  <bookViews>
    <workbookView xWindow="-120" yWindow="-120" windowWidth="20730" windowHeight="11040" firstSheet="5" activeTab="8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0" l="1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C7" i="8"/>
  <c r="C3" i="8"/>
  <c r="C4" i="8"/>
  <c r="C5" i="8"/>
  <c r="C6" i="8"/>
  <c r="C2" i="8"/>
  <c r="B7" i="8"/>
  <c r="B7" i="7"/>
  <c r="C4" i="7" s="1"/>
  <c r="C6" i="5"/>
  <c r="C5" i="5"/>
  <c r="C4" i="5"/>
  <c r="C3" i="5"/>
  <c r="C2" i="5"/>
  <c r="B6" i="5"/>
  <c r="B6" i="6"/>
  <c r="C5" i="6" s="1"/>
  <c r="J5" i="6" s="1"/>
  <c r="D6" i="6"/>
  <c r="E5" i="6" l="1"/>
  <c r="K5" i="6" s="1"/>
  <c r="E4" i="6"/>
  <c r="C3" i="9"/>
  <c r="C2" i="9"/>
  <c r="C5" i="7"/>
  <c r="C2" i="7"/>
  <c r="C7" i="7" s="1"/>
  <c r="C3" i="7"/>
  <c r="F4" i="6"/>
  <c r="F5" i="6"/>
  <c r="C4" i="6"/>
  <c r="C6" i="6" l="1"/>
  <c r="J4" i="6"/>
  <c r="E6" i="6"/>
  <c r="K4" i="6"/>
  <c r="C5" i="9"/>
  <c r="F6" i="6"/>
  <c r="G5" i="6" s="1"/>
  <c r="G4" i="6" l="1"/>
  <c r="G6" i="6"/>
</calcChain>
</file>

<file path=xl/sharedStrings.xml><?xml version="1.0" encoding="utf-8"?>
<sst xmlns="http://schemas.openxmlformats.org/spreadsheetml/2006/main" count="117" uniqueCount="74">
  <si>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</si>
  <si>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</si>
  <si>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</si>
  <si>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</si>
  <si>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</si>
  <si>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</si>
  <si>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</si>
  <si>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</si>
  <si>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</si>
  <si>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</si>
  <si>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</si>
  <si>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</si>
  <si>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</si>
  <si>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</si>
  <si>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</si>
  <si>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</si>
  <si>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</si>
  <si>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</si>
  <si>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</si>
  <si>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</si>
  <si>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</si>
  <si>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</si>
  <si>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</si>
  <si>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</si>
  <si>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</si>
  <si>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</si>
  <si>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</si>
  <si>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</si>
  <si>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</si>
  <si>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</si>
  <si>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</si>
  <si>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</si>
  <si>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</si>
  <si>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</si>
  <si>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</si>
  <si>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</si>
  <si>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</si>
  <si>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</si>
  <si>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</si>
  <si>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</si>
  <si>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</si>
  <si>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</si>
  <si>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</si>
  <si>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</si>
  <si>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</si>
  <si>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</si>
  <si>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</si>
  <si>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</si>
  <si>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</si>
  <si>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</si>
  <si>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</si>
  <si>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</si>
  <si>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</si>
  <si>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No land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</si>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</sst>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right"/>
    </xf>
    <xf numFmtId="2" fontId="0" fillId="0" borderId="0" xfId="0" applyNumberFormat="1"/>
    <xf numFmtId="0" fontId="0" fillId="0" borderId="5" xfId="0" applyBorder="1" applyAlignment="1">
      <alignment horizontal="center"/>
    </xf>
    <xf numFmtId="49" fontId="0" fillId="0" borderId="5" xfId="0" applyNumberFormat="1" applyBorder="1"/>
    <xf numFmtId="1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34.831460674157306</c:v>
                </c:pt>
                <c:pt idx="1">
                  <c:v>28.08988764044944</c:v>
                </c:pt>
                <c:pt idx="2">
                  <c:v>28.08988764044944</c:v>
                </c:pt>
                <c:pt idx="3">
                  <c:v>8.9887640449438209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34.831460674157306</c:v>
                </c:pt>
                <c:pt idx="1">
                  <c:v>28.08988764044944</c:v>
                </c:pt>
                <c:pt idx="2">
                  <c:v>28.08988764044944</c:v>
                </c:pt>
                <c:pt idx="3">
                  <c:v>8.9887640449438209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6.7415730337078648</c:v>
                </c:pt>
                <c:pt idx="1">
                  <c:v>39.325842696629216</c:v>
                </c:pt>
                <c:pt idx="2">
                  <c:v>53.932584269662918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52387</xdr:rowOff>
    </xdr:from>
    <xdr:to>
      <xdr:col>14</xdr:col>
      <xdr:colOff>604837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12" t="s">
        <v>0</v>
      </c>
      <c r="B1" s="12"/>
      <c r="C1" s="12"/>
      <c r="D1" s="12"/>
      <c r="E1" s="12"/>
      <c r="F1" s="12"/>
      <c r="G1" s="12"/>
      <c r="H1" s="12"/>
      <c r="I1" s="12"/>
    </row>
    <row r="2" spans="1:9" ht="15.75" thickBot="1" x14ac:dyDescent="0.3">
      <c r="A2" s="13" t="s">
        <v>1</v>
      </c>
      <c r="B2" s="13"/>
      <c r="C2" s="13"/>
      <c r="D2" s="13"/>
      <c r="E2" s="13"/>
      <c r="F2" s="13"/>
      <c r="G2" s="13"/>
      <c r="H2" s="13"/>
      <c r="I2" s="13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12" t="s">
        <v>13</v>
      </c>
      <c r="B1" s="12"/>
      <c r="C1" s="12"/>
      <c r="D1" s="12"/>
      <c r="E1" s="12"/>
      <c r="F1" s="12"/>
      <c r="G1" s="12"/>
      <c r="H1" s="1"/>
      <c r="I1" s="1"/>
      <c r="J1" s="1"/>
      <c r="K1" s="1"/>
      <c r="L1" s="1"/>
    </row>
    <row r="2" spans="1:12" ht="15.75" thickBot="1" x14ac:dyDescent="0.3">
      <c r="A2" s="13" t="s">
        <v>14</v>
      </c>
      <c r="B2" s="13"/>
      <c r="C2" s="13"/>
      <c r="D2" s="13"/>
      <c r="E2" s="13"/>
      <c r="F2" s="13"/>
      <c r="G2" s="13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12" t="s">
        <v>19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.75" thickBot="1" x14ac:dyDescent="0.3">
      <c r="A2" s="13" t="s">
        <v>20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62</v>
      </c>
    </row>
    <row r="5" spans="1:11" ht="15.75" thickBot="1" x14ac:dyDescent="0.3">
      <c r="A5" s="5" t="s">
        <v>23</v>
      </c>
      <c r="B5" s="7">
        <v>0.21</v>
      </c>
      <c r="C5" s="6">
        <v>17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E8" sqref="E8"/>
    </sheetView>
  </sheetViews>
  <sheetFormatPr defaultRowHeight="15" x14ac:dyDescent="0.25"/>
  <cols>
    <col min="2" max="2" width="11.42578125" bestFit="1" customWidth="1"/>
  </cols>
  <sheetData>
    <row r="1" spans="1:2" x14ac:dyDescent="0.25">
      <c r="A1" s="8" t="s">
        <v>25</v>
      </c>
      <c r="B1" s="8" t="s">
        <v>26</v>
      </c>
    </row>
    <row r="2" spans="1:2" x14ac:dyDescent="0.25">
      <c r="A2" s="9">
        <v>2083</v>
      </c>
      <c r="B2" s="9">
        <v>3</v>
      </c>
    </row>
    <row r="3" spans="1:2" x14ac:dyDescent="0.25">
      <c r="A3" s="9">
        <v>2082</v>
      </c>
      <c r="B3" s="9">
        <v>16</v>
      </c>
    </row>
    <row r="4" spans="1:2" x14ac:dyDescent="0.25">
      <c r="A4" s="9">
        <v>2081</v>
      </c>
      <c r="B4" s="9">
        <v>11</v>
      </c>
    </row>
    <row r="5" spans="1:2" x14ac:dyDescent="0.25">
      <c r="A5" s="9">
        <v>2080</v>
      </c>
      <c r="B5" s="9">
        <v>9</v>
      </c>
    </row>
    <row r="6" spans="1:2" x14ac:dyDescent="0.25">
      <c r="A6" s="9">
        <v>2079</v>
      </c>
      <c r="B6" s="9">
        <v>14</v>
      </c>
    </row>
    <row r="7" spans="1:2" x14ac:dyDescent="0.25">
      <c r="A7" s="9">
        <v>2078</v>
      </c>
      <c r="B7" s="9">
        <v>12</v>
      </c>
    </row>
    <row r="8" spans="1:2" x14ac:dyDescent="0.25">
      <c r="A8" s="9">
        <v>2077</v>
      </c>
      <c r="B8" s="9">
        <v>2</v>
      </c>
    </row>
    <row r="9" spans="1:2" x14ac:dyDescent="0.25">
      <c r="A9" s="9">
        <v>2076</v>
      </c>
      <c r="B9" s="9">
        <v>8</v>
      </c>
    </row>
    <row r="10" spans="1:2" x14ac:dyDescent="0.25">
      <c r="A10" s="9">
        <v>2075</v>
      </c>
      <c r="B10" s="9">
        <v>5</v>
      </c>
    </row>
    <row r="11" spans="1:2" x14ac:dyDescent="0.25">
      <c r="A11" s="9">
        <v>2074</v>
      </c>
      <c r="B11" s="9">
        <v>9</v>
      </c>
    </row>
    <row r="12" spans="1:2" x14ac:dyDescent="0.25">
      <c r="A12" s="9" t="s">
        <v>12</v>
      </c>
      <c r="B12" s="9">
        <f>SUM(B2:B11)</f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I13" sqref="I13"/>
    </sheetView>
  </sheetViews>
  <sheetFormatPr defaultRowHeight="15" x14ac:dyDescent="0.25"/>
  <sheetData>
    <row r="1" spans="1:11" x14ac:dyDescent="0.25">
      <c r="A1" s="15" t="s">
        <v>33</v>
      </c>
      <c r="B1" s="14" t="s">
        <v>34</v>
      </c>
      <c r="C1" s="14"/>
      <c r="D1" s="14"/>
      <c r="E1" s="14"/>
      <c r="F1" s="15" t="s">
        <v>12</v>
      </c>
      <c r="G1" s="15"/>
    </row>
    <row r="2" spans="1:11" x14ac:dyDescent="0.25">
      <c r="A2" s="15"/>
      <c r="B2" s="14" t="s">
        <v>36</v>
      </c>
      <c r="C2" s="14"/>
      <c r="D2" s="14" t="s">
        <v>35</v>
      </c>
      <c r="E2" s="14"/>
      <c r="F2" s="15"/>
      <c r="G2" s="15"/>
    </row>
    <row r="3" spans="1:11" x14ac:dyDescent="0.25">
      <c r="A3" s="15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25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25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25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N18" sqref="N18"/>
    </sheetView>
  </sheetViews>
  <sheetFormatPr defaultRowHeight="15" x14ac:dyDescent="0.25"/>
  <cols>
    <col min="2" max="2" width="17.42578125" bestFit="1" customWidth="1"/>
  </cols>
  <sheetData>
    <row r="1" spans="1:7" x14ac:dyDescent="0.25">
      <c r="A1" s="8" t="s">
        <v>27</v>
      </c>
      <c r="B1" s="8" t="s">
        <v>28</v>
      </c>
      <c r="C1" s="8" t="s">
        <v>29</v>
      </c>
    </row>
    <row r="2" spans="1:7" x14ac:dyDescent="0.25">
      <c r="A2" s="9" t="s">
        <v>30</v>
      </c>
      <c r="B2" s="9">
        <v>31</v>
      </c>
      <c r="C2" s="11">
        <f>B2/B6*100</f>
        <v>34.831460674157306</v>
      </c>
      <c r="F2" s="9" t="s">
        <v>30</v>
      </c>
      <c r="G2" s="11">
        <v>34.831460674157306</v>
      </c>
    </row>
    <row r="3" spans="1:7" x14ac:dyDescent="0.25">
      <c r="A3" s="9" t="s">
        <v>31</v>
      </c>
      <c r="B3" s="9">
        <v>25</v>
      </c>
      <c r="C3" s="11">
        <f>B3/B6*100</f>
        <v>28.08988764044944</v>
      </c>
      <c r="F3" s="9" t="s">
        <v>31</v>
      </c>
      <c r="G3" s="11">
        <v>28.08988764044944</v>
      </c>
    </row>
    <row r="4" spans="1:7" x14ac:dyDescent="0.25">
      <c r="A4" s="9" t="s">
        <v>40</v>
      </c>
      <c r="B4" s="9">
        <v>25</v>
      </c>
      <c r="C4" s="11">
        <f>B4/B6*100</f>
        <v>28.08988764044944</v>
      </c>
      <c r="F4" s="9" t="s">
        <v>40</v>
      </c>
      <c r="G4" s="11">
        <v>28.08988764044944</v>
      </c>
    </row>
    <row r="5" spans="1:7" x14ac:dyDescent="0.25">
      <c r="A5" s="9" t="s">
        <v>41</v>
      </c>
      <c r="B5" s="9">
        <v>8</v>
      </c>
      <c r="C5" s="11">
        <f>B5/B6*100</f>
        <v>8.9887640449438209</v>
      </c>
      <c r="F5" s="9" t="s">
        <v>41</v>
      </c>
      <c r="G5" s="11">
        <v>8.9887640449438209</v>
      </c>
    </row>
    <row r="6" spans="1:7" x14ac:dyDescent="0.25">
      <c r="A6" s="9" t="s">
        <v>12</v>
      </c>
      <c r="B6" s="9">
        <f>SUM(B2:B5)</f>
        <v>89</v>
      </c>
      <c r="C6" s="9">
        <f>SUM(C2:C5)</f>
        <v>100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sheetPr>
    <tabColor rgb="FFFF0000"/>
  </sheetPr>
  <dimension ref="A1:G7"/>
  <sheetViews>
    <sheetView workbookViewId="0">
      <selection activeCell="F11" sqref="F11"/>
    </sheetView>
  </sheetViews>
  <sheetFormatPr defaultRowHeight="15" x14ac:dyDescent="0.25"/>
  <cols>
    <col min="2" max="2" width="16.42578125" bestFit="1" customWidth="1"/>
    <col min="3" max="3" width="7.42578125" bestFit="1" customWidth="1"/>
  </cols>
  <sheetData>
    <row r="1" spans="1:7" x14ac:dyDescent="0.25">
      <c r="A1" s="8" t="s">
        <v>42</v>
      </c>
      <c r="B1" s="8" t="s">
        <v>28</v>
      </c>
      <c r="C1" s="8" t="s">
        <v>29</v>
      </c>
    </row>
    <row r="2" spans="1:7" x14ac:dyDescent="0.25">
      <c r="A2" s="9" t="s">
        <v>43</v>
      </c>
      <c r="B2" s="9">
        <v>31</v>
      </c>
      <c r="C2" s="11">
        <f>B2/B7*100</f>
        <v>34.831460674157306</v>
      </c>
      <c r="F2" s="9" t="s">
        <v>43</v>
      </c>
      <c r="G2" s="11">
        <v>34.831460674157306</v>
      </c>
    </row>
    <row r="3" spans="1:7" x14ac:dyDescent="0.25">
      <c r="A3" s="9" t="s">
        <v>44</v>
      </c>
      <c r="B3" s="9">
        <v>25</v>
      </c>
      <c r="C3" s="11">
        <f>B3/B7*100</f>
        <v>28.08988764044944</v>
      </c>
      <c r="F3" s="9" t="s">
        <v>44</v>
      </c>
      <c r="G3" s="11">
        <v>28.08988764044944</v>
      </c>
    </row>
    <row r="4" spans="1:7" x14ac:dyDescent="0.25">
      <c r="A4" s="9" t="s">
        <v>45</v>
      </c>
      <c r="B4" s="9">
        <v>25</v>
      </c>
      <c r="C4" s="11">
        <f>B4/B7*100</f>
        <v>28.08988764044944</v>
      </c>
      <c r="F4" s="9" t="s">
        <v>45</v>
      </c>
      <c r="G4" s="11">
        <v>28.08988764044944</v>
      </c>
    </row>
    <row r="5" spans="1:7" x14ac:dyDescent="0.25">
      <c r="A5" s="9" t="s">
        <v>46</v>
      </c>
      <c r="B5" s="9">
        <v>8</v>
      </c>
      <c r="C5" s="11">
        <f>B5/B7*100</f>
        <v>8.9887640449438209</v>
      </c>
      <c r="F5" s="9" t="s">
        <v>46</v>
      </c>
      <c r="G5" s="11">
        <v>8.9887640449438209</v>
      </c>
    </row>
    <row r="6" spans="1:7" x14ac:dyDescent="0.25">
      <c r="A6" s="9" t="s">
        <v>32</v>
      </c>
      <c r="B6" s="9"/>
      <c r="C6" s="11"/>
    </row>
    <row r="7" spans="1:7" x14ac:dyDescent="0.25">
      <c r="A7" s="9" t="s">
        <v>12</v>
      </c>
      <c r="B7" s="9">
        <f>SUM(B2:B5)</f>
        <v>89</v>
      </c>
      <c r="C7" s="9">
        <f>SUM(C2:C5)</f>
        <v>100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sheetPr>
    <tabColor rgb="FFFF0000"/>
  </sheetPr>
  <dimension ref="A1:C7"/>
  <sheetViews>
    <sheetView workbookViewId="0">
      <selection activeCell="E5" sqref="E5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3" width="13.28515625" bestFit="1" customWidth="1"/>
  </cols>
  <sheetData>
    <row r="1" spans="1:3" x14ac:dyDescent="0.25">
      <c r="A1" s="9" t="s">
        <v>47</v>
      </c>
      <c r="B1" s="9" t="s">
        <v>3</v>
      </c>
      <c r="C1" s="9" t="s">
        <v>48</v>
      </c>
    </row>
    <row r="2" spans="1:3" x14ac:dyDescent="0.25">
      <c r="A2" s="9" t="s">
        <v>49</v>
      </c>
      <c r="B2" s="9">
        <v>13</v>
      </c>
      <c r="C2" s="11">
        <f>B2/$B$7*100</f>
        <v>14.606741573033707</v>
      </c>
    </row>
    <row r="3" spans="1:3" x14ac:dyDescent="0.25">
      <c r="A3" s="9" t="s">
        <v>50</v>
      </c>
      <c r="B3" s="9">
        <v>52</v>
      </c>
      <c r="C3" s="11">
        <f t="shared" ref="C3:C6" si="0">B3/$B$7*100</f>
        <v>58.426966292134829</v>
      </c>
    </row>
    <row r="4" spans="1:3" x14ac:dyDescent="0.25">
      <c r="A4" s="9" t="s">
        <v>51</v>
      </c>
      <c r="B4" s="9">
        <v>0</v>
      </c>
      <c r="C4" s="11">
        <f t="shared" si="0"/>
        <v>0</v>
      </c>
    </row>
    <row r="5" spans="1:3" x14ac:dyDescent="0.25">
      <c r="A5" s="9" t="s">
        <v>52</v>
      </c>
      <c r="B5" s="9">
        <v>0</v>
      </c>
      <c r="C5" s="11">
        <f t="shared" si="0"/>
        <v>0</v>
      </c>
    </row>
    <row r="6" spans="1:3" x14ac:dyDescent="0.25">
      <c r="A6" s="9" t="s">
        <v>53</v>
      </c>
      <c r="B6" s="9">
        <v>24</v>
      </c>
      <c r="C6" s="11">
        <f t="shared" si="0"/>
        <v>26.966292134831459</v>
      </c>
    </row>
    <row r="7" spans="1:3" x14ac:dyDescent="0.25">
      <c r="A7" s="16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tabSelected="1" zoomScaleNormal="100" workbookViewId="0">
      <selection activeCell="I3" sqref="I3"/>
    </sheetView>
  </sheetViews>
  <sheetFormatPr defaultRowHeight="15" x14ac:dyDescent="0.25"/>
  <cols>
    <col min="1" max="1" width="15.85546875" bestFit="1" customWidth="1"/>
    <col min="2" max="2" width="17.5703125" bestFit="1" customWidth="1"/>
    <col min="3" max="3" width="14.5703125" bestFit="1" customWidth="1"/>
  </cols>
  <sheetData>
    <row r="1" spans="1:7" x14ac:dyDescent="0.25">
      <c r="A1" s="9" t="s">
        <v>54</v>
      </c>
      <c r="B1" s="9" t="s">
        <v>3</v>
      </c>
      <c r="C1" s="9" t="s">
        <v>48</v>
      </c>
    </row>
    <row r="2" spans="1:7" x14ac:dyDescent="0.25">
      <c r="A2" s="9" t="s">
        <v>55</v>
      </c>
      <c r="B2" s="9">
        <v>6</v>
      </c>
      <c r="C2" s="11">
        <f>B2/B5*100</f>
        <v>6.7415730337078648</v>
      </c>
      <c r="F2" s="9" t="s">
        <v>55</v>
      </c>
      <c r="G2" s="11">
        <v>6.7415730337078648</v>
      </c>
    </row>
    <row r="3" spans="1:7" x14ac:dyDescent="0.25">
      <c r="A3" s="9" t="s">
        <v>57</v>
      </c>
      <c r="B3" s="9">
        <v>35</v>
      </c>
      <c r="C3" s="11">
        <f>B3/B5*100</f>
        <v>39.325842696629216</v>
      </c>
      <c r="F3" s="9" t="s">
        <v>57</v>
      </c>
      <c r="G3" s="11">
        <v>39.325842696629216</v>
      </c>
    </row>
    <row r="4" spans="1:7" x14ac:dyDescent="0.25">
      <c r="A4" s="9" t="s">
        <v>56</v>
      </c>
      <c r="B4" s="9">
        <v>48</v>
      </c>
      <c r="C4" s="11">
        <f>B4/B5*100</f>
        <v>53.932584269662918</v>
      </c>
      <c r="F4" s="9" t="s">
        <v>56</v>
      </c>
      <c r="G4" s="11">
        <v>53.932584269662918</v>
      </c>
    </row>
    <row r="5" spans="1:7" x14ac:dyDescent="0.25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G11" sqref="G11"/>
    </sheetView>
  </sheetViews>
  <sheetFormatPr defaultRowHeight="15" x14ac:dyDescent="0.25"/>
  <cols>
    <col min="2" max="2" width="6.5703125" bestFit="1" customWidth="1"/>
    <col min="3" max="3" width="14.5703125" bestFit="1" customWidth="1"/>
    <col min="4" max="4" width="7.5703125" bestFit="1" customWidth="1"/>
    <col min="5" max="5" width="14.5703125" bestFit="1" customWidth="1"/>
    <col min="6" max="6" width="6.5703125" bestFit="1" customWidth="1"/>
    <col min="7" max="7" width="14.5703125" bestFit="1" customWidth="1"/>
  </cols>
  <sheetData>
    <row r="1" spans="1:9" x14ac:dyDescent="0.25">
      <c r="A1" s="15" t="s">
        <v>73</v>
      </c>
      <c r="B1" s="18" t="s">
        <v>72</v>
      </c>
      <c r="C1" s="18"/>
      <c r="D1" s="18"/>
      <c r="E1" s="18"/>
      <c r="F1" s="14" t="s">
        <v>12</v>
      </c>
      <c r="G1" s="14" t="s">
        <v>48</v>
      </c>
    </row>
    <row r="2" spans="1:9" x14ac:dyDescent="0.25">
      <c r="A2" s="15"/>
      <c r="B2" s="9" t="s">
        <v>36</v>
      </c>
      <c r="C2" s="9" t="s">
        <v>48</v>
      </c>
      <c r="D2" s="9" t="s">
        <v>35</v>
      </c>
      <c r="E2" s="9" t="s">
        <v>48</v>
      </c>
      <c r="F2" s="14"/>
      <c r="G2" s="14"/>
    </row>
    <row r="3" spans="1:9" x14ac:dyDescent="0.25">
      <c r="A3" s="9" t="s">
        <v>58</v>
      </c>
      <c r="B3" s="20">
        <v>6</v>
      </c>
      <c r="C3" s="11">
        <f>B3/$B$17*100</f>
        <v>3.3149171270718232</v>
      </c>
      <c r="D3" s="20">
        <v>4</v>
      </c>
      <c r="E3" s="11">
        <f>D3/$D$17*100</f>
        <v>2.4390243902439024</v>
      </c>
      <c r="F3" s="20">
        <v>10</v>
      </c>
      <c r="G3" s="11">
        <f>F3/$F$17*100</f>
        <v>2.8985507246376812</v>
      </c>
      <c r="I3" s="17">
        <f>(C3+E3)/2</f>
        <v>2.8769707586578628</v>
      </c>
    </row>
    <row r="4" spans="1:9" x14ac:dyDescent="0.25">
      <c r="A4" s="19" t="s">
        <v>59</v>
      </c>
      <c r="B4" s="20">
        <v>7</v>
      </c>
      <c r="C4" s="11">
        <f t="shared" ref="C4:C17" si="0">B4/$B$17*100</f>
        <v>3.867403314917127</v>
      </c>
      <c r="D4" s="20">
        <v>4</v>
      </c>
      <c r="E4" s="11">
        <f t="shared" ref="E4:E16" si="1">D4/$D$17*100</f>
        <v>2.4390243902439024</v>
      </c>
      <c r="F4" s="20">
        <v>11</v>
      </c>
      <c r="G4" s="11">
        <f t="shared" ref="G4:G17" si="2">F4/$F$17*100</f>
        <v>3.1884057971014492</v>
      </c>
      <c r="I4" s="17">
        <f t="shared" ref="I4:I16" si="3">(C4+E4)/2</f>
        <v>3.1532138525805147</v>
      </c>
    </row>
    <row r="5" spans="1:9" x14ac:dyDescent="0.25">
      <c r="A5" s="19" t="s">
        <v>60</v>
      </c>
      <c r="B5" s="20">
        <v>14</v>
      </c>
      <c r="C5" s="11">
        <f t="shared" si="0"/>
        <v>7.7348066298342539</v>
      </c>
      <c r="D5" s="20">
        <v>11</v>
      </c>
      <c r="E5" s="11">
        <f t="shared" si="1"/>
        <v>6.7073170731707323</v>
      </c>
      <c r="F5" s="20">
        <v>25</v>
      </c>
      <c r="G5" s="11">
        <f t="shared" si="2"/>
        <v>7.2463768115942031</v>
      </c>
      <c r="I5" s="17">
        <f t="shared" si="3"/>
        <v>7.2210618515024931</v>
      </c>
    </row>
    <row r="6" spans="1:9" x14ac:dyDescent="0.25">
      <c r="A6" s="19" t="s">
        <v>61</v>
      </c>
      <c r="B6" s="20">
        <v>7</v>
      </c>
      <c r="C6" s="11">
        <f t="shared" si="0"/>
        <v>3.867403314917127</v>
      </c>
      <c r="D6" s="20">
        <v>10</v>
      </c>
      <c r="E6" s="11">
        <f t="shared" si="1"/>
        <v>6.0975609756097562</v>
      </c>
      <c r="F6" s="20">
        <v>17</v>
      </c>
      <c r="G6" s="11">
        <f t="shared" si="2"/>
        <v>4.9275362318840585</v>
      </c>
      <c r="I6" s="17">
        <f t="shared" si="3"/>
        <v>4.9824821452634414</v>
      </c>
    </row>
    <row r="7" spans="1:9" x14ac:dyDescent="0.25">
      <c r="A7" s="19" t="s">
        <v>62</v>
      </c>
      <c r="B7" s="20">
        <v>20</v>
      </c>
      <c r="C7" s="11">
        <f t="shared" si="0"/>
        <v>11.049723756906078</v>
      </c>
      <c r="D7" s="20">
        <v>13</v>
      </c>
      <c r="E7" s="11">
        <f t="shared" si="1"/>
        <v>7.9268292682926829</v>
      </c>
      <c r="F7" s="20">
        <v>33</v>
      </c>
      <c r="G7" s="11">
        <f t="shared" si="2"/>
        <v>9.5652173913043477</v>
      </c>
      <c r="I7" s="17">
        <f t="shared" si="3"/>
        <v>9.4882765125993807</v>
      </c>
    </row>
    <row r="8" spans="1:9" x14ac:dyDescent="0.25">
      <c r="A8" s="19" t="s">
        <v>63</v>
      </c>
      <c r="B8" s="20">
        <v>15</v>
      </c>
      <c r="C8" s="11">
        <f t="shared" si="0"/>
        <v>8.2872928176795568</v>
      </c>
      <c r="D8" s="20">
        <v>15</v>
      </c>
      <c r="E8" s="11">
        <f t="shared" si="1"/>
        <v>9.1463414634146343</v>
      </c>
      <c r="F8" s="20">
        <v>30</v>
      </c>
      <c r="G8" s="11">
        <f t="shared" si="2"/>
        <v>8.695652173913043</v>
      </c>
      <c r="I8" s="17">
        <f t="shared" si="3"/>
        <v>8.7168171405470964</v>
      </c>
    </row>
    <row r="9" spans="1:9" x14ac:dyDescent="0.25">
      <c r="A9" s="19" t="s">
        <v>64</v>
      </c>
      <c r="B9" s="20">
        <v>19</v>
      </c>
      <c r="C9" s="11">
        <f t="shared" si="0"/>
        <v>10.497237569060774</v>
      </c>
      <c r="D9" s="20">
        <v>17</v>
      </c>
      <c r="E9" s="11">
        <f t="shared" si="1"/>
        <v>10.365853658536585</v>
      </c>
      <c r="F9" s="20">
        <v>36</v>
      </c>
      <c r="G9" s="11">
        <f t="shared" si="2"/>
        <v>10.434782608695652</v>
      </c>
      <c r="I9" s="17">
        <f t="shared" si="3"/>
        <v>10.431545613798679</v>
      </c>
    </row>
    <row r="10" spans="1:9" x14ac:dyDescent="0.25">
      <c r="A10" s="19" t="s">
        <v>65</v>
      </c>
      <c r="B10" s="20">
        <v>12</v>
      </c>
      <c r="C10" s="11">
        <f t="shared" si="0"/>
        <v>6.6298342541436464</v>
      </c>
      <c r="D10" s="20">
        <v>17</v>
      </c>
      <c r="E10" s="11">
        <f t="shared" si="1"/>
        <v>10.365853658536585</v>
      </c>
      <c r="F10" s="20">
        <v>29</v>
      </c>
      <c r="G10" s="11">
        <f t="shared" si="2"/>
        <v>8.4057971014492754</v>
      </c>
      <c r="I10" s="17">
        <f t="shared" si="3"/>
        <v>8.497843956340116</v>
      </c>
    </row>
    <row r="11" spans="1:9" x14ac:dyDescent="0.25">
      <c r="A11" s="19" t="s">
        <v>66</v>
      </c>
      <c r="B11" s="20">
        <v>12</v>
      </c>
      <c r="C11" s="11">
        <f t="shared" si="0"/>
        <v>6.6298342541436464</v>
      </c>
      <c r="D11" s="20">
        <v>21</v>
      </c>
      <c r="E11" s="11">
        <f t="shared" si="1"/>
        <v>12.804878048780488</v>
      </c>
      <c r="F11" s="20">
        <v>33</v>
      </c>
      <c r="G11" s="11">
        <f t="shared" si="2"/>
        <v>9.5652173913043477</v>
      </c>
      <c r="I11" s="17">
        <f t="shared" si="3"/>
        <v>9.7173561514620665</v>
      </c>
    </row>
    <row r="12" spans="1:9" x14ac:dyDescent="0.25">
      <c r="A12" s="19" t="s">
        <v>67</v>
      </c>
      <c r="B12" s="20">
        <v>19</v>
      </c>
      <c r="C12" s="11">
        <f t="shared" si="0"/>
        <v>10.497237569060774</v>
      </c>
      <c r="D12" s="20">
        <v>8</v>
      </c>
      <c r="E12" s="11">
        <f t="shared" si="1"/>
        <v>4.8780487804878048</v>
      </c>
      <c r="F12" s="20">
        <v>27</v>
      </c>
      <c r="G12" s="11">
        <f t="shared" si="2"/>
        <v>7.8260869565217401</v>
      </c>
      <c r="I12" s="17">
        <f t="shared" si="3"/>
        <v>7.6876431747742888</v>
      </c>
    </row>
    <row r="13" spans="1:9" x14ac:dyDescent="0.25">
      <c r="A13" s="19" t="s">
        <v>68</v>
      </c>
      <c r="B13" s="20">
        <v>12</v>
      </c>
      <c r="C13" s="11">
        <f t="shared" si="0"/>
        <v>6.6298342541436464</v>
      </c>
      <c r="D13" s="20">
        <v>18</v>
      </c>
      <c r="E13" s="11">
        <f t="shared" si="1"/>
        <v>10.975609756097562</v>
      </c>
      <c r="F13" s="20">
        <v>30</v>
      </c>
      <c r="G13" s="11">
        <f t="shared" si="2"/>
        <v>8.695652173913043</v>
      </c>
      <c r="I13" s="17">
        <f t="shared" si="3"/>
        <v>8.8027220051206037</v>
      </c>
    </row>
    <row r="14" spans="1:9" x14ac:dyDescent="0.25">
      <c r="A14" s="11" t="s">
        <v>69</v>
      </c>
      <c r="B14" s="20">
        <v>16</v>
      </c>
      <c r="C14" s="11">
        <f t="shared" si="0"/>
        <v>8.8397790055248606</v>
      </c>
      <c r="D14" s="20">
        <v>12</v>
      </c>
      <c r="E14" s="11">
        <f t="shared" si="1"/>
        <v>7.3170731707317067</v>
      </c>
      <c r="F14" s="20">
        <v>28</v>
      </c>
      <c r="G14" s="11">
        <f t="shared" si="2"/>
        <v>8.115942028985506</v>
      </c>
      <c r="I14" s="17">
        <f t="shared" si="3"/>
        <v>8.0784260881282837</v>
      </c>
    </row>
    <row r="15" spans="1:9" x14ac:dyDescent="0.25">
      <c r="A15" s="11" t="s">
        <v>70</v>
      </c>
      <c r="B15" s="20">
        <v>10</v>
      </c>
      <c r="C15" s="11">
        <f t="shared" si="0"/>
        <v>5.5248618784530388</v>
      </c>
      <c r="D15" s="20">
        <v>3</v>
      </c>
      <c r="E15" s="11">
        <f t="shared" si="1"/>
        <v>1.8292682926829267</v>
      </c>
      <c r="F15" s="20">
        <v>13</v>
      </c>
      <c r="G15" s="11">
        <f t="shared" si="2"/>
        <v>3.7681159420289858</v>
      </c>
      <c r="I15" s="17">
        <f t="shared" si="3"/>
        <v>3.6770650855679827</v>
      </c>
    </row>
    <row r="16" spans="1:9" x14ac:dyDescent="0.25">
      <c r="A16" s="11" t="s">
        <v>71</v>
      </c>
      <c r="B16" s="20">
        <v>12</v>
      </c>
      <c r="C16" s="11">
        <f t="shared" si="0"/>
        <v>6.6298342541436464</v>
      </c>
      <c r="D16" s="20">
        <v>11</v>
      </c>
      <c r="E16" s="11">
        <f t="shared" si="1"/>
        <v>6.7073170731707323</v>
      </c>
      <c r="F16" s="20">
        <v>23</v>
      </c>
      <c r="G16" s="11">
        <f t="shared" si="2"/>
        <v>6.666666666666667</v>
      </c>
      <c r="I16" s="17">
        <f t="shared" si="3"/>
        <v>6.6685756636571893</v>
      </c>
    </row>
    <row r="17" spans="1:7" x14ac:dyDescent="0.25">
      <c r="A17" s="11" t="s">
        <v>12</v>
      </c>
      <c r="B17" s="20">
        <v>181</v>
      </c>
      <c r="C17" s="11">
        <f t="shared" si="0"/>
        <v>100</v>
      </c>
      <c r="D17" s="20">
        <v>164</v>
      </c>
      <c r="E17" s="11">
        <f>D17/$D$17*100</f>
        <v>100</v>
      </c>
      <c r="F17" s="20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2026-09-01T08:00:13Z</dcterms:modified>
</cp:coreProperties>
</file>