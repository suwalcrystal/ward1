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:\082_083\ward1\migration\"/>
    </mc:Choice>
  </mc:AlternateContent>
  <xr:revisionPtr revIDLastSave="0" documentId="13_ncr:1_{EC567BF5-17C6-4CE2-81CB-335F8278E273}" xr6:coauthVersionLast="47" xr6:coauthVersionMax="47" xr10:uidLastSave="{00000000-0000-0000-0000-000000000000}"/>
  <bookViews>
    <workbookView xWindow="11184" yWindow="0" windowWidth="11880" windowHeight="12360" firstSheet="5" activeTab="6" xr2:uid="{00000000-000D-0000-FFFF-FFFF00000000}"/>
  </bookViews>
  <sheets>
    <sheet name="Reasons for leaving origin" sheetId="1" r:id="rId1"/>
    <sheet name="Distribution of Households" sheetId="2" r:id="rId2"/>
    <sheet name="Satisfaction" sheetId="3" r:id="rId3"/>
    <sheet name="Datewise migrants no." sheetId="4" r:id="rId4"/>
    <sheet name="Literacy status" sheetId="6" r:id="rId5"/>
    <sheet name="Ethnicity" sheetId="5" r:id="rId6"/>
    <sheet name="Religion" sheetId="7" r:id="rId7"/>
    <sheet name="Land holdings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8" l="1"/>
  <c r="C3" i="8"/>
  <c r="C4" i="8"/>
  <c r="C5" i="8"/>
  <c r="C6" i="8"/>
  <c r="C2" i="8"/>
  <c r="B7" i="8"/>
  <c r="B7" i="7"/>
  <c r="C4" i="7" s="1"/>
  <c r="C6" i="5"/>
  <c r="C5" i="5"/>
  <c r="C4" i="5"/>
  <c r="C3" i="5"/>
  <c r="C2" i="5"/>
  <c r="B6" i="5"/>
  <c r="D5" i="6"/>
  <c r="E5" i="6" s="1"/>
  <c r="D4" i="6"/>
  <c r="E4" i="6" s="1"/>
  <c r="E6" i="6" s="1"/>
  <c r="B4" i="6"/>
  <c r="B6" i="6" s="1"/>
  <c r="C5" i="6" s="1"/>
  <c r="D6" i="6"/>
  <c r="C5" i="7" l="1"/>
  <c r="C2" i="7"/>
  <c r="C7" i="7" s="1"/>
  <c r="C3" i="7"/>
  <c r="F4" i="6"/>
  <c r="F5" i="6"/>
  <c r="C4" i="6"/>
  <c r="C6" i="6"/>
  <c r="F6" i="6" l="1"/>
  <c r="G5" i="6" s="1"/>
  <c r="G4" i="6"/>
  <c r="G6" i="6" l="1"/>
</calcChain>
</file>

<file path=xl/sharedStrings.xml><?xml version="1.0" encoding="utf-8"?>
<sst xmlns="http://schemas.openxmlformats.org/spreadsheetml/2006/main" count="75" uniqueCount="54">
  <si>
    <t>2. Table No. 5.1.1: Distribution of Reasons for Leaving Place of Origin</t>
  </si>
  <si>
    <t>Verified from data.rar checkbox extraction; N=81 — supersedes earlier unverified version.</t>
  </si>
  <si>
    <t>Reason for Leaving</t>
  </si>
  <si>
    <t>No. of Households</t>
  </si>
  <si>
    <t>Percent (%)</t>
  </si>
  <si>
    <t>नया घर (New house)</t>
  </si>
  <si>
    <t>नया अवसर (New opportunity)</t>
  </si>
  <si>
    <t>नोकरी (Job/Unemployment)</t>
  </si>
  <si>
    <t>व्यापार व्यवसाय (Trade/Business)</t>
  </si>
  <si>
    <t>पिडत (Victim/Displaced)</t>
  </si>
  <si>
    <t>अध्ययन/शिक्षा (Education)</t>
  </si>
  <si>
    <t>अन्य (Others)</t>
  </si>
  <si>
    <t>Total</t>
  </si>
  <si>
    <t>. Table No. 5.1.2: Distribution of Households by Place of Origin Before Migration</t>
  </si>
  <si>
    <t>Derived directly from the 81 unique, verified in-migration household records (data.rar).</t>
  </si>
  <si>
    <t>Place of Origin</t>
  </si>
  <si>
    <t>Different District (outside Kathmandu)</t>
  </si>
  <si>
    <t>Same District, different Municipality (elsewhere in Kathmandu)</t>
  </si>
  <si>
    <t>Same Municipality (ward-to-ward within Shankharapur)</t>
  </si>
  <si>
    <t>4. Table No. 5.1.3: Satisfaction of Respondents with Current Place of Residence</t>
  </si>
  <si>
    <t>From questionnaire; N=81.</t>
  </si>
  <si>
    <t>Satisfaction</t>
  </si>
  <si>
    <t>Yes</t>
  </si>
  <si>
    <t>No</t>
  </si>
  <si>
    <t>Same as before</t>
  </si>
  <si>
    <t>Years</t>
  </si>
  <si>
    <t>Households</t>
  </si>
  <si>
    <t>Ethnicity</t>
  </si>
  <si>
    <t>No. of households</t>
  </si>
  <si>
    <t>Percent</t>
  </si>
  <si>
    <t>Brahmin</t>
  </si>
  <si>
    <t>Chettri</t>
  </si>
  <si>
    <t>Others</t>
  </si>
  <si>
    <t>Literacy Status</t>
  </si>
  <si>
    <t>Sex</t>
  </si>
  <si>
    <t>Female</t>
  </si>
  <si>
    <t>Male</t>
  </si>
  <si>
    <t xml:space="preserve">No. </t>
  </si>
  <si>
    <t>Literate</t>
  </si>
  <si>
    <t>Illiterate</t>
  </si>
  <si>
    <t>Janajati</t>
  </si>
  <si>
    <t>Dalit</t>
  </si>
  <si>
    <t>Religion</t>
  </si>
  <si>
    <t>Hindu</t>
  </si>
  <si>
    <t>Buddhist</t>
  </si>
  <si>
    <t>Muslim</t>
  </si>
  <si>
    <t>Christian</t>
  </si>
  <si>
    <t>Size of Land Holding</t>
  </si>
  <si>
    <t>Percentage (%)</t>
  </si>
  <si>
    <t>Ropani</t>
  </si>
  <si>
    <t>Aana</t>
  </si>
  <si>
    <t>Paisa</t>
  </si>
  <si>
    <t>Daam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</si>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</sst>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6"/>
      <color rgb="FF2E74B5"/>
      <name val="Times New Roman"/>
      <family val="1"/>
    </font>
    <font>
      <sz val="10"/>
      <color theme="1"/>
      <name val="Times New Roman"/>
      <family val="1"/>
    </font>
    <font>
      <i/>
      <sz val="10"/>
      <color rgb="FF555555"/>
      <name val="Times New Roman"/>
      <family val="1"/>
    </font>
    <font>
      <b/>
      <sz val="10"/>
      <color rgb="FF000000"/>
      <name val="Times New Roman"/>
      <family val="1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10" fontId="2" fillId="0" borderId="4" xfId="0" applyNumberFormat="1" applyFont="1" applyBorder="1" applyAlignment="1">
      <alignment horizontal="center" vertical="center" wrapText="1"/>
    </xf>
    <xf numFmtId="0" fontId="5" fillId="0" borderId="5" xfId="0" applyFont="1" applyBorder="1"/>
    <xf numFmtId="0" fontId="0" fillId="0" borderId="5" xfId="0" applyFont="1" applyBorder="1"/>
    <xf numFmtId="0" fontId="0" fillId="0" borderId="5" xfId="0" applyBorder="1"/>
    <xf numFmtId="0" fontId="0" fillId="0" borderId="5" xfId="0" applyBorder="1" applyAlignment="1">
      <alignment vertical="center"/>
    </xf>
    <xf numFmtId="2" fontId="0" fillId="0" borderId="5" xfId="0" applyNumberFormat="1" applyBorder="1"/>
    <xf numFmtId="0" fontId="0" fillId="0" borderId="6" xfId="0" applyFill="1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Reasons for Leaving Place of Origin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1262471972425"/>
          <c:y val="5.0925925925925923E-2"/>
          <c:w val="0.83199957928756196"/>
          <c:h val="0.552769058766138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'Reasons for leaving origin'!$C$3</c:f>
              <c:strCache>
                <c:ptCount val="1"/>
                <c:pt idx="0">
                  <c:v>No. of Households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origin'!$C$4:$C$11</c:f>
              <c:numCache>
                <c:formatCode>General</c:formatCode>
                <c:ptCount val="8"/>
                <c:pt idx="0">
                  <c:v>70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D-4116-BE10-C6C701291EF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0"/>
        <c:overlap val="100"/>
        <c:axId val="1131105792"/>
        <c:axId val="932362608"/>
      </c:barChart>
      <c:catAx>
        <c:axId val="113110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Reason for</a:t>
                </a:r>
                <a:r>
                  <a:rPr lang="en-US" baseline="0"/>
                  <a:t> leaving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3176589265139664"/>
              <c:y val="0.92670456677548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362608"/>
        <c:crosses val="autoZero"/>
        <c:auto val="1"/>
        <c:lblAlgn val="ctr"/>
        <c:lblOffset val="100"/>
        <c:noMultiLvlLbl val="0"/>
      </c:catAx>
      <c:valAx>
        <c:axId val="93236260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</a:t>
                </a:r>
                <a:r>
                  <a:rPr lang="en-US" baseline="0"/>
                  <a:t>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105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6679243219597552"/>
          <c:y val="0.11574074074074074"/>
          <c:w val="0.33863757655293081"/>
          <c:h val="0.56439596092155142"/>
        </c:manualLayout>
      </c:layout>
      <c:pieChart>
        <c:varyColors val="1"/>
        <c:ser>
          <c:idx val="0"/>
          <c:order val="0"/>
          <c:tx>
            <c:strRef>
              <c:f>'Reasons for leaving origin'!$B$3</c:f>
              <c:strCache>
                <c:ptCount val="1"/>
                <c:pt idx="0">
                  <c:v>Percent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8E-4A8C-BC1B-F97AD881345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E8E-4A8C-BC1B-F97AD881345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E8E-4A8C-BC1B-F97AD881345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E8E-4A8C-BC1B-F97AD881345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E8E-4A8C-BC1B-F97AD881345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E8E-4A8C-BC1B-F97AD881345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E8E-4A8C-BC1B-F97AD881345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E8E-4A8C-BC1B-F97AD881345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origin'!$B$4:$B$11</c:f>
              <c:numCache>
                <c:formatCode>0.00%</c:formatCode>
                <c:ptCount val="8"/>
                <c:pt idx="0">
                  <c:v>0.86399999999999999</c:v>
                </c:pt>
                <c:pt idx="1">
                  <c:v>6.2E-2</c:v>
                </c:pt>
                <c:pt idx="2">
                  <c:v>3.6999999999999998E-2</c:v>
                </c:pt>
                <c:pt idx="3">
                  <c:v>2.5000000000000001E-2</c:v>
                </c:pt>
                <c:pt idx="4">
                  <c:v>1.2E-2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A-4F48-8A41-B3B38063115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</a:t>
            </a:r>
            <a:r>
              <a:rPr lang="en-US" baseline="0"/>
              <a:t> of Households by place of origin before migration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'Distribution of Households'!$A$4:$A$7</c:f>
              <c:strCache>
                <c:ptCount val="4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  <c:pt idx="3">
                  <c:v>Total</c:v>
                </c:pt>
              </c:strCache>
            </c:strRef>
          </c:cat>
          <c:val>
            <c:numRef>
              <c:f>'Distribution of Households'!$C$4:$C$7</c:f>
              <c:numCache>
                <c:formatCode>General</c:formatCode>
                <c:ptCount val="4"/>
                <c:pt idx="0">
                  <c:v>57</c:v>
                </c:pt>
                <c:pt idx="1">
                  <c:v>19</c:v>
                </c:pt>
                <c:pt idx="2">
                  <c:v>5</c:v>
                </c:pt>
                <c:pt idx="3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4E-486E-B7B9-720BDDB0C91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28"/>
        <c:overlap val="100"/>
        <c:axId val="1127759072"/>
        <c:axId val="1128866736"/>
      </c:barChart>
      <c:catAx>
        <c:axId val="1127759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Place of Origin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66736"/>
        <c:crosses val="autoZero"/>
        <c:auto val="1"/>
        <c:lblAlgn val="ctr"/>
        <c:lblOffset val="100"/>
        <c:noMultiLvlLbl val="0"/>
      </c:catAx>
      <c:valAx>
        <c:axId val="1128866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</a:t>
                </a:r>
                <a:r>
                  <a:rPr lang="en-US" baseline="0"/>
                  <a:t>.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75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Households by Place of Origin Before Migration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1C-4D11-9470-AFBCBCDECA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1C-4D11-9470-AFBCBCDECA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21C-4D11-9470-AFBCBCDECAC7}"/>
              </c:ext>
            </c:extLst>
          </c:dPt>
          <c:dLbls>
            <c:dLbl>
              <c:idx val="0"/>
              <c:layout>
                <c:manualLayout>
                  <c:x val="8.1345277545401176E-2"/>
                  <c:y val="-0.1910484106153397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1C-4D11-9470-AFBCBCDECAC7}"/>
                </c:ext>
              </c:extLst>
            </c:dLbl>
            <c:dLbl>
              <c:idx val="1"/>
              <c:layout>
                <c:manualLayout>
                  <c:x val="-9.1513388133400306E-2"/>
                  <c:y val="0.240310586176727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21C-4D11-9470-AFBCBCDECAC7}"/>
                </c:ext>
              </c:extLst>
            </c:dLbl>
            <c:dLbl>
              <c:idx val="2"/>
              <c:layout>
                <c:manualLayout>
                  <c:x val="-0.32154609414483631"/>
                  <c:y val="9.502369495479734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21C-4D11-9470-AFBCBCDECA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'Distribution of Households'!$A$4:$A$6</c:f>
              <c:strCache>
                <c:ptCount val="3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</c:strCache>
            </c:strRef>
          </c:cat>
          <c:val>
            <c:numRef>
              <c:f>'Distribution of Households'!$B$4:$B$6</c:f>
              <c:numCache>
                <c:formatCode>0.00%</c:formatCode>
                <c:ptCount val="3"/>
                <c:pt idx="0">
                  <c:v>0.70399999999999996</c:v>
                </c:pt>
                <c:pt idx="1">
                  <c:v>0.23499999999999999</c:v>
                </c:pt>
                <c:pt idx="2">
                  <c:v>6.2E-2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C-4D11-9470-AFBCBCDECAC7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Respondents with Current Place of Residence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Satisfaction!$A$4:$A$6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Satisfaction!$C$4:$C$6</c:f>
              <c:numCache>
                <c:formatCode>General</c:formatCode>
                <c:ptCount val="3"/>
                <c:pt idx="0">
                  <c:v>62</c:v>
                </c:pt>
                <c:pt idx="1">
                  <c:v>17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C-4C34-8DF0-7D04D23EC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34736400"/>
        <c:axId val="1128889776"/>
      </c:barChart>
      <c:catAx>
        <c:axId val="1134736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Satisfaction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89776"/>
        <c:crosses val="autoZero"/>
        <c:auto val="1"/>
        <c:lblAlgn val="ctr"/>
        <c:lblOffset val="100"/>
        <c:noMultiLvlLbl val="0"/>
      </c:catAx>
      <c:valAx>
        <c:axId val="112888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Households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4736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Respondents with Current Place of Residence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4B4-4CCD-943D-5AD815A969F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4B4-4CCD-943D-5AD815A969F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4B4-4CCD-943D-5AD815A969FB}"/>
              </c:ext>
            </c:extLst>
          </c:dPt>
          <c:dLbls>
            <c:dLbl>
              <c:idx val="0"/>
              <c:layout>
                <c:manualLayout>
                  <c:x val="-0.12179833770778653"/>
                  <c:y val="-0.1712696850393700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B4-4CCD-943D-5AD815A969FB}"/>
                </c:ext>
              </c:extLst>
            </c:dLbl>
            <c:dLbl>
              <c:idx val="1"/>
              <c:layout>
                <c:manualLayout>
                  <c:x val="9.95424321959755E-2"/>
                  <c:y val="0.15501932050160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4B4-4CCD-943D-5AD815A969FB}"/>
                </c:ext>
              </c:extLst>
            </c:dLbl>
            <c:dLbl>
              <c:idx val="2"/>
              <c:layout>
                <c:manualLayout>
                  <c:x val="-0.16785083114610672"/>
                  <c:y val="6.09397783610382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4B4-4CCD-943D-5AD815A969F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Satisfaction!$A$4:$A$6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Satisfaction!$B$4:$B$6</c:f>
              <c:numCache>
                <c:formatCode>0.00%</c:formatCode>
                <c:ptCount val="3"/>
                <c:pt idx="0">
                  <c:v>0.76500000000000001</c:v>
                </c:pt>
                <c:pt idx="1">
                  <c:v>0.21</c:v>
                </c:pt>
                <c:pt idx="2">
                  <c:v>2.5000000000000001E-2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4-4CCD-943D-5AD815A969F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Male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'Literacy status'!$I$3:$J$3</c:f>
              <c:strCache>
                <c:ptCount val="2"/>
                <c:pt idx="0">
                  <c:v>Literate</c:v>
                </c:pt>
                <c:pt idx="1">
                  <c:v>Illiterate</c:v>
                </c:pt>
              </c:strCache>
            </c:strRef>
          </c:cat>
          <c:val>
            <c:numRef>
              <c:f>'Literacy status'!$I$4:$I$5</c:f>
              <c:numCache>
                <c:formatCode>0.00</c:formatCode>
                <c:ptCount val="2"/>
                <c:pt idx="0">
                  <c:v>93.75</c:v>
                </c:pt>
                <c:pt idx="1">
                  <c:v>6.25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91-4805-9B7F-E54A41F0E2D7}"/>
            </c:ext>
          </c:extLst>
        </c:ser>
        <c:ser>
          <c:idx val="1"/>
          <c:order val="1"/>
          <c:tx>
            <c:v>Female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'Literacy status'!$I$3:$J$3</c:f>
              <c:strCache>
                <c:ptCount val="2"/>
                <c:pt idx="0">
                  <c:v>Literate</c:v>
                </c:pt>
                <c:pt idx="1">
                  <c:v>Illiterate</c:v>
                </c:pt>
              </c:strCache>
            </c:strRef>
          </c:cat>
          <c:val>
            <c:numRef>
              <c:f>'Literacy status'!$J$4:$J$5</c:f>
              <c:numCache>
                <c:formatCode>0.00</c:formatCode>
                <c:ptCount val="2"/>
                <c:pt idx="0">
                  <c:v>62.893081761006286</c:v>
                </c:pt>
                <c:pt idx="1">
                  <c:v>37.106918238993707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91-4805-9B7F-E54A41F0E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948943712"/>
        <c:axId val="1948944960"/>
      </c:barChart>
      <c:catAx>
        <c:axId val="19489437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>
                    <a:solidFill>
                      <a:schemeClr val="tx1"/>
                    </a:solidFill>
                  </a:rPr>
                  <a:t>Literacy Status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944960"/>
        <c:crosses val="autoZero"/>
        <c:auto val="1"/>
        <c:lblAlgn val="ctr"/>
        <c:lblOffset val="100"/>
        <c:noMultiLvlLbl val="0"/>
      </c:catAx>
      <c:valAx>
        <c:axId val="194894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normalizeH="0" baseline="0">
                    <a:solidFill>
                      <a:schemeClr val="tx1"/>
                    </a:solidFill>
                  </a:rPr>
                  <a:t>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943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447674</xdr:colOff>
      <xdr:row>2</xdr:row>
      <xdr:rowOff>4761</xdr:rowOff>
    </xdr:from>
    <xdr:to>
      <xdr:col>13</xdr:col>
      <xdr:colOff>190499</xdr:colOff>
      <xdr:row>20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74E5C6-3FC3-B426-53A4-92407F0D58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204787</xdr:colOff>
      <xdr:row>11</xdr:row>
      <xdr:rowOff>119062</xdr:rowOff>
    </xdr:from>
    <xdr:to>
      <xdr:col>3</xdr:col>
      <xdr:colOff>609600</xdr:colOff>
      <xdr:row>29</xdr:row>
      <xdr:rowOff>104776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FFF1D6-E462-2DF9-5333-F6CA076AF0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104775</xdr:colOff>
      <xdr:row>2</xdr:row>
      <xdr:rowOff>23811</xdr:rowOff>
    </xdr:from>
    <xdr:to>
      <xdr:col>12</xdr:col>
      <xdr:colOff>466725</xdr:colOff>
      <xdr:row>17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E86BC7-C374-5320-AFA9-CA8E92D70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728661</xdr:colOff>
      <xdr:row>9</xdr:row>
      <xdr:rowOff>157162</xdr:rowOff>
    </xdr:from>
    <xdr:to>
      <xdr:col>3</xdr:col>
      <xdr:colOff>657225</xdr:colOff>
      <xdr:row>24</xdr:row>
      <xdr:rowOff>42862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86CABB-4A13-8B26-3FC8-4A6DEB23F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290512</xdr:colOff>
      <xdr:row>1</xdr:row>
      <xdr:rowOff>109537</xdr:rowOff>
    </xdr:from>
    <xdr:to>
      <xdr:col>13</xdr:col>
      <xdr:colOff>595312</xdr:colOff>
      <xdr:row>14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05B15-8827-711D-B2A1-77DC3ECC96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8</xdr:row>
      <xdr:rowOff>33337</xdr:rowOff>
    </xdr:from>
    <xdr:to>
      <xdr:col>6</xdr:col>
      <xdr:colOff>252412</xdr:colOff>
      <xdr:row>22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A2ADD8-B152-C44E-A84D-74BD594FF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350520</xdr:colOff>
      <xdr:row>7</xdr:row>
      <xdr:rowOff>102870</xdr:rowOff>
    </xdr:from>
    <xdr:to>
      <xdr:col>17</xdr:col>
      <xdr:colOff>525780</xdr:colOff>
      <xdr:row>24</xdr:row>
      <xdr:rowOff>129540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workbookViewId="0">
      <selection activeCell="C10" sqref="C10"/>
    </sheetView>
  </sheetViews>
  <sheetFormatPr defaultRowHeight="14.4" x14ac:dyDescent="0.3"/>
  <cols>
    <col min="1" max="1" width="26.44140625" bestFit="1" customWidth="1"/>
    <col min="2" max="2" width="15" bestFit="1" customWidth="1"/>
    <col min="3" max="3" width="15" customWidth="1"/>
    <col min="4" max="4" width="10.88671875" bestFit="1" customWidth="1"/>
  </cols>
  <sheetData>
    <row r="1" spans="1:9" ht="21" x14ac:dyDescent="0.3">
      <c r="A1" s="16" t="s">
        <v>0</v>
      </c>
      <c r="B1" s="16"/>
      <c r="C1" s="16"/>
      <c r="D1" s="16"/>
      <c r="E1" s="16"/>
      <c r="F1" s="16"/>
      <c r="G1" s="16"/>
      <c r="H1" s="16"/>
      <c r="I1" s="16"/>
    </row>
    <row r="2" spans="1:9" ht="15" thickBot="1" x14ac:dyDescent="0.35">
      <c r="A2" s="17" t="s">
        <v>1</v>
      </c>
      <c r="B2" s="17"/>
      <c r="C2" s="17"/>
      <c r="D2" s="17"/>
      <c r="E2" s="17"/>
      <c r="F2" s="17"/>
      <c r="G2" s="17"/>
      <c r="H2" s="17"/>
      <c r="I2" s="17"/>
    </row>
    <row r="3" spans="1:9" ht="27" thickBot="1" x14ac:dyDescent="0.35">
      <c r="A3" s="3" t="s">
        <v>2</v>
      </c>
      <c r="B3" s="4" t="s">
        <v>4</v>
      </c>
      <c r="C3" s="4" t="s">
        <v>3</v>
      </c>
    </row>
    <row r="4" spans="1:9" ht="15" thickBot="1" x14ac:dyDescent="0.35">
      <c r="A4" s="5" t="s">
        <v>5</v>
      </c>
      <c r="B4" s="7">
        <v>0.86399999999999999</v>
      </c>
      <c r="C4" s="6">
        <v>70</v>
      </c>
    </row>
    <row r="5" spans="1:9" ht="15" thickBot="1" x14ac:dyDescent="0.35">
      <c r="A5" s="5" t="s">
        <v>6</v>
      </c>
      <c r="B5" s="7">
        <v>6.2E-2</v>
      </c>
      <c r="C5" s="6">
        <v>5</v>
      </c>
    </row>
    <row r="6" spans="1:9" ht="15" thickBot="1" x14ac:dyDescent="0.35">
      <c r="A6" s="5" t="s">
        <v>7</v>
      </c>
      <c r="B6" s="7">
        <v>3.6999999999999998E-2</v>
      </c>
      <c r="C6" s="6">
        <v>3</v>
      </c>
    </row>
    <row r="7" spans="1:9" ht="15" thickBot="1" x14ac:dyDescent="0.35">
      <c r="A7" s="5" t="s">
        <v>8</v>
      </c>
      <c r="B7" s="7">
        <v>2.5000000000000001E-2</v>
      </c>
      <c r="C7" s="6">
        <v>2</v>
      </c>
    </row>
    <row r="8" spans="1:9" ht="15" thickBot="1" x14ac:dyDescent="0.35">
      <c r="A8" s="5" t="s">
        <v>9</v>
      </c>
      <c r="B8" s="7">
        <v>1.2E-2</v>
      </c>
      <c r="C8" s="6">
        <v>1</v>
      </c>
    </row>
    <row r="9" spans="1:9" ht="15" thickBot="1" x14ac:dyDescent="0.35">
      <c r="A9" s="5" t="s">
        <v>10</v>
      </c>
      <c r="B9" s="7">
        <v>0</v>
      </c>
      <c r="C9" s="6">
        <v>0</v>
      </c>
    </row>
    <row r="10" spans="1:9" ht="15" thickBot="1" x14ac:dyDescent="0.35">
      <c r="A10" s="5" t="s">
        <v>11</v>
      </c>
      <c r="B10" s="7">
        <v>0</v>
      </c>
      <c r="C10" s="6">
        <v>0</v>
      </c>
    </row>
    <row r="11" spans="1:9" ht="15" thickBot="1" x14ac:dyDescent="0.35">
      <c r="A11" s="5" t="s">
        <v>12</v>
      </c>
      <c r="B11" s="7">
        <v>1</v>
      </c>
      <c r="C11" s="6">
        <v>81</v>
      </c>
    </row>
  </sheetData>
  <mergeCells count="2">
    <mergeCell ref="A1:I1"/>
    <mergeCell ref="A2:I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"/>
  <sheetViews>
    <sheetView workbookViewId="0">
      <selection activeCell="H21" sqref="H21"/>
    </sheetView>
  </sheetViews>
  <sheetFormatPr defaultRowHeight="14.4" x14ac:dyDescent="0.3"/>
  <cols>
    <col min="1" max="1" width="50" bestFit="1" customWidth="1"/>
    <col min="2" max="2" width="10.88671875" bestFit="1" customWidth="1"/>
    <col min="3" max="3" width="15" bestFit="1" customWidth="1"/>
    <col min="4" max="4" width="10.88671875" bestFit="1" customWidth="1"/>
  </cols>
  <sheetData>
    <row r="1" spans="1:12" ht="21" x14ac:dyDescent="0.3">
      <c r="A1" s="16" t="s">
        <v>13</v>
      </c>
      <c r="B1" s="16"/>
      <c r="C1" s="16"/>
      <c r="D1" s="16"/>
      <c r="E1" s="16"/>
      <c r="F1" s="16"/>
      <c r="G1" s="16"/>
      <c r="H1" s="1"/>
      <c r="I1" s="1"/>
      <c r="J1" s="1"/>
      <c r="K1" s="1"/>
      <c r="L1" s="1"/>
    </row>
    <row r="2" spans="1:12" ht="15" thickBot="1" x14ac:dyDescent="0.35">
      <c r="A2" s="17" t="s">
        <v>14</v>
      </c>
      <c r="B2" s="17"/>
      <c r="C2" s="17"/>
      <c r="D2" s="17"/>
      <c r="E2" s="17"/>
      <c r="F2" s="17"/>
      <c r="G2" s="17"/>
      <c r="H2" s="2"/>
      <c r="I2" s="2"/>
      <c r="J2" s="2"/>
      <c r="K2" s="2"/>
      <c r="L2" s="2"/>
    </row>
    <row r="3" spans="1:12" ht="27" thickBot="1" x14ac:dyDescent="0.35">
      <c r="A3" s="3" t="s">
        <v>15</v>
      </c>
      <c r="B3" s="4" t="s">
        <v>4</v>
      </c>
      <c r="C3" s="4" t="s">
        <v>3</v>
      </c>
    </row>
    <row r="4" spans="1:12" ht="15" thickBot="1" x14ac:dyDescent="0.35">
      <c r="A4" s="5" t="s">
        <v>16</v>
      </c>
      <c r="B4" s="7">
        <v>0.70399999999999996</v>
      </c>
      <c r="C4" s="6">
        <v>57</v>
      </c>
    </row>
    <row r="5" spans="1:12" ht="27" thickBot="1" x14ac:dyDescent="0.35">
      <c r="A5" s="5" t="s">
        <v>17</v>
      </c>
      <c r="B5" s="7">
        <v>0.23499999999999999</v>
      </c>
      <c r="C5" s="6">
        <v>19</v>
      </c>
    </row>
    <row r="6" spans="1:12" ht="15" thickBot="1" x14ac:dyDescent="0.35">
      <c r="A6" s="5" t="s">
        <v>18</v>
      </c>
      <c r="B6" s="7">
        <v>6.2E-2</v>
      </c>
      <c r="C6" s="6">
        <v>5</v>
      </c>
    </row>
    <row r="7" spans="1:12" ht="15" thickBot="1" x14ac:dyDescent="0.35">
      <c r="A7" s="5" t="s">
        <v>12</v>
      </c>
      <c r="B7" s="7">
        <v>1</v>
      </c>
      <c r="C7" s="6">
        <v>81</v>
      </c>
    </row>
  </sheetData>
  <mergeCells count="2">
    <mergeCell ref="A1:G1"/>
    <mergeCell ref="A2:G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"/>
  <sheetViews>
    <sheetView workbookViewId="0">
      <selection activeCell="L20" sqref="L20"/>
    </sheetView>
  </sheetViews>
  <sheetFormatPr defaultRowHeight="14.4" x14ac:dyDescent="0.3"/>
  <cols>
    <col min="1" max="1" width="12.44140625" bestFit="1" customWidth="1"/>
    <col min="2" max="2" width="10.88671875" bestFit="1" customWidth="1"/>
    <col min="3" max="3" width="15" bestFit="1" customWidth="1"/>
    <col min="4" max="4" width="10.88671875" bestFit="1" customWidth="1"/>
    <col min="8" max="8" width="9.109375" customWidth="1"/>
  </cols>
  <sheetData>
    <row r="1" spans="1:11" ht="21" x14ac:dyDescent="0.3">
      <c r="A1" s="16" t="s">
        <v>19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ht="15" thickBot="1" x14ac:dyDescent="0.35">
      <c r="A2" s="17" t="s">
        <v>20</v>
      </c>
      <c r="B2" s="17"/>
      <c r="C2" s="17"/>
      <c r="D2" s="17"/>
      <c r="E2" s="17"/>
      <c r="F2" s="17"/>
      <c r="G2" s="17"/>
      <c r="H2" s="17"/>
      <c r="I2" s="17"/>
      <c r="J2" s="17"/>
      <c r="K2" s="17"/>
    </row>
    <row r="3" spans="1:11" ht="27" thickBot="1" x14ac:dyDescent="0.35">
      <c r="A3" s="3" t="s">
        <v>21</v>
      </c>
      <c r="B3" s="4" t="s">
        <v>4</v>
      </c>
      <c r="C3" s="4" t="s">
        <v>3</v>
      </c>
    </row>
    <row r="4" spans="1:11" ht="15" thickBot="1" x14ac:dyDescent="0.35">
      <c r="A4" s="5" t="s">
        <v>22</v>
      </c>
      <c r="B4" s="7">
        <v>0.76500000000000001</v>
      </c>
      <c r="C4" s="6">
        <v>62</v>
      </c>
    </row>
    <row r="5" spans="1:11" ht="15" thickBot="1" x14ac:dyDescent="0.35">
      <c r="A5" s="5" t="s">
        <v>23</v>
      </c>
      <c r="B5" s="7">
        <v>0.21</v>
      </c>
      <c r="C5" s="6">
        <v>17</v>
      </c>
    </row>
    <row r="6" spans="1:11" ht="27" thickBot="1" x14ac:dyDescent="0.35">
      <c r="A6" s="5" t="s">
        <v>24</v>
      </c>
      <c r="B6" s="7">
        <v>2.5000000000000001E-2</v>
      </c>
      <c r="C6" s="6">
        <v>2</v>
      </c>
    </row>
    <row r="7" spans="1:11" ht="15" thickBot="1" x14ac:dyDescent="0.35">
      <c r="A7" s="5" t="s">
        <v>12</v>
      </c>
      <c r="B7" s="7">
        <v>1</v>
      </c>
      <c r="C7" s="6">
        <v>81</v>
      </c>
    </row>
  </sheetData>
  <mergeCells count="2">
    <mergeCell ref="A1:K1"/>
    <mergeCell ref="A2:K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1"/>
  <sheetViews>
    <sheetView workbookViewId="0">
      <selection activeCell="G9" sqref="G9"/>
    </sheetView>
  </sheetViews>
  <sheetFormatPr defaultRowHeight="14.4" x14ac:dyDescent="0.3"/>
  <cols>
    <col min="2" max="2" width="11.44140625" bestFit="1" customWidth="1"/>
  </cols>
  <sheetData>
    <row r="1" spans="1:2" x14ac:dyDescent="0.3">
      <c r="A1" s="8" t="s">
        <v>25</v>
      </c>
      <c r="B1" s="8" t="s">
        <v>26</v>
      </c>
    </row>
    <row r="2" spans="1:2" x14ac:dyDescent="0.3">
      <c r="A2" s="9">
        <v>2083</v>
      </c>
      <c r="B2" s="9">
        <v>3</v>
      </c>
    </row>
    <row r="3" spans="1:2" x14ac:dyDescent="0.3">
      <c r="A3" s="9">
        <v>2082</v>
      </c>
      <c r="B3" s="9">
        <v>16</v>
      </c>
    </row>
    <row r="4" spans="1:2" x14ac:dyDescent="0.3">
      <c r="A4" s="9">
        <v>2081</v>
      </c>
      <c r="B4" s="9">
        <v>11</v>
      </c>
    </row>
    <row r="5" spans="1:2" x14ac:dyDescent="0.3">
      <c r="A5" s="9">
        <v>2080</v>
      </c>
      <c r="B5" s="9">
        <v>9</v>
      </c>
    </row>
    <row r="6" spans="1:2" x14ac:dyDescent="0.3">
      <c r="A6" s="9">
        <v>2079</v>
      </c>
      <c r="B6" s="9">
        <v>14</v>
      </c>
    </row>
    <row r="7" spans="1:2" x14ac:dyDescent="0.3">
      <c r="A7" s="9">
        <v>2078</v>
      </c>
      <c r="B7" s="9">
        <v>12</v>
      </c>
    </row>
    <row r="8" spans="1:2" x14ac:dyDescent="0.3">
      <c r="A8" s="9">
        <v>2077</v>
      </c>
      <c r="B8" s="9">
        <v>2</v>
      </c>
    </row>
    <row r="9" spans="1:2" x14ac:dyDescent="0.3">
      <c r="A9" s="9">
        <v>2076</v>
      </c>
      <c r="B9" s="9">
        <v>8</v>
      </c>
    </row>
    <row r="10" spans="1:2" x14ac:dyDescent="0.3">
      <c r="A10" s="9">
        <v>2075</v>
      </c>
      <c r="B10" s="9">
        <v>5</v>
      </c>
    </row>
    <row r="11" spans="1:2" x14ac:dyDescent="0.3">
      <c r="A11" s="9">
        <v>2074</v>
      </c>
      <c r="B11" s="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6"/>
  <sheetViews>
    <sheetView workbookViewId="0">
      <selection activeCell="E10" sqref="E10"/>
    </sheetView>
  </sheetViews>
  <sheetFormatPr defaultRowHeight="14.4" x14ac:dyDescent="0.3"/>
  <sheetData>
    <row r="1" spans="1:10" x14ac:dyDescent="0.3">
      <c r="A1" s="15" t="s">
        <v>33</v>
      </c>
      <c r="B1" s="14" t="s">
        <v>34</v>
      </c>
      <c r="C1" s="14"/>
      <c r="D1" s="14"/>
      <c r="E1" s="14"/>
      <c r="F1" s="15" t="s">
        <v>12</v>
      </c>
      <c r="G1" s="15"/>
    </row>
    <row r="2" spans="1:10" x14ac:dyDescent="0.3">
      <c r="A2" s="15"/>
      <c r="B2" s="14" t="s">
        <v>36</v>
      </c>
      <c r="C2" s="14"/>
      <c r="D2" s="14" t="s">
        <v>35</v>
      </c>
      <c r="E2" s="14"/>
      <c r="F2" s="15"/>
      <c r="G2" s="15"/>
    </row>
    <row r="3" spans="1:10" x14ac:dyDescent="0.3">
      <c r="A3" s="15"/>
      <c r="B3" s="11" t="s">
        <v>37</v>
      </c>
      <c r="C3" s="11" t="s">
        <v>29</v>
      </c>
      <c r="D3" s="11" t="s">
        <v>37</v>
      </c>
      <c r="E3" s="11" t="s">
        <v>29</v>
      </c>
      <c r="F3" s="11" t="s">
        <v>37</v>
      </c>
      <c r="G3" s="11" t="s">
        <v>29</v>
      </c>
      <c r="I3" s="13" t="s">
        <v>38</v>
      </c>
      <c r="J3" s="13" t="s">
        <v>39</v>
      </c>
    </row>
    <row r="4" spans="1:10" x14ac:dyDescent="0.3">
      <c r="A4" s="10" t="s">
        <v>38</v>
      </c>
      <c r="B4" s="10">
        <f>164+1</f>
        <v>165</v>
      </c>
      <c r="C4" s="12">
        <f>B4/B6*100</f>
        <v>93.75</v>
      </c>
      <c r="D4" s="10">
        <f>99+1</f>
        <v>100</v>
      </c>
      <c r="E4" s="12">
        <f>D4/D6*100</f>
        <v>62.893081761006286</v>
      </c>
      <c r="F4" s="10">
        <f>B4+D4</f>
        <v>265</v>
      </c>
      <c r="G4" s="12">
        <f>F4/F6*100</f>
        <v>79.104477611940297</v>
      </c>
      <c r="I4" s="12">
        <v>93.75</v>
      </c>
      <c r="J4" s="12">
        <v>62.893081761006286</v>
      </c>
    </row>
    <row r="5" spans="1:10" x14ac:dyDescent="0.3">
      <c r="A5" s="10" t="s">
        <v>39</v>
      </c>
      <c r="B5" s="10">
        <v>11</v>
      </c>
      <c r="C5" s="12">
        <f>B5/B6*100</f>
        <v>6.25</v>
      </c>
      <c r="D5" s="10">
        <f>58+1</f>
        <v>59</v>
      </c>
      <c r="E5" s="12">
        <f>D5/D6*100</f>
        <v>37.106918238993707</v>
      </c>
      <c r="F5" s="10">
        <f>B5+D5</f>
        <v>70</v>
      </c>
      <c r="G5" s="12">
        <f>F5/F6*100</f>
        <v>20.8955223880597</v>
      </c>
      <c r="I5" s="12">
        <v>6.25</v>
      </c>
      <c r="J5" s="12">
        <v>37.106918238993707</v>
      </c>
    </row>
    <row r="6" spans="1:10" x14ac:dyDescent="0.3">
      <c r="A6" s="10" t="s">
        <v>12</v>
      </c>
      <c r="B6" s="10">
        <f>SUM(B4:B5)</f>
        <v>176</v>
      </c>
      <c r="C6" s="10">
        <f t="shared" ref="C6:G6" si="0">SUM(C4:C5)</f>
        <v>100</v>
      </c>
      <c r="D6" s="10">
        <f t="shared" si="0"/>
        <v>159</v>
      </c>
      <c r="E6" s="10">
        <f t="shared" si="0"/>
        <v>100</v>
      </c>
      <c r="F6" s="10">
        <f t="shared" si="0"/>
        <v>335</v>
      </c>
      <c r="G6" s="10">
        <f t="shared" si="0"/>
        <v>100</v>
      </c>
    </row>
  </sheetData>
  <mergeCells count="5">
    <mergeCell ref="B1:E1"/>
    <mergeCell ref="B2:C2"/>
    <mergeCell ref="D2:E2"/>
    <mergeCell ref="F1:G2"/>
    <mergeCell ref="A1:A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6"/>
  <sheetViews>
    <sheetView zoomScaleNormal="100" workbookViewId="0">
      <selection sqref="A1:C6"/>
    </sheetView>
  </sheetViews>
  <sheetFormatPr defaultRowHeight="14.4" x14ac:dyDescent="0.3"/>
  <cols>
    <col min="2" max="2" width="17.44140625" bestFit="1" customWidth="1"/>
  </cols>
  <sheetData>
    <row r="1" spans="1:3" x14ac:dyDescent="0.3">
      <c r="A1" s="8" t="s">
        <v>27</v>
      </c>
      <c r="B1" s="8" t="s">
        <v>28</v>
      </c>
      <c r="C1" s="8" t="s">
        <v>29</v>
      </c>
    </row>
    <row r="2" spans="1:3" x14ac:dyDescent="0.3">
      <c r="A2" s="10" t="s">
        <v>30</v>
      </c>
      <c r="B2" s="10">
        <v>31</v>
      </c>
      <c r="C2" s="12">
        <f>B2/B6*100</f>
        <v>34.831460674157306</v>
      </c>
    </row>
    <row r="3" spans="1:3" x14ac:dyDescent="0.3">
      <c r="A3" s="10" t="s">
        <v>31</v>
      </c>
      <c r="B3" s="10">
        <v>25</v>
      </c>
      <c r="C3" s="12">
        <f>B3/B6*100</f>
        <v>28.08988764044944</v>
      </c>
    </row>
    <row r="4" spans="1:3" x14ac:dyDescent="0.3">
      <c r="A4" s="10" t="s">
        <v>40</v>
      </c>
      <c r="B4" s="10">
        <v>25</v>
      </c>
      <c r="C4" s="12">
        <f>B4/B6*100</f>
        <v>28.08988764044944</v>
      </c>
    </row>
    <row r="5" spans="1:3" x14ac:dyDescent="0.3">
      <c r="A5" s="10" t="s">
        <v>41</v>
      </c>
      <c r="B5" s="10">
        <v>8</v>
      </c>
      <c r="C5" s="12">
        <f>B5/B6*100</f>
        <v>8.9887640449438209</v>
      </c>
    </row>
    <row r="6" spans="1:3" x14ac:dyDescent="0.3">
      <c r="A6" s="10" t="s">
        <v>12</v>
      </c>
      <c r="B6" s="10">
        <f>SUM(B2:B5)</f>
        <v>89</v>
      </c>
      <c r="C6" s="10">
        <f>SUM(C2:C5)</f>
        <v>100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75082-251D-4B38-966E-F88F9E772705}">
  <sheetPr>
    <tabColor rgb="FFFF0000"/>
  </sheetPr>
  <dimension ref="A1:C7"/>
  <sheetViews>
    <sheetView tabSelected="1" workbookViewId="0">
      <selection activeCell="E7" sqref="E7"/>
    </sheetView>
  </sheetViews>
  <sheetFormatPr defaultRowHeight="14.4" x14ac:dyDescent="0.3"/>
  <cols>
    <col min="2" max="2" width="16.44140625" bestFit="1" customWidth="1"/>
    <col min="3" max="3" width="7.44140625" bestFit="1" customWidth="1"/>
  </cols>
  <sheetData>
    <row r="1" spans="1:3" x14ac:dyDescent="0.3">
      <c r="A1" s="8" t="s">
        <v>42</v>
      </c>
      <c r="B1" s="8" t="s">
        <v>28</v>
      </c>
      <c r="C1" s="8" t="s">
        <v>29</v>
      </c>
    </row>
    <row r="2" spans="1:3" x14ac:dyDescent="0.3">
      <c r="A2" s="10" t="s">
        <v>43</v>
      </c>
      <c r="B2" s="10">
        <v>31</v>
      </c>
      <c r="C2" s="12">
        <f>B2/B7*100</f>
        <v>34.831460674157306</v>
      </c>
    </row>
    <row r="3" spans="1:3" x14ac:dyDescent="0.3">
      <c r="A3" s="10" t="s">
        <v>44</v>
      </c>
      <c r="B3" s="10">
        <v>25</v>
      </c>
      <c r="C3" s="12">
        <f>B3/B7*100</f>
        <v>28.08988764044944</v>
      </c>
    </row>
    <row r="4" spans="1:3" x14ac:dyDescent="0.3">
      <c r="A4" s="10" t="s">
        <v>45</v>
      </c>
      <c r="B4" s="10">
        <v>25</v>
      </c>
      <c r="C4" s="12">
        <f>B4/B7*100</f>
        <v>28.08988764044944</v>
      </c>
    </row>
    <row r="5" spans="1:3" x14ac:dyDescent="0.3">
      <c r="A5" s="10" t="s">
        <v>46</v>
      </c>
      <c r="B5" s="10">
        <v>8</v>
      </c>
      <c r="C5" s="12">
        <f>B5/B7*100</f>
        <v>8.9887640449438209</v>
      </c>
    </row>
    <row r="6" spans="1:3" x14ac:dyDescent="0.3">
      <c r="A6" s="10" t="s">
        <v>32</v>
      </c>
      <c r="B6" s="10"/>
      <c r="C6" s="12"/>
    </row>
    <row r="7" spans="1:3" x14ac:dyDescent="0.3">
      <c r="A7" s="10" t="s">
        <v>12</v>
      </c>
      <c r="B7" s="10">
        <f>SUM(B2:B5)</f>
        <v>89</v>
      </c>
      <c r="C7" s="10">
        <f>SUM(C2:C5)</f>
        <v>100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C3968-0C2C-495D-B103-63BB836806C3}">
  <sheetPr>
    <tabColor rgb="FFFF0000"/>
  </sheetPr>
  <dimension ref="A1:C7"/>
  <sheetViews>
    <sheetView workbookViewId="0">
      <selection activeCell="B21" sqref="B21"/>
    </sheetView>
  </sheetViews>
  <sheetFormatPr defaultRowHeight="14.4" x14ac:dyDescent="0.3"/>
  <cols>
    <col min="1" max="1" width="17.44140625" bestFit="1" customWidth="1"/>
    <col min="2" max="2" width="16.21875" bestFit="1" customWidth="1"/>
    <col min="3" max="3" width="13.21875" bestFit="1" customWidth="1"/>
  </cols>
  <sheetData>
    <row r="1" spans="1:3" x14ac:dyDescent="0.3">
      <c r="A1" s="10" t="s">
        <v>47</v>
      </c>
      <c r="B1" s="10" t="s">
        <v>3</v>
      </c>
      <c r="C1" s="10" t="s">
        <v>48</v>
      </c>
    </row>
    <row r="2" spans="1:3" x14ac:dyDescent="0.3">
      <c r="A2" s="10" t="s">
        <v>49</v>
      </c>
      <c r="B2" s="10">
        <v>13</v>
      </c>
      <c r="C2" s="12">
        <f>B2/$B$7*100</f>
        <v>14.606741573033707</v>
      </c>
    </row>
    <row r="3" spans="1:3" x14ac:dyDescent="0.3">
      <c r="A3" s="10" t="s">
        <v>50</v>
      </c>
      <c r="B3" s="10">
        <v>52</v>
      </c>
      <c r="C3" s="12">
        <f t="shared" ref="C3:C6" si="0">B3/$B$7*100</f>
        <v>58.426966292134829</v>
      </c>
    </row>
    <row r="4" spans="1:3" x14ac:dyDescent="0.3">
      <c r="A4" s="10" t="s">
        <v>51</v>
      </c>
      <c r="B4" s="10">
        <v>0</v>
      </c>
      <c r="C4" s="12">
        <f t="shared" si="0"/>
        <v>0</v>
      </c>
    </row>
    <row r="5" spans="1:3" x14ac:dyDescent="0.3">
      <c r="A5" s="10" t="s">
        <v>52</v>
      </c>
      <c r="B5" s="10">
        <v>0</v>
      </c>
      <c r="C5" s="12">
        <f t="shared" si="0"/>
        <v>0</v>
      </c>
    </row>
    <row r="6" spans="1:3" x14ac:dyDescent="0.3">
      <c r="A6" s="10" t="s">
        <v>53</v>
      </c>
      <c r="B6" s="10">
        <v>24</v>
      </c>
      <c r="C6" s="12">
        <f t="shared" si="0"/>
        <v>26.966292134831459</v>
      </c>
    </row>
    <row r="7" spans="1:3" x14ac:dyDescent="0.3">
      <c r="A7" s="10" t="s">
        <v>12</v>
      </c>
      <c r="B7" s="10">
        <f>SUM(B2:B6)</f>
        <v>89</v>
      </c>
      <c r="C7" s="10">
        <f>SUM(C2:C6)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Reasons for leaving origin</vt:lpstr>
      <vt:lpstr>Distribution of Households</vt:lpstr>
      <vt:lpstr>Satisfaction</vt:lpstr>
      <vt:lpstr>Datewise migrants no.</vt:lpstr>
      <vt:lpstr>Literacy status</vt:lpstr>
      <vt:lpstr>Ethnicity</vt:lpstr>
      <vt:lpstr>Religion</vt:lpstr>
      <vt:lpstr>Land holdings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rabina baga</cp:lastModifiedBy>
  <dcterms:created xsi:type="dcterms:W3CDTF">2015-06-05T18:17:20Z</dcterms:created>
  <dcterms:modified xsi:type="dcterms:W3CDTF">2026-08-30T13:02:53Z</dcterms:modified>
</cp:coreProperties>
</file>