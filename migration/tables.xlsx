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5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6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7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8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9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:\082_083\ward1\migration\"/>
    </mc:Choice>
  </mc:AlternateContent>
  <xr:revisionPtr revIDLastSave="0" documentId="13_ncr:1_{8B656A17-B284-415C-AE49-C8DB0459A5C1}" xr6:coauthVersionLast="47" xr6:coauthVersionMax="47" xr10:uidLastSave="{00000000-0000-0000-0000-000000000000}"/>
  <bookViews>
    <workbookView xWindow="-108" yWindow="-108" windowWidth="23256" windowHeight="12576" firstSheet="8" activeTab="12" xr2:uid="{00000000-000D-0000-FFFF-FFFF00000000}"/>
  </bookViews>
  <sheets>
    <sheet name="Reasons for leaving origin" sheetId="1" r:id="rId1"/>
    <sheet name="Distribution of Households" sheetId="2" r:id="rId2"/>
    <sheet name="Satisfaction" sheetId="3" r:id="rId3"/>
    <sheet name="Datewise migrants no." sheetId="4" r:id="rId4"/>
    <sheet name="Literacy status" sheetId="6" r:id="rId5"/>
    <sheet name="Ethnicity" sheetId="5" r:id="rId6"/>
    <sheet name="Religion" sheetId="7" r:id="rId7"/>
    <sheet name="Land holdings" sheetId="8" r:id="rId8"/>
    <sheet name="Water source" sheetId="9" r:id="rId9"/>
    <sheet name="5yrs age group" sheetId="10" r:id="rId10"/>
    <sheet name="Marrital status" sheetId="11" r:id="rId11"/>
    <sheet name="Family size" sheetId="12" r:id="rId12"/>
    <sheet name="dependency ratio" sheetId="13" r:id="rId13"/>
  </sheets>
  <externalReferences>
    <externalReference r:id="rId1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" i="13" l="1"/>
  <c r="D4" i="13"/>
  <c r="B4" i="13"/>
  <c r="D3" i="13"/>
  <c r="D2" i="13"/>
  <c r="C3" i="13"/>
  <c r="B3" i="13"/>
  <c r="C2" i="13"/>
  <c r="B2" i="13"/>
  <c r="I3" i="13"/>
  <c r="I4" i="13"/>
  <c r="I2" i="13"/>
  <c r="G3" i="12"/>
  <c r="G4" i="12"/>
  <c r="G2" i="12"/>
  <c r="C3" i="12"/>
  <c r="C4" i="12"/>
  <c r="C5" i="12"/>
  <c r="C2" i="12"/>
  <c r="B5" i="12"/>
  <c r="O4" i="11"/>
  <c r="O3" i="11"/>
  <c r="N4" i="11"/>
  <c r="N3" i="11"/>
  <c r="K5" i="11"/>
  <c r="K4" i="11"/>
  <c r="J5" i="11"/>
  <c r="J4" i="11"/>
  <c r="G5" i="11"/>
  <c r="G4" i="11"/>
  <c r="F4" i="11"/>
  <c r="F5" i="11"/>
  <c r="F6" i="11"/>
  <c r="E5" i="11"/>
  <c r="C6" i="11"/>
  <c r="D6" i="11"/>
  <c r="E4" i="11"/>
  <c r="C5" i="11"/>
  <c r="C4" i="11"/>
  <c r="B6" i="11"/>
  <c r="B5" i="11"/>
  <c r="B4" i="11"/>
  <c r="D5" i="11"/>
  <c r="D4" i="11"/>
  <c r="G3" i="9"/>
  <c r="G4" i="9"/>
  <c r="G2" i="9"/>
  <c r="B3" i="8"/>
  <c r="B2" i="8"/>
  <c r="G6" i="11" l="1"/>
  <c r="E6" i="11"/>
  <c r="I4" i="10" l="1"/>
  <c r="I5" i="10"/>
  <c r="I6" i="10"/>
  <c r="I7" i="10"/>
  <c r="I8" i="10"/>
  <c r="I9" i="10"/>
  <c r="I10" i="10"/>
  <c r="I11" i="10"/>
  <c r="I12" i="10"/>
  <c r="I13" i="10"/>
  <c r="I14" i="10"/>
  <c r="I15" i="10"/>
  <c r="I16" i="10"/>
  <c r="I3" i="10"/>
  <c r="G17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3" i="10"/>
  <c r="E17" i="10"/>
  <c r="E4" i="10"/>
  <c r="E5" i="10"/>
  <c r="E6" i="10"/>
  <c r="E7" i="10"/>
  <c r="E8" i="10"/>
  <c r="E9" i="10"/>
  <c r="E10" i="10"/>
  <c r="E11" i="10"/>
  <c r="E12" i="10"/>
  <c r="E13" i="10"/>
  <c r="E14" i="10"/>
  <c r="E15" i="10"/>
  <c r="E16" i="10"/>
  <c r="E3" i="10"/>
  <c r="C4" i="10"/>
  <c r="C5" i="10"/>
  <c r="C6" i="10"/>
  <c r="C7" i="10"/>
  <c r="C8" i="10"/>
  <c r="C9" i="10"/>
  <c r="C10" i="10"/>
  <c r="C11" i="10"/>
  <c r="C12" i="10"/>
  <c r="C13" i="10"/>
  <c r="C14" i="10"/>
  <c r="C15" i="10"/>
  <c r="C16" i="10"/>
  <c r="C17" i="10"/>
  <c r="C3" i="10"/>
  <c r="D5" i="6"/>
  <c r="B4" i="6"/>
  <c r="B5" i="9"/>
  <c r="C4" i="9" s="1"/>
  <c r="B12" i="4"/>
  <c r="B7" i="8"/>
  <c r="C4" i="8" s="1"/>
  <c r="B6" i="6"/>
  <c r="C5" i="6" s="1"/>
  <c r="J5" i="6" s="1"/>
  <c r="D6" i="6"/>
  <c r="C3" i="8" l="1"/>
  <c r="C2" i="8"/>
  <c r="C6" i="8"/>
  <c r="C5" i="8"/>
  <c r="E5" i="6"/>
  <c r="K5" i="6" s="1"/>
  <c r="E4" i="6"/>
  <c r="C3" i="9"/>
  <c r="C2" i="9"/>
  <c r="F4" i="6"/>
  <c r="F5" i="6"/>
  <c r="C4" i="6"/>
  <c r="J4" i="6" s="1"/>
  <c r="C7" i="8" l="1"/>
  <c r="C6" i="6"/>
  <c r="E6" i="6"/>
  <c r="K4" i="6"/>
  <c r="C5" i="9"/>
  <c r="F6" i="6"/>
  <c r="G5" i="6" s="1"/>
  <c r="G4" i="6" l="1"/>
  <c r="G6" i="6" s="1"/>
  <c r="B3" i="7" l="1"/>
  <c r="B4" i="5"/>
  <c r="B3" i="5" l="1"/>
  <c r="B2" i="5"/>
  <c r="B5" i="7" l="1"/>
  <c r="B5" i="5"/>
  <c r="B6" i="5" s="1"/>
  <c r="B2" i="7"/>
  <c r="C4" i="5" l="1"/>
  <c r="G4" i="5" s="1"/>
  <c r="C5" i="5"/>
  <c r="G5" i="5" s="1"/>
  <c r="C3" i="5"/>
  <c r="G3" i="5" s="1"/>
  <c r="C2" i="5"/>
  <c r="G2" i="5" s="1"/>
  <c r="B6" i="7"/>
  <c r="C2" i="7" s="1"/>
  <c r="G2" i="7" s="1"/>
  <c r="C6" i="5" l="1"/>
  <c r="C4" i="7"/>
  <c r="G4" i="7" s="1"/>
  <c r="C5" i="7"/>
  <c r="G5" i="7" s="1"/>
  <c r="C3" i="7"/>
  <c r="G3" i="7" s="1"/>
  <c r="C6" i="7" l="1"/>
</calcChain>
</file>

<file path=xl/sharedStrings.xml><?xml version="1.0" encoding="utf-8"?>
<sst xmlns="http://schemas.openxmlformats.org/spreadsheetml/2006/main" count="157" uniqueCount="90">
  <si>
    <t>2. Table No. 5.1.1: Distribution of Reasons for Leaving Place of Origin</t>
  </si>
  <si>
    <t>Verified from data.rar checkbox extraction; N=81 — supersedes earlier unverified version.</t>
  </si>
  <si>
    <t>Reason for Leaving</t>
  </si>
  <si>
    <t>No. of Households</t>
  </si>
  <si>
    <t>Percent (%)</t>
  </si>
  <si>
    <t>नया घर (New house)</t>
  </si>
  <si>
    <t>नया अवसर (New opportunity)</t>
  </si>
  <si>
    <t>नोकरी (Job/Unemployment)</t>
  </si>
  <si>
    <t>व्यापार व्यवसाय (Trade/Business)</t>
  </si>
  <si>
    <t>पिडत (Victim/Displaced)</t>
  </si>
  <si>
    <t>अध्ययन/शिक्षा (Education)</t>
  </si>
  <si>
    <t>अन्य (Others)</t>
  </si>
  <si>
    <t>Total</t>
  </si>
  <si>
    <t>. Table No. 5.1.2: Distribution of Households by Place of Origin Before Migration</t>
  </si>
  <si>
    <t>Derived directly from the 81 unique, verified in-migration household records (data.rar).</t>
  </si>
  <si>
    <t>Place of Origin</t>
  </si>
  <si>
    <t>Different District (outside Kathmandu)</t>
  </si>
  <si>
    <t>Same District, different Municipality (elsewhere in Kathmandu)</t>
  </si>
  <si>
    <t>Same Municipality (ward-to-ward within Shankharapur)</t>
  </si>
  <si>
    <t>4. Table No. 5.1.3: Satisfaction of Respondents with Current Place of Residence</t>
  </si>
  <si>
    <t>From questionnaire; N=81.</t>
  </si>
  <si>
    <t>Satisfaction</t>
  </si>
  <si>
    <t>Yes</t>
  </si>
  <si>
    <t>No</t>
  </si>
  <si>
    <t>Same as before</t>
  </si>
  <si>
    <t>Years</t>
  </si>
  <si>
    <t>Households</t>
  </si>
  <si>
    <t>Ethnicity</t>
  </si>
  <si>
    <t>No. of households</t>
  </si>
  <si>
    <t>Percent</t>
  </si>
  <si>
    <t>Brahmin</t>
  </si>
  <si>
    <t>Chettri</t>
  </si>
  <si>
    <t>Others</t>
  </si>
  <si>
    <t>Literacy Status</t>
  </si>
  <si>
    <t>Sex</t>
  </si>
  <si>
    <t>Female</t>
  </si>
  <si>
    <t>Male</t>
  </si>
  <si>
    <t xml:space="preserve">No. </t>
  </si>
  <si>
    <t>Literate</t>
  </si>
  <si>
    <t>Illiterate</t>
  </si>
  <si>
    <t>Janajati</t>
  </si>
  <si>
    <t>Dalit</t>
  </si>
  <si>
    <t>Religion</t>
  </si>
  <si>
    <t>Hindu</t>
  </si>
  <si>
    <t>Buddhist</t>
  </si>
  <si>
    <t>Muslim</t>
  </si>
  <si>
    <t>Christian</t>
  </si>
  <si>
    <t>Size of Land Holding</t>
  </si>
  <si>
    <t>Percentage (%)</t>
  </si>
  <si>
    <t>Ropani</t>
  </si>
  <si>
    <t>Aana</t>
  </si>
  <si>
    <t>Paisa</t>
  </si>
  <si>
    <t>Daam</t>
  </si>
  <si>
    <t>Sources of Water</t>
  </si>
  <si>
    <t>Piped</t>
  </si>
  <si>
    <t>Well</t>
  </si>
  <si>
    <t>Boring</t>
  </si>
  <si>
    <t>0-4</t>
  </si>
  <si>
    <t>5-9</t>
  </si>
  <si>
    <t>10-14</t>
  </si>
  <si>
    <t>15-19</t>
  </si>
  <si>
    <t>20-24</t>
  </si>
  <si>
    <t>25-29</t>
  </si>
  <si>
    <t>30-34</t>
  </si>
  <si>
    <t>35-39</t>
  </si>
  <si>
    <t>40-44</t>
  </si>
  <si>
    <t>45-49</t>
  </si>
  <si>
    <t>50-54</t>
  </si>
  <si>
    <t>54-59</t>
  </si>
  <si>
    <t>60-64</t>
  </si>
  <si>
    <t>65+</t>
  </si>
  <si>
    <t>Sex of the Migrants</t>
  </si>
  <si>
    <t>Age Group</t>
  </si>
  <si>
    <t>Marital Status</t>
  </si>
  <si>
    <t>No.</t>
  </si>
  <si>
    <t>Unmarried</t>
  </si>
  <si>
    <t>Married</t>
  </si>
  <si>
    <t xml:space="preserve">Male </t>
  </si>
  <si>
    <t>No. of Household</t>
  </si>
  <si>
    <t>Below 5</t>
  </si>
  <si>
    <t>5-6</t>
  </si>
  <si>
    <t>Above 6</t>
  </si>
  <si>
    <t>Family size</t>
  </si>
  <si>
    <t>Age Dependency Ratio</t>
  </si>
  <si>
    <t>Child Dependency Ratio</t>
  </si>
  <si>
    <t>Old age Dependency Ratio</t>
  </si>
  <si>
    <t>age 1-14</t>
  </si>
  <si>
    <t>male</t>
  </si>
  <si>
    <t>female</t>
  </si>
  <si>
    <t>15-64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</si>
</sst>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6"/>
      <color rgb="FF2E74B5"/>
      <name val="Times New Roman"/>
      <family val="1"/>
    </font>
    <font>
      <sz val="10"/>
      <color theme="1"/>
      <name val="Times New Roman"/>
      <family val="1"/>
    </font>
    <font>
      <i/>
      <sz val="10"/>
      <color rgb="FF555555"/>
      <name val="Times New Roman"/>
      <family val="1"/>
    </font>
    <font>
      <b/>
      <sz val="10"/>
      <color rgb="FF000000"/>
      <name val="Times New Roman"/>
      <family val="1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vertical="center" wrapText="1"/>
    </xf>
    <xf numFmtId="0" fontId="2" fillId="0" borderId="4" xfId="0" applyFont="1" applyBorder="1" applyAlignment="1">
      <alignment horizontal="center" vertical="center" wrapText="1"/>
    </xf>
    <xf numFmtId="10" fontId="2" fillId="0" borderId="4" xfId="0" applyNumberFormat="1" applyFont="1" applyBorder="1" applyAlignment="1">
      <alignment horizontal="center" vertical="center" wrapText="1"/>
    </xf>
    <xf numFmtId="0" fontId="5" fillId="0" borderId="5" xfId="0" applyFont="1" applyBorder="1"/>
    <xf numFmtId="0" fontId="0" fillId="0" borderId="5" xfId="0" applyBorder="1"/>
    <xf numFmtId="0" fontId="0" fillId="0" borderId="5" xfId="0" applyBorder="1" applyAlignment="1">
      <alignment vertical="center"/>
    </xf>
    <xf numFmtId="2" fontId="0" fillId="0" borderId="5" xfId="0" applyNumberFormat="1" applyBorder="1"/>
    <xf numFmtId="0" fontId="0" fillId="0" borderId="5" xfId="0" applyBorder="1" applyAlignment="1">
      <alignment horizontal="right"/>
    </xf>
    <xf numFmtId="2" fontId="0" fillId="0" borderId="0" xfId="0" applyNumberFormat="1"/>
    <xf numFmtId="49" fontId="0" fillId="0" borderId="5" xfId="0" applyNumberFormat="1" applyBorder="1"/>
    <xf numFmtId="1" fontId="0" fillId="0" borderId="5" xfId="0" applyNumberFormat="1" applyBorder="1"/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0" fillId="0" borderId="5" xfId="0" applyBorder="1" applyAlignment="1">
      <alignment horizontal="center"/>
    </xf>
    <xf numFmtId="0" fontId="0" fillId="0" borderId="0" xfId="0" applyBorder="1"/>
    <xf numFmtId="2" fontId="0" fillId="0" borderId="0" xfId="0" applyNumberFormat="1" applyBorder="1"/>
    <xf numFmtId="0" fontId="0" fillId="0" borderId="5" xfId="0" quotePrefix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Distribution of Reasons for Leaving Place of Origin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971262471972425"/>
          <c:y val="5.0925925925925923E-2"/>
          <c:w val="0.83199957928756196"/>
          <c:h val="0.5527690587661384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'Reasons for leaving origin'!$C$3</c:f>
              <c:strCache>
                <c:ptCount val="1"/>
                <c:pt idx="0">
                  <c:v>No. of Households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'Reasons for leaving origin'!$A$4:$A$11</c:f>
              <c:strCache>
                <c:ptCount val="8"/>
                <c:pt idx="0">
                  <c:v>नया घर (New house)</c:v>
                </c:pt>
                <c:pt idx="1">
                  <c:v>नया अवसर (New opportunity)</c:v>
                </c:pt>
                <c:pt idx="2">
                  <c:v>नोकरी (Job/Unemployment)</c:v>
                </c:pt>
                <c:pt idx="3">
                  <c:v>व्यापार व्यवसाय (Trade/Business)</c:v>
                </c:pt>
                <c:pt idx="4">
                  <c:v>पिडत (Victim/Displaced)</c:v>
                </c:pt>
                <c:pt idx="5">
                  <c:v>अध्ययन/शिक्षा (Education)</c:v>
                </c:pt>
                <c:pt idx="6">
                  <c:v>अन्य (Others)</c:v>
                </c:pt>
                <c:pt idx="7">
                  <c:v>Total</c:v>
                </c:pt>
              </c:strCache>
            </c:strRef>
          </c:cat>
          <c:val>
            <c:numRef>
              <c:f>'Reasons for leaving origin'!$C$4:$C$11</c:f>
              <c:numCache>
                <c:formatCode>General</c:formatCode>
                <c:ptCount val="8"/>
                <c:pt idx="0">
                  <c:v>70</c:v>
                </c:pt>
                <c:pt idx="1">
                  <c:v>5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FD-4116-BE10-C6C701291EF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200"/>
        <c:overlap val="100"/>
        <c:axId val="1131105792"/>
        <c:axId val="932362608"/>
      </c:barChart>
      <c:catAx>
        <c:axId val="11311057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Reason for</a:t>
                </a:r>
                <a:r>
                  <a:rPr lang="en-US" baseline="0"/>
                  <a:t> leaving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0.43176589265139664"/>
              <c:y val="0.9267045667754887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2362608"/>
        <c:crosses val="autoZero"/>
        <c:auto val="1"/>
        <c:lblAlgn val="ctr"/>
        <c:lblOffset val="100"/>
        <c:noMultiLvlLbl val="0"/>
      </c:catAx>
      <c:valAx>
        <c:axId val="932362608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No.</a:t>
                </a:r>
                <a:r>
                  <a:rPr lang="en-US" baseline="0"/>
                  <a:t> of households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11057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36679243219597552"/>
          <c:y val="0.11574074074074074"/>
          <c:w val="0.33863757655293081"/>
          <c:h val="0.56439596092155142"/>
        </c:manualLayout>
      </c:layout>
      <c:pieChart>
        <c:varyColors val="1"/>
        <c:ser>
          <c:idx val="0"/>
          <c:order val="0"/>
          <c:tx>
            <c:strRef>
              <c:f>'Reasons for leaving origin'!$B$3</c:f>
              <c:strCache>
                <c:ptCount val="1"/>
                <c:pt idx="0">
                  <c:v>Percent (%)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E8E-4A8C-BC1B-F97AD881345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E8E-4A8C-BC1B-F97AD881345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E8E-4A8C-BC1B-F97AD881345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E8E-4A8C-BC1B-F97AD881345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9E8E-4A8C-BC1B-F97AD881345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9E8E-4A8C-BC1B-F97AD881345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9E8E-4A8C-BC1B-F97AD881345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9E8E-4A8C-BC1B-F97AD881345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'Reasons for leaving origin'!$A$4:$A$11</c:f>
              <c:strCache>
                <c:ptCount val="8"/>
                <c:pt idx="0">
                  <c:v>नया घर (New house)</c:v>
                </c:pt>
                <c:pt idx="1">
                  <c:v>नया अवसर (New opportunity)</c:v>
                </c:pt>
                <c:pt idx="2">
                  <c:v>नोकरी (Job/Unemployment)</c:v>
                </c:pt>
                <c:pt idx="3">
                  <c:v>व्यापार व्यवसाय (Trade/Business)</c:v>
                </c:pt>
                <c:pt idx="4">
                  <c:v>पिडत (Victim/Displaced)</c:v>
                </c:pt>
                <c:pt idx="5">
                  <c:v>अध्ययन/शिक्षा (Education)</c:v>
                </c:pt>
                <c:pt idx="6">
                  <c:v>अन्य (Others)</c:v>
                </c:pt>
                <c:pt idx="7">
                  <c:v>Total</c:v>
                </c:pt>
              </c:strCache>
            </c:strRef>
          </c:cat>
          <c:val>
            <c:numRef>
              <c:f>'Reasons for leaving origin'!$B$4:$B$11</c:f>
              <c:numCache>
                <c:formatCode>0.00%</c:formatCode>
                <c:ptCount val="8"/>
                <c:pt idx="0">
                  <c:v>0.86399999999999999</c:v>
                </c:pt>
                <c:pt idx="1">
                  <c:v>6.2E-2</c:v>
                </c:pt>
                <c:pt idx="2">
                  <c:v>3.6999999999999998E-2</c:v>
                </c:pt>
                <c:pt idx="3">
                  <c:v>2.5000000000000001E-2</c:v>
                </c:pt>
                <c:pt idx="4">
                  <c:v>1.2E-2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AA-4F48-8A41-B3B380631154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Distribution</a:t>
            </a:r>
            <a:r>
              <a:rPr lang="en-US" baseline="0"/>
              <a:t> of Households by place of origin before migration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'Distribution of Households'!$A$4:$A$7</c:f>
              <c:strCache>
                <c:ptCount val="4"/>
                <c:pt idx="0">
                  <c:v>Different District (outside Kathmandu)</c:v>
                </c:pt>
                <c:pt idx="1">
                  <c:v>Same District, different Municipality (elsewhere in Kathmandu)</c:v>
                </c:pt>
                <c:pt idx="2">
                  <c:v>Same Municipality (ward-to-ward within Shankharapur)</c:v>
                </c:pt>
                <c:pt idx="3">
                  <c:v>Total</c:v>
                </c:pt>
              </c:strCache>
            </c:strRef>
          </c:cat>
          <c:val>
            <c:numRef>
              <c:f>'Distribution of Households'!$C$4:$C$7</c:f>
              <c:numCache>
                <c:formatCode>General</c:formatCode>
                <c:ptCount val="4"/>
                <c:pt idx="0">
                  <c:v>57</c:v>
                </c:pt>
                <c:pt idx="1">
                  <c:v>19</c:v>
                </c:pt>
                <c:pt idx="2">
                  <c:v>5</c:v>
                </c:pt>
                <c:pt idx="3">
                  <c:v>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4E-486E-B7B9-720BDDB0C91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28"/>
        <c:overlap val="100"/>
        <c:axId val="1127759072"/>
        <c:axId val="1128866736"/>
      </c:barChart>
      <c:catAx>
        <c:axId val="112775907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Place of Origin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8866736"/>
        <c:crosses val="autoZero"/>
        <c:auto val="1"/>
        <c:lblAlgn val="ctr"/>
        <c:lblOffset val="100"/>
        <c:noMultiLvlLbl val="0"/>
      </c:catAx>
      <c:valAx>
        <c:axId val="112886673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No</a:t>
                </a:r>
                <a:r>
                  <a:rPr lang="en-US" baseline="0"/>
                  <a:t>. of Households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7759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Distribution of Households by Place of Origin Before Migration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21C-4D11-9470-AFBCBCDECAC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21C-4D11-9470-AFBCBCDECAC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A21C-4D11-9470-AFBCBCDECAC7}"/>
              </c:ext>
            </c:extLst>
          </c:dPt>
          <c:dLbls>
            <c:dLbl>
              <c:idx val="0"/>
              <c:layout>
                <c:manualLayout>
                  <c:x val="8.1345277545401176E-2"/>
                  <c:y val="-0.1910484106153397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21C-4D11-9470-AFBCBCDECAC7}"/>
                </c:ext>
              </c:extLst>
            </c:dLbl>
            <c:dLbl>
              <c:idx val="1"/>
              <c:layout>
                <c:manualLayout>
                  <c:x val="-9.1513388133400306E-2"/>
                  <c:y val="0.2403105861767279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21C-4D11-9470-AFBCBCDECAC7}"/>
                </c:ext>
              </c:extLst>
            </c:dLbl>
            <c:dLbl>
              <c:idx val="2"/>
              <c:layout>
                <c:manualLayout>
                  <c:x val="-0.32154609414483631"/>
                  <c:y val="9.502369495479734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21C-4D11-9470-AFBCBCDECAC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'Distribution of Households'!$A$4:$A$6</c:f>
              <c:strCache>
                <c:ptCount val="3"/>
                <c:pt idx="0">
                  <c:v>Different District (outside Kathmandu)</c:v>
                </c:pt>
                <c:pt idx="1">
                  <c:v>Same District, different Municipality (elsewhere in Kathmandu)</c:v>
                </c:pt>
                <c:pt idx="2">
                  <c:v>Same Municipality (ward-to-ward within Shankharapur)</c:v>
                </c:pt>
              </c:strCache>
            </c:strRef>
          </c:cat>
          <c:val>
            <c:numRef>
              <c:f>'Distribution of Households'!$B$4:$B$6</c:f>
              <c:numCache>
                <c:formatCode>0.00%</c:formatCode>
                <c:ptCount val="3"/>
                <c:pt idx="0">
                  <c:v>0.70399999999999996</c:v>
                </c:pt>
                <c:pt idx="1">
                  <c:v>0.23499999999999999</c:v>
                </c:pt>
                <c:pt idx="2">
                  <c:v>6.2E-2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1C-4D11-9470-AFBCBCDECAC7}"/>
            </c:ext>
          </c:extLst>
        </c:ser>
        <c:dLbls>
          <c:showLegendKey val="0"/>
          <c:showVal val="0"/>
          <c:showCatName val="1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Satisfaction of Respondents with Current Place of Residence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Satisfaction!$A$4:$A$6</c:f>
              <c:strCache>
                <c:ptCount val="3"/>
                <c:pt idx="0">
                  <c:v>Yes</c:v>
                </c:pt>
                <c:pt idx="1">
                  <c:v>No</c:v>
                </c:pt>
                <c:pt idx="2">
                  <c:v>Same as before</c:v>
                </c:pt>
              </c:strCache>
            </c:strRef>
          </c:cat>
          <c:val>
            <c:numRef>
              <c:f>Satisfaction!$C$4:$C$6</c:f>
              <c:numCache>
                <c:formatCode>General</c:formatCode>
                <c:ptCount val="3"/>
                <c:pt idx="0">
                  <c:v>62</c:v>
                </c:pt>
                <c:pt idx="1">
                  <c:v>17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0C-4C34-8DF0-7D04D23EC7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134736400"/>
        <c:axId val="1128889776"/>
      </c:barChart>
      <c:catAx>
        <c:axId val="113473640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Satisfaction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8889776"/>
        <c:crosses val="autoZero"/>
        <c:auto val="1"/>
        <c:lblAlgn val="ctr"/>
        <c:lblOffset val="100"/>
        <c:noMultiLvlLbl val="0"/>
      </c:catAx>
      <c:valAx>
        <c:axId val="1128889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No. of Households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47364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Satisfaction of Respondents with Current Place of Residence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4B4-4CCD-943D-5AD815A969F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84B4-4CCD-943D-5AD815A969F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4B4-4CCD-943D-5AD815A969FB}"/>
              </c:ext>
            </c:extLst>
          </c:dPt>
          <c:dLbls>
            <c:dLbl>
              <c:idx val="0"/>
              <c:layout>
                <c:manualLayout>
                  <c:x val="-0.12179833770778653"/>
                  <c:y val="-0.17126968503937007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4B4-4CCD-943D-5AD815A969FB}"/>
                </c:ext>
              </c:extLst>
            </c:dLbl>
            <c:dLbl>
              <c:idx val="1"/>
              <c:layout>
                <c:manualLayout>
                  <c:x val="9.95424321959755E-2"/>
                  <c:y val="0.155019320501604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84B4-4CCD-943D-5AD815A969FB}"/>
                </c:ext>
              </c:extLst>
            </c:dLbl>
            <c:dLbl>
              <c:idx val="2"/>
              <c:layout>
                <c:manualLayout>
                  <c:x val="-0.16785083114610672"/>
                  <c:y val="6.0939778361038206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4B4-4CCD-943D-5AD815A969F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Satisfaction!$A$4:$A$6</c:f>
              <c:strCache>
                <c:ptCount val="3"/>
                <c:pt idx="0">
                  <c:v>Yes</c:v>
                </c:pt>
                <c:pt idx="1">
                  <c:v>No</c:v>
                </c:pt>
                <c:pt idx="2">
                  <c:v>Same as before</c:v>
                </c:pt>
              </c:strCache>
            </c:strRef>
          </c:cat>
          <c:val>
            <c:numRef>
              <c:f>Satisfaction!$B$4:$B$6</c:f>
              <c:numCache>
                <c:formatCode>0.00%</c:formatCode>
                <c:ptCount val="3"/>
                <c:pt idx="0">
                  <c:v>0.76500000000000001</c:v>
                </c:pt>
                <c:pt idx="1">
                  <c:v>0.21</c:v>
                </c:pt>
                <c:pt idx="2">
                  <c:v>2.5000000000000001E-2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B4-4CCD-943D-5AD815A969FB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Male</c:v>
          </c:tx>
          <c:spPr>
            <a:noFill/>
            <a:ln>
              <a:solidFill>
                <a:sysClr val="windowText" lastClr="00000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'Literacy status'!$J$3:$K$3</c:f>
              <c:strCache>
                <c:ptCount val="2"/>
                <c:pt idx="0">
                  <c:v>Literate</c:v>
                </c:pt>
                <c:pt idx="1">
                  <c:v>Illiterate</c:v>
                </c:pt>
              </c:strCache>
            </c:strRef>
          </c:cat>
          <c:val>
            <c:numRef>
              <c:f>'Literacy status'!$J$4:$J$5</c:f>
              <c:numCache>
                <c:formatCode>0.00</c:formatCode>
                <c:ptCount val="2"/>
                <c:pt idx="0">
                  <c:v>93.714285714285722</c:v>
                </c:pt>
                <c:pt idx="1">
                  <c:v>6.2857142857142865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91-4805-9B7F-E54A41F0E2D7}"/>
            </c:ext>
          </c:extLst>
        </c:ser>
        <c:ser>
          <c:idx val="1"/>
          <c:order val="1"/>
          <c:tx>
            <c:v>Female</c:v>
          </c:tx>
          <c:spPr>
            <a:pattFill prst="dashVert">
              <a:fgClr>
                <a:schemeClr val="tx1"/>
              </a:fgClr>
              <a:bgClr>
                <a:schemeClr val="bg1"/>
              </a:bgClr>
            </a:pattFill>
            <a:ln>
              <a:solidFill>
                <a:sysClr val="windowText" lastClr="00000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'Literacy status'!$J$3:$K$3</c:f>
              <c:strCache>
                <c:ptCount val="2"/>
                <c:pt idx="0">
                  <c:v>Literate</c:v>
                </c:pt>
                <c:pt idx="1">
                  <c:v>Illiterate</c:v>
                </c:pt>
              </c:strCache>
            </c:strRef>
          </c:cat>
          <c:val>
            <c:numRef>
              <c:f>'Literacy status'!$K$4:$K$5</c:f>
              <c:numCache>
                <c:formatCode>0.00</c:formatCode>
                <c:ptCount val="2"/>
                <c:pt idx="0">
                  <c:v>66.875</c:v>
                </c:pt>
                <c:pt idx="1">
                  <c:v>33.125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91-4805-9B7F-E54A41F0E2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99"/>
        <c:axId val="1948943712"/>
        <c:axId val="1948944960"/>
      </c:barChart>
      <c:catAx>
        <c:axId val="194894371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 cap="none" baseline="0">
                    <a:solidFill>
                      <a:schemeClr val="tx1"/>
                    </a:solidFill>
                  </a:rPr>
                  <a:t>Literacy Status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8944960"/>
        <c:crosses val="autoZero"/>
        <c:auto val="1"/>
        <c:lblAlgn val="ctr"/>
        <c:lblOffset val="100"/>
        <c:noMultiLvlLbl val="0"/>
      </c:catAx>
      <c:valAx>
        <c:axId val="1948944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 cap="none" normalizeH="0" baseline="0">
                    <a:solidFill>
                      <a:schemeClr val="tx1"/>
                    </a:solidFill>
                  </a:rPr>
                  <a:t>Percent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8943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spPr>
            <a:ln>
              <a:solidFill>
                <a:sysClr val="windowText" lastClr="000000"/>
              </a:solidFill>
            </a:ln>
          </c:spPr>
          <c:dPt>
            <c:idx val="0"/>
            <c:bubble3D val="0"/>
            <c:spPr>
              <a:pattFill prst="pct5">
                <a:fgClr>
                  <a:schemeClr val="tx1"/>
                </a:fgClr>
                <a:bgClr>
                  <a:schemeClr val="bg1"/>
                </a:bgClr>
              </a:pattFill>
              <a:ln>
                <a:solidFill>
                  <a:sysClr val="windowText" lastClr="000000"/>
                </a:solidFill>
              </a:ln>
              <a:effectLst/>
              <a:sp3d>
                <a:contourClr>
                  <a:sysClr val="windowText" lastClr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0DC4-4BD0-BCA4-3F70E80E4AE5}"/>
              </c:ext>
            </c:extLst>
          </c:dPt>
          <c:dPt>
            <c:idx val="1"/>
            <c:bubble3D val="0"/>
            <c:spPr>
              <a:pattFill prst="weave">
                <a:fgClr>
                  <a:schemeClr val="tx1"/>
                </a:fgClr>
                <a:bgClr>
                  <a:schemeClr val="bg1"/>
                </a:bgClr>
              </a:pattFill>
              <a:ln>
                <a:solidFill>
                  <a:sysClr val="windowText" lastClr="000000"/>
                </a:solidFill>
              </a:ln>
              <a:effectLst/>
              <a:sp3d>
                <a:contourClr>
                  <a:sysClr val="windowText" lastClr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4-0DC4-4BD0-BCA4-3F70E80E4AE5}"/>
              </c:ext>
            </c:extLst>
          </c:dPt>
          <c:dPt>
            <c:idx val="2"/>
            <c:bubble3D val="0"/>
            <c:spPr>
              <a:pattFill prst="dotDmnd">
                <a:fgClr>
                  <a:schemeClr val="tx1"/>
                </a:fgClr>
                <a:bgClr>
                  <a:schemeClr val="bg1"/>
                </a:bgClr>
              </a:pattFill>
              <a:ln>
                <a:solidFill>
                  <a:sysClr val="windowText" lastClr="000000"/>
                </a:solidFill>
              </a:ln>
              <a:effectLst/>
              <a:sp3d>
                <a:contourClr>
                  <a:sysClr val="windowText" lastClr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0DC4-4BD0-BCA4-3F70E80E4AE5}"/>
              </c:ext>
            </c:extLst>
          </c:dPt>
          <c:dPt>
            <c:idx val="3"/>
            <c:bubble3D val="0"/>
            <c:spPr>
              <a:pattFill prst="ltUpDiag">
                <a:fgClr>
                  <a:schemeClr val="tx1"/>
                </a:fgClr>
                <a:bgClr>
                  <a:schemeClr val="bg1"/>
                </a:bgClr>
              </a:pattFill>
              <a:ln>
                <a:solidFill>
                  <a:sysClr val="windowText" lastClr="000000"/>
                </a:solidFill>
              </a:ln>
              <a:effectLst/>
              <a:sp3d>
                <a:contourClr>
                  <a:sysClr val="windowText" lastClr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2-0DC4-4BD0-BCA4-3F70E80E4AE5}"/>
              </c:ext>
            </c:extLst>
          </c:dPt>
          <c:dLbls>
            <c:spPr>
              <a:gradFill>
                <a:gsLst>
                  <a:gs pos="0">
                    <a:schemeClr val="accent1">
                      <a:lumMod val="5000"/>
                      <a:lumOff val="95000"/>
                    </a:schemeClr>
                  </a:gs>
                  <a:gs pos="74000">
                    <a:schemeClr val="accent1">
                      <a:lumMod val="45000"/>
                      <a:lumOff val="55000"/>
                    </a:schemeClr>
                  </a:gs>
                  <a:gs pos="83000">
                    <a:schemeClr val="accent1">
                      <a:lumMod val="45000"/>
                      <a:lumOff val="55000"/>
                    </a:schemeClr>
                  </a:gs>
                  <a:gs pos="100000">
                    <a:schemeClr val="accent1">
                      <a:lumMod val="30000"/>
                      <a:lumOff val="7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tx2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Ethnicity!$F$2:$F$5</c:f>
              <c:strCache>
                <c:ptCount val="4"/>
                <c:pt idx="0">
                  <c:v>Brahmin</c:v>
                </c:pt>
                <c:pt idx="1">
                  <c:v>Chettri</c:v>
                </c:pt>
                <c:pt idx="2">
                  <c:v>Janajati</c:v>
                </c:pt>
                <c:pt idx="3">
                  <c:v>Dalit</c:v>
                </c:pt>
              </c:strCache>
            </c:strRef>
          </c:cat>
          <c:val>
            <c:numRef>
              <c:f>Ethnicity!$G$2:$G$5</c:f>
              <c:numCache>
                <c:formatCode>0.00</c:formatCode>
                <c:ptCount val="4"/>
                <c:pt idx="0">
                  <c:v>31.460674157303369</c:v>
                </c:pt>
                <c:pt idx="1">
                  <c:v>35.955056179775283</c:v>
                </c:pt>
                <c:pt idx="2">
                  <c:v>25.842696629213485</c:v>
                </c:pt>
                <c:pt idx="3">
                  <c:v>6.7415730337078648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DC4-4BD0-BCA4-3F70E80E4AE5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solidFill>
                <a:schemeClr val="tx1"/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pattFill prst="pct20">
                <a:fgClr>
                  <a:schemeClr val="tx1"/>
                </a:fgClr>
                <a:bgClr>
                  <a:schemeClr val="bg1"/>
                </a:bgClr>
              </a:patt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E78-4BA4-AC36-CAC6F298C969}"/>
              </c:ext>
            </c:extLst>
          </c:dPt>
          <c:dPt>
            <c:idx val="1"/>
            <c:invertIfNegative val="0"/>
            <c:bubble3D val="0"/>
            <c:spPr>
              <a:pattFill prst="pct20">
                <a:fgClr>
                  <a:schemeClr val="tx1"/>
                </a:fgClr>
                <a:bgClr>
                  <a:schemeClr val="bg1"/>
                </a:bgClr>
              </a:patt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AE78-4BA4-AC36-CAC6F298C969}"/>
              </c:ext>
            </c:extLst>
          </c:dPt>
          <c:dPt>
            <c:idx val="2"/>
            <c:invertIfNegative val="0"/>
            <c:bubble3D val="0"/>
            <c:spPr>
              <a:pattFill prst="pct20">
                <a:fgClr>
                  <a:schemeClr val="tx1"/>
                </a:fgClr>
                <a:bgClr>
                  <a:schemeClr val="bg1"/>
                </a:bgClr>
              </a:patt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AE78-4BA4-AC36-CAC6F298C969}"/>
              </c:ext>
            </c:extLst>
          </c:dPt>
          <c:dPt>
            <c:idx val="3"/>
            <c:invertIfNegative val="0"/>
            <c:bubble3D val="0"/>
            <c:spPr>
              <a:pattFill prst="pct20">
                <a:fgClr>
                  <a:schemeClr val="tx1"/>
                </a:fgClr>
                <a:bgClr>
                  <a:schemeClr val="bg1"/>
                </a:bgClr>
              </a:patt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AE78-4BA4-AC36-CAC6F298C969}"/>
              </c:ext>
            </c:extLst>
          </c:dPt>
          <c:cat>
            <c:strRef>
              <c:f>Religion!$F$2:$F$5</c:f>
              <c:strCache>
                <c:ptCount val="4"/>
                <c:pt idx="0">
                  <c:v>Hindu</c:v>
                </c:pt>
                <c:pt idx="1">
                  <c:v>Buddhist</c:v>
                </c:pt>
                <c:pt idx="2">
                  <c:v>Muslim</c:v>
                </c:pt>
                <c:pt idx="3">
                  <c:v>Christian</c:v>
                </c:pt>
              </c:strCache>
            </c:strRef>
          </c:cat>
          <c:val>
            <c:numRef>
              <c:f>Religion!$G$2:$G$5</c:f>
              <c:numCache>
                <c:formatCode>0.00</c:formatCode>
                <c:ptCount val="4"/>
                <c:pt idx="0">
                  <c:v>67.415730337078656</c:v>
                </c:pt>
                <c:pt idx="1">
                  <c:v>25.842696629213485</c:v>
                </c:pt>
                <c:pt idx="2">
                  <c:v>0</c:v>
                </c:pt>
                <c:pt idx="3">
                  <c:v>6.7415730337078648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78-4BA4-AC36-CAC6F298C9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56970591"/>
        <c:axId val="251624399"/>
      </c:barChart>
      <c:catAx>
        <c:axId val="356970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1624399"/>
        <c:crosses val="autoZero"/>
        <c:auto val="1"/>
        <c:lblAlgn val="ctr"/>
        <c:lblOffset val="100"/>
        <c:noMultiLvlLbl val="0"/>
      </c:catAx>
      <c:valAx>
        <c:axId val="2516243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970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spPr>
            <a:pattFill prst="pct5">
              <a:fgClr>
                <a:schemeClr val="tx1"/>
              </a:fgClr>
              <a:bgClr>
                <a:schemeClr val="bg1"/>
              </a:bgClr>
            </a:pattFill>
            <a:ln>
              <a:solidFill>
                <a:sysClr val="windowText" lastClr="000000"/>
              </a:solidFill>
            </a:ln>
          </c:spPr>
          <c:dPt>
            <c:idx val="0"/>
            <c:bubble3D val="0"/>
            <c:spPr>
              <a:pattFill prst="dashHorz">
                <a:fgClr>
                  <a:schemeClr val="tx1"/>
                </a:fgClr>
                <a:bgClr>
                  <a:schemeClr val="bg1"/>
                </a:bgClr>
              </a:pattFill>
              <a:ln w="25400">
                <a:solidFill>
                  <a:sysClr val="windowText" lastClr="000000"/>
                </a:solidFill>
              </a:ln>
              <a:effectLst>
                <a:outerShdw blurRad="50800" dist="38100" dir="2700000" algn="tl" rotWithShape="0">
                  <a:schemeClr val="bg1">
                    <a:lumMod val="65000"/>
                    <a:alpha val="40000"/>
                  </a:schemeClr>
                </a:outerShdw>
              </a:effectLst>
              <a:sp3d contourW="25400">
                <a:contourClr>
                  <a:sysClr val="windowText" lastClr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1A5-4D71-81F3-625022BF6838}"/>
              </c:ext>
            </c:extLst>
          </c:dPt>
          <c:dPt>
            <c:idx val="1"/>
            <c:bubble3D val="0"/>
            <c:spPr>
              <a:pattFill prst="ltDnDiag">
                <a:fgClr>
                  <a:schemeClr val="tx1"/>
                </a:fgClr>
                <a:bgClr>
                  <a:schemeClr val="bg1"/>
                </a:bgClr>
              </a:pattFill>
              <a:ln w="25400">
                <a:solidFill>
                  <a:sysClr val="windowText" lastClr="000000"/>
                </a:solidFill>
              </a:ln>
              <a:effectLst/>
              <a:sp3d contourW="25400">
                <a:contourClr>
                  <a:sysClr val="windowText" lastClr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2-71A5-4D71-81F3-625022BF6838}"/>
              </c:ext>
            </c:extLst>
          </c:dPt>
          <c:dPt>
            <c:idx val="2"/>
            <c:bubble3D val="0"/>
            <c:spPr>
              <a:pattFill prst="pct5">
                <a:fgClr>
                  <a:schemeClr val="tx1"/>
                </a:fgClr>
                <a:bgClr>
                  <a:schemeClr val="bg1"/>
                </a:bgClr>
              </a:pattFill>
              <a:ln w="25400">
                <a:solidFill>
                  <a:sysClr val="windowText" lastClr="000000"/>
                </a:solidFill>
              </a:ln>
              <a:effectLst/>
              <a:sp3d contourW="25400">
                <a:contourClr>
                  <a:sysClr val="windowText" lastClr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1A5-4D71-81F3-625022BF6838}"/>
              </c:ext>
            </c:extLst>
          </c:dPt>
          <c:dLbls>
            <c:spPr>
              <a:gradFill flip="none" rotWithShape="1">
                <a:gsLst>
                  <a:gs pos="0">
                    <a:schemeClr val="accent3">
                      <a:lumMod val="5000"/>
                      <a:lumOff val="95000"/>
                    </a:schemeClr>
                  </a:gs>
                  <a:gs pos="74000">
                    <a:schemeClr val="accent3">
                      <a:lumMod val="45000"/>
                      <a:lumOff val="55000"/>
                    </a:schemeClr>
                  </a:gs>
                  <a:gs pos="83000">
                    <a:schemeClr val="accent3">
                      <a:lumMod val="45000"/>
                      <a:lumOff val="55000"/>
                    </a:schemeClr>
                  </a:gs>
                  <a:gs pos="100000">
                    <a:schemeClr val="accent3">
                      <a:lumMod val="30000"/>
                      <a:lumOff val="70000"/>
                    </a:schemeClr>
                  </a:gs>
                </a:gsLst>
                <a:lin ang="5400000" scaled="1"/>
                <a:tileRect/>
              </a:gra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'Water source'!$F$2:$F$4</c:f>
              <c:strCache>
                <c:ptCount val="3"/>
                <c:pt idx="0">
                  <c:v>Piped</c:v>
                </c:pt>
                <c:pt idx="1">
                  <c:v>Boring</c:v>
                </c:pt>
                <c:pt idx="2">
                  <c:v>Well</c:v>
                </c:pt>
              </c:strCache>
            </c:strRef>
          </c:cat>
          <c:val>
            <c:numRef>
              <c:f>'Water source'!$G$2:$G$4</c:f>
              <c:numCache>
                <c:formatCode>0.00</c:formatCode>
                <c:ptCount val="3"/>
                <c:pt idx="0">
                  <c:v>53.932584269662918</c:v>
                </c:pt>
                <c:pt idx="1">
                  <c:v>39.325842696629216</c:v>
                </c:pt>
                <c:pt idx="2">
                  <c:v>6.7415730337078648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A5-4D71-81F3-625022BF6838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pattFill prst="smCheck">
                <a:fgClr>
                  <a:schemeClr val="tx1"/>
                </a:fgClr>
                <a:bgClr>
                  <a:schemeClr val="bg1"/>
                </a:bgClr>
              </a:pattFill>
              <a:ln w="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3169-4C4B-939B-F49C91376AC8}"/>
              </c:ext>
            </c:extLst>
          </c:dPt>
          <c:dPt>
            <c:idx val="1"/>
            <c:bubble3D val="0"/>
            <c:spPr>
              <a:pattFill prst="wave">
                <a:fgClr>
                  <a:schemeClr val="tx1"/>
                </a:fgClr>
                <a:bgClr>
                  <a:schemeClr val="bg1"/>
                </a:bgClr>
              </a:pattFill>
              <a:ln w="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169-4C4B-939B-F49C91376AC8}"/>
              </c:ext>
            </c:extLst>
          </c:dPt>
          <c:dLbls>
            <c:spPr>
              <a:solidFill>
                <a:schemeClr val="bg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ln>
                      <a:solidFill>
                        <a:sysClr val="windowText" lastClr="000000"/>
                      </a:solidFill>
                    </a:ln>
                    <a:gradFill flip="none" rotWithShape="1">
                      <a:gsLst>
                        <a:gs pos="0">
                          <a:schemeClr val="bg2"/>
                        </a:gs>
                        <a:gs pos="74000">
                          <a:schemeClr val="accent1">
                            <a:lumMod val="45000"/>
                            <a:lumOff val="55000"/>
                          </a:schemeClr>
                        </a:gs>
                        <a:gs pos="83000">
                          <a:schemeClr val="accent1">
                            <a:lumMod val="45000"/>
                            <a:lumOff val="55000"/>
                          </a:schemeClr>
                        </a:gs>
                        <a:gs pos="100000">
                          <a:schemeClr val="accent1">
                            <a:lumMod val="30000"/>
                            <a:lumOff val="70000"/>
                          </a:schemeClr>
                        </a:gs>
                      </a:gsLst>
                      <a:lin ang="5400000" scaled="1"/>
                      <a:tileRect/>
                    </a:gradFill>
                    <a:effectLst>
                      <a:outerShdw blurRad="50800" dist="50800" dir="5400000" algn="ctr" rotWithShape="0">
                        <a:schemeClr val="bg2"/>
                      </a:outerShdw>
                    </a:effectLst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'Marrital status'!$J$4:$J$5</c:f>
              <c:strCache>
                <c:ptCount val="2"/>
                <c:pt idx="0">
                  <c:v>Unmarried</c:v>
                </c:pt>
                <c:pt idx="1">
                  <c:v>Married</c:v>
                </c:pt>
              </c:strCache>
            </c:strRef>
          </c:cat>
          <c:val>
            <c:numRef>
              <c:f>'Marrital status'!$K$4:$K$5</c:f>
              <c:numCache>
                <c:formatCode>0.00</c:formatCode>
                <c:ptCount val="2"/>
                <c:pt idx="0">
                  <c:v>37.962962962962962</c:v>
                </c:pt>
                <c:pt idx="1">
                  <c:v>62.037037037037038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69-4C4B-939B-F49C91376AC8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 w="0">
          <a:solidFill>
            <a:sysClr val="windowText" lastClr="000000"/>
          </a:solidFill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'Marrital status'!$N$2</c:f>
              <c:strCache>
                <c:ptCount val="1"/>
                <c:pt idx="0">
                  <c:v>Male </c:v>
                </c:pt>
              </c:strCache>
            </c:strRef>
          </c:tx>
          <c:spPr>
            <a:noFill/>
            <a:ln>
              <a:solidFill>
                <a:sysClr val="windowText" lastClr="00000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'Marrital status'!$M$3:$M$4</c:f>
              <c:strCache>
                <c:ptCount val="2"/>
                <c:pt idx="0">
                  <c:v>Unmarried</c:v>
                </c:pt>
                <c:pt idx="1">
                  <c:v>Married</c:v>
                </c:pt>
              </c:strCache>
            </c:strRef>
          </c:cat>
          <c:val>
            <c:numRef>
              <c:f>'Marrital status'!$N$3:$N$4</c:f>
              <c:numCache>
                <c:formatCode>0.00</c:formatCode>
                <c:ptCount val="2"/>
                <c:pt idx="0">
                  <c:v>41.071428571428569</c:v>
                </c:pt>
                <c:pt idx="1">
                  <c:v>58.928571428571431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62-4F2E-90E4-11FBF240E436}"/>
            </c:ext>
          </c:extLst>
        </c:ser>
        <c:ser>
          <c:idx val="1"/>
          <c:order val="1"/>
          <c:tx>
            <c:strRef>
              <c:f>'Marrital status'!$O$2</c:f>
              <c:strCache>
                <c:ptCount val="1"/>
                <c:pt idx="0">
                  <c:v>Female</c:v>
                </c:pt>
              </c:strCache>
            </c:strRef>
          </c:tx>
          <c:spPr>
            <a:solidFill>
              <a:schemeClr val="tx1">
                <a:lumMod val="65000"/>
                <a:lumOff val="3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'Marrital status'!$M$3:$M$4</c:f>
              <c:strCache>
                <c:ptCount val="2"/>
                <c:pt idx="0">
                  <c:v>Unmarried</c:v>
                </c:pt>
                <c:pt idx="1">
                  <c:v>Married</c:v>
                </c:pt>
              </c:strCache>
            </c:strRef>
          </c:cat>
          <c:val>
            <c:numRef>
              <c:f>'Marrital status'!$O$3:$O$4</c:f>
              <c:numCache>
                <c:formatCode>0.00</c:formatCode>
                <c:ptCount val="2"/>
                <c:pt idx="0">
                  <c:v>34.615384615384613</c:v>
                </c:pt>
                <c:pt idx="1">
                  <c:v>65.384615384615387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262-4F2E-90E4-11FBF240E4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5354991"/>
        <c:axId val="1949608672"/>
      </c:barChart>
      <c:catAx>
        <c:axId val="13535499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rPr>
                  <a:t>Marital Status</a:t>
                </a:r>
                <a:endParaRPr lang="en-GB"/>
              </a:p>
            </c:rich>
          </c:tx>
          <c:overlay val="0"/>
          <c:spPr>
            <a:solidFill>
              <a:schemeClr val="lt1"/>
            </a:solidFill>
            <a:ln w="12700" cap="flat" cmpd="sng" algn="ctr">
              <a:noFill/>
              <a:prstDash val="solid"/>
              <a:miter lim="800000"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9608672"/>
        <c:crosses val="autoZero"/>
        <c:auto val="1"/>
        <c:lblAlgn val="ctr"/>
        <c:lblOffset val="100"/>
        <c:noMultiLvlLbl val="0"/>
      </c:catAx>
      <c:valAx>
        <c:axId val="1949608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rPr>
                  <a:t>Percent</a:t>
                </a:r>
                <a:endParaRPr lang="en-GB"/>
              </a:p>
            </c:rich>
          </c:tx>
          <c:overlay val="0"/>
          <c:spPr>
            <a:solidFill>
              <a:schemeClr val="lt1"/>
            </a:solidFill>
            <a:ln w="12700" cap="flat" cmpd="sng" algn="ctr">
              <a:noFill/>
              <a:prstDash val="solid"/>
              <a:miter lim="800000"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3549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spPr>
            <a:pattFill prst="pct5">
              <a:fgClr>
                <a:schemeClr val="tx1"/>
              </a:fgClr>
              <a:bgClr>
                <a:schemeClr val="bg1"/>
              </a:bgClr>
            </a:pattFill>
            <a:ln>
              <a:solidFill>
                <a:sysClr val="windowText" lastClr="000000"/>
              </a:solidFill>
            </a:ln>
          </c:spPr>
          <c:dPt>
            <c:idx val="0"/>
            <c:bubble3D val="0"/>
            <c:spPr>
              <a:pattFill prst="pct10">
                <a:fgClr>
                  <a:schemeClr val="tx1"/>
                </a:fgClr>
                <a:bgClr>
                  <a:schemeClr val="bg1"/>
                </a:bgClr>
              </a:pattFill>
              <a:ln w="25400">
                <a:solidFill>
                  <a:sysClr val="windowText" lastClr="000000"/>
                </a:solidFill>
              </a:ln>
              <a:effectLst/>
              <a:sp3d contourW="25400">
                <a:contourClr>
                  <a:sysClr val="windowText" lastClr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324-41E5-BF77-AB71A0346E9F}"/>
              </c:ext>
            </c:extLst>
          </c:dPt>
          <c:dPt>
            <c:idx val="1"/>
            <c:bubble3D val="0"/>
            <c:spPr>
              <a:pattFill prst="pct30">
                <a:fgClr>
                  <a:schemeClr val="tx1"/>
                </a:fgClr>
                <a:bgClr>
                  <a:schemeClr val="bg1"/>
                </a:bgClr>
              </a:pattFill>
              <a:ln w="25400">
                <a:solidFill>
                  <a:sysClr val="windowText" lastClr="000000"/>
                </a:solidFill>
              </a:ln>
              <a:effectLst/>
              <a:sp3d contourW="25400">
                <a:contourClr>
                  <a:sysClr val="windowText" lastClr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2-3324-41E5-BF77-AB71A0346E9F}"/>
              </c:ext>
            </c:extLst>
          </c:dPt>
          <c:dPt>
            <c:idx val="2"/>
            <c:bubble3D val="0"/>
            <c:spPr>
              <a:pattFill prst="horzBrick">
                <a:fgClr>
                  <a:schemeClr val="tx1"/>
                </a:fgClr>
                <a:bgClr>
                  <a:schemeClr val="bg1"/>
                </a:bgClr>
              </a:pattFill>
              <a:ln w="25400">
                <a:solidFill>
                  <a:sysClr val="windowText" lastClr="000000"/>
                </a:solidFill>
              </a:ln>
              <a:effectLst/>
              <a:sp3d contourW="25400">
                <a:contourClr>
                  <a:sysClr val="windowText" lastClr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324-41E5-BF77-AB71A0346E9F}"/>
              </c:ext>
            </c:extLst>
          </c:dPt>
          <c:dLbls>
            <c:spPr>
              <a:solidFill>
                <a:schemeClr val="bg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'Family size'!$F$2:$F$4</c:f>
              <c:strCache>
                <c:ptCount val="3"/>
                <c:pt idx="0">
                  <c:v>Below 5</c:v>
                </c:pt>
                <c:pt idx="1">
                  <c:v>5-6</c:v>
                </c:pt>
                <c:pt idx="2">
                  <c:v>Above 6</c:v>
                </c:pt>
              </c:strCache>
            </c:strRef>
          </c:cat>
          <c:val>
            <c:numRef>
              <c:f>'Family size'!$G$2:$G$4</c:f>
              <c:numCache>
                <c:formatCode>0.00</c:formatCode>
                <c:ptCount val="3"/>
                <c:pt idx="0">
                  <c:v>77.528089887640448</c:v>
                </c:pt>
                <c:pt idx="1">
                  <c:v>16.853932584269664</c:v>
                </c:pt>
                <c:pt idx="2">
                  <c:v>5.6179775280898872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324-41E5-BF77-AB71A0346E9F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1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66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447674</xdr:colOff>
      <xdr:row>2</xdr:row>
      <xdr:rowOff>4761</xdr:rowOff>
    </xdr:from>
    <xdr:to>
      <xdr:col>13</xdr:col>
      <xdr:colOff>190499</xdr:colOff>
      <xdr:row>20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174E5C6-3FC3-B426-53A4-92407F0D58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204787</xdr:colOff>
      <xdr:row>11</xdr:row>
      <xdr:rowOff>119062</xdr:rowOff>
    </xdr:from>
    <xdr:to>
      <xdr:col>3</xdr:col>
      <xdr:colOff>609600</xdr:colOff>
      <xdr:row>29</xdr:row>
      <xdr:rowOff>104776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6FFF1D6-E462-2DF9-5333-F6CA076AF0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104775</xdr:colOff>
      <xdr:row>2</xdr:row>
      <xdr:rowOff>23811</xdr:rowOff>
    </xdr:from>
    <xdr:to>
      <xdr:col>12</xdr:col>
      <xdr:colOff>466725</xdr:colOff>
      <xdr:row>17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DE86BC7-C374-5320-AFA9-CA8E92D704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728661</xdr:colOff>
      <xdr:row>9</xdr:row>
      <xdr:rowOff>157162</xdr:rowOff>
    </xdr:from>
    <xdr:to>
      <xdr:col>3</xdr:col>
      <xdr:colOff>657225</xdr:colOff>
      <xdr:row>24</xdr:row>
      <xdr:rowOff>42862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486CABB-4A13-8B26-3FC8-4A6DEB23F6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290512</xdr:colOff>
      <xdr:row>1</xdr:row>
      <xdr:rowOff>109537</xdr:rowOff>
    </xdr:from>
    <xdr:to>
      <xdr:col>13</xdr:col>
      <xdr:colOff>595312</xdr:colOff>
      <xdr:row>14</xdr:row>
      <xdr:rowOff>185737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2605B15-8827-711D-B2A1-77DC3ECC96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176212</xdr:colOff>
      <xdr:row>8</xdr:row>
      <xdr:rowOff>33337</xdr:rowOff>
    </xdr:from>
    <xdr:to>
      <xdr:col>6</xdr:col>
      <xdr:colOff>252412</xdr:colOff>
      <xdr:row>22</xdr:row>
      <xdr:rowOff>109537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CA2ADD8-B152-C44E-A84D-74BD594FF2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350520</xdr:colOff>
      <xdr:row>7</xdr:row>
      <xdr:rowOff>102870</xdr:rowOff>
    </xdr:from>
    <xdr:to>
      <xdr:col>17</xdr:col>
      <xdr:colOff>525780</xdr:colOff>
      <xdr:row>24</xdr:row>
      <xdr:rowOff>129540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4762</xdr:rowOff>
    </xdr:from>
    <xdr:to>
      <xdr:col>15</xdr:col>
      <xdr:colOff>304800</xdr:colOff>
      <xdr:row>15</xdr:row>
      <xdr:rowOff>80962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C834FE-EB00-B6DE-B2AC-977A6245A4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300037</xdr:colOff>
      <xdr:row>5</xdr:row>
      <xdr:rowOff>0</xdr:rowOff>
    </xdr:from>
    <xdr:to>
      <xdr:col>14</xdr:col>
      <xdr:colOff>604837</xdr:colOff>
      <xdr:row>18</xdr:row>
      <xdr:rowOff>128587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B882F85-A674-F707-3722-99B1F7F8ED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547687</xdr:colOff>
      <xdr:row>5</xdr:row>
      <xdr:rowOff>52387</xdr:rowOff>
    </xdr:from>
    <xdr:to>
      <xdr:col>11</xdr:col>
      <xdr:colOff>242887</xdr:colOff>
      <xdr:row>19</xdr:row>
      <xdr:rowOff>128587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BE0CE10-00BA-C677-EBE8-7A4E78C2C4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6</xdr:row>
      <xdr:rowOff>156210</xdr:rowOff>
    </xdr:from>
    <xdr:to>
      <xdr:col>16</xdr:col>
      <xdr:colOff>480060</xdr:colOff>
      <xdr:row>21</xdr:row>
      <xdr:rowOff>156210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2308CAB-FB1E-17D9-D0B7-50D32391C0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8</xdr:row>
      <xdr:rowOff>19050</xdr:rowOff>
    </xdr:from>
    <xdr:to>
      <xdr:col>8</xdr:col>
      <xdr:colOff>419100</xdr:colOff>
      <xdr:row>23</xdr:row>
      <xdr:rowOff>19050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31F185C-80D7-891C-AA5A-BF9647CCBE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373380</xdr:colOff>
      <xdr:row>4</xdr:row>
      <xdr:rowOff>133350</xdr:rowOff>
    </xdr:from>
    <xdr:to>
      <xdr:col>16</xdr:col>
      <xdr:colOff>68580</xdr:colOff>
      <xdr:row>19</xdr:row>
      <xdr:rowOff>133350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5205994-7723-367E-B9DF-4CBA7363F6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H:\082_083\ward1\migration\list%20of%20immigrants.xlsx" TargetMode="External"/><Relationship Id="rId1" Type="http://schemas.openxmlformats.org/officeDocument/2006/relationships/externalLinkPath" Target="list%20of%20immigra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tailed"/>
      <sheetName val="for graph"/>
      <sheetName val="Sheet2"/>
      <sheetName val="Reasons"/>
      <sheetName val="Detailed (2)"/>
      <sheetName val="5yrs above"/>
      <sheetName val="10yrs above"/>
    </sheetNames>
    <sheetDataSet>
      <sheetData sheetId="0" refreshError="1"/>
      <sheetData sheetId="1">
        <row r="3">
          <cell r="I3">
            <v>32</v>
          </cell>
          <cell r="K3">
            <v>60</v>
          </cell>
        </row>
        <row r="4">
          <cell r="I4">
            <v>28</v>
          </cell>
        </row>
        <row r="6">
          <cell r="I6">
            <v>6</v>
          </cell>
          <cell r="K6">
            <v>6</v>
          </cell>
        </row>
        <row r="14">
          <cell r="I14">
            <v>23</v>
          </cell>
          <cell r="K14">
            <v>23</v>
          </cell>
        </row>
      </sheetData>
      <sheetData sheetId="2" refreshError="1"/>
      <sheetData sheetId="3" refreshError="1"/>
      <sheetData sheetId="4" refreshError="1"/>
      <sheetData sheetId="5" refreshError="1"/>
      <sheetData sheetId="6">
        <row r="4">
          <cell r="I4">
            <v>99</v>
          </cell>
        </row>
        <row r="5">
          <cell r="I5">
            <v>102</v>
          </cell>
        </row>
        <row r="6">
          <cell r="I6">
            <v>69</v>
          </cell>
        </row>
        <row r="8">
          <cell r="I8">
            <v>54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1"/>
  <sheetViews>
    <sheetView workbookViewId="0">
      <selection activeCell="C10" sqref="C10"/>
    </sheetView>
  </sheetViews>
  <sheetFormatPr defaultRowHeight="14.4" x14ac:dyDescent="0.3"/>
  <cols>
    <col min="1" max="1" width="26.44140625" bestFit="1" customWidth="1"/>
    <col min="2" max="2" width="15" bestFit="1" customWidth="1"/>
    <col min="3" max="3" width="15" customWidth="1"/>
    <col min="4" max="4" width="10.88671875" bestFit="1" customWidth="1"/>
  </cols>
  <sheetData>
    <row r="1" spans="1:9" ht="21" x14ac:dyDescent="0.3">
      <c r="A1" s="16" t="s">
        <v>0</v>
      </c>
      <c r="B1" s="16"/>
      <c r="C1" s="16"/>
      <c r="D1" s="16"/>
      <c r="E1" s="16"/>
      <c r="F1" s="16"/>
      <c r="G1" s="16"/>
      <c r="H1" s="16"/>
      <c r="I1" s="16"/>
    </row>
    <row r="2" spans="1:9" ht="15" thickBot="1" x14ac:dyDescent="0.35">
      <c r="A2" s="17" t="s">
        <v>1</v>
      </c>
      <c r="B2" s="17"/>
      <c r="C2" s="17"/>
      <c r="D2" s="17"/>
      <c r="E2" s="17"/>
      <c r="F2" s="17"/>
      <c r="G2" s="17"/>
      <c r="H2" s="17"/>
      <c r="I2" s="17"/>
    </row>
    <row r="3" spans="1:9" ht="27" thickBot="1" x14ac:dyDescent="0.35">
      <c r="A3" s="3" t="s">
        <v>2</v>
      </c>
      <c r="B3" s="4" t="s">
        <v>4</v>
      </c>
      <c r="C3" s="4" t="s">
        <v>3</v>
      </c>
    </row>
    <row r="4" spans="1:9" ht="15" thickBot="1" x14ac:dyDescent="0.35">
      <c r="A4" s="5" t="s">
        <v>5</v>
      </c>
      <c r="B4" s="7">
        <v>0.86399999999999999</v>
      </c>
      <c r="C4" s="6">
        <v>70</v>
      </c>
    </row>
    <row r="5" spans="1:9" ht="15" thickBot="1" x14ac:dyDescent="0.35">
      <c r="A5" s="5" t="s">
        <v>6</v>
      </c>
      <c r="B5" s="7">
        <v>6.2E-2</v>
      </c>
      <c r="C5" s="6">
        <v>5</v>
      </c>
    </row>
    <row r="6" spans="1:9" ht="15" thickBot="1" x14ac:dyDescent="0.35">
      <c r="A6" s="5" t="s">
        <v>7</v>
      </c>
      <c r="B6" s="7">
        <v>3.6999999999999998E-2</v>
      </c>
      <c r="C6" s="6">
        <v>3</v>
      </c>
    </row>
    <row r="7" spans="1:9" ht="15" thickBot="1" x14ac:dyDescent="0.35">
      <c r="A7" s="5" t="s">
        <v>8</v>
      </c>
      <c r="B7" s="7">
        <v>2.5000000000000001E-2</v>
      </c>
      <c r="C7" s="6">
        <v>2</v>
      </c>
    </row>
    <row r="8" spans="1:9" ht="15" thickBot="1" x14ac:dyDescent="0.35">
      <c r="A8" s="5" t="s">
        <v>9</v>
      </c>
      <c r="B8" s="7">
        <v>1.2E-2</v>
      </c>
      <c r="C8" s="6">
        <v>1</v>
      </c>
    </row>
    <row r="9" spans="1:9" ht="15" thickBot="1" x14ac:dyDescent="0.35">
      <c r="A9" s="5" t="s">
        <v>10</v>
      </c>
      <c r="B9" s="7">
        <v>0</v>
      </c>
      <c r="C9" s="6">
        <v>0</v>
      </c>
    </row>
    <row r="10" spans="1:9" ht="15" thickBot="1" x14ac:dyDescent="0.35">
      <c r="A10" s="5" t="s">
        <v>11</v>
      </c>
      <c r="B10" s="7">
        <v>0</v>
      </c>
      <c r="C10" s="6">
        <v>0</v>
      </c>
    </row>
    <row r="11" spans="1:9" ht="15" thickBot="1" x14ac:dyDescent="0.35">
      <c r="A11" s="5" t="s">
        <v>12</v>
      </c>
      <c r="B11" s="7">
        <v>1</v>
      </c>
      <c r="C11" s="6">
        <v>81</v>
      </c>
    </row>
  </sheetData>
  <mergeCells count="2">
    <mergeCell ref="A1:I1"/>
    <mergeCell ref="A2:I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7"/>
  <sheetViews>
    <sheetView workbookViewId="0">
      <selection activeCell="H21" sqref="H21"/>
    </sheetView>
  </sheetViews>
  <sheetFormatPr defaultRowHeight="14.4" x14ac:dyDescent="0.3"/>
  <cols>
    <col min="1" max="1" width="50" bestFit="1" customWidth="1"/>
    <col min="2" max="2" width="10.88671875" bestFit="1" customWidth="1"/>
    <col min="3" max="3" width="15" bestFit="1" customWidth="1"/>
    <col min="4" max="4" width="10.88671875" bestFit="1" customWidth="1"/>
  </cols>
  <sheetData>
    <row r="1" spans="1:12" ht="21" x14ac:dyDescent="0.3">
      <c r="A1" s="16" t="s">
        <v>13</v>
      </c>
      <c r="B1" s="16"/>
      <c r="C1" s="16"/>
      <c r="D1" s="16"/>
      <c r="E1" s="16"/>
      <c r="F1" s="16"/>
      <c r="G1" s="16"/>
      <c r="H1" s="1"/>
      <c r="I1" s="1"/>
      <c r="J1" s="1"/>
      <c r="K1" s="1"/>
      <c r="L1" s="1"/>
    </row>
    <row r="2" spans="1:12" ht="15" thickBot="1" x14ac:dyDescent="0.35">
      <c r="A2" s="17" t="s">
        <v>14</v>
      </c>
      <c r="B2" s="17"/>
      <c r="C2" s="17"/>
      <c r="D2" s="17"/>
      <c r="E2" s="17"/>
      <c r="F2" s="17"/>
      <c r="G2" s="17"/>
      <c r="H2" s="2"/>
      <c r="I2" s="2"/>
      <c r="J2" s="2"/>
      <c r="K2" s="2"/>
      <c r="L2" s="2"/>
    </row>
    <row r="3" spans="1:12" ht="27" thickBot="1" x14ac:dyDescent="0.35">
      <c r="A3" s="3" t="s">
        <v>15</v>
      </c>
      <c r="B3" s="4" t="s">
        <v>4</v>
      </c>
      <c r="C3" s="4" t="s">
        <v>3</v>
      </c>
    </row>
    <row r="4" spans="1:12" ht="15" thickBot="1" x14ac:dyDescent="0.35">
      <c r="A4" s="5" t="s">
        <v>16</v>
      </c>
      <c r="B4" s="7">
        <v>0.70399999999999996</v>
      </c>
      <c r="C4" s="6">
        <v>57</v>
      </c>
    </row>
    <row r="5" spans="1:12" ht="27" thickBot="1" x14ac:dyDescent="0.35">
      <c r="A5" s="5" t="s">
        <v>17</v>
      </c>
      <c r="B5" s="7">
        <v>0.23499999999999999</v>
      </c>
      <c r="C5" s="6">
        <v>19</v>
      </c>
    </row>
    <row r="6" spans="1:12" ht="15" thickBot="1" x14ac:dyDescent="0.35">
      <c r="A6" s="5" t="s">
        <v>18</v>
      </c>
      <c r="B6" s="7">
        <v>6.2E-2</v>
      </c>
      <c r="C6" s="6">
        <v>5</v>
      </c>
    </row>
    <row r="7" spans="1:12" ht="15" thickBot="1" x14ac:dyDescent="0.35">
      <c r="A7" s="5" t="s">
        <v>12</v>
      </c>
      <c r="B7" s="7">
        <v>1</v>
      </c>
      <c r="C7" s="6">
        <v>81</v>
      </c>
    </row>
  </sheetData>
  <mergeCells count="2">
    <mergeCell ref="A1:G1"/>
    <mergeCell ref="A2:G2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7"/>
  <sheetViews>
    <sheetView workbookViewId="0">
      <selection activeCell="L20" sqref="L20"/>
    </sheetView>
  </sheetViews>
  <sheetFormatPr defaultRowHeight="14.4" x14ac:dyDescent="0.3"/>
  <cols>
    <col min="1" max="1" width="12.44140625" bestFit="1" customWidth="1"/>
    <col min="2" max="2" width="10.88671875" bestFit="1" customWidth="1"/>
    <col min="3" max="3" width="15" bestFit="1" customWidth="1"/>
    <col min="4" max="4" width="10.88671875" bestFit="1" customWidth="1"/>
    <col min="8" max="8" width="9.109375" customWidth="1"/>
  </cols>
  <sheetData>
    <row r="1" spans="1:11" ht="21" x14ac:dyDescent="0.3">
      <c r="A1" s="16" t="s">
        <v>19</v>
      </c>
      <c r="B1" s="16"/>
      <c r="C1" s="16"/>
      <c r="D1" s="16"/>
      <c r="E1" s="16"/>
      <c r="F1" s="16"/>
      <c r="G1" s="16"/>
      <c r="H1" s="16"/>
      <c r="I1" s="16"/>
      <c r="J1" s="16"/>
      <c r="K1" s="16"/>
    </row>
    <row r="2" spans="1:11" ht="15" thickBot="1" x14ac:dyDescent="0.35">
      <c r="A2" s="17" t="s">
        <v>20</v>
      </c>
      <c r="B2" s="17"/>
      <c r="C2" s="17"/>
      <c r="D2" s="17"/>
      <c r="E2" s="17"/>
      <c r="F2" s="17"/>
      <c r="G2" s="17"/>
      <c r="H2" s="17"/>
      <c r="I2" s="17"/>
      <c r="J2" s="17"/>
      <c r="K2" s="17"/>
    </row>
    <row r="3" spans="1:11" ht="27" thickBot="1" x14ac:dyDescent="0.35">
      <c r="A3" s="3" t="s">
        <v>21</v>
      </c>
      <c r="B3" s="4" t="s">
        <v>4</v>
      </c>
      <c r="C3" s="4" t="s">
        <v>3</v>
      </c>
    </row>
    <row r="4" spans="1:11" ht="15" thickBot="1" x14ac:dyDescent="0.35">
      <c r="A4" s="5" t="s">
        <v>22</v>
      </c>
      <c r="B4" s="7">
        <v>0.76500000000000001</v>
      </c>
      <c r="C4" s="6">
        <v>62</v>
      </c>
    </row>
    <row r="5" spans="1:11" ht="15" thickBot="1" x14ac:dyDescent="0.35">
      <c r="A5" s="5" t="s">
        <v>23</v>
      </c>
      <c r="B5" s="7">
        <v>0.21</v>
      </c>
      <c r="C5" s="6">
        <v>17</v>
      </c>
    </row>
    <row r="6" spans="1:11" ht="27" thickBot="1" x14ac:dyDescent="0.35">
      <c r="A6" s="5" t="s">
        <v>24</v>
      </c>
      <c r="B6" s="7">
        <v>2.5000000000000001E-2</v>
      </c>
      <c r="C6" s="6">
        <v>2</v>
      </c>
    </row>
    <row r="7" spans="1:11" ht="15" thickBot="1" x14ac:dyDescent="0.35">
      <c r="A7" s="5" t="s">
        <v>12</v>
      </c>
      <c r="B7" s="7">
        <v>1</v>
      </c>
      <c r="C7" s="6">
        <v>81</v>
      </c>
    </row>
  </sheetData>
  <mergeCells count="2">
    <mergeCell ref="A1:K1"/>
    <mergeCell ref="A2:K2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2"/>
  <sheetViews>
    <sheetView topLeftCell="C1" workbookViewId="0">
      <selection activeCell="M20" sqref="M20"/>
    </sheetView>
  </sheetViews>
  <sheetFormatPr defaultRowHeight="14.4" x14ac:dyDescent="0.3"/>
  <cols>
    <col min="2" max="2" width="11.44140625" bestFit="1" customWidth="1"/>
  </cols>
  <sheetData>
    <row r="1" spans="1:2" x14ac:dyDescent="0.3">
      <c r="A1" s="8" t="s">
        <v>25</v>
      </c>
      <c r="B1" s="8" t="s">
        <v>26</v>
      </c>
    </row>
    <row r="2" spans="1:2" x14ac:dyDescent="0.3">
      <c r="A2" s="9">
        <v>2083</v>
      </c>
      <c r="B2" s="9">
        <v>3</v>
      </c>
    </row>
    <row r="3" spans="1:2" x14ac:dyDescent="0.3">
      <c r="A3" s="9">
        <v>2082</v>
      </c>
      <c r="B3" s="9">
        <v>16</v>
      </c>
    </row>
    <row r="4" spans="1:2" x14ac:dyDescent="0.3">
      <c r="A4" s="9">
        <v>2081</v>
      </c>
      <c r="B4" s="9">
        <v>11</v>
      </c>
    </row>
    <row r="5" spans="1:2" x14ac:dyDescent="0.3">
      <c r="A5" s="9">
        <v>2080</v>
      </c>
      <c r="B5" s="9">
        <v>9</v>
      </c>
    </row>
    <row r="6" spans="1:2" x14ac:dyDescent="0.3">
      <c r="A6" s="9">
        <v>2079</v>
      </c>
      <c r="B6" s="9">
        <v>14</v>
      </c>
    </row>
    <row r="7" spans="1:2" x14ac:dyDescent="0.3">
      <c r="A7" s="9">
        <v>2078</v>
      </c>
      <c r="B7" s="9">
        <v>12</v>
      </c>
    </row>
    <row r="8" spans="1:2" x14ac:dyDescent="0.3">
      <c r="A8" s="9">
        <v>2077</v>
      </c>
      <c r="B8" s="9">
        <v>2</v>
      </c>
    </row>
    <row r="9" spans="1:2" x14ac:dyDescent="0.3">
      <c r="A9" s="9">
        <v>2076</v>
      </c>
      <c r="B9" s="9">
        <v>8</v>
      </c>
    </row>
    <row r="10" spans="1:2" x14ac:dyDescent="0.3">
      <c r="A10" s="9">
        <v>2075</v>
      </c>
      <c r="B10" s="9">
        <v>5</v>
      </c>
    </row>
    <row r="11" spans="1:2" x14ac:dyDescent="0.3">
      <c r="A11" s="9">
        <v>2074</v>
      </c>
      <c r="B11" s="9">
        <v>9</v>
      </c>
    </row>
    <row r="12" spans="1:2" x14ac:dyDescent="0.3">
      <c r="A12" s="9" t="s">
        <v>12</v>
      </c>
      <c r="B12" s="9">
        <f>SUM(B2:B11)</f>
        <v>89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6"/>
  <sheetViews>
    <sheetView workbookViewId="0">
      <selection activeCell="B5" sqref="B5"/>
    </sheetView>
  </sheetViews>
  <sheetFormatPr defaultRowHeight="14.4" x14ac:dyDescent="0.3"/>
  <sheetData>
    <row r="1" spans="1:11" x14ac:dyDescent="0.3">
      <c r="A1" s="19" t="s">
        <v>33</v>
      </c>
      <c r="B1" s="18" t="s">
        <v>34</v>
      </c>
      <c r="C1" s="18"/>
      <c r="D1" s="18"/>
      <c r="E1" s="18"/>
      <c r="F1" s="19" t="s">
        <v>12</v>
      </c>
      <c r="G1" s="19"/>
    </row>
    <row r="2" spans="1:11" x14ac:dyDescent="0.3">
      <c r="A2" s="19"/>
      <c r="B2" s="18" t="s">
        <v>36</v>
      </c>
      <c r="C2" s="18"/>
      <c r="D2" s="18" t="s">
        <v>35</v>
      </c>
      <c r="E2" s="18"/>
      <c r="F2" s="19"/>
      <c r="G2" s="19"/>
    </row>
    <row r="3" spans="1:11" x14ac:dyDescent="0.3">
      <c r="A3" s="19"/>
      <c r="B3" s="10" t="s">
        <v>37</v>
      </c>
      <c r="C3" s="10" t="s">
        <v>29</v>
      </c>
      <c r="D3" s="10" t="s">
        <v>37</v>
      </c>
      <c r="E3" s="10" t="s">
        <v>29</v>
      </c>
      <c r="F3" s="10" t="s">
        <v>37</v>
      </c>
      <c r="G3" s="10" t="s">
        <v>29</v>
      </c>
      <c r="J3" s="10" t="s">
        <v>38</v>
      </c>
      <c r="K3" s="10" t="s">
        <v>39</v>
      </c>
    </row>
    <row r="4" spans="1:11" x14ac:dyDescent="0.3">
      <c r="A4" s="9" t="s">
        <v>38</v>
      </c>
      <c r="B4" s="9">
        <f>164</f>
        <v>164</v>
      </c>
      <c r="C4" s="11">
        <f>B4/B6*100</f>
        <v>93.714285714285722</v>
      </c>
      <c r="D4" s="9">
        <v>107</v>
      </c>
      <c r="E4" s="11">
        <f>D4/D6*100</f>
        <v>66.875</v>
      </c>
      <c r="F4" s="9">
        <f>B4+D4</f>
        <v>271</v>
      </c>
      <c r="G4" s="11">
        <f>F4/F6*100</f>
        <v>80.895522388059703</v>
      </c>
      <c r="J4" s="11">
        <f>C4</f>
        <v>93.714285714285722</v>
      </c>
      <c r="K4" s="11">
        <f>E4</f>
        <v>66.875</v>
      </c>
    </row>
    <row r="5" spans="1:11" x14ac:dyDescent="0.3">
      <c r="A5" s="9" t="s">
        <v>39</v>
      </c>
      <c r="B5" s="9">
        <v>11</v>
      </c>
      <c r="C5" s="11">
        <f>B5/B6*100</f>
        <v>6.2857142857142865</v>
      </c>
      <c r="D5" s="9">
        <f>53</f>
        <v>53</v>
      </c>
      <c r="E5" s="11">
        <f>D5/D6*100</f>
        <v>33.125</v>
      </c>
      <c r="F5" s="9">
        <f>B5+D5</f>
        <v>64</v>
      </c>
      <c r="G5" s="11">
        <f>F5/F6*100</f>
        <v>19.1044776119403</v>
      </c>
      <c r="J5" s="11">
        <f>C5</f>
        <v>6.2857142857142865</v>
      </c>
      <c r="K5" s="11">
        <f>E5</f>
        <v>33.125</v>
      </c>
    </row>
    <row r="6" spans="1:11" x14ac:dyDescent="0.3">
      <c r="A6" s="9" t="s">
        <v>12</v>
      </c>
      <c r="B6" s="9">
        <f>SUM(B4:B5)</f>
        <v>175</v>
      </c>
      <c r="C6" s="9">
        <f t="shared" ref="C6:G6" si="0">SUM(C4:C5)</f>
        <v>100.00000000000001</v>
      </c>
      <c r="D6" s="9">
        <f t="shared" si="0"/>
        <v>160</v>
      </c>
      <c r="E6" s="9">
        <f t="shared" si="0"/>
        <v>100</v>
      </c>
      <c r="F6" s="9">
        <f t="shared" si="0"/>
        <v>335</v>
      </c>
      <c r="G6" s="9">
        <f t="shared" si="0"/>
        <v>100</v>
      </c>
    </row>
  </sheetData>
  <mergeCells count="5">
    <mergeCell ref="B1:E1"/>
    <mergeCell ref="B2:C2"/>
    <mergeCell ref="D2:E2"/>
    <mergeCell ref="F1:G2"/>
    <mergeCell ref="A1:A3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6"/>
  <sheetViews>
    <sheetView zoomScaleNormal="100" workbookViewId="0">
      <selection activeCell="F2" sqref="F2:G5"/>
    </sheetView>
  </sheetViews>
  <sheetFormatPr defaultRowHeight="14.4" x14ac:dyDescent="0.3"/>
  <cols>
    <col min="2" max="2" width="17.44140625" bestFit="1" customWidth="1"/>
  </cols>
  <sheetData>
    <row r="1" spans="1:7" x14ac:dyDescent="0.3">
      <c r="A1" s="8" t="s">
        <v>27</v>
      </c>
      <c r="B1" s="8" t="s">
        <v>28</v>
      </c>
      <c r="C1" s="8" t="s">
        <v>29</v>
      </c>
    </row>
    <row r="2" spans="1:7" x14ac:dyDescent="0.3">
      <c r="A2" s="9" t="s">
        <v>30</v>
      </c>
      <c r="B2" s="9">
        <f>'[1]for graph'!$I$4</f>
        <v>28</v>
      </c>
      <c r="C2" s="11">
        <f>B2/B6*100</f>
        <v>31.460674157303369</v>
      </c>
      <c r="F2" s="9" t="s">
        <v>30</v>
      </c>
      <c r="G2" s="11">
        <f>C2</f>
        <v>31.460674157303369</v>
      </c>
    </row>
    <row r="3" spans="1:7" x14ac:dyDescent="0.3">
      <c r="A3" s="9" t="s">
        <v>31</v>
      </c>
      <c r="B3" s="9">
        <f>'[1]for graph'!$I$3</f>
        <v>32</v>
      </c>
      <c r="C3" s="11">
        <f>B3/B6*100</f>
        <v>35.955056179775283</v>
      </c>
      <c r="F3" s="9" t="s">
        <v>31</v>
      </c>
      <c r="G3" s="11">
        <f t="shared" ref="G3:G5" si="0">C3</f>
        <v>35.955056179775283</v>
      </c>
    </row>
    <row r="4" spans="1:7" x14ac:dyDescent="0.3">
      <c r="A4" s="9" t="s">
        <v>40</v>
      </c>
      <c r="B4" s="9">
        <f>'[1]for graph'!$I$14</f>
        <v>23</v>
      </c>
      <c r="C4" s="11">
        <f>B4/B6*100</f>
        <v>25.842696629213485</v>
      </c>
      <c r="F4" s="9" t="s">
        <v>40</v>
      </c>
      <c r="G4" s="11">
        <f t="shared" si="0"/>
        <v>25.842696629213485</v>
      </c>
    </row>
    <row r="5" spans="1:7" x14ac:dyDescent="0.3">
      <c r="A5" s="9" t="s">
        <v>41</v>
      </c>
      <c r="B5" s="9">
        <f>'[1]for graph'!$I$6</f>
        <v>6</v>
      </c>
      <c r="C5" s="11">
        <f>B5/B6*100</f>
        <v>6.7415730337078648</v>
      </c>
      <c r="F5" s="9" t="s">
        <v>41</v>
      </c>
      <c r="G5" s="11">
        <f t="shared" si="0"/>
        <v>6.7415730337078648</v>
      </c>
    </row>
    <row r="6" spans="1:7" x14ac:dyDescent="0.3">
      <c r="A6" s="9" t="s">
        <v>12</v>
      </c>
      <c r="B6" s="9">
        <f>SUM(B2:B5)</f>
        <v>89</v>
      </c>
      <c r="C6" s="9">
        <f>SUM(C2:C5)</f>
        <v>100.00000000000001</v>
      </c>
    </row>
  </sheetData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75082-251D-4B38-966E-F88F9E772705}">
  <sheetPr>
    <tabColor rgb="FFFF0000"/>
  </sheetPr>
  <dimension ref="A1:G6"/>
  <sheetViews>
    <sheetView workbookViewId="0">
      <selection sqref="A1:C6"/>
    </sheetView>
  </sheetViews>
  <sheetFormatPr defaultRowHeight="14.4" x14ac:dyDescent="0.3"/>
  <cols>
    <col min="2" max="2" width="16.44140625" bestFit="1" customWidth="1"/>
    <col min="3" max="3" width="7.44140625" bestFit="1" customWidth="1"/>
  </cols>
  <sheetData>
    <row r="1" spans="1:7" x14ac:dyDescent="0.3">
      <c r="A1" s="8" t="s">
        <v>42</v>
      </c>
      <c r="B1" s="8" t="s">
        <v>28</v>
      </c>
      <c r="C1" s="8" t="s">
        <v>29</v>
      </c>
    </row>
    <row r="2" spans="1:7" x14ac:dyDescent="0.3">
      <c r="A2" s="9" t="s">
        <v>43</v>
      </c>
      <c r="B2" s="9">
        <f>'[1]for graph'!$K$3</f>
        <v>60</v>
      </c>
      <c r="C2" s="11">
        <f>B2/B6*100</f>
        <v>67.415730337078656</v>
      </c>
      <c r="F2" s="9" t="s">
        <v>43</v>
      </c>
      <c r="G2" s="11">
        <f>C2</f>
        <v>67.415730337078656</v>
      </c>
    </row>
    <row r="3" spans="1:7" x14ac:dyDescent="0.3">
      <c r="A3" s="9" t="s">
        <v>44</v>
      </c>
      <c r="B3" s="9">
        <f>'[1]for graph'!$K$14</f>
        <v>23</v>
      </c>
      <c r="C3" s="11">
        <f>B3/B6*100</f>
        <v>25.842696629213485</v>
      </c>
      <c r="F3" s="9" t="s">
        <v>44</v>
      </c>
      <c r="G3" s="11">
        <f>C3</f>
        <v>25.842696629213485</v>
      </c>
    </row>
    <row r="4" spans="1:7" x14ac:dyDescent="0.3">
      <c r="A4" s="9" t="s">
        <v>45</v>
      </c>
      <c r="B4" s="9">
        <v>0</v>
      </c>
      <c r="C4" s="11">
        <f>B4/B6*100</f>
        <v>0</v>
      </c>
      <c r="F4" s="9" t="s">
        <v>45</v>
      </c>
      <c r="G4" s="11">
        <f>C4</f>
        <v>0</v>
      </c>
    </row>
    <row r="5" spans="1:7" x14ac:dyDescent="0.3">
      <c r="A5" s="9" t="s">
        <v>46</v>
      </c>
      <c r="B5" s="9">
        <f>'[1]for graph'!$K$6</f>
        <v>6</v>
      </c>
      <c r="C5" s="11">
        <f>B5/B6*100</f>
        <v>6.7415730337078648</v>
      </c>
      <c r="F5" s="9" t="s">
        <v>46</v>
      </c>
      <c r="G5" s="11">
        <f>C5</f>
        <v>6.7415730337078648</v>
      </c>
    </row>
    <row r="6" spans="1:7" x14ac:dyDescent="0.3">
      <c r="A6" s="9" t="s">
        <v>12</v>
      </c>
      <c r="B6" s="9">
        <f>SUM(B2:B5)</f>
        <v>89</v>
      </c>
      <c r="C6" s="9">
        <f>SUM(C2:C5)</f>
        <v>100.00000000000001</v>
      </c>
    </row>
  </sheetData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C3968-0C2C-495D-B103-63BB836806C3}">
  <sheetPr>
    <tabColor rgb="FFFF0000"/>
  </sheetPr>
  <dimension ref="A1:C7"/>
  <sheetViews>
    <sheetView workbookViewId="0">
      <selection sqref="A1:C7"/>
    </sheetView>
  </sheetViews>
  <sheetFormatPr defaultRowHeight="14.4" x14ac:dyDescent="0.3"/>
  <cols>
    <col min="1" max="1" width="17.44140625" bestFit="1" customWidth="1"/>
    <col min="2" max="2" width="16.33203125" bestFit="1" customWidth="1"/>
    <col min="3" max="3" width="13.33203125" bestFit="1" customWidth="1"/>
  </cols>
  <sheetData>
    <row r="1" spans="1:3" x14ac:dyDescent="0.3">
      <c r="A1" s="9" t="s">
        <v>47</v>
      </c>
      <c r="B1" s="9" t="s">
        <v>3</v>
      </c>
      <c r="C1" s="9" t="s">
        <v>48</v>
      </c>
    </row>
    <row r="2" spans="1:3" x14ac:dyDescent="0.3">
      <c r="A2" s="9" t="s">
        <v>49</v>
      </c>
      <c r="B2" s="9">
        <f>19-3</f>
        <v>16</v>
      </c>
      <c r="C2" s="11">
        <f>B2/$B$7*100</f>
        <v>17.977528089887642</v>
      </c>
    </row>
    <row r="3" spans="1:3" x14ac:dyDescent="0.3">
      <c r="A3" s="9" t="s">
        <v>50</v>
      </c>
      <c r="B3" s="9">
        <f>59+3</f>
        <v>62</v>
      </c>
      <c r="C3" s="11">
        <f t="shared" ref="C3:C6" si="0">B3/$B$7*100</f>
        <v>69.662921348314612</v>
      </c>
    </row>
    <row r="4" spans="1:3" x14ac:dyDescent="0.3">
      <c r="A4" s="9" t="s">
        <v>51</v>
      </c>
      <c r="B4" s="9">
        <v>0</v>
      </c>
      <c r="C4" s="11">
        <f t="shared" si="0"/>
        <v>0</v>
      </c>
    </row>
    <row r="5" spans="1:3" x14ac:dyDescent="0.3">
      <c r="A5" s="9" t="s">
        <v>52</v>
      </c>
      <c r="B5" s="9">
        <v>0</v>
      </c>
      <c r="C5" s="11">
        <f t="shared" si="0"/>
        <v>0</v>
      </c>
    </row>
    <row r="6" spans="1:3" x14ac:dyDescent="0.3">
      <c r="A6" s="9" t="s">
        <v>32</v>
      </c>
      <c r="B6" s="9">
        <v>11</v>
      </c>
      <c r="C6" s="11">
        <f t="shared" si="0"/>
        <v>12.359550561797752</v>
      </c>
    </row>
    <row r="7" spans="1:3" x14ac:dyDescent="0.3">
      <c r="A7" s="12" t="s">
        <v>12</v>
      </c>
      <c r="B7" s="9">
        <f>SUM(B2:B6)</f>
        <v>89</v>
      </c>
      <c r="C7" s="9">
        <f>SUM(C2:C6)</f>
        <v>100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7B388-6521-440D-9FFB-5546F102E9EC}">
  <dimension ref="A1:G5"/>
  <sheetViews>
    <sheetView zoomScaleNormal="100" workbookViewId="0">
      <selection activeCell="M3" sqref="M3"/>
    </sheetView>
  </sheetViews>
  <sheetFormatPr defaultRowHeight="14.4" x14ac:dyDescent="0.3"/>
  <cols>
    <col min="1" max="1" width="15.88671875" bestFit="1" customWidth="1"/>
    <col min="2" max="2" width="17.5546875" bestFit="1" customWidth="1"/>
    <col min="3" max="3" width="14.5546875" bestFit="1" customWidth="1"/>
  </cols>
  <sheetData>
    <row r="1" spans="1:7" x14ac:dyDescent="0.3">
      <c r="A1" s="9" t="s">
        <v>53</v>
      </c>
      <c r="B1" s="9" t="s">
        <v>3</v>
      </c>
      <c r="C1" s="9" t="s">
        <v>48</v>
      </c>
    </row>
    <row r="2" spans="1:7" x14ac:dyDescent="0.3">
      <c r="A2" s="9" t="s">
        <v>54</v>
      </c>
      <c r="B2" s="9">
        <v>48</v>
      </c>
      <c r="C2" s="11">
        <f>B2/B5*100</f>
        <v>53.932584269662918</v>
      </c>
      <c r="F2" s="9" t="s">
        <v>54</v>
      </c>
      <c r="G2" s="11">
        <f>C2</f>
        <v>53.932584269662918</v>
      </c>
    </row>
    <row r="3" spans="1:7" x14ac:dyDescent="0.3">
      <c r="A3" s="9" t="s">
        <v>56</v>
      </c>
      <c r="B3" s="9">
        <v>35</v>
      </c>
      <c r="C3" s="11">
        <f>B3/B5*100</f>
        <v>39.325842696629216</v>
      </c>
      <c r="F3" s="9" t="s">
        <v>56</v>
      </c>
      <c r="G3" s="11">
        <f t="shared" ref="G3:G4" si="0">C3</f>
        <v>39.325842696629216</v>
      </c>
    </row>
    <row r="4" spans="1:7" x14ac:dyDescent="0.3">
      <c r="A4" s="9" t="s">
        <v>55</v>
      </c>
      <c r="B4" s="9">
        <v>6</v>
      </c>
      <c r="C4" s="11">
        <f>B4/B5*100</f>
        <v>6.7415730337078648</v>
      </c>
      <c r="F4" s="9" t="s">
        <v>55</v>
      </c>
      <c r="G4" s="11">
        <f t="shared" si="0"/>
        <v>6.7415730337078648</v>
      </c>
    </row>
    <row r="5" spans="1:7" x14ac:dyDescent="0.3">
      <c r="A5" s="9" t="s">
        <v>12</v>
      </c>
      <c r="B5" s="9">
        <f>SUM(B2:B4)</f>
        <v>89</v>
      </c>
      <c r="C5" s="9">
        <f>SUM(C2:C4)</f>
        <v>100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81C5CD-AD1E-47C1-9DD5-E5803D1EB1C3}">
  <dimension ref="A1:I17"/>
  <sheetViews>
    <sheetView workbookViewId="0">
      <selection activeCell="H13" sqref="H13"/>
    </sheetView>
  </sheetViews>
  <sheetFormatPr defaultRowHeight="14.4" x14ac:dyDescent="0.3"/>
  <cols>
    <col min="2" max="2" width="6.5546875" bestFit="1" customWidth="1"/>
    <col min="3" max="3" width="14.5546875" bestFit="1" customWidth="1"/>
    <col min="4" max="4" width="7.5546875" bestFit="1" customWidth="1"/>
    <col min="5" max="5" width="14.5546875" bestFit="1" customWidth="1"/>
    <col min="6" max="6" width="6.5546875" bestFit="1" customWidth="1"/>
    <col min="7" max="7" width="14.5546875" bestFit="1" customWidth="1"/>
  </cols>
  <sheetData>
    <row r="1" spans="1:9" x14ac:dyDescent="0.3">
      <c r="A1" s="19" t="s">
        <v>72</v>
      </c>
      <c r="B1" s="20" t="s">
        <v>71</v>
      </c>
      <c r="C1" s="20"/>
      <c r="D1" s="20"/>
      <c r="E1" s="20"/>
      <c r="F1" s="18" t="s">
        <v>12</v>
      </c>
      <c r="G1" s="18" t="s">
        <v>48</v>
      </c>
    </row>
    <row r="2" spans="1:9" x14ac:dyDescent="0.3">
      <c r="A2" s="19"/>
      <c r="B2" s="9" t="s">
        <v>36</v>
      </c>
      <c r="C2" s="9" t="s">
        <v>48</v>
      </c>
      <c r="D2" s="9" t="s">
        <v>35</v>
      </c>
      <c r="E2" s="9" t="s">
        <v>48</v>
      </c>
      <c r="F2" s="18"/>
      <c r="G2" s="18"/>
    </row>
    <row r="3" spans="1:9" x14ac:dyDescent="0.3">
      <c r="A3" s="9" t="s">
        <v>57</v>
      </c>
      <c r="B3" s="15">
        <v>6</v>
      </c>
      <c r="C3" s="11">
        <f>B3/$B$17*100</f>
        <v>3.3149171270718232</v>
      </c>
      <c r="D3" s="15">
        <v>4</v>
      </c>
      <c r="E3" s="11">
        <f>D3/$D$17*100</f>
        <v>2.4390243902439024</v>
      </c>
      <c r="F3" s="15">
        <v>10</v>
      </c>
      <c r="G3" s="11">
        <f>F3/$F$17*100</f>
        <v>2.8985507246376812</v>
      </c>
      <c r="I3" s="13">
        <f>(C3+E3)/2</f>
        <v>2.8769707586578628</v>
      </c>
    </row>
    <row r="4" spans="1:9" x14ac:dyDescent="0.3">
      <c r="A4" s="14" t="s">
        <v>58</v>
      </c>
      <c r="B4" s="15">
        <v>7</v>
      </c>
      <c r="C4" s="11">
        <f t="shared" ref="C4:C17" si="0">B4/$B$17*100</f>
        <v>3.867403314917127</v>
      </c>
      <c r="D4" s="15">
        <v>4</v>
      </c>
      <c r="E4" s="11">
        <f t="shared" ref="E4:E16" si="1">D4/$D$17*100</f>
        <v>2.4390243902439024</v>
      </c>
      <c r="F4" s="15">
        <v>11</v>
      </c>
      <c r="G4" s="11">
        <f t="shared" ref="G4:G17" si="2">F4/$F$17*100</f>
        <v>3.1884057971014492</v>
      </c>
      <c r="I4" s="13">
        <f t="shared" ref="I4:I16" si="3">(C4+E4)/2</f>
        <v>3.1532138525805147</v>
      </c>
    </row>
    <row r="5" spans="1:9" x14ac:dyDescent="0.3">
      <c r="A5" s="14" t="s">
        <v>59</v>
      </c>
      <c r="B5" s="15">
        <v>14</v>
      </c>
      <c r="C5" s="11">
        <f t="shared" si="0"/>
        <v>7.7348066298342539</v>
      </c>
      <c r="D5" s="15">
        <v>11</v>
      </c>
      <c r="E5" s="11">
        <f t="shared" si="1"/>
        <v>6.7073170731707323</v>
      </c>
      <c r="F5" s="15">
        <v>25</v>
      </c>
      <c r="G5" s="11">
        <f t="shared" si="2"/>
        <v>7.2463768115942031</v>
      </c>
      <c r="I5" s="13">
        <f t="shared" si="3"/>
        <v>7.2210618515024931</v>
      </c>
    </row>
    <row r="6" spans="1:9" x14ac:dyDescent="0.3">
      <c r="A6" s="14" t="s">
        <v>60</v>
      </c>
      <c r="B6" s="15">
        <v>7</v>
      </c>
      <c r="C6" s="11">
        <f t="shared" si="0"/>
        <v>3.867403314917127</v>
      </c>
      <c r="D6" s="15">
        <v>10</v>
      </c>
      <c r="E6" s="11">
        <f t="shared" si="1"/>
        <v>6.0975609756097562</v>
      </c>
      <c r="F6" s="15">
        <v>17</v>
      </c>
      <c r="G6" s="11">
        <f t="shared" si="2"/>
        <v>4.9275362318840585</v>
      </c>
      <c r="I6" s="13">
        <f t="shared" si="3"/>
        <v>4.9824821452634414</v>
      </c>
    </row>
    <row r="7" spans="1:9" x14ac:dyDescent="0.3">
      <c r="A7" s="14" t="s">
        <v>61</v>
      </c>
      <c r="B7" s="15">
        <v>20</v>
      </c>
      <c r="C7" s="11">
        <f t="shared" si="0"/>
        <v>11.049723756906078</v>
      </c>
      <c r="D7" s="15">
        <v>13</v>
      </c>
      <c r="E7" s="11">
        <f t="shared" si="1"/>
        <v>7.9268292682926829</v>
      </c>
      <c r="F7" s="15">
        <v>33</v>
      </c>
      <c r="G7" s="11">
        <f t="shared" si="2"/>
        <v>9.5652173913043477</v>
      </c>
      <c r="I7" s="13">
        <f t="shared" si="3"/>
        <v>9.4882765125993807</v>
      </c>
    </row>
    <row r="8" spans="1:9" x14ac:dyDescent="0.3">
      <c r="A8" s="14" t="s">
        <v>62</v>
      </c>
      <c r="B8" s="15">
        <v>15</v>
      </c>
      <c r="C8" s="11">
        <f t="shared" si="0"/>
        <v>8.2872928176795568</v>
      </c>
      <c r="D8" s="15">
        <v>15</v>
      </c>
      <c r="E8" s="11">
        <f t="shared" si="1"/>
        <v>9.1463414634146343</v>
      </c>
      <c r="F8" s="15">
        <v>30</v>
      </c>
      <c r="G8" s="11">
        <f t="shared" si="2"/>
        <v>8.695652173913043</v>
      </c>
      <c r="I8" s="13">
        <f t="shared" si="3"/>
        <v>8.7168171405470964</v>
      </c>
    </row>
    <row r="9" spans="1:9" x14ac:dyDescent="0.3">
      <c r="A9" s="14" t="s">
        <v>63</v>
      </c>
      <c r="B9" s="15">
        <v>19</v>
      </c>
      <c r="C9" s="11">
        <f t="shared" si="0"/>
        <v>10.497237569060774</v>
      </c>
      <c r="D9" s="15">
        <v>17</v>
      </c>
      <c r="E9" s="11">
        <f t="shared" si="1"/>
        <v>10.365853658536585</v>
      </c>
      <c r="F9" s="15">
        <v>36</v>
      </c>
      <c r="G9" s="11">
        <f t="shared" si="2"/>
        <v>10.434782608695652</v>
      </c>
      <c r="I9" s="13">
        <f t="shared" si="3"/>
        <v>10.431545613798679</v>
      </c>
    </row>
    <row r="10" spans="1:9" x14ac:dyDescent="0.3">
      <c r="A10" s="14" t="s">
        <v>64</v>
      </c>
      <c r="B10" s="15">
        <v>12</v>
      </c>
      <c r="C10" s="11">
        <f t="shared" si="0"/>
        <v>6.6298342541436464</v>
      </c>
      <c r="D10" s="15">
        <v>17</v>
      </c>
      <c r="E10" s="11">
        <f t="shared" si="1"/>
        <v>10.365853658536585</v>
      </c>
      <c r="F10" s="15">
        <v>29</v>
      </c>
      <c r="G10" s="11">
        <f t="shared" si="2"/>
        <v>8.4057971014492754</v>
      </c>
      <c r="I10" s="13">
        <f t="shared" si="3"/>
        <v>8.497843956340116</v>
      </c>
    </row>
    <row r="11" spans="1:9" x14ac:dyDescent="0.3">
      <c r="A11" s="14" t="s">
        <v>65</v>
      </c>
      <c r="B11" s="15">
        <v>12</v>
      </c>
      <c r="C11" s="11">
        <f t="shared" si="0"/>
        <v>6.6298342541436464</v>
      </c>
      <c r="D11" s="15">
        <v>21</v>
      </c>
      <c r="E11" s="11">
        <f t="shared" si="1"/>
        <v>12.804878048780488</v>
      </c>
      <c r="F11" s="15">
        <v>33</v>
      </c>
      <c r="G11" s="11">
        <f t="shared" si="2"/>
        <v>9.5652173913043477</v>
      </c>
      <c r="I11" s="13">
        <f t="shared" si="3"/>
        <v>9.7173561514620665</v>
      </c>
    </row>
    <row r="12" spans="1:9" x14ac:dyDescent="0.3">
      <c r="A12" s="14" t="s">
        <v>66</v>
      </c>
      <c r="B12" s="15">
        <v>19</v>
      </c>
      <c r="C12" s="11">
        <f t="shared" si="0"/>
        <v>10.497237569060774</v>
      </c>
      <c r="D12" s="15">
        <v>8</v>
      </c>
      <c r="E12" s="11">
        <f t="shared" si="1"/>
        <v>4.8780487804878048</v>
      </c>
      <c r="F12" s="15">
        <v>27</v>
      </c>
      <c r="G12" s="11">
        <f t="shared" si="2"/>
        <v>7.8260869565217401</v>
      </c>
      <c r="I12" s="13">
        <f t="shared" si="3"/>
        <v>7.6876431747742888</v>
      </c>
    </row>
    <row r="13" spans="1:9" x14ac:dyDescent="0.3">
      <c r="A13" s="14" t="s">
        <v>67</v>
      </c>
      <c r="B13" s="15">
        <v>12</v>
      </c>
      <c r="C13" s="11">
        <f t="shared" si="0"/>
        <v>6.6298342541436464</v>
      </c>
      <c r="D13" s="15">
        <v>18</v>
      </c>
      <c r="E13" s="11">
        <f t="shared" si="1"/>
        <v>10.975609756097562</v>
      </c>
      <c r="F13" s="15">
        <v>30</v>
      </c>
      <c r="G13" s="11">
        <f t="shared" si="2"/>
        <v>8.695652173913043</v>
      </c>
      <c r="I13" s="13">
        <f t="shared" si="3"/>
        <v>8.8027220051206037</v>
      </c>
    </row>
    <row r="14" spans="1:9" x14ac:dyDescent="0.3">
      <c r="A14" s="11" t="s">
        <v>68</v>
      </c>
      <c r="B14" s="15">
        <v>16</v>
      </c>
      <c r="C14" s="11">
        <f t="shared" si="0"/>
        <v>8.8397790055248606</v>
      </c>
      <c r="D14" s="15">
        <v>12</v>
      </c>
      <c r="E14" s="11">
        <f t="shared" si="1"/>
        <v>7.3170731707317067</v>
      </c>
      <c r="F14" s="15">
        <v>28</v>
      </c>
      <c r="G14" s="11">
        <f t="shared" si="2"/>
        <v>8.115942028985506</v>
      </c>
      <c r="I14" s="13">
        <f t="shared" si="3"/>
        <v>8.0784260881282837</v>
      </c>
    </row>
    <row r="15" spans="1:9" x14ac:dyDescent="0.3">
      <c r="A15" s="11" t="s">
        <v>69</v>
      </c>
      <c r="B15" s="15">
        <v>10</v>
      </c>
      <c r="C15" s="11">
        <f t="shared" si="0"/>
        <v>5.5248618784530388</v>
      </c>
      <c r="D15" s="15">
        <v>3</v>
      </c>
      <c r="E15" s="11">
        <f t="shared" si="1"/>
        <v>1.8292682926829267</v>
      </c>
      <c r="F15" s="15">
        <v>13</v>
      </c>
      <c r="G15" s="11">
        <f t="shared" si="2"/>
        <v>3.7681159420289858</v>
      </c>
      <c r="I15" s="13">
        <f t="shared" si="3"/>
        <v>3.6770650855679827</v>
      </c>
    </row>
    <row r="16" spans="1:9" x14ac:dyDescent="0.3">
      <c r="A16" s="11" t="s">
        <v>70</v>
      </c>
      <c r="B16" s="15">
        <v>12</v>
      </c>
      <c r="C16" s="11">
        <f t="shared" si="0"/>
        <v>6.6298342541436464</v>
      </c>
      <c r="D16" s="15">
        <v>11</v>
      </c>
      <c r="E16" s="11">
        <f t="shared" si="1"/>
        <v>6.7073170731707323</v>
      </c>
      <c r="F16" s="15">
        <v>23</v>
      </c>
      <c r="G16" s="11">
        <f t="shared" si="2"/>
        <v>6.666666666666667</v>
      </c>
      <c r="I16" s="13">
        <f t="shared" si="3"/>
        <v>6.6685756636571893</v>
      </c>
    </row>
    <row r="17" spans="1:7" x14ac:dyDescent="0.3">
      <c r="A17" s="11" t="s">
        <v>12</v>
      </c>
      <c r="B17" s="15">
        <v>181</v>
      </c>
      <c r="C17" s="11">
        <f t="shared" si="0"/>
        <v>100</v>
      </c>
      <c r="D17" s="15">
        <v>164</v>
      </c>
      <c r="E17" s="11">
        <f>D17/$D$17*100</f>
        <v>100</v>
      </c>
      <c r="F17" s="15">
        <v>345</v>
      </c>
      <c r="G17" s="11">
        <f t="shared" si="2"/>
        <v>100</v>
      </c>
    </row>
  </sheetData>
  <mergeCells count="4">
    <mergeCell ref="A1:A2"/>
    <mergeCell ref="B1:E1"/>
    <mergeCell ref="F1:F2"/>
    <mergeCell ref="G1:G2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C4570-8427-483C-9157-77FE223CE978}">
  <dimension ref="A1:O7"/>
  <sheetViews>
    <sheetView topLeftCell="F1" workbookViewId="0">
      <selection activeCell="G25" sqref="G25"/>
    </sheetView>
  </sheetViews>
  <sheetFormatPr defaultRowHeight="14.4" x14ac:dyDescent="0.3"/>
  <cols>
    <col min="1" max="1" width="12.33203125" bestFit="1" customWidth="1"/>
    <col min="2" max="2" width="4" bestFit="1" customWidth="1"/>
    <col min="3" max="3" width="13.21875" bestFit="1" customWidth="1"/>
    <col min="4" max="4" width="4" bestFit="1" customWidth="1"/>
    <col min="5" max="5" width="13.21875" bestFit="1" customWidth="1"/>
    <col min="6" max="6" width="4" bestFit="1" customWidth="1"/>
    <col min="7" max="7" width="13.21875" bestFit="1" customWidth="1"/>
    <col min="10" max="10" width="9.6640625" bestFit="1" customWidth="1"/>
    <col min="11" max="11" width="5.6640625" customWidth="1"/>
    <col min="13" max="13" width="9.6640625" bestFit="1" customWidth="1"/>
    <col min="15" max="15" width="6.88671875" bestFit="1" customWidth="1"/>
  </cols>
  <sheetData>
    <row r="1" spans="1:15" x14ac:dyDescent="0.3">
      <c r="A1" s="19" t="s">
        <v>73</v>
      </c>
      <c r="B1" s="20" t="s">
        <v>34</v>
      </c>
      <c r="C1" s="20"/>
      <c r="D1" s="20"/>
      <c r="E1" s="20"/>
      <c r="F1" s="18" t="s">
        <v>12</v>
      </c>
      <c r="G1" s="18"/>
    </row>
    <row r="2" spans="1:15" x14ac:dyDescent="0.3">
      <c r="A2" s="19"/>
      <c r="B2" s="20" t="s">
        <v>36</v>
      </c>
      <c r="C2" s="20"/>
      <c r="D2" s="20" t="s">
        <v>35</v>
      </c>
      <c r="E2" s="20"/>
      <c r="F2" s="18"/>
      <c r="G2" s="18"/>
      <c r="N2" t="s">
        <v>77</v>
      </c>
      <c r="O2" t="s">
        <v>35</v>
      </c>
    </row>
    <row r="3" spans="1:15" x14ac:dyDescent="0.3">
      <c r="A3" s="19"/>
      <c r="B3" s="9" t="s">
        <v>74</v>
      </c>
      <c r="C3" s="9" t="s">
        <v>48</v>
      </c>
      <c r="D3" s="9" t="s">
        <v>74</v>
      </c>
      <c r="E3" s="9" t="s">
        <v>48</v>
      </c>
      <c r="F3" s="9" t="s">
        <v>74</v>
      </c>
      <c r="G3" s="9" t="s">
        <v>48</v>
      </c>
      <c r="M3" t="s">
        <v>75</v>
      </c>
      <c r="N3" s="11">
        <f>C4</f>
        <v>41.071428571428569</v>
      </c>
      <c r="O3" s="11">
        <f>E4</f>
        <v>34.615384615384613</v>
      </c>
    </row>
    <row r="4" spans="1:15" x14ac:dyDescent="0.3">
      <c r="A4" s="9" t="s">
        <v>75</v>
      </c>
      <c r="B4" s="9">
        <f>'[1]10yrs above'!$I$6</f>
        <v>69</v>
      </c>
      <c r="C4" s="11">
        <f>B4/$B$6*100</f>
        <v>41.071428571428569</v>
      </c>
      <c r="D4" s="9">
        <f>'[1]10yrs above'!$I$8</f>
        <v>54</v>
      </c>
      <c r="E4" s="11">
        <f>D4/$D$6*100</f>
        <v>34.615384615384613</v>
      </c>
      <c r="F4" s="9">
        <f>B4+D4</f>
        <v>123</v>
      </c>
      <c r="G4" s="11">
        <f>F4/$F$6*100</f>
        <v>37.962962962962962</v>
      </c>
      <c r="J4" s="9" t="str">
        <f>A4</f>
        <v>Unmarried</v>
      </c>
      <c r="K4" s="11">
        <f>G4</f>
        <v>37.962962962962962</v>
      </c>
      <c r="M4" t="s">
        <v>76</v>
      </c>
      <c r="N4" s="11">
        <f>C5</f>
        <v>58.928571428571431</v>
      </c>
      <c r="O4" s="11">
        <f>E5</f>
        <v>65.384615384615387</v>
      </c>
    </row>
    <row r="5" spans="1:15" x14ac:dyDescent="0.3">
      <c r="A5" s="9" t="s">
        <v>76</v>
      </c>
      <c r="B5" s="9">
        <f>'[1]10yrs above'!$I$4</f>
        <v>99</v>
      </c>
      <c r="C5" s="11">
        <f t="shared" ref="C5:C6" si="0">B5/$B$6*100</f>
        <v>58.928571428571431</v>
      </c>
      <c r="D5" s="9">
        <f>'[1]10yrs above'!$I$5</f>
        <v>102</v>
      </c>
      <c r="E5" s="11">
        <f>D5/$D$6*100</f>
        <v>65.384615384615387</v>
      </c>
      <c r="F5" s="9">
        <f>B5+D5</f>
        <v>201</v>
      </c>
      <c r="G5" s="11">
        <f>F5/$F$6*100</f>
        <v>62.037037037037038</v>
      </c>
      <c r="J5" s="9" t="str">
        <f>A5</f>
        <v>Married</v>
      </c>
      <c r="K5" s="11">
        <f>G5</f>
        <v>62.037037037037038</v>
      </c>
    </row>
    <row r="6" spans="1:15" x14ac:dyDescent="0.3">
      <c r="A6" s="9" t="s">
        <v>12</v>
      </c>
      <c r="B6" s="9">
        <f>SUM(B4:B5)</f>
        <v>168</v>
      </c>
      <c r="C6" s="9">
        <f t="shared" ref="C6:G6" si="1">SUM(C4:C5)</f>
        <v>100</v>
      </c>
      <c r="D6" s="9">
        <f t="shared" si="1"/>
        <v>156</v>
      </c>
      <c r="E6" s="9">
        <f t="shared" si="1"/>
        <v>100</v>
      </c>
      <c r="F6" s="9">
        <f t="shared" si="1"/>
        <v>324</v>
      </c>
      <c r="G6" s="9">
        <f t="shared" si="1"/>
        <v>100</v>
      </c>
      <c r="J6" s="21"/>
      <c r="K6" s="22"/>
    </row>
    <row r="7" spans="1:15" x14ac:dyDescent="0.3">
      <c r="J7" s="21"/>
      <c r="K7" s="22"/>
    </row>
  </sheetData>
  <mergeCells count="5">
    <mergeCell ref="B1:E1"/>
    <mergeCell ref="B2:C2"/>
    <mergeCell ref="D2:E2"/>
    <mergeCell ref="F1:G2"/>
    <mergeCell ref="A1:A3"/>
  </mergeCells>
  <pageMargins left="0.7" right="0.7" top="0.75" bottom="0.75" header="0.3" footer="0.3"/>
  <pageSetup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86BFF3-A766-496C-9200-083AC941658F}">
  <dimension ref="A1:G5"/>
  <sheetViews>
    <sheetView workbookViewId="0">
      <selection sqref="A1:C5"/>
    </sheetView>
  </sheetViews>
  <sheetFormatPr defaultRowHeight="14.4" x14ac:dyDescent="0.3"/>
  <cols>
    <col min="1" max="1" width="9.6640625" bestFit="1" customWidth="1"/>
    <col min="2" max="2" width="15.44140625" bestFit="1" customWidth="1"/>
    <col min="3" max="3" width="7.21875" bestFit="1" customWidth="1"/>
  </cols>
  <sheetData>
    <row r="1" spans="1:7" x14ac:dyDescent="0.3">
      <c r="A1" s="9" t="s">
        <v>82</v>
      </c>
      <c r="B1" s="9" t="s">
        <v>78</v>
      </c>
      <c r="C1" s="9" t="s">
        <v>29</v>
      </c>
    </row>
    <row r="2" spans="1:7" x14ac:dyDescent="0.3">
      <c r="A2" s="9" t="s">
        <v>79</v>
      </c>
      <c r="B2" s="9">
        <v>69</v>
      </c>
      <c r="C2" s="11">
        <f>B2/$B$5*100</f>
        <v>77.528089887640448</v>
      </c>
      <c r="F2" s="9" t="s">
        <v>79</v>
      </c>
      <c r="G2" s="11">
        <f>C2</f>
        <v>77.528089887640448</v>
      </c>
    </row>
    <row r="3" spans="1:7" x14ac:dyDescent="0.3">
      <c r="A3" s="23" t="s">
        <v>80</v>
      </c>
      <c r="B3" s="9">
        <v>15</v>
      </c>
      <c r="C3" s="11">
        <f t="shared" ref="C3:C5" si="0">B3/$B$5*100</f>
        <v>16.853932584269664</v>
      </c>
      <c r="F3" s="23" t="s">
        <v>80</v>
      </c>
      <c r="G3" s="11">
        <f t="shared" ref="G3:G5" si="1">C3</f>
        <v>16.853932584269664</v>
      </c>
    </row>
    <row r="4" spans="1:7" x14ac:dyDescent="0.3">
      <c r="A4" s="9" t="s">
        <v>81</v>
      </c>
      <c r="B4" s="9">
        <v>5</v>
      </c>
      <c r="C4" s="11">
        <f t="shared" si="0"/>
        <v>5.6179775280898872</v>
      </c>
      <c r="F4" s="9" t="s">
        <v>81</v>
      </c>
      <c r="G4" s="11">
        <f t="shared" si="1"/>
        <v>5.6179775280898872</v>
      </c>
    </row>
    <row r="5" spans="1:7" x14ac:dyDescent="0.3">
      <c r="A5" s="9" t="s">
        <v>12</v>
      </c>
      <c r="B5" s="9">
        <f>SUM(B2:B4)</f>
        <v>89</v>
      </c>
      <c r="C5" s="11">
        <f t="shared" si="0"/>
        <v>100</v>
      </c>
      <c r="G5" s="11"/>
    </row>
  </sheetData>
  <pageMargins left="0.7" right="0.7" top="0.75" bottom="0.75" header="0.3" footer="0.3"/>
  <pageSetup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014F1-1703-47D5-A2CD-2B891BFB9566}">
  <dimension ref="A1:I4"/>
  <sheetViews>
    <sheetView tabSelected="1" workbookViewId="0">
      <selection sqref="A1:D4"/>
    </sheetView>
  </sheetViews>
  <sheetFormatPr defaultRowHeight="14.4" x14ac:dyDescent="0.3"/>
  <cols>
    <col min="1" max="1" width="22.6640625" bestFit="1" customWidth="1"/>
  </cols>
  <sheetData>
    <row r="1" spans="1:9" x14ac:dyDescent="0.3">
      <c r="A1" s="9" t="s">
        <v>83</v>
      </c>
      <c r="B1" s="9" t="s">
        <v>36</v>
      </c>
      <c r="C1" s="9" t="s">
        <v>35</v>
      </c>
      <c r="D1" s="9" t="s">
        <v>12</v>
      </c>
      <c r="F1" s="9"/>
      <c r="G1" s="9" t="s">
        <v>87</v>
      </c>
      <c r="H1" s="9" t="s">
        <v>88</v>
      </c>
      <c r="I1" s="9" t="s">
        <v>12</v>
      </c>
    </row>
    <row r="2" spans="1:9" x14ac:dyDescent="0.3">
      <c r="A2" s="9" t="s">
        <v>84</v>
      </c>
      <c r="B2" s="11">
        <f>G2/G3*100</f>
        <v>19.014084507042252</v>
      </c>
      <c r="C2" s="11">
        <f>H2/H3*100</f>
        <v>14.17910447761194</v>
      </c>
      <c r="D2" s="11">
        <f>I2/I3*100</f>
        <v>16.666666666666664</v>
      </c>
      <c r="F2" s="9" t="s">
        <v>86</v>
      </c>
      <c r="G2" s="9">
        <v>27</v>
      </c>
      <c r="H2" s="9">
        <v>19</v>
      </c>
      <c r="I2" s="9">
        <f>SUM(G2:H2)</f>
        <v>46</v>
      </c>
    </row>
    <row r="3" spans="1:9" x14ac:dyDescent="0.3">
      <c r="A3" s="9" t="s">
        <v>85</v>
      </c>
      <c r="B3" s="11">
        <f>G4/G3*100</f>
        <v>8.4507042253521121</v>
      </c>
      <c r="C3" s="11">
        <f>H4/H3*100</f>
        <v>8.2089552238805972</v>
      </c>
      <c r="D3" s="11">
        <f>I4/I3*100</f>
        <v>8.3333333333333321</v>
      </c>
      <c r="F3" s="9" t="s">
        <v>89</v>
      </c>
      <c r="G3" s="9">
        <v>142</v>
      </c>
      <c r="H3" s="9">
        <v>134</v>
      </c>
      <c r="I3" s="9">
        <f t="shared" ref="I3:I4" si="0">SUM(G3:H3)</f>
        <v>276</v>
      </c>
    </row>
    <row r="4" spans="1:9" x14ac:dyDescent="0.3">
      <c r="A4" s="9" t="s">
        <v>12</v>
      </c>
      <c r="B4" s="11">
        <f>SUM(B2:B3)</f>
        <v>27.464788732394364</v>
      </c>
      <c r="C4" s="11">
        <f t="shared" ref="C4:D4" si="1">SUM(C2:C3)</f>
        <v>22.388059701492537</v>
      </c>
      <c r="D4" s="11">
        <f t="shared" si="1"/>
        <v>24.999999999999996</v>
      </c>
      <c r="F4" s="9" t="s">
        <v>70</v>
      </c>
      <c r="G4" s="9">
        <v>12</v>
      </c>
      <c r="H4" s="9">
        <v>11</v>
      </c>
      <c r="I4" s="9">
        <f t="shared" si="0"/>
        <v>23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Reasons for leaving origin</vt:lpstr>
      <vt:lpstr>Distribution of Households</vt:lpstr>
      <vt:lpstr>Satisfaction</vt:lpstr>
      <vt:lpstr>Datewise migrants no.</vt:lpstr>
      <vt:lpstr>Literacy status</vt:lpstr>
      <vt:lpstr>Ethnicity</vt:lpstr>
      <vt:lpstr>Religion</vt:lpstr>
      <vt:lpstr>Land holdings</vt:lpstr>
      <vt:lpstr>Water source</vt:lpstr>
      <vt:lpstr>5yrs age group</vt:lpstr>
      <vt:lpstr>Marrital status</vt:lpstr>
      <vt:lpstr>Family size</vt:lpstr>
      <vt:lpstr>dependency ratio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rabina baga</cp:lastModifiedBy>
  <dcterms:created xsi:type="dcterms:W3CDTF">2015-06-05T18:17:20Z</dcterms:created>
  <dcterms:modified xsi:type="dcterms:W3CDTF">2026-09-06T09:46:04Z</dcterms:modified>
</cp:coreProperties>
</file>