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ED59ED29-146D-4349-A008-9240342B8810}" xr6:coauthVersionLast="47" xr6:coauthVersionMax="47" xr10:uidLastSave="{00000000-0000-0000-0000-000000000000}"/>
  <bookViews>
    <workbookView xWindow="-120" yWindow="-120" windowWidth="20640" windowHeight="11040" firstSheet="21" activeTab="23" xr2:uid="{00000000-000D-0000-FFFF-FFFF00000000}"/>
  </bookViews>
  <sheets>
    <sheet name="Reasons for leaving origin" sheetId="1" state="hidden" r:id="rId1"/>
    <sheet name="Distribution of Households" sheetId="2" state="hidden" r:id="rId2"/>
    <sheet name="Datewise migrants no." sheetId="4" r:id="rId3"/>
    <sheet name="Literacy status" sheetId="6" r:id="rId4"/>
    <sheet name="Ethnicity" sheetId="5" r:id="rId5"/>
    <sheet name="Religion" sheetId="7" r:id="rId6"/>
    <sheet name="Land holdings" sheetId="8" r:id="rId7"/>
    <sheet name="Water source" sheetId="9" r:id="rId8"/>
    <sheet name="5yrs age group" sheetId="10" r:id="rId9"/>
    <sheet name="Marrital status" sheetId="11" r:id="rId10"/>
    <sheet name="Family size" sheetId="12" r:id="rId11"/>
    <sheet name="dependency ratio" sheetId="13" r:id="rId12"/>
    <sheet name="Leaving origin" sheetId="14" state="hidden" r:id="rId13"/>
    <sheet name="Reason leaving origin" sheetId="17" r:id="rId14"/>
    <sheet name="Place of Origin" sheetId="15" r:id="rId15"/>
    <sheet name="Responsible person" sheetId="18" r:id="rId16"/>
    <sheet name="Satisfaction" sheetId="3" r:id="rId17"/>
    <sheet name="Problems facing in destination" sheetId="19" r:id="rId18"/>
    <sheet name="Future intention" sheetId="20" r:id="rId19"/>
    <sheet name="Changed Aspects" sheetId="21" r:id="rId20"/>
    <sheet name="Monthly income comparison" sheetId="22" r:id="rId21"/>
    <sheet name="Occupation origin &amp; Destination" sheetId="23" r:id="rId22"/>
    <sheet name="Physical facilities" sheetId="24" r:id="rId23"/>
    <sheet name="Suggestion to relatives" sheetId="25" r:id="rId24"/>
  </sheets>
  <definedNames>
    <definedName name="_xlnm._FilterDatabase" localSheetId="17" hidden="1">'Problems facing in destination'!$A$1:$C$7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3" l="1"/>
  <c r="C12" i="3"/>
  <c r="C10" i="3"/>
  <c r="B6" i="3"/>
  <c r="B5" i="3"/>
  <c r="B4" i="3"/>
  <c r="C3" i="25"/>
  <c r="C4" i="25"/>
  <c r="C5" i="25"/>
  <c r="C2" i="25"/>
  <c r="B5" i="25"/>
  <c r="B12" i="24"/>
  <c r="C12" i="24"/>
  <c r="D12" i="24"/>
  <c r="B13" i="24"/>
  <c r="C13" i="24"/>
  <c r="D13" i="24"/>
  <c r="B14" i="24"/>
  <c r="C14" i="24"/>
  <c r="D14" i="24"/>
  <c r="B15" i="24"/>
  <c r="C15" i="24"/>
  <c r="D15" i="24"/>
  <c r="D11" i="24"/>
  <c r="C11" i="24"/>
  <c r="B11" i="24"/>
  <c r="D4" i="24"/>
  <c r="D5" i="24"/>
  <c r="D6" i="24"/>
  <c r="D7" i="24"/>
  <c r="D3" i="24"/>
  <c r="B14" i="23"/>
  <c r="B15" i="23"/>
  <c r="B16" i="23"/>
  <c r="B17" i="23"/>
  <c r="B19" i="23"/>
  <c r="B20" i="23"/>
  <c r="B13" i="23"/>
  <c r="C10" i="23"/>
  <c r="C16" i="23" s="1"/>
  <c r="B10" i="23"/>
  <c r="B18" i="23" s="1"/>
  <c r="C15" i="22"/>
  <c r="D9" i="22"/>
  <c r="E5" i="22" s="1"/>
  <c r="B9" i="22"/>
  <c r="C14" i="23" l="1"/>
  <c r="C18" i="23"/>
  <c r="C13" i="23"/>
  <c r="C19" i="23"/>
  <c r="C15" i="23"/>
  <c r="C20" i="23"/>
  <c r="C17" i="23"/>
  <c r="E4" i="22"/>
  <c r="C14" i="22" s="1"/>
  <c r="C4" i="22"/>
  <c r="B14" i="22" s="1"/>
  <c r="C3" i="22"/>
  <c r="B13" i="22" s="1"/>
  <c r="E3" i="22"/>
  <c r="C13" i="22" s="1"/>
  <c r="C8" i="22"/>
  <c r="B18" i="22" s="1"/>
  <c r="C7" i="22"/>
  <c r="B17" i="22" s="1"/>
  <c r="C6" i="22"/>
  <c r="B16" i="22" s="1"/>
  <c r="C5" i="22"/>
  <c r="B15" i="22" s="1"/>
  <c r="E6" i="22"/>
  <c r="C16" i="22" s="1"/>
  <c r="E8" i="22"/>
  <c r="C18" i="22" s="1"/>
  <c r="E7" i="22"/>
  <c r="C17" i="22" s="1"/>
  <c r="E9" i="22" l="1"/>
  <c r="C9" i="22"/>
  <c r="D2" i="21" l="1"/>
  <c r="C8" i="21" s="1"/>
  <c r="C3" i="20"/>
  <c r="C4" i="20"/>
  <c r="C2" i="20"/>
  <c r="B4" i="20"/>
  <c r="B7" i="19"/>
  <c r="F3" i="18"/>
  <c r="F4" i="18"/>
  <c r="F5" i="18"/>
  <c r="F6" i="18"/>
  <c r="F2" i="18"/>
  <c r="B7" i="18"/>
  <c r="C7" i="18" s="1"/>
  <c r="D5" i="21" l="1"/>
  <c r="C11" i="21" s="1"/>
  <c r="D4" i="21"/>
  <c r="C10" i="21" s="1"/>
  <c r="D3" i="21"/>
  <c r="C9" i="21" s="1"/>
  <c r="B8" i="21"/>
  <c r="D8" i="21" s="1"/>
  <c r="C4" i="19"/>
  <c r="C2" i="19"/>
  <c r="C7" i="19"/>
  <c r="C6" i="19"/>
  <c r="C3" i="19"/>
  <c r="C5" i="19"/>
  <c r="C5" i="18"/>
  <c r="C3" i="18"/>
  <c r="C6" i="18"/>
  <c r="C4" i="18"/>
  <c r="C2" i="18"/>
  <c r="F5" i="19" l="1"/>
  <c r="F6" i="19"/>
  <c r="F2" i="19"/>
  <c r="F3" i="19"/>
  <c r="F4" i="19"/>
  <c r="B11" i="21"/>
  <c r="D11" i="21" s="1"/>
  <c r="B10" i="21"/>
  <c r="D10" i="21" s="1"/>
  <c r="B9" i="21"/>
  <c r="D9" i="21" s="1"/>
  <c r="F4" i="15"/>
  <c r="F5" i="15"/>
  <c r="F3" i="15"/>
  <c r="B8" i="17"/>
  <c r="C7" i="17" s="1"/>
  <c r="F7" i="17" s="1"/>
  <c r="C7" i="3"/>
  <c r="B4" i="15"/>
  <c r="C4" i="15" l="1"/>
  <c r="B6" i="15"/>
  <c r="C3" i="15" s="1"/>
  <c r="C5" i="15"/>
  <c r="C6" i="15"/>
  <c r="C6" i="17"/>
  <c r="F6" i="17" s="1"/>
  <c r="C5" i="17"/>
  <c r="F5" i="17" s="1"/>
  <c r="C4" i="17"/>
  <c r="F4" i="17" s="1"/>
  <c r="C3" i="17"/>
  <c r="F3" i="17" s="1"/>
  <c r="C2" i="17"/>
  <c r="F2" i="17" s="1"/>
  <c r="C8" i="17"/>
  <c r="C4" i="13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F4" i="11"/>
  <c r="G3" i="9"/>
  <c r="G4" i="9"/>
  <c r="G2" i="9"/>
  <c r="B3" i="8"/>
  <c r="B2" i="8"/>
  <c r="B6" i="11" l="1"/>
  <c r="C5" i="11" s="1"/>
  <c r="N4" i="11" s="1"/>
  <c r="D6" i="11"/>
  <c r="E5" i="11" s="1"/>
  <c r="O4" i="11" s="1"/>
  <c r="F5" i="11"/>
  <c r="F6" i="11" s="1"/>
  <c r="G4" i="11" s="1"/>
  <c r="C4" i="11" l="1"/>
  <c r="E4" i="11"/>
  <c r="K4" i="1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O3" i="11" l="1"/>
  <c r="E6" i="11"/>
  <c r="G6" i="1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6" i="5" l="1"/>
  <c r="C4" i="5" s="1"/>
  <c r="G4" i="5" s="1"/>
  <c r="C3" i="5" l="1"/>
  <c r="G3" i="5" s="1"/>
  <c r="C2" i="5"/>
  <c r="G2" i="5" s="1"/>
  <c r="B6" i="7"/>
  <c r="C5" i="7" s="1"/>
  <c r="G5" i="7" s="1"/>
  <c r="C5" i="5"/>
  <c r="G5" i="5" s="1"/>
  <c r="C6" i="5" l="1"/>
  <c r="C2" i="7"/>
  <c r="C4" i="7"/>
  <c r="G4" i="7" s="1"/>
  <c r="C3" i="7"/>
  <c r="G3" i="7" s="1"/>
  <c r="G2" i="7" l="1"/>
  <c r="C6" i="7"/>
</calcChain>
</file>

<file path=xl/sharedStrings.xml><?xml version="1.0" encoding="utf-8"?>
<sst xmlns="http://schemas.openxmlformats.org/spreadsheetml/2006/main" count="344" uniqueCount="168">
  <si>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</si>
  <si>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</si>
  <si>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</si>
  <si>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</si>
  <si>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</si>
  <si>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</si>
  <si>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</si>
  <si>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</si>
  <si>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</si>
  <si>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</si>
  <si>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</si>
  <si>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</si>
  <si>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</si>
  <si>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</si>
  <si>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</si>
  <si>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</si>
  <si>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</si>
  <si>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</si>
  <si>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</si>
  <si>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</si>
  <si>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</si>
  <si>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</si>
  <si>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</si>
  <si>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</si>
  <si>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</si>
  <si>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</si>
  <si>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</si>
  <si>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</si>
  <si>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</si>
  <si>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</si>
  <si>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</si>
  <si>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</si>
  <si>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</si>
  <si>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</si>
  <si>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</si>
  <si>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</si>
  <si>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</si>
  <si>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</si>
  <si>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</si>
  <si>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</si>
  <si>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</si>
  <si>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</si>
  <si>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</si>
  <si>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</si>
  <si>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</si>
  <si>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</si>
  <si>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</si>
  <si>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</si>
  <si>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</si>
  <si>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</si>
  <si>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</si>
  <si>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</si>
  <si>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</si>
  <si>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</si>
  <si>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</si>
  <si>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</si>
  <si>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</si>
  <si>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</si>
  <si>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</si>
  <si>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</si>
  <si>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</si>
  <si>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</si>
  <si>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</si>
  <si>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</si>
  <si>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</si>
  <si>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</si>
  <si>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</si>
  <si>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</si>
  <si>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</si>
  <si>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</si>
  <si>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</si>
  <si>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</si>
  <si>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</si>
  <si>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</si>
  <si>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</si>
  <si>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</si>
  <si>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</si>
  <si>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</si>
  <si>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</si>
  <si>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</si>
  <si>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</si>
  <si>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</si>
  <si>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</si>
  <si>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</si>
  <si>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</si>
  <si>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</si>
  <si>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</si>
  <si>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</si>
  <si>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</si>
  <si>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</si>
  <si>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</si>
  <si>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</si>
  <si>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</si>
  <si>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</si>
  <si>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</si>
  <si>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Same palika</t>
  </si>
  <si>
    <t>Other palika of same district</t>
  </si>
  <si>
    <t>Other district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</si>
  <si>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</si>
  <si>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</si>
  <si>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</si>
  <si>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</si>
  <si>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</si>
  <si>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</si>
  <si>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</si>
  <si>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</si>
  <si>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</si>
  <si>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</si>
  <si>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</si>
  <si>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Reason for leaving</t>
  </si>
  <si>
    <t>Government job</t>
  </si>
  <si>
    <t>Limited market</t>
  </si>
  <si>
    <t>Limited arable land</t>
  </si>
  <si>
    <t>Limited job opportunity</t>
  </si>
  <si>
    <t>Limited infrastructure</t>
  </si>
  <si>
    <t>Victim of conflict</t>
  </si>
  <si>
    <t>Spouse/children</t>
  </si>
  <si>
    <t>Friends</t>
  </si>
  <si>
    <t>Employers/Neighbors</t>
  </si>
  <si>
    <t>Himself/Herself</t>
  </si>
  <si>
    <t>Near Relatives</t>
  </si>
  <si>
    <t>Responsible person</t>
  </si>
  <si>
    <t>No. of household</t>
  </si>
  <si>
    <t>Inadequate Development Funding</t>
  </si>
  <si>
    <t>Inadequate Drinking water supply</t>
  </si>
  <si>
    <t>Lack of employment opportunity</t>
  </si>
  <si>
    <t>Insufficient health facilities</t>
  </si>
  <si>
    <t xml:space="preserve"> Bad social environment</t>
  </si>
  <si>
    <t>Problems</t>
  </si>
  <si>
    <t>Remarks</t>
  </si>
  <si>
    <t>Wants to move to another Town/Village</t>
  </si>
  <si>
    <t>Want to live here permanently?</t>
  </si>
  <si>
    <t>Changed Aspects</t>
  </si>
  <si>
    <t>Culture</t>
  </si>
  <si>
    <t>Food Habit</t>
  </si>
  <si>
    <t>Better Education</t>
  </si>
  <si>
    <t>Occupation</t>
  </si>
  <si>
    <t>Monthly Income (Rs.)</t>
  </si>
  <si>
    <t>Place of Destination</t>
  </si>
  <si>
    <t>No. of HH</t>
  </si>
  <si>
    <t>Below 10000</t>
  </si>
  <si>
    <t>10000-19999</t>
  </si>
  <si>
    <t>20000-29999</t>
  </si>
  <si>
    <t>30000-39999</t>
  </si>
  <si>
    <t>40000-49999</t>
  </si>
  <si>
    <t>50000 and above</t>
  </si>
  <si>
    <t>Origin Place (%)</t>
  </si>
  <si>
    <t>Destination Place (%)</t>
  </si>
  <si>
    <t>Foreign Employment</t>
  </si>
  <si>
    <t>Private job</t>
  </si>
  <si>
    <t>Origin Place</t>
  </si>
  <si>
    <t>Destination Place</t>
  </si>
  <si>
    <t>Physical Facilities</t>
  </si>
  <si>
    <t>Percentage of respondents at Place of Origin</t>
  </si>
  <si>
    <t>Percentage of respondents at Place of Destination</t>
  </si>
  <si>
    <t>Yes (%)</t>
  </si>
  <si>
    <t>Limited (%)</t>
  </si>
  <si>
    <t>Transport</t>
  </si>
  <si>
    <t>Electricity</t>
  </si>
  <si>
    <t>Communication</t>
  </si>
  <si>
    <t>School</t>
  </si>
  <si>
    <t>Hospital</t>
  </si>
  <si>
    <t>-</t>
  </si>
  <si>
    <t>Suggestion</t>
  </si>
  <si>
    <t>No. of Respondents</t>
  </si>
  <si>
    <t>Come here</t>
  </si>
  <si>
    <t>As you like</t>
  </si>
  <si>
    <t>Go to another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</si>
</sst>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0" fillId="0" borderId="5" xfId="0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 wrapText="1"/>
    </xf>
    <xf numFmtId="165" fontId="0" fillId="0" borderId="5" xfId="0" applyNumberFormat="1" applyBorder="1"/>
    <xf numFmtId="2" fontId="0" fillId="0" borderId="5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ltVert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dashDnDiag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Religion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dashDnDiag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dLbl>
              <c:idx val="0"/>
              <c:spPr>
                <a:gradFill>
                  <a:gsLst>
                    <a:gs pos="0">
                      <a:schemeClr val="accent3">
                        <a:lumMod val="5000"/>
                        <a:lumOff val="95000"/>
                      </a:schemeClr>
                    </a:gs>
                    <a:gs pos="74000">
                      <a:schemeClr val="accent3">
                        <a:lumMod val="45000"/>
                        <a:lumOff val="55000"/>
                      </a:schemeClr>
                    </a:gs>
                    <a:gs pos="83000">
                      <a:schemeClr val="accent3">
                        <a:lumMod val="45000"/>
                        <a:lumOff val="55000"/>
                      </a:schemeClr>
                    </a:gs>
                    <a:gs pos="100000">
                      <a:schemeClr val="accent3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3169-4C4B-939B-F49C91376AC8}"/>
                </c:ext>
              </c:extLst>
            </c:dLbl>
            <c:dLbl>
              <c:idx val="1"/>
              <c:spPr>
                <a:gradFill>
                  <a:gsLst>
                    <a:gs pos="0">
                      <a:schemeClr val="accent3">
                        <a:lumMod val="5000"/>
                        <a:lumOff val="95000"/>
                      </a:schemeClr>
                    </a:gs>
                    <a:gs pos="74000">
                      <a:schemeClr val="accent3">
                        <a:lumMod val="45000"/>
                        <a:lumOff val="55000"/>
                      </a:schemeClr>
                    </a:gs>
                    <a:gs pos="83000">
                      <a:schemeClr val="accent3">
                        <a:lumMod val="45000"/>
                        <a:lumOff val="55000"/>
                      </a:schemeClr>
                    </a:gs>
                    <a:gs pos="100000">
                      <a:schemeClr val="accent3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3169-4C4B-939B-F49C91376A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pattFill prst="pct5">
              <a:fgClr>
                <a:schemeClr val="dk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Marital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pattFill prst="pct5">
              <a:fgClr>
                <a:schemeClr val="dk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'Reason leaving origin'!$E$2:$E$7</c:f>
              <c:strCache>
                <c:ptCount val="6"/>
                <c:pt idx="0">
                  <c:v>Limited market</c:v>
                </c:pt>
                <c:pt idx="1">
                  <c:v>Limited arable land</c:v>
                </c:pt>
                <c:pt idx="2">
                  <c:v>Limited job opportunity</c:v>
                </c:pt>
                <c:pt idx="3">
                  <c:v>Limited infrastructure</c:v>
                </c:pt>
                <c:pt idx="4">
                  <c:v>Government job</c:v>
                </c:pt>
                <c:pt idx="5">
                  <c:v>Victim of conflict</c:v>
                </c:pt>
              </c:strCache>
            </c:strRef>
          </c:cat>
          <c:val>
            <c:numRef>
              <c:f>'Reason leaving origin'!$F$2:$F$7</c:f>
              <c:numCache>
                <c:formatCode>0.00</c:formatCode>
                <c:ptCount val="6"/>
                <c:pt idx="0">
                  <c:v>20.224719101123593</c:v>
                </c:pt>
                <c:pt idx="1">
                  <c:v>7.8651685393258424</c:v>
                </c:pt>
                <c:pt idx="2">
                  <c:v>26.966292134831459</c:v>
                </c:pt>
                <c:pt idx="3">
                  <c:v>34.831460674157306</c:v>
                </c:pt>
                <c:pt idx="4">
                  <c:v>5.6179775280898872</c:v>
                </c:pt>
                <c:pt idx="5">
                  <c:v>4.4943820224719104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1-45F9-B1D2-DD6AEB16795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141911823"/>
        <c:axId val="1746210975"/>
      </c:barChart>
      <c:catAx>
        <c:axId val="1141911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Reasons for leaving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210975"/>
        <c:crosses val="autoZero"/>
        <c:auto val="1"/>
        <c:lblAlgn val="ctr"/>
        <c:lblOffset val="100"/>
        <c:noMultiLvlLbl val="0"/>
      </c:catAx>
      <c:valAx>
        <c:axId val="174621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11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chemeClr val="tx1"/>
              </a:solidFill>
            </a:ln>
          </c:spPr>
          <c:dPt>
            <c:idx val="0"/>
            <c:bubble3D val="0"/>
            <c:spPr>
              <a:pattFill prst="diagBrick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81-4E4F-BFFF-ECBBBD34CE17}"/>
              </c:ext>
            </c:extLst>
          </c:dPt>
          <c:dPt>
            <c:idx val="1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B81-4E4F-BFFF-ECBBBD34CE17}"/>
              </c:ext>
            </c:extLst>
          </c:dPt>
          <c:dPt>
            <c:idx val="2"/>
            <c:bubble3D val="0"/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81-4E4F-BFFF-ECBBBD34CE17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'Place of Origin'!$E$3:$E$5</c:f>
              <c:strCache>
                <c:ptCount val="3"/>
                <c:pt idx="0">
                  <c:v>Same palika</c:v>
                </c:pt>
                <c:pt idx="1">
                  <c:v>Other palika of same district</c:v>
                </c:pt>
                <c:pt idx="2">
                  <c:v>Other district</c:v>
                </c:pt>
              </c:strCache>
            </c:strRef>
          </c:cat>
          <c:val>
            <c:numRef>
              <c:f>'Place of Origin'!$F$3:$F$5</c:f>
              <c:numCache>
                <c:formatCode>0.00</c:formatCode>
                <c:ptCount val="3"/>
                <c:pt idx="0">
                  <c:v>5.6179775280898872</c:v>
                </c:pt>
                <c:pt idx="1">
                  <c:v>21.348314606741571</c:v>
                </c:pt>
                <c:pt idx="2">
                  <c:v>73.033707865168537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1-4E4F-BFFF-ECBBBD34CE1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chemeClr val="tx1"/>
              </a:solidFill>
            </a:ln>
          </c:spPr>
          <c:dPt>
            <c:idx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CAA3-497F-88C6-0FE8A1A78D91}"/>
              </c:ext>
            </c:extLst>
          </c:dPt>
          <c:dPt>
            <c:idx val="1"/>
            <c:bubble3D val="0"/>
            <c:spPr>
              <a:pattFill prst="ltHorz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A3-497F-88C6-0FE8A1A78D91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lumMod val="100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AA3-497F-88C6-0FE8A1A78D91}"/>
              </c:ext>
            </c:extLst>
          </c:dPt>
          <c:dPt>
            <c:idx val="3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A3-497F-88C6-0FE8A1A78D91}"/>
              </c:ext>
            </c:extLst>
          </c:dPt>
          <c:dPt>
            <c:idx val="4"/>
            <c:bubble3D val="0"/>
            <c:spPr>
              <a:pattFill prst="ltVert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A3-497F-88C6-0FE8A1A78D91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100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'Responsible person'!$E$2:$E$6</c:f>
              <c:strCache>
                <c:ptCount val="5"/>
                <c:pt idx="0">
                  <c:v>Spouse/children</c:v>
                </c:pt>
                <c:pt idx="1">
                  <c:v>Friends</c:v>
                </c:pt>
                <c:pt idx="2">
                  <c:v>Employers/Neighbors</c:v>
                </c:pt>
                <c:pt idx="3">
                  <c:v>Himself/Herself</c:v>
                </c:pt>
                <c:pt idx="4">
                  <c:v>Near Relatives</c:v>
                </c:pt>
              </c:strCache>
            </c:strRef>
          </c:cat>
          <c:val>
            <c:numRef>
              <c:f>'Responsible person'!$F$2:$F$6</c:f>
              <c:numCache>
                <c:formatCode>0.00</c:formatCode>
                <c:ptCount val="5"/>
                <c:pt idx="0">
                  <c:v>23.595505617977526</c:v>
                </c:pt>
                <c:pt idx="1">
                  <c:v>16.853932584269664</c:v>
                </c:pt>
                <c:pt idx="2">
                  <c:v>14.606741573033707</c:v>
                </c:pt>
                <c:pt idx="3">
                  <c:v>16.853932584269664</c:v>
                </c:pt>
                <c:pt idx="4">
                  <c:v>28.08988764044944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3-497F-88C6-0FE8A1A78D9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12700">
              <a:solidFill>
                <a:schemeClr val="tx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Satisfaction!$B$10:$B$12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Satisfaction!$C$10:$C$12</c:f>
              <c:numCache>
                <c:formatCode>0.0%</c:formatCode>
                <c:ptCount val="3"/>
                <c:pt idx="0">
                  <c:v>0.88764044943820219</c:v>
                </c:pt>
                <c:pt idx="1">
                  <c:v>8.98876404494382E-2</c:v>
                </c:pt>
                <c:pt idx="2">
                  <c:v>2.247191011235955E-2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'Problems facing in destination'!$E$2:$E$6</c:f>
              <c:strCache>
                <c:ptCount val="5"/>
                <c:pt idx="0">
                  <c:v>Inadequate Development Funding</c:v>
                </c:pt>
                <c:pt idx="1">
                  <c:v>Inadequate Drinking water supply</c:v>
                </c:pt>
                <c:pt idx="2">
                  <c:v>Lack of employment opportunity</c:v>
                </c:pt>
                <c:pt idx="3">
                  <c:v>Insufficient health facilities</c:v>
                </c:pt>
                <c:pt idx="4">
                  <c:v> Bad social environment</c:v>
                </c:pt>
              </c:strCache>
            </c:strRef>
          </c:cat>
          <c:val>
            <c:numRef>
              <c:f>'Problems facing in destination'!$F$2:$F$6</c:f>
              <c:numCache>
                <c:formatCode>0.0</c:formatCode>
                <c:ptCount val="5"/>
                <c:pt idx="0">
                  <c:v>39.325842696629216</c:v>
                </c:pt>
                <c:pt idx="1">
                  <c:v>7.8651685393258424</c:v>
                </c:pt>
                <c:pt idx="2">
                  <c:v>15.730337078651685</c:v>
                </c:pt>
                <c:pt idx="3">
                  <c:v>19.101123595505616</c:v>
                </c:pt>
                <c:pt idx="4">
                  <c:v>17.977528089887642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D-4DE0-8CF0-02A58A6777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02641824"/>
        <c:axId val="1439378192"/>
      </c:barChart>
      <c:catAx>
        <c:axId val="1602641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Problems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alpha val="9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378192"/>
        <c:crosses val="autoZero"/>
        <c:auto val="1"/>
        <c:lblAlgn val="ctr"/>
        <c:lblOffset val="100"/>
        <c:noMultiLvlLbl val="0"/>
      </c:catAx>
      <c:valAx>
        <c:axId val="143937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64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Yes</c:v>
          </c:tx>
          <c:spPr>
            <a:pattFill prst="pct10">
              <a:fgClr>
                <a:sysClr val="windowText" lastClr="000000">
                  <a:lumMod val="65000"/>
                  <a:lumOff val="35000"/>
                </a:sysClr>
              </a:fgClr>
              <a:bgClr>
                <a:schemeClr val="bg1"/>
              </a:bgClr>
            </a:patt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'Changed Aspects'!$A$8:$A$11</c:f>
              <c:strCache>
                <c:ptCount val="4"/>
                <c:pt idx="0">
                  <c:v>Culture</c:v>
                </c:pt>
                <c:pt idx="1">
                  <c:v>Occupation</c:v>
                </c:pt>
                <c:pt idx="2">
                  <c:v>Food Habit</c:v>
                </c:pt>
                <c:pt idx="3">
                  <c:v>Better Education</c:v>
                </c:pt>
              </c:strCache>
            </c:strRef>
          </c:cat>
          <c:val>
            <c:numRef>
              <c:f>'Changed Aspects'!$B$8:$B$11</c:f>
              <c:numCache>
                <c:formatCode>0.0</c:formatCode>
                <c:ptCount val="4"/>
                <c:pt idx="0">
                  <c:v>16.853932584269664</c:v>
                </c:pt>
                <c:pt idx="1">
                  <c:v>13.48314606741573</c:v>
                </c:pt>
                <c:pt idx="2">
                  <c:v>8.9887640449438209</c:v>
                </c:pt>
                <c:pt idx="3">
                  <c:v>79.775280898876403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F-45A3-8554-36D85F03E4E0}"/>
            </c:ext>
          </c:extLst>
        </c:ser>
        <c:ser>
          <c:idx val="1"/>
          <c:order val="1"/>
          <c:tx>
            <c:v>No</c:v>
          </c:tx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'Changed Aspects'!$A$8:$A$11</c:f>
              <c:strCache>
                <c:ptCount val="4"/>
                <c:pt idx="0">
                  <c:v>Culture</c:v>
                </c:pt>
                <c:pt idx="1">
                  <c:v>Occupation</c:v>
                </c:pt>
                <c:pt idx="2">
                  <c:v>Food Habit</c:v>
                </c:pt>
                <c:pt idx="3">
                  <c:v>Better Education</c:v>
                </c:pt>
              </c:strCache>
            </c:strRef>
          </c:cat>
          <c:val>
            <c:numRef>
              <c:f>'Changed Aspects'!$C$8:$C$11</c:f>
              <c:numCache>
                <c:formatCode>0.0</c:formatCode>
                <c:ptCount val="4"/>
                <c:pt idx="0">
                  <c:v>83.146067415730343</c:v>
                </c:pt>
                <c:pt idx="1">
                  <c:v>86.516853932584269</c:v>
                </c:pt>
                <c:pt idx="2">
                  <c:v>91.011235955056179</c:v>
                </c:pt>
                <c:pt idx="3">
                  <c:v>20.224719101123593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F-45A3-8554-36D85F03E4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9444287"/>
        <c:axId val="195729007"/>
      </c:barChart>
      <c:catAx>
        <c:axId val="12944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Changed Aspects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9007"/>
        <c:crosses val="autoZero"/>
        <c:auto val="1"/>
        <c:lblAlgn val="ctr"/>
        <c:lblOffset val="100"/>
        <c:noMultiLvlLbl val="0"/>
      </c:catAx>
      <c:valAx>
        <c:axId val="19572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4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income comparison'!$B$12</c:f>
              <c:strCache>
                <c:ptCount val="1"/>
                <c:pt idx="0">
                  <c:v>Place of Origin</c:v>
                </c:pt>
              </c:strCache>
            </c:strRef>
          </c:tx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'Monthly income comparison'!$A$13:$A$18</c:f>
              <c:strCache>
                <c:ptCount val="6"/>
                <c:pt idx="0">
                  <c:v>Below 10000</c:v>
                </c:pt>
                <c:pt idx="1">
                  <c:v>10000-19999</c:v>
                </c:pt>
                <c:pt idx="2">
                  <c:v>20000-29999</c:v>
                </c:pt>
                <c:pt idx="3">
                  <c:v>30000-39999</c:v>
                </c:pt>
                <c:pt idx="4">
                  <c:v>40000-49999</c:v>
                </c:pt>
                <c:pt idx="5">
                  <c:v>50000 and above</c:v>
                </c:pt>
              </c:strCache>
            </c:strRef>
          </c:cat>
          <c:val>
            <c:numRef>
              <c:f>'Monthly income comparison'!$B$13:$B$18</c:f>
              <c:numCache>
                <c:formatCode>0.0</c:formatCode>
                <c:ptCount val="6"/>
                <c:pt idx="0">
                  <c:v>6.7415730337078648</c:v>
                </c:pt>
                <c:pt idx="1">
                  <c:v>28.08988764044944</c:v>
                </c:pt>
                <c:pt idx="2">
                  <c:v>33.707865168539328</c:v>
                </c:pt>
                <c:pt idx="3">
                  <c:v>21.348314606741571</c:v>
                </c:pt>
                <c:pt idx="4">
                  <c:v>7.8651685393258424</c:v>
                </c:pt>
                <c:pt idx="5">
                  <c:v>2.2471910112359552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88-4A5B-AE34-E3BFC6696451}"/>
            </c:ext>
          </c:extLst>
        </c:ser>
        <c:ser>
          <c:idx val="1"/>
          <c:order val="1"/>
          <c:tx>
            <c:strRef>
              <c:f>'Monthly income comparison'!$C$12</c:f>
              <c:strCache>
                <c:ptCount val="1"/>
                <c:pt idx="0">
                  <c:v>Place of Destination</c:v>
                </c:pt>
              </c:strCache>
            </c:strRef>
          </c:tx>
          <c:spPr>
            <a:pattFill prst="pct20">
              <a:fgClr>
                <a:schemeClr val="tx1"/>
              </a:fgClr>
              <a:bgClr>
                <a:schemeClr val="bg1"/>
              </a:bgClr>
            </a:patt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'Monthly income comparison'!$A$13:$A$18</c:f>
              <c:strCache>
                <c:ptCount val="6"/>
                <c:pt idx="0">
                  <c:v>Below 10000</c:v>
                </c:pt>
                <c:pt idx="1">
                  <c:v>10000-19999</c:v>
                </c:pt>
                <c:pt idx="2">
                  <c:v>20000-29999</c:v>
                </c:pt>
                <c:pt idx="3">
                  <c:v>30000-39999</c:v>
                </c:pt>
                <c:pt idx="4">
                  <c:v>40000-49999</c:v>
                </c:pt>
                <c:pt idx="5">
                  <c:v>50000 and above</c:v>
                </c:pt>
              </c:strCache>
            </c:strRef>
          </c:cat>
          <c:val>
            <c:numRef>
              <c:f>'Monthly income comparison'!$C$13:$C$18</c:f>
              <c:numCache>
                <c:formatCode>0.0</c:formatCode>
                <c:ptCount val="6"/>
                <c:pt idx="0">
                  <c:v>1.1235955056179776</c:v>
                </c:pt>
                <c:pt idx="1">
                  <c:v>11.235955056179774</c:v>
                </c:pt>
                <c:pt idx="2">
                  <c:v>37.078651685393261</c:v>
                </c:pt>
                <c:pt idx="3">
                  <c:v>28.08988764044944</c:v>
                </c:pt>
                <c:pt idx="4">
                  <c:v>16.853932584269664</c:v>
                </c:pt>
                <c:pt idx="5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88-4A5B-AE34-E3BFC66964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14138031"/>
        <c:axId val="195721807"/>
      </c:barChart>
      <c:catAx>
        <c:axId val="414138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Monthly Income (Rs.)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1807"/>
        <c:crosses val="autoZero"/>
        <c:auto val="1"/>
        <c:lblAlgn val="ctr"/>
        <c:lblOffset val="100"/>
        <c:noMultiLvlLbl val="0"/>
      </c:catAx>
      <c:valAx>
        <c:axId val="1957218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1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'Occupation origin &amp; Destination'!$B$12</c:f>
              <c:strCache>
                <c:ptCount val="1"/>
                <c:pt idx="0">
                  <c:v>Origin Place (%)</c:v>
                </c:pt>
              </c:strCache>
            </c:strRef>
          </c:tx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'Occupation origin &amp; Destination'!$A$13:$A$20</c:f>
              <c:strCache>
                <c:ptCount val="8"/>
                <c:pt idx="0">
                  <c:v>Agriculture</c:v>
                </c:pt>
                <c:pt idx="1">
                  <c:v>Business</c:v>
                </c:pt>
                <c:pt idx="2">
                  <c:v>Other</c:v>
                </c:pt>
                <c:pt idx="3">
                  <c:v>Foreign Employment</c:v>
                </c:pt>
                <c:pt idx="4">
                  <c:v>Private job</c:v>
                </c:pt>
                <c:pt idx="5">
                  <c:v>Government job</c:v>
                </c:pt>
                <c:pt idx="6">
                  <c:v>Study/Training</c:v>
                </c:pt>
                <c:pt idx="7">
                  <c:v>Not stated</c:v>
                </c:pt>
              </c:strCache>
            </c:strRef>
          </c:cat>
          <c:val>
            <c:numRef>
              <c:f>'Occupation origin &amp; Destination'!$B$13:$B$20</c:f>
              <c:numCache>
                <c:formatCode>0.0</c:formatCode>
                <c:ptCount val="8"/>
                <c:pt idx="0">
                  <c:v>39.325842696629216</c:v>
                </c:pt>
                <c:pt idx="1">
                  <c:v>23.595505617977526</c:v>
                </c:pt>
                <c:pt idx="2">
                  <c:v>7.8651685393258424</c:v>
                </c:pt>
                <c:pt idx="3">
                  <c:v>4.4943820224719104</c:v>
                </c:pt>
                <c:pt idx="4">
                  <c:v>17.977528089887642</c:v>
                </c:pt>
                <c:pt idx="5">
                  <c:v>4.4943820224719104</c:v>
                </c:pt>
                <c:pt idx="6">
                  <c:v>1.1235955056179776</c:v>
                </c:pt>
                <c:pt idx="7">
                  <c:v>1.1235955056179776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4-41D5-A4D0-8F2F8CDCB00E}"/>
            </c:ext>
          </c:extLst>
        </c:ser>
        <c:ser>
          <c:idx val="1"/>
          <c:order val="1"/>
          <c:tx>
            <c:strRef>
              <c:f>'Occupation origin &amp; Destination'!$C$12</c:f>
              <c:strCache>
                <c:ptCount val="1"/>
                <c:pt idx="0">
                  <c:v>Destination Place (%)</c:v>
                </c:pt>
              </c:strCache>
            </c:strRef>
          </c:tx>
          <c:spPr>
            <a:pattFill prst="pct20">
              <a:fgClr>
                <a:sysClr val="windowText" lastClr="000000"/>
              </a:fgClr>
              <a:bgClr>
                <a:schemeClr val="bg1"/>
              </a:bgClr>
            </a:patt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'Occupation origin &amp; Destination'!$A$13:$A$20</c:f>
              <c:strCache>
                <c:ptCount val="8"/>
                <c:pt idx="0">
                  <c:v>Agriculture</c:v>
                </c:pt>
                <c:pt idx="1">
                  <c:v>Business</c:v>
                </c:pt>
                <c:pt idx="2">
                  <c:v>Other</c:v>
                </c:pt>
                <c:pt idx="3">
                  <c:v>Foreign Employment</c:v>
                </c:pt>
                <c:pt idx="4">
                  <c:v>Private job</c:v>
                </c:pt>
                <c:pt idx="5">
                  <c:v>Government job</c:v>
                </c:pt>
                <c:pt idx="6">
                  <c:v>Study/Training</c:v>
                </c:pt>
                <c:pt idx="7">
                  <c:v>Not stated</c:v>
                </c:pt>
              </c:strCache>
            </c:strRef>
          </c:cat>
          <c:val>
            <c:numRef>
              <c:f>'Occupation origin &amp; Destination'!$C$13:$C$20</c:f>
              <c:numCache>
                <c:formatCode>0.0</c:formatCode>
                <c:ptCount val="8"/>
                <c:pt idx="0">
                  <c:v>35.955056179775283</c:v>
                </c:pt>
                <c:pt idx="1">
                  <c:v>21.348314606741571</c:v>
                </c:pt>
                <c:pt idx="2">
                  <c:v>10.112359550561797</c:v>
                </c:pt>
                <c:pt idx="3">
                  <c:v>4.4943820224719104</c:v>
                </c:pt>
                <c:pt idx="4">
                  <c:v>19.101123595505616</c:v>
                </c:pt>
                <c:pt idx="5">
                  <c:v>4.4943820224719104</c:v>
                </c:pt>
                <c:pt idx="6">
                  <c:v>3.3707865168539324</c:v>
                </c:pt>
                <c:pt idx="7">
                  <c:v>1.1235955056179776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B4-41D5-A4D0-8F2F8CDCB0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14047551"/>
        <c:axId val="195767407"/>
      </c:barChart>
      <c:catAx>
        <c:axId val="414047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Occupation</a:t>
                </a:r>
              </a:p>
            </c:rich>
          </c:tx>
          <c:layout>
            <c:manualLayout>
              <c:xMode val="edge"/>
              <c:yMode val="edge"/>
              <c:x val="0.49228088097233563"/>
              <c:y val="0.848215445927986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67407"/>
        <c:crosses val="autoZero"/>
        <c:auto val="1"/>
        <c:lblAlgn val="ctr"/>
        <c:lblOffset val="100"/>
        <c:noMultiLvlLbl val="0"/>
      </c:catAx>
      <c:valAx>
        <c:axId val="1957674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04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64770</xdr:colOff>
      <xdr:row>5</xdr:row>
      <xdr:rowOff>26670</xdr:rowOff>
    </xdr:from>
    <xdr:to>
      <xdr:col>15</xdr:col>
      <xdr:colOff>240030</xdr:colOff>
      <xdr:row>22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214312</xdr:colOff>
      <xdr:row>5</xdr:row>
      <xdr:rowOff>52387</xdr:rowOff>
    </xdr:from>
    <xdr:to>
      <xdr:col>5</xdr:col>
      <xdr:colOff>366712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8</xdr:row>
      <xdr:rowOff>19050</xdr:rowOff>
    </xdr:from>
    <xdr:to>
      <xdr:col>8</xdr:col>
      <xdr:colOff>200026</xdr:colOff>
      <xdr:row>26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10</xdr:row>
      <xdr:rowOff>60960</xdr:rowOff>
    </xdr:from>
    <xdr:to>
      <xdr:col>10</xdr:col>
      <xdr:colOff>99060</xdr:colOff>
      <xdr:row>29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793400-371C-D104-249D-A0000A5DB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426720</xdr:colOff>
      <xdr:row>8</xdr:row>
      <xdr:rowOff>133350</xdr:rowOff>
    </xdr:from>
    <xdr:to>
      <xdr:col>7</xdr:col>
      <xdr:colOff>472440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FEF239-81DD-10B3-DE30-F9B5AC448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6</xdr:row>
      <xdr:rowOff>23812</xdr:rowOff>
    </xdr:from>
    <xdr:to>
      <xdr:col>10</xdr:col>
      <xdr:colOff>314325</xdr:colOff>
      <xdr:row>20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577A23-4B02-6F37-39FC-3FD6E2FA4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9</xdr:row>
      <xdr:rowOff>52387</xdr:rowOff>
    </xdr:from>
    <xdr:to>
      <xdr:col>8</xdr:col>
      <xdr:colOff>377190</xdr:colOff>
      <xdr:row>30</xdr:row>
      <xdr:rowOff>111823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6CBC2-B960-6954-A6BB-87A1C375E7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0</xdr:row>
      <xdr:rowOff>185737</xdr:rowOff>
    </xdr:from>
    <xdr:to>
      <xdr:col>11</xdr:col>
      <xdr:colOff>590550</xdr:colOff>
      <xdr:row>15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DB64DD-0F49-973E-42DB-EEA809D48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11</xdr:row>
      <xdr:rowOff>4762</xdr:rowOff>
    </xdr:from>
    <xdr:to>
      <xdr:col>11</xdr:col>
      <xdr:colOff>576262</xdr:colOff>
      <xdr:row>25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CDB795-FE69-DF49-7CA3-536D11FFEB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138111</xdr:colOff>
      <xdr:row>20</xdr:row>
      <xdr:rowOff>66675</xdr:rowOff>
    </xdr:from>
    <xdr:to>
      <xdr:col>11</xdr:col>
      <xdr:colOff>590550</xdr:colOff>
      <xdr:row>39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C5CF7C-1D87-9726-ED92-51B22F0E8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opLeftCell="A7"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15.75" thickBot="1" x14ac:dyDescent="0.3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24" t="s">
        <v>13</v>
      </c>
      <c r="B1" s="24"/>
      <c r="C1" s="24"/>
      <c r="D1" s="24"/>
      <c r="E1" s="24"/>
      <c r="F1" s="24"/>
      <c r="G1" s="24"/>
      <c r="H1" s="1"/>
      <c r="I1" s="1"/>
      <c r="J1" s="1"/>
      <c r="K1" s="1"/>
      <c r="L1" s="1"/>
    </row>
    <row r="2" spans="1:12" ht="15.75" thickBot="1" x14ac:dyDescent="0.3">
      <c r="A2" s="25" t="s">
        <v>14</v>
      </c>
      <c r="B2" s="25"/>
      <c r="C2" s="25"/>
      <c r="D2" s="25"/>
      <c r="E2" s="25"/>
      <c r="F2" s="25"/>
      <c r="G2" s="25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B10" sqref="B10"/>
    </sheetView>
  </sheetViews>
  <sheetFormatPr defaultRowHeight="15" x14ac:dyDescent="0.25"/>
  <cols>
    <col min="2" max="2" width="11.42578125" bestFit="1" customWidth="1"/>
  </cols>
  <sheetData>
    <row r="1" spans="1:2" x14ac:dyDescent="0.25">
      <c r="A1" s="8" t="s">
        <v>25</v>
      </c>
      <c r="B1" s="8" t="s">
        <v>26</v>
      </c>
    </row>
    <row r="2" spans="1:2" x14ac:dyDescent="0.25">
      <c r="A2" s="9">
        <v>2083</v>
      </c>
      <c r="B2" s="9">
        <v>3</v>
      </c>
    </row>
    <row r="3" spans="1:2" x14ac:dyDescent="0.25">
      <c r="A3" s="9">
        <v>2082</v>
      </c>
      <c r="B3" s="9">
        <v>16</v>
      </c>
    </row>
    <row r="4" spans="1:2" x14ac:dyDescent="0.25">
      <c r="A4" s="9">
        <v>2081</v>
      </c>
      <c r="B4" s="9">
        <v>11</v>
      </c>
    </row>
    <row r="5" spans="1:2" x14ac:dyDescent="0.25">
      <c r="A5" s="9">
        <v>2080</v>
      </c>
      <c r="B5" s="9">
        <v>9</v>
      </c>
    </row>
    <row r="6" spans="1:2" x14ac:dyDescent="0.25">
      <c r="A6" s="9">
        <v>2079</v>
      </c>
      <c r="B6" s="9">
        <v>14</v>
      </c>
    </row>
    <row r="7" spans="1:2" x14ac:dyDescent="0.25">
      <c r="A7" s="9">
        <v>2078</v>
      </c>
      <c r="B7" s="9">
        <v>12</v>
      </c>
    </row>
    <row r="8" spans="1:2" x14ac:dyDescent="0.25">
      <c r="A8" s="9">
        <v>2077</v>
      </c>
      <c r="B8" s="9">
        <v>2</v>
      </c>
    </row>
    <row r="9" spans="1:2" x14ac:dyDescent="0.25">
      <c r="A9" s="9">
        <v>2076</v>
      </c>
      <c r="B9" s="9">
        <v>8</v>
      </c>
    </row>
    <row r="10" spans="1:2" x14ac:dyDescent="0.25">
      <c r="A10" s="9">
        <v>2075</v>
      </c>
      <c r="B10" s="9">
        <v>5</v>
      </c>
    </row>
    <row r="11" spans="1:2" x14ac:dyDescent="0.25">
      <c r="A11" s="9">
        <v>2074</v>
      </c>
      <c r="B11" s="9">
        <v>9</v>
      </c>
    </row>
    <row r="12" spans="1:2" x14ac:dyDescent="0.25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zoomScaleNormal="100" workbookViewId="0">
      <selection activeCell="C3" sqref="C3"/>
    </sheetView>
  </sheetViews>
  <sheetFormatPr defaultRowHeight="15" x14ac:dyDescent="0.25"/>
  <sheetData>
    <row r="1" spans="1:11" x14ac:dyDescent="0.25">
      <c r="A1" s="27" t="s">
        <v>33</v>
      </c>
      <c r="B1" s="26" t="s">
        <v>34</v>
      </c>
      <c r="C1" s="26"/>
      <c r="D1" s="26"/>
      <c r="E1" s="26"/>
      <c r="F1" s="27" t="s">
        <v>12</v>
      </c>
      <c r="G1" s="27"/>
    </row>
    <row r="2" spans="1:11" x14ac:dyDescent="0.25">
      <c r="A2" s="27"/>
      <c r="B2" s="26" t="s">
        <v>36</v>
      </c>
      <c r="C2" s="26"/>
      <c r="D2" s="26" t="s">
        <v>35</v>
      </c>
      <c r="E2" s="26"/>
      <c r="F2" s="27"/>
      <c r="G2" s="27"/>
    </row>
    <row r="3" spans="1:11" x14ac:dyDescent="0.25">
      <c r="A3" s="27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25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25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25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13" sqref="F13"/>
    </sheetView>
  </sheetViews>
  <sheetFormatPr defaultRowHeight="15" x14ac:dyDescent="0.25"/>
  <cols>
    <col min="2" max="2" width="17.42578125" bestFit="1" customWidth="1"/>
    <col min="3" max="3" width="14.5703125" bestFit="1" customWidth="1"/>
  </cols>
  <sheetData>
    <row r="1" spans="1:7" x14ac:dyDescent="0.25">
      <c r="A1" s="8" t="s">
        <v>27</v>
      </c>
      <c r="B1" s="8" t="s">
        <v>28</v>
      </c>
      <c r="C1" s="8" t="s">
        <v>48</v>
      </c>
    </row>
    <row r="2" spans="1:7" x14ac:dyDescent="0.25">
      <c r="A2" s="9" t="s">
        <v>30</v>
      </c>
      <c r="B2" s="9">
        <v>28</v>
      </c>
      <c r="C2" s="11">
        <f>B2/B6*100</f>
        <v>31.460674157303369</v>
      </c>
      <c r="F2" s="9" t="s">
        <v>30</v>
      </c>
      <c r="G2" s="11">
        <f>C2</f>
        <v>31.460674157303369</v>
      </c>
    </row>
    <row r="3" spans="1:7" x14ac:dyDescent="0.25">
      <c r="A3" s="9" t="s">
        <v>31</v>
      </c>
      <c r="B3" s="9">
        <v>32</v>
      </c>
      <c r="C3" s="11">
        <f>B3/B6*100</f>
        <v>35.955056179775283</v>
      </c>
      <c r="F3" s="9" t="s">
        <v>31</v>
      </c>
      <c r="G3" s="11">
        <f t="shared" ref="G3:G5" si="0">C3</f>
        <v>35.955056179775283</v>
      </c>
    </row>
    <row r="4" spans="1:7" x14ac:dyDescent="0.25">
      <c r="A4" s="9" t="s">
        <v>40</v>
      </c>
      <c r="B4" s="9">
        <v>23</v>
      </c>
      <c r="C4" s="11">
        <f>B4/B6*100</f>
        <v>25.842696629213485</v>
      </c>
      <c r="F4" s="9" t="s">
        <v>40</v>
      </c>
      <c r="G4" s="11">
        <f t="shared" si="0"/>
        <v>25.842696629213485</v>
      </c>
    </row>
    <row r="5" spans="1:7" x14ac:dyDescent="0.25">
      <c r="A5" s="9" t="s">
        <v>41</v>
      </c>
      <c r="B5" s="9">
        <v>6</v>
      </c>
      <c r="C5" s="11">
        <f>B5/B6*100</f>
        <v>6.7415730337078648</v>
      </c>
      <c r="F5" s="9" t="s">
        <v>41</v>
      </c>
      <c r="G5" s="11">
        <f t="shared" si="0"/>
        <v>6.7415730337078648</v>
      </c>
    </row>
    <row r="6" spans="1:7" x14ac:dyDescent="0.25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dimension ref="A1:G6"/>
  <sheetViews>
    <sheetView workbookViewId="0">
      <selection activeCell="E15" sqref="E15"/>
    </sheetView>
  </sheetViews>
  <sheetFormatPr defaultRowHeight="15" x14ac:dyDescent="0.25"/>
  <cols>
    <col min="2" max="2" width="16.42578125" bestFit="1" customWidth="1"/>
    <col min="3" max="3" width="7.42578125" bestFit="1" customWidth="1"/>
  </cols>
  <sheetData>
    <row r="1" spans="1:7" x14ac:dyDescent="0.25">
      <c r="A1" s="8" t="s">
        <v>42</v>
      </c>
      <c r="B1" s="8" t="s">
        <v>28</v>
      </c>
      <c r="C1" s="8" t="s">
        <v>29</v>
      </c>
    </row>
    <row r="2" spans="1:7" x14ac:dyDescent="0.25">
      <c r="A2" s="9" t="s">
        <v>43</v>
      </c>
      <c r="B2" s="9">
        <v>60</v>
      </c>
      <c r="C2" s="11">
        <f>B2/B6*100</f>
        <v>67.415730337078656</v>
      </c>
      <c r="F2" s="9" t="s">
        <v>43</v>
      </c>
      <c r="G2" s="11">
        <f>C2</f>
        <v>67.415730337078656</v>
      </c>
    </row>
    <row r="3" spans="1:7" x14ac:dyDescent="0.25">
      <c r="A3" s="9" t="s">
        <v>44</v>
      </c>
      <c r="B3" s="9">
        <v>23</v>
      </c>
      <c r="C3" s="11">
        <f>B3/B6*100</f>
        <v>25.842696629213485</v>
      </c>
      <c r="F3" s="9" t="s">
        <v>44</v>
      </c>
      <c r="G3" s="11">
        <f>C3</f>
        <v>25.842696629213485</v>
      </c>
    </row>
    <row r="4" spans="1:7" x14ac:dyDescent="0.25">
      <c r="A4" s="9" t="s">
        <v>45</v>
      </c>
      <c r="B4" s="9">
        <v>0</v>
      </c>
      <c r="C4" s="11">
        <f>B4/B6*100</f>
        <v>0</v>
      </c>
      <c r="F4" s="9" t="s">
        <v>45</v>
      </c>
      <c r="G4" s="11">
        <f>C4</f>
        <v>0</v>
      </c>
    </row>
    <row r="5" spans="1:7" x14ac:dyDescent="0.25">
      <c r="A5" s="9" t="s">
        <v>46</v>
      </c>
      <c r="B5" s="9">
        <v>6</v>
      </c>
      <c r="C5" s="11">
        <f>B5/B6*100</f>
        <v>6.7415730337078648</v>
      </c>
      <c r="F5" s="9" t="s">
        <v>46</v>
      </c>
      <c r="G5" s="11">
        <f>C5</f>
        <v>6.7415730337078648</v>
      </c>
    </row>
    <row r="6" spans="1:7" x14ac:dyDescent="0.25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dimension ref="A1:C7"/>
  <sheetViews>
    <sheetView workbookViewId="0">
      <selection activeCell="B6" sqref="B6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3" width="13.28515625" bestFit="1" customWidth="1"/>
  </cols>
  <sheetData>
    <row r="1" spans="1:3" x14ac:dyDescent="0.25">
      <c r="A1" s="9" t="s">
        <v>47</v>
      </c>
      <c r="B1" s="9" t="s">
        <v>3</v>
      </c>
      <c r="C1" s="9" t="s">
        <v>48</v>
      </c>
    </row>
    <row r="2" spans="1:3" x14ac:dyDescent="0.25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25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25">
      <c r="A4" s="9" t="s">
        <v>51</v>
      </c>
      <c r="B4" s="9">
        <v>0</v>
      </c>
      <c r="C4" s="11">
        <f t="shared" si="0"/>
        <v>0</v>
      </c>
    </row>
    <row r="5" spans="1:3" x14ac:dyDescent="0.25">
      <c r="A5" s="9" t="s">
        <v>52</v>
      </c>
      <c r="B5" s="9">
        <v>0</v>
      </c>
      <c r="C5" s="11">
        <f t="shared" si="0"/>
        <v>0</v>
      </c>
    </row>
    <row r="6" spans="1:3" x14ac:dyDescent="0.25">
      <c r="A6" s="9" t="s">
        <v>32</v>
      </c>
      <c r="B6" s="9">
        <v>11</v>
      </c>
      <c r="C6" s="11">
        <f t="shared" si="0"/>
        <v>12.359550561797752</v>
      </c>
    </row>
    <row r="7" spans="1:3" x14ac:dyDescent="0.25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D12" sqref="D12"/>
    </sheetView>
  </sheetViews>
  <sheetFormatPr defaultRowHeight="15" x14ac:dyDescent="0.25"/>
  <cols>
    <col min="1" max="1" width="15.85546875" bestFit="1" customWidth="1"/>
    <col min="2" max="2" width="17.5703125" bestFit="1" customWidth="1"/>
    <col min="3" max="3" width="14.5703125" bestFit="1" customWidth="1"/>
  </cols>
  <sheetData>
    <row r="1" spans="1:7" x14ac:dyDescent="0.25">
      <c r="A1" s="9" t="s">
        <v>53</v>
      </c>
      <c r="B1" s="9" t="s">
        <v>3</v>
      </c>
      <c r="C1" s="9" t="s">
        <v>48</v>
      </c>
    </row>
    <row r="2" spans="1:7" x14ac:dyDescent="0.25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25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25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25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D15" sqref="D15"/>
    </sheetView>
  </sheetViews>
  <sheetFormatPr defaultRowHeight="15" x14ac:dyDescent="0.25"/>
  <cols>
    <col min="2" max="2" width="6.5703125" bestFit="1" customWidth="1"/>
    <col min="3" max="3" width="14.5703125" bestFit="1" customWidth="1"/>
    <col min="4" max="4" width="7.5703125" bestFit="1" customWidth="1"/>
    <col min="5" max="5" width="14.5703125" bestFit="1" customWidth="1"/>
    <col min="6" max="6" width="6.5703125" bestFit="1" customWidth="1"/>
    <col min="7" max="7" width="14.5703125" bestFit="1" customWidth="1"/>
  </cols>
  <sheetData>
    <row r="1" spans="1:9" x14ac:dyDescent="0.25">
      <c r="A1" s="27" t="s">
        <v>72</v>
      </c>
      <c r="B1" s="28" t="s">
        <v>71</v>
      </c>
      <c r="C1" s="28"/>
      <c r="D1" s="28"/>
      <c r="E1" s="28"/>
      <c r="F1" s="26" t="s">
        <v>12</v>
      </c>
      <c r="G1" s="26" t="s">
        <v>48</v>
      </c>
    </row>
    <row r="2" spans="1:9" x14ac:dyDescent="0.25">
      <c r="A2" s="27"/>
      <c r="B2" s="9" t="s">
        <v>36</v>
      </c>
      <c r="C2" s="9" t="s">
        <v>48</v>
      </c>
      <c r="D2" s="9" t="s">
        <v>35</v>
      </c>
      <c r="E2" s="9" t="s">
        <v>48</v>
      </c>
      <c r="F2" s="26"/>
      <c r="G2" s="26"/>
    </row>
    <row r="3" spans="1:9" x14ac:dyDescent="0.25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25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25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25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25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25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25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25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25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25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25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25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25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25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25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A7" workbookViewId="0">
      <selection activeCell="K28" sqref="K28"/>
    </sheetView>
  </sheetViews>
  <sheetFormatPr defaultRowHeight="15" x14ac:dyDescent="0.25"/>
  <cols>
    <col min="1" max="1" width="12.28515625" bestFit="1" customWidth="1"/>
    <col min="2" max="2" width="4.140625" bestFit="1" customWidth="1"/>
    <col min="3" max="3" width="14.5703125" bestFit="1" customWidth="1"/>
    <col min="4" max="4" width="4.140625" bestFit="1" customWidth="1"/>
    <col min="5" max="5" width="14.5703125" bestFit="1" customWidth="1"/>
    <col min="6" max="6" width="4.140625" bestFit="1" customWidth="1"/>
    <col min="7" max="7" width="14.5703125" bestFit="1" customWidth="1"/>
    <col min="10" max="10" width="10.42578125" bestFit="1" customWidth="1"/>
    <col min="11" max="11" width="5.7109375" customWidth="1"/>
    <col min="13" max="13" width="10.42578125" bestFit="1" customWidth="1"/>
    <col min="14" max="14" width="5.85546875" bestFit="1" customWidth="1"/>
    <col min="15" max="15" width="7.5703125" bestFit="1" customWidth="1"/>
  </cols>
  <sheetData>
    <row r="1" spans="1:15" x14ac:dyDescent="0.25">
      <c r="A1" s="27" t="s">
        <v>73</v>
      </c>
      <c r="B1" s="28" t="s">
        <v>34</v>
      </c>
      <c r="C1" s="28"/>
      <c r="D1" s="28"/>
      <c r="E1" s="28"/>
      <c r="F1" s="26" t="s">
        <v>12</v>
      </c>
      <c r="G1" s="26"/>
    </row>
    <row r="2" spans="1:15" x14ac:dyDescent="0.25">
      <c r="A2" s="27"/>
      <c r="B2" s="28" t="s">
        <v>36</v>
      </c>
      <c r="C2" s="28"/>
      <c r="D2" s="28" t="s">
        <v>35</v>
      </c>
      <c r="E2" s="28"/>
      <c r="F2" s="26"/>
      <c r="G2" s="26"/>
      <c r="N2" t="s">
        <v>77</v>
      </c>
      <c r="O2" t="s">
        <v>35</v>
      </c>
    </row>
    <row r="3" spans="1:15" x14ac:dyDescent="0.25">
      <c r="A3" s="27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25">
      <c r="A4" s="9" t="s">
        <v>75</v>
      </c>
      <c r="B4" s="9">
        <v>69</v>
      </c>
      <c r="C4" s="11">
        <f>B4/$B$6*100</f>
        <v>41.071428571428569</v>
      </c>
      <c r="D4" s="9"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25">
      <c r="A5" s="9" t="s">
        <v>76</v>
      </c>
      <c r="B5" s="9">
        <v>99</v>
      </c>
      <c r="C5" s="11">
        <f t="shared" ref="C5" si="0">B5/$B$6*100</f>
        <v>58.928571428571431</v>
      </c>
      <c r="D5" s="9"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25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25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topLeftCell="F1" workbookViewId="0">
      <selection activeCell="C7" sqref="C7"/>
    </sheetView>
  </sheetViews>
  <sheetFormatPr defaultRowHeight="15" x14ac:dyDescent="0.25"/>
  <cols>
    <col min="1" max="1" width="9.7109375" bestFit="1" customWidth="1"/>
    <col min="2" max="2" width="15.42578125" bestFit="1" customWidth="1"/>
    <col min="3" max="3" width="14.5703125" bestFit="1" customWidth="1"/>
  </cols>
  <sheetData>
    <row r="1" spans="1:7" x14ac:dyDescent="0.25">
      <c r="A1" s="9" t="s">
        <v>82</v>
      </c>
      <c r="B1" s="9" t="s">
        <v>78</v>
      </c>
      <c r="C1" s="9" t="s">
        <v>48</v>
      </c>
    </row>
    <row r="2" spans="1:7" x14ac:dyDescent="0.25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25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25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25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workbookViewId="0">
      <selection activeCell="B9" sqref="B9"/>
    </sheetView>
  </sheetViews>
  <sheetFormatPr defaultRowHeight="15" x14ac:dyDescent="0.25"/>
  <cols>
    <col min="1" max="1" width="22.7109375" bestFit="1" customWidth="1"/>
  </cols>
  <sheetData>
    <row r="1" spans="1:9" x14ac:dyDescent="0.25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25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25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25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sheetPr>
    <tabColor rgb="FFC00000"/>
  </sheetPr>
  <dimension ref="A1:C18"/>
  <sheetViews>
    <sheetView workbookViewId="0">
      <selection activeCell="E13" sqref="E13"/>
    </sheetView>
  </sheetViews>
  <sheetFormatPr defaultRowHeight="15" x14ac:dyDescent="0.25"/>
  <cols>
    <col min="1" max="1" width="26.42578125" customWidth="1"/>
    <col min="2" max="2" width="17.5703125" bestFit="1" customWidth="1"/>
    <col min="3" max="3" width="11" bestFit="1" customWidth="1"/>
  </cols>
  <sheetData>
    <row r="1" spans="1:3" x14ac:dyDescent="0.25">
      <c r="A1" s="9" t="s">
        <v>90</v>
      </c>
      <c r="B1" s="9" t="s">
        <v>3</v>
      </c>
      <c r="C1" s="9" t="s">
        <v>91</v>
      </c>
    </row>
    <row r="2" spans="1:3" x14ac:dyDescent="0.25">
      <c r="A2" s="9" t="s">
        <v>92</v>
      </c>
      <c r="B2" s="9"/>
      <c r="C2" s="9"/>
    </row>
    <row r="3" spans="1:3" x14ac:dyDescent="0.25">
      <c r="A3" s="9" t="s">
        <v>93</v>
      </c>
      <c r="B3" s="9"/>
      <c r="C3" s="9"/>
    </row>
    <row r="4" spans="1:3" x14ac:dyDescent="0.25">
      <c r="A4" s="9" t="s">
        <v>94</v>
      </c>
      <c r="B4" s="9"/>
      <c r="C4" s="9"/>
    </row>
    <row r="5" spans="1:3" x14ac:dyDescent="0.25">
      <c r="A5" s="9" t="s">
        <v>32</v>
      </c>
      <c r="B5" s="9"/>
      <c r="C5" s="9"/>
    </row>
    <row r="6" spans="1:3" x14ac:dyDescent="0.25">
      <c r="A6" s="9" t="s">
        <v>12</v>
      </c>
      <c r="B6" s="9"/>
      <c r="C6" s="9"/>
    </row>
    <row r="8" spans="1:3" x14ac:dyDescent="0.25">
      <c r="A8" s="9" t="s">
        <v>98</v>
      </c>
      <c r="B8" s="9"/>
      <c r="C8" s="9"/>
    </row>
    <row r="9" spans="1:3" x14ac:dyDescent="0.25">
      <c r="A9" s="9" t="s">
        <v>99</v>
      </c>
      <c r="B9" s="9"/>
      <c r="C9" s="9"/>
    </row>
    <row r="10" spans="1:3" x14ac:dyDescent="0.25">
      <c r="A10" s="9" t="s">
        <v>100</v>
      </c>
      <c r="B10" s="9"/>
      <c r="C10" s="9"/>
    </row>
    <row r="11" spans="1:3" x14ac:dyDescent="0.25">
      <c r="A11" s="9" t="s">
        <v>101</v>
      </c>
      <c r="B11" s="9"/>
      <c r="C11" s="9"/>
    </row>
    <row r="12" spans="1:3" x14ac:dyDescent="0.25">
      <c r="A12" s="9" t="s">
        <v>102</v>
      </c>
      <c r="B12" s="9"/>
      <c r="C12" s="9"/>
    </row>
    <row r="13" spans="1:3" x14ac:dyDescent="0.25">
      <c r="A13" s="9" t="s">
        <v>103</v>
      </c>
      <c r="B13" s="9"/>
      <c r="C13" s="9"/>
    </row>
    <row r="14" spans="1:3" x14ac:dyDescent="0.25">
      <c r="A14" s="9" t="s">
        <v>104</v>
      </c>
      <c r="B14" s="9"/>
      <c r="C14" s="9"/>
    </row>
    <row r="15" spans="1:3" x14ac:dyDescent="0.25">
      <c r="A15" s="9" t="s">
        <v>105</v>
      </c>
      <c r="B15" s="9"/>
      <c r="C15" s="9"/>
    </row>
    <row r="16" spans="1:3" x14ac:dyDescent="0.25">
      <c r="A16" s="9" t="s">
        <v>106</v>
      </c>
      <c r="B16" s="9"/>
      <c r="C16" s="9"/>
    </row>
    <row r="17" spans="1:3" x14ac:dyDescent="0.25">
      <c r="A17" s="9" t="s">
        <v>107</v>
      </c>
      <c r="B17" s="9"/>
      <c r="C17" s="9"/>
    </row>
    <row r="18" spans="1:3" x14ac:dyDescent="0.25">
      <c r="A18" s="9" t="s">
        <v>108</v>
      </c>
      <c r="B18" s="9"/>
      <c r="C18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2314-3B3B-4824-945E-BC96E76CCF72}">
  <dimension ref="A1:F8"/>
  <sheetViews>
    <sheetView topLeftCell="A13" workbookViewId="0">
      <selection activeCell="K22" sqref="K22"/>
    </sheetView>
  </sheetViews>
  <sheetFormatPr defaultRowHeight="15" x14ac:dyDescent="0.25"/>
  <cols>
    <col min="1" max="1" width="20.28515625" bestFit="1" customWidth="1"/>
    <col min="2" max="2" width="16" bestFit="1" customWidth="1"/>
    <col min="3" max="3" width="13.28515625" bestFit="1" customWidth="1"/>
    <col min="5" max="5" width="20.28515625" bestFit="1" customWidth="1"/>
  </cols>
  <sheetData>
    <row r="1" spans="1:6" x14ac:dyDescent="0.25">
      <c r="A1" s="9" t="s">
        <v>109</v>
      </c>
      <c r="B1" s="9" t="s">
        <v>28</v>
      </c>
      <c r="C1" s="9" t="s">
        <v>48</v>
      </c>
    </row>
    <row r="2" spans="1:6" x14ac:dyDescent="0.25">
      <c r="A2" s="9" t="s">
        <v>111</v>
      </c>
      <c r="B2" s="9">
        <v>18</v>
      </c>
      <c r="C2" s="11">
        <f>B2/$B$8*100</f>
        <v>20.224719101123593</v>
      </c>
      <c r="E2" s="9" t="s">
        <v>111</v>
      </c>
      <c r="F2" s="11">
        <f>C2</f>
        <v>20.224719101123593</v>
      </c>
    </row>
    <row r="3" spans="1:6" x14ac:dyDescent="0.25">
      <c r="A3" s="9" t="s">
        <v>112</v>
      </c>
      <c r="B3" s="9">
        <v>7</v>
      </c>
      <c r="C3" s="11">
        <f t="shared" ref="C3:C8" si="0">B3/$B$8*100</f>
        <v>7.8651685393258424</v>
      </c>
      <c r="E3" s="9" t="s">
        <v>112</v>
      </c>
      <c r="F3" s="11">
        <f t="shared" ref="F3:F7" si="1">C3</f>
        <v>7.8651685393258424</v>
      </c>
    </row>
    <row r="4" spans="1:6" x14ac:dyDescent="0.25">
      <c r="A4" s="9" t="s">
        <v>113</v>
      </c>
      <c r="B4" s="9">
        <v>24</v>
      </c>
      <c r="C4" s="11">
        <f t="shared" si="0"/>
        <v>26.966292134831459</v>
      </c>
      <c r="E4" s="9" t="s">
        <v>113</v>
      </c>
      <c r="F4" s="11">
        <f t="shared" si="1"/>
        <v>26.966292134831459</v>
      </c>
    </row>
    <row r="5" spans="1:6" x14ac:dyDescent="0.25">
      <c r="A5" s="9" t="s">
        <v>114</v>
      </c>
      <c r="B5" s="9">
        <v>31</v>
      </c>
      <c r="C5" s="11">
        <f t="shared" si="0"/>
        <v>34.831460674157306</v>
      </c>
      <c r="E5" s="9" t="s">
        <v>114</v>
      </c>
      <c r="F5" s="11">
        <f t="shared" si="1"/>
        <v>34.831460674157306</v>
      </c>
    </row>
    <row r="6" spans="1:6" x14ac:dyDescent="0.25">
      <c r="A6" s="9" t="s">
        <v>110</v>
      </c>
      <c r="B6" s="9">
        <v>5</v>
      </c>
      <c r="C6" s="11">
        <f t="shared" si="0"/>
        <v>5.6179775280898872</v>
      </c>
      <c r="E6" s="9" t="s">
        <v>110</v>
      </c>
      <c r="F6" s="11">
        <f t="shared" si="1"/>
        <v>5.6179775280898872</v>
      </c>
    </row>
    <row r="7" spans="1:6" x14ac:dyDescent="0.25">
      <c r="A7" s="9" t="s">
        <v>115</v>
      </c>
      <c r="B7" s="9">
        <v>4</v>
      </c>
      <c r="C7" s="11">
        <f t="shared" si="0"/>
        <v>4.4943820224719104</v>
      </c>
      <c r="E7" s="9" t="s">
        <v>115</v>
      </c>
      <c r="F7" s="11">
        <f t="shared" si="1"/>
        <v>4.4943820224719104</v>
      </c>
    </row>
    <row r="8" spans="1:6" x14ac:dyDescent="0.25">
      <c r="A8" s="9" t="s">
        <v>12</v>
      </c>
      <c r="B8" s="9">
        <f>SUM(B2:B7)</f>
        <v>89</v>
      </c>
      <c r="C8" s="11">
        <f t="shared" si="0"/>
        <v>100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2:F6"/>
  <sheetViews>
    <sheetView topLeftCell="A7" workbookViewId="0">
      <selection activeCell="A2" sqref="A2:C6"/>
    </sheetView>
  </sheetViews>
  <sheetFormatPr defaultRowHeight="15" x14ac:dyDescent="0.25"/>
  <cols>
    <col min="1" max="1" width="26.42578125" bestFit="1" customWidth="1"/>
    <col min="2" max="2" width="17.5703125" bestFit="1" customWidth="1"/>
    <col min="3" max="3" width="14.5703125" bestFit="1" customWidth="1"/>
    <col min="5" max="5" width="24.7109375" bestFit="1" customWidth="1"/>
  </cols>
  <sheetData>
    <row r="2" spans="1:6" x14ac:dyDescent="0.25">
      <c r="A2" s="8" t="s">
        <v>15</v>
      </c>
      <c r="B2" s="8" t="s">
        <v>3</v>
      </c>
      <c r="C2" s="8" t="s">
        <v>48</v>
      </c>
    </row>
    <row r="3" spans="1:6" x14ac:dyDescent="0.25">
      <c r="A3" s="8" t="s">
        <v>95</v>
      </c>
      <c r="B3" s="9">
        <v>5</v>
      </c>
      <c r="C3" s="11">
        <f>B3/$B$6*100</f>
        <v>5.6179775280898872</v>
      </c>
      <c r="E3" s="8" t="s">
        <v>95</v>
      </c>
      <c r="F3" s="11">
        <f>C3</f>
        <v>5.6179775280898872</v>
      </c>
    </row>
    <row r="4" spans="1:6" x14ac:dyDescent="0.25">
      <c r="A4" s="8" t="s">
        <v>96</v>
      </c>
      <c r="B4" s="9">
        <f>24-B3</f>
        <v>19</v>
      </c>
      <c r="C4" s="11">
        <f t="shared" ref="C4:C6" si="0">B4/$B$6*100</f>
        <v>21.348314606741571</v>
      </c>
      <c r="E4" s="8" t="s">
        <v>96</v>
      </c>
      <c r="F4" s="11">
        <f t="shared" ref="F4:F5" si="1">C4</f>
        <v>21.348314606741571</v>
      </c>
    </row>
    <row r="5" spans="1:6" x14ac:dyDescent="0.25">
      <c r="A5" s="8" t="s">
        <v>97</v>
      </c>
      <c r="B5" s="9">
        <v>65</v>
      </c>
      <c r="C5" s="11">
        <f t="shared" si="0"/>
        <v>73.033707865168537</v>
      </c>
      <c r="E5" s="8" t="s">
        <v>97</v>
      </c>
      <c r="F5" s="11">
        <f t="shared" si="1"/>
        <v>73.033707865168537</v>
      </c>
    </row>
    <row r="6" spans="1:6" x14ac:dyDescent="0.25">
      <c r="A6" s="8" t="s">
        <v>12</v>
      </c>
      <c r="B6" s="9">
        <f>SUM(B3:B5)</f>
        <v>89</v>
      </c>
      <c r="C6" s="11">
        <f t="shared" si="0"/>
        <v>100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92AE2-61AB-4B81-B25E-1712F371FD92}">
  <dimension ref="A1:F7"/>
  <sheetViews>
    <sheetView workbookViewId="0">
      <selection sqref="A1:C7"/>
    </sheetView>
  </sheetViews>
  <sheetFormatPr defaultRowHeight="15" x14ac:dyDescent="0.25"/>
  <cols>
    <col min="1" max="1" width="20.5703125" bestFit="1" customWidth="1"/>
    <col min="2" max="2" width="16.42578125" bestFit="1" customWidth="1"/>
    <col min="3" max="3" width="14.5703125" bestFit="1" customWidth="1"/>
    <col min="5" max="5" width="20.5703125" bestFit="1" customWidth="1"/>
    <col min="6" max="6" width="5.85546875" bestFit="1" customWidth="1"/>
  </cols>
  <sheetData>
    <row r="1" spans="1:6" x14ac:dyDescent="0.25">
      <c r="A1" s="9" t="s">
        <v>121</v>
      </c>
      <c r="B1" s="9" t="s">
        <v>122</v>
      </c>
      <c r="C1" s="9" t="s">
        <v>48</v>
      </c>
    </row>
    <row r="2" spans="1:6" x14ac:dyDescent="0.25">
      <c r="A2" s="9" t="s">
        <v>116</v>
      </c>
      <c r="B2" s="9">
        <v>21</v>
      </c>
      <c r="C2" s="11">
        <f>B2/$B$7*100</f>
        <v>23.595505617977526</v>
      </c>
      <c r="E2" s="9" t="s">
        <v>116</v>
      </c>
      <c r="F2" s="11">
        <f>C2</f>
        <v>23.595505617977526</v>
      </c>
    </row>
    <row r="3" spans="1:6" x14ac:dyDescent="0.25">
      <c r="A3" s="9" t="s">
        <v>117</v>
      </c>
      <c r="B3" s="9">
        <v>15</v>
      </c>
      <c r="C3" s="11">
        <f t="shared" ref="C3:C7" si="0">B3/$B$7*100</f>
        <v>16.853932584269664</v>
      </c>
      <c r="E3" s="9" t="s">
        <v>117</v>
      </c>
      <c r="F3" s="11">
        <f t="shared" ref="F3:F6" si="1">C3</f>
        <v>16.853932584269664</v>
      </c>
    </row>
    <row r="4" spans="1:6" x14ac:dyDescent="0.25">
      <c r="A4" s="9" t="s">
        <v>118</v>
      </c>
      <c r="B4" s="9">
        <v>13</v>
      </c>
      <c r="C4" s="11">
        <f t="shared" si="0"/>
        <v>14.606741573033707</v>
      </c>
      <c r="E4" s="9" t="s">
        <v>118</v>
      </c>
      <c r="F4" s="11">
        <f t="shared" si="1"/>
        <v>14.606741573033707</v>
      </c>
    </row>
    <row r="5" spans="1:6" x14ac:dyDescent="0.25">
      <c r="A5" s="9" t="s">
        <v>119</v>
      </c>
      <c r="B5" s="9">
        <v>15</v>
      </c>
      <c r="C5" s="11">
        <f t="shared" si="0"/>
        <v>16.853932584269664</v>
      </c>
      <c r="E5" s="9" t="s">
        <v>119</v>
      </c>
      <c r="F5" s="11">
        <f t="shared" si="1"/>
        <v>16.853932584269664</v>
      </c>
    </row>
    <row r="6" spans="1:6" x14ac:dyDescent="0.25">
      <c r="A6" s="9" t="s">
        <v>120</v>
      </c>
      <c r="B6" s="9">
        <v>25</v>
      </c>
      <c r="C6" s="11">
        <f t="shared" si="0"/>
        <v>28.08988764044944</v>
      </c>
      <c r="E6" s="9" t="s">
        <v>120</v>
      </c>
      <c r="F6" s="11">
        <f t="shared" si="1"/>
        <v>28.08988764044944</v>
      </c>
    </row>
    <row r="7" spans="1:6" x14ac:dyDescent="0.25">
      <c r="A7" s="9" t="s">
        <v>12</v>
      </c>
      <c r="B7" s="9">
        <f>SUM(B2:B6)</f>
        <v>89</v>
      </c>
      <c r="C7" s="11">
        <f t="shared" si="0"/>
        <v>100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"/>
  <sheetViews>
    <sheetView workbookViewId="0">
      <selection activeCell="E10" sqref="E10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24" t="s">
        <v>19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15.75" thickBot="1" x14ac:dyDescent="0.3">
      <c r="A2" s="25" t="s">
        <v>20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f>C4/C7</f>
        <v>0.88764044943820219</v>
      </c>
      <c r="C4" s="6">
        <v>79</v>
      </c>
    </row>
    <row r="5" spans="1:11" ht="15.75" thickBot="1" x14ac:dyDescent="0.3">
      <c r="A5" s="5" t="s">
        <v>23</v>
      </c>
      <c r="B5" s="7">
        <f>C5/C7</f>
        <v>8.98876404494382E-2</v>
      </c>
      <c r="C5" s="6">
        <v>8</v>
      </c>
    </row>
    <row r="6" spans="1:11" ht="15.75" thickBot="1" x14ac:dyDescent="0.3">
      <c r="A6" s="5" t="s">
        <v>24</v>
      </c>
      <c r="B6" s="7">
        <f>C6/C7</f>
        <v>2.247191011235955E-2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f>SUM(C4:C6)</f>
        <v>89</v>
      </c>
    </row>
    <row r="10" spans="1:11" ht="15.75" thickBot="1" x14ac:dyDescent="0.3">
      <c r="B10" s="5" t="s">
        <v>22</v>
      </c>
      <c r="C10" s="18">
        <f>B4</f>
        <v>0.88764044943820219</v>
      </c>
    </row>
    <row r="11" spans="1:11" ht="15.75" thickBot="1" x14ac:dyDescent="0.3">
      <c r="B11" s="5" t="s">
        <v>23</v>
      </c>
      <c r="C11" s="18">
        <f t="shared" ref="C11:C12" si="0">B5</f>
        <v>8.98876404494382E-2</v>
      </c>
    </row>
    <row r="12" spans="1:11" ht="26.25" thickBot="1" x14ac:dyDescent="0.3">
      <c r="B12" s="5" t="s">
        <v>24</v>
      </c>
      <c r="C12" s="18">
        <f t="shared" si="0"/>
        <v>2.247191011235955E-2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6D432-B2D5-422F-B7B2-6F5D2F13684D}">
  <dimension ref="A1:F7"/>
  <sheetViews>
    <sheetView topLeftCell="A10" workbookViewId="0">
      <selection activeCell="I8" sqref="I8"/>
    </sheetView>
  </sheetViews>
  <sheetFormatPr defaultRowHeight="15" x14ac:dyDescent="0.25"/>
  <cols>
    <col min="1" max="1" width="32" bestFit="1" customWidth="1"/>
    <col min="2" max="2" width="16.5703125" bestFit="1" customWidth="1"/>
    <col min="3" max="3" width="14.5703125" bestFit="1" customWidth="1"/>
    <col min="5" max="5" width="32" bestFit="1" customWidth="1"/>
    <col min="6" max="6" width="5.5703125" bestFit="1" customWidth="1"/>
  </cols>
  <sheetData>
    <row r="1" spans="1:6" x14ac:dyDescent="0.25">
      <c r="A1" s="9" t="s">
        <v>128</v>
      </c>
      <c r="B1" s="9" t="s">
        <v>78</v>
      </c>
      <c r="C1" s="9" t="s">
        <v>48</v>
      </c>
      <c r="E1" s="29"/>
      <c r="F1" s="29"/>
    </row>
    <row r="2" spans="1:6" x14ac:dyDescent="0.25">
      <c r="A2" s="9" t="s">
        <v>123</v>
      </c>
      <c r="B2" s="9">
        <v>35</v>
      </c>
      <c r="C2" s="11">
        <f>B2/$B$7*100</f>
        <v>39.325842696629216</v>
      </c>
      <c r="E2" s="9" t="s">
        <v>123</v>
      </c>
      <c r="F2" s="19">
        <f>C2</f>
        <v>39.325842696629216</v>
      </c>
    </row>
    <row r="3" spans="1:6" x14ac:dyDescent="0.25">
      <c r="A3" s="9" t="s">
        <v>124</v>
      </c>
      <c r="B3" s="9">
        <v>7</v>
      </c>
      <c r="C3" s="11">
        <f>B3/$B$7*100</f>
        <v>7.8651685393258424</v>
      </c>
      <c r="E3" s="9" t="s">
        <v>124</v>
      </c>
      <c r="F3" s="19">
        <f>C3</f>
        <v>7.8651685393258424</v>
      </c>
    </row>
    <row r="4" spans="1:6" x14ac:dyDescent="0.25">
      <c r="A4" s="9" t="s">
        <v>125</v>
      </c>
      <c r="B4" s="9">
        <v>14</v>
      </c>
      <c r="C4" s="11">
        <f>B4/$B$7*100</f>
        <v>15.730337078651685</v>
      </c>
      <c r="E4" s="9" t="s">
        <v>125</v>
      </c>
      <c r="F4" s="19">
        <f>C4</f>
        <v>15.730337078651685</v>
      </c>
    </row>
    <row r="5" spans="1:6" x14ac:dyDescent="0.25">
      <c r="A5" s="9" t="s">
        <v>126</v>
      </c>
      <c r="B5" s="9">
        <v>17</v>
      </c>
      <c r="C5" s="11">
        <f>B5/$B$7*100</f>
        <v>19.101123595505616</v>
      </c>
      <c r="E5" s="9" t="s">
        <v>126</v>
      </c>
      <c r="F5" s="19">
        <f>C5</f>
        <v>19.101123595505616</v>
      </c>
    </row>
    <row r="6" spans="1:6" x14ac:dyDescent="0.25">
      <c r="A6" s="9" t="s">
        <v>127</v>
      </c>
      <c r="B6" s="9">
        <v>16</v>
      </c>
      <c r="C6" s="11">
        <f>B6/$B$7*100</f>
        <v>17.977528089887642</v>
      </c>
      <c r="E6" s="9" t="s">
        <v>127</v>
      </c>
      <c r="F6" s="19">
        <f>C6</f>
        <v>17.977528089887642</v>
      </c>
    </row>
    <row r="7" spans="1:6" x14ac:dyDescent="0.25">
      <c r="A7" s="9" t="s">
        <v>12</v>
      </c>
      <c r="B7" s="9">
        <f>SUM(B2:B6)</f>
        <v>89</v>
      </c>
      <c r="C7" s="11">
        <f>B7/$B$7*100</f>
        <v>100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149E-27C5-478E-B746-3FD5C723EB44}">
  <dimension ref="A1:D4"/>
  <sheetViews>
    <sheetView workbookViewId="0">
      <selection activeCell="G7" sqref="G7"/>
    </sheetView>
  </sheetViews>
  <sheetFormatPr defaultRowHeight="15" x14ac:dyDescent="0.25"/>
  <cols>
    <col min="1" max="1" width="25" style="22" bestFit="1" customWidth="1"/>
    <col min="2" max="2" width="16.5703125" bestFit="1" customWidth="1"/>
    <col min="3" max="3" width="14.5703125" bestFit="1" customWidth="1"/>
    <col min="4" max="4" width="21.140625" customWidth="1"/>
  </cols>
  <sheetData>
    <row r="1" spans="1:4" ht="30" x14ac:dyDescent="0.25">
      <c r="A1" s="21" t="s">
        <v>131</v>
      </c>
      <c r="B1" s="10" t="s">
        <v>78</v>
      </c>
      <c r="C1" s="10" t="s">
        <v>48</v>
      </c>
      <c r="D1" s="17" t="s">
        <v>129</v>
      </c>
    </row>
    <row r="2" spans="1:4" x14ac:dyDescent="0.25">
      <c r="A2" s="10" t="s">
        <v>22</v>
      </c>
      <c r="B2" s="10">
        <v>76</v>
      </c>
      <c r="C2" s="20">
        <f>B2/$B$4*100</f>
        <v>85.393258426966284</v>
      </c>
      <c r="D2" s="10"/>
    </row>
    <row r="3" spans="1:4" ht="30" x14ac:dyDescent="0.25">
      <c r="A3" s="10" t="s">
        <v>23</v>
      </c>
      <c r="B3" s="10">
        <v>13</v>
      </c>
      <c r="C3" s="20">
        <f t="shared" ref="C3:C4" si="0">B3/$B$4*100</f>
        <v>14.606741573033707</v>
      </c>
      <c r="D3" s="21" t="s">
        <v>130</v>
      </c>
    </row>
    <row r="4" spans="1:4" x14ac:dyDescent="0.25">
      <c r="A4" s="10" t="s">
        <v>12</v>
      </c>
      <c r="B4" s="10">
        <f>SUM(B2:B3)</f>
        <v>89</v>
      </c>
      <c r="C4" s="20">
        <f t="shared" si="0"/>
        <v>100</v>
      </c>
      <c r="D4" s="1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E6C1-2682-4AAE-BF49-10A831AC5F17}">
  <dimension ref="A1:D11"/>
  <sheetViews>
    <sheetView workbookViewId="0">
      <selection activeCell="C14" sqref="C14"/>
    </sheetView>
  </sheetViews>
  <sheetFormatPr defaultRowHeight="15" x14ac:dyDescent="0.25"/>
  <cols>
    <col min="1" max="1" width="16.140625" bestFit="1" customWidth="1"/>
  </cols>
  <sheetData>
    <row r="1" spans="1:4" x14ac:dyDescent="0.25">
      <c r="A1" s="9" t="s">
        <v>132</v>
      </c>
      <c r="B1" s="9" t="s">
        <v>22</v>
      </c>
      <c r="C1" s="9" t="s">
        <v>23</v>
      </c>
      <c r="D1" s="9" t="s">
        <v>12</v>
      </c>
    </row>
    <row r="2" spans="1:4" x14ac:dyDescent="0.25">
      <c r="A2" s="9" t="s">
        <v>133</v>
      </c>
      <c r="B2" s="9">
        <v>15</v>
      </c>
      <c r="C2" s="9">
        <v>74</v>
      </c>
      <c r="D2" s="9">
        <f>SUM(B2:C2)</f>
        <v>89</v>
      </c>
    </row>
    <row r="3" spans="1:4" x14ac:dyDescent="0.25">
      <c r="A3" s="9" t="s">
        <v>136</v>
      </c>
      <c r="B3" s="9">
        <v>12</v>
      </c>
      <c r="C3" s="9">
        <v>77</v>
      </c>
      <c r="D3" s="9">
        <f t="shared" ref="D3:D5" si="0">SUM(B3:C3)</f>
        <v>89</v>
      </c>
    </row>
    <row r="4" spans="1:4" x14ac:dyDescent="0.25">
      <c r="A4" s="9" t="s">
        <v>134</v>
      </c>
      <c r="B4" s="9">
        <v>8</v>
      </c>
      <c r="C4" s="9">
        <v>81</v>
      </c>
      <c r="D4" s="9">
        <f t="shared" si="0"/>
        <v>89</v>
      </c>
    </row>
    <row r="5" spans="1:4" x14ac:dyDescent="0.25">
      <c r="A5" s="9" t="s">
        <v>135</v>
      </c>
      <c r="B5" s="9">
        <v>71</v>
      </c>
      <c r="C5" s="9">
        <v>18</v>
      </c>
      <c r="D5" s="9">
        <f t="shared" si="0"/>
        <v>89</v>
      </c>
    </row>
    <row r="7" spans="1:4" x14ac:dyDescent="0.25">
      <c r="A7" s="9" t="s">
        <v>132</v>
      </c>
      <c r="B7" s="9" t="s">
        <v>22</v>
      </c>
      <c r="C7" s="9" t="s">
        <v>23</v>
      </c>
      <c r="D7" s="9" t="s">
        <v>12</v>
      </c>
    </row>
    <row r="8" spans="1:4" x14ac:dyDescent="0.25">
      <c r="A8" s="9" t="s">
        <v>133</v>
      </c>
      <c r="B8" s="19">
        <f>B2/D2*100</f>
        <v>16.853932584269664</v>
      </c>
      <c r="C8" s="19">
        <f>C2/D2*100</f>
        <v>83.146067415730343</v>
      </c>
      <c r="D8" s="19">
        <f>SUM(B8:C8)</f>
        <v>100</v>
      </c>
    </row>
    <row r="9" spans="1:4" x14ac:dyDescent="0.25">
      <c r="A9" s="9" t="s">
        <v>136</v>
      </c>
      <c r="B9" s="19">
        <f t="shared" ref="B9:B11" si="1">B3/D3*100</f>
        <v>13.48314606741573</v>
      </c>
      <c r="C9" s="19">
        <f t="shared" ref="C9:C11" si="2">C3/D3*100</f>
        <v>86.516853932584269</v>
      </c>
      <c r="D9" s="19">
        <f t="shared" ref="D9:D11" si="3">SUM(B9:C9)</f>
        <v>100</v>
      </c>
    </row>
    <row r="10" spans="1:4" x14ac:dyDescent="0.25">
      <c r="A10" s="9" t="s">
        <v>134</v>
      </c>
      <c r="B10" s="19">
        <f t="shared" si="1"/>
        <v>8.9887640449438209</v>
      </c>
      <c r="C10" s="19">
        <f t="shared" si="2"/>
        <v>91.011235955056179</v>
      </c>
      <c r="D10" s="19">
        <f t="shared" si="3"/>
        <v>100</v>
      </c>
    </row>
    <row r="11" spans="1:4" x14ac:dyDescent="0.25">
      <c r="A11" s="9" t="s">
        <v>135</v>
      </c>
      <c r="B11" s="19">
        <f t="shared" si="1"/>
        <v>79.775280898876403</v>
      </c>
      <c r="C11" s="19">
        <f t="shared" si="2"/>
        <v>20.224719101123593</v>
      </c>
      <c r="D11" s="19">
        <f t="shared" si="3"/>
        <v>100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71AF-D04F-4083-BD95-BE282B014BFD}">
  <dimension ref="A1:E18"/>
  <sheetViews>
    <sheetView topLeftCell="A25" workbookViewId="0">
      <selection sqref="A1:E9"/>
    </sheetView>
  </sheetViews>
  <sheetFormatPr defaultRowHeight="15" x14ac:dyDescent="0.25"/>
  <cols>
    <col min="1" max="1" width="20.140625" bestFit="1" customWidth="1"/>
    <col min="2" max="2" width="14.5703125" bestFit="1" customWidth="1"/>
    <col min="3" max="3" width="19" bestFit="1" customWidth="1"/>
    <col min="4" max="4" width="9.42578125" bestFit="1" customWidth="1"/>
    <col min="5" max="5" width="14.5703125" bestFit="1" customWidth="1"/>
  </cols>
  <sheetData>
    <row r="1" spans="1:5" x14ac:dyDescent="0.25">
      <c r="A1" s="26" t="s">
        <v>137</v>
      </c>
      <c r="B1" s="26" t="s">
        <v>15</v>
      </c>
      <c r="C1" s="26"/>
      <c r="D1" s="26" t="s">
        <v>138</v>
      </c>
      <c r="E1" s="26"/>
    </row>
    <row r="2" spans="1:5" x14ac:dyDescent="0.25">
      <c r="A2" s="26"/>
      <c r="B2" s="9" t="s">
        <v>139</v>
      </c>
      <c r="C2" s="9" t="s">
        <v>48</v>
      </c>
      <c r="D2" s="9" t="s">
        <v>139</v>
      </c>
      <c r="E2" s="9" t="s">
        <v>48</v>
      </c>
    </row>
    <row r="3" spans="1:5" x14ac:dyDescent="0.25">
      <c r="A3" s="9" t="s">
        <v>140</v>
      </c>
      <c r="B3" s="9">
        <v>6</v>
      </c>
      <c r="C3" s="11">
        <f>B3/$B$9*100</f>
        <v>6.7415730337078648</v>
      </c>
      <c r="D3" s="9">
        <v>1</v>
      </c>
      <c r="E3" s="11">
        <f>D3/$D$9*100</f>
        <v>1.1235955056179776</v>
      </c>
    </row>
    <row r="4" spans="1:5" x14ac:dyDescent="0.25">
      <c r="A4" s="9" t="s">
        <v>141</v>
      </c>
      <c r="B4" s="9">
        <v>25</v>
      </c>
      <c r="C4" s="11">
        <f t="shared" ref="C4:C8" si="0">B4/$B$9*100</f>
        <v>28.08988764044944</v>
      </c>
      <c r="D4" s="9">
        <v>10</v>
      </c>
      <c r="E4" s="11">
        <f t="shared" ref="E4:E8" si="1">D4/$D$9*100</f>
        <v>11.235955056179774</v>
      </c>
    </row>
    <row r="5" spans="1:5" x14ac:dyDescent="0.25">
      <c r="A5" s="9" t="s">
        <v>142</v>
      </c>
      <c r="B5" s="9">
        <v>30</v>
      </c>
      <c r="C5" s="11">
        <f t="shared" si="0"/>
        <v>33.707865168539328</v>
      </c>
      <c r="D5" s="9">
        <v>33</v>
      </c>
      <c r="E5" s="11">
        <f t="shared" si="1"/>
        <v>37.078651685393261</v>
      </c>
    </row>
    <row r="6" spans="1:5" x14ac:dyDescent="0.25">
      <c r="A6" s="9" t="s">
        <v>143</v>
      </c>
      <c r="B6" s="9">
        <v>19</v>
      </c>
      <c r="C6" s="11">
        <f t="shared" si="0"/>
        <v>21.348314606741571</v>
      </c>
      <c r="D6" s="9">
        <v>25</v>
      </c>
      <c r="E6" s="11">
        <f t="shared" si="1"/>
        <v>28.08988764044944</v>
      </c>
    </row>
    <row r="7" spans="1:5" x14ac:dyDescent="0.25">
      <c r="A7" s="9" t="s">
        <v>144</v>
      </c>
      <c r="B7" s="9">
        <v>7</v>
      </c>
      <c r="C7" s="11">
        <f t="shared" si="0"/>
        <v>7.8651685393258424</v>
      </c>
      <c r="D7" s="9">
        <v>15</v>
      </c>
      <c r="E7" s="11">
        <f t="shared" si="1"/>
        <v>16.853932584269664</v>
      </c>
    </row>
    <row r="8" spans="1:5" x14ac:dyDescent="0.25">
      <c r="A8" s="9" t="s">
        <v>145</v>
      </c>
      <c r="B8" s="9">
        <v>2</v>
      </c>
      <c r="C8" s="11">
        <f t="shared" si="0"/>
        <v>2.2471910112359552</v>
      </c>
      <c r="D8" s="9">
        <v>5</v>
      </c>
      <c r="E8" s="11">
        <f t="shared" si="1"/>
        <v>5.6179775280898872</v>
      </c>
    </row>
    <row r="9" spans="1:5" x14ac:dyDescent="0.25">
      <c r="A9" s="12" t="s">
        <v>12</v>
      </c>
      <c r="B9" s="9">
        <f>SUM(B3:B8)</f>
        <v>89</v>
      </c>
      <c r="C9" s="11">
        <f t="shared" ref="C9:E9" si="2">SUM(C3:C8)</f>
        <v>99.999999999999986</v>
      </c>
      <c r="D9" s="9">
        <f t="shared" si="2"/>
        <v>89</v>
      </c>
      <c r="E9" s="11">
        <f t="shared" si="2"/>
        <v>100</v>
      </c>
    </row>
    <row r="12" spans="1:5" x14ac:dyDescent="0.25">
      <c r="A12" s="10" t="s">
        <v>137</v>
      </c>
      <c r="B12" s="10" t="s">
        <v>15</v>
      </c>
      <c r="C12" s="10" t="s">
        <v>138</v>
      </c>
      <c r="E12" s="10"/>
    </row>
    <row r="13" spans="1:5" x14ac:dyDescent="0.25">
      <c r="A13" s="9" t="s">
        <v>140</v>
      </c>
      <c r="B13" s="19">
        <f>C3</f>
        <v>6.7415730337078648</v>
      </c>
      <c r="C13" s="19">
        <f>E3</f>
        <v>1.1235955056179776</v>
      </c>
    </row>
    <row r="14" spans="1:5" x14ac:dyDescent="0.25">
      <c r="A14" s="9" t="s">
        <v>141</v>
      </c>
      <c r="B14" s="19">
        <f t="shared" ref="B14:B18" si="3">C4</f>
        <v>28.08988764044944</v>
      </c>
      <c r="C14" s="19">
        <f t="shared" ref="C14:C18" si="4">E4</f>
        <v>11.235955056179774</v>
      </c>
    </row>
    <row r="15" spans="1:5" x14ac:dyDescent="0.25">
      <c r="A15" s="9" t="s">
        <v>142</v>
      </c>
      <c r="B15" s="19">
        <f t="shared" si="3"/>
        <v>33.707865168539328</v>
      </c>
      <c r="C15" s="19">
        <f t="shared" si="4"/>
        <v>37.078651685393261</v>
      </c>
    </row>
    <row r="16" spans="1:5" x14ac:dyDescent="0.25">
      <c r="A16" s="9" t="s">
        <v>143</v>
      </c>
      <c r="B16" s="19">
        <f t="shared" si="3"/>
        <v>21.348314606741571</v>
      </c>
      <c r="C16" s="19">
        <f t="shared" si="4"/>
        <v>28.08988764044944</v>
      </c>
    </row>
    <row r="17" spans="1:3" x14ac:dyDescent="0.25">
      <c r="A17" s="9" t="s">
        <v>144</v>
      </c>
      <c r="B17" s="19">
        <f t="shared" si="3"/>
        <v>7.8651685393258424</v>
      </c>
      <c r="C17" s="19">
        <f t="shared" si="4"/>
        <v>16.853932584269664</v>
      </c>
    </row>
    <row r="18" spans="1:3" x14ac:dyDescent="0.25">
      <c r="A18" s="9" t="s">
        <v>145</v>
      </c>
      <c r="B18" s="19">
        <f t="shared" si="3"/>
        <v>2.2471910112359552</v>
      </c>
      <c r="C18" s="19">
        <f t="shared" si="4"/>
        <v>5.6179775280898872</v>
      </c>
    </row>
  </sheetData>
  <mergeCells count="3">
    <mergeCell ref="A1:A2"/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D7635-71FE-425B-8519-D75FA2CDF8A9}">
  <dimension ref="A1:C20"/>
  <sheetViews>
    <sheetView topLeftCell="A22" workbookViewId="0">
      <selection activeCell="A29" sqref="A29"/>
    </sheetView>
  </sheetViews>
  <sheetFormatPr defaultRowHeight="15" x14ac:dyDescent="0.25"/>
  <cols>
    <col min="1" max="1" width="19.7109375" bestFit="1" customWidth="1"/>
    <col min="2" max="2" width="15.140625" bestFit="1" customWidth="1"/>
    <col min="3" max="3" width="20.140625" bestFit="1" customWidth="1"/>
  </cols>
  <sheetData>
    <row r="1" spans="1:3" x14ac:dyDescent="0.25">
      <c r="A1" s="9" t="s">
        <v>136</v>
      </c>
      <c r="B1" s="9" t="s">
        <v>150</v>
      </c>
      <c r="C1" s="9" t="s">
        <v>151</v>
      </c>
    </row>
    <row r="2" spans="1:3" x14ac:dyDescent="0.25">
      <c r="A2" s="9" t="s">
        <v>104</v>
      </c>
      <c r="B2" s="9">
        <v>35</v>
      </c>
      <c r="C2" s="9">
        <v>32</v>
      </c>
    </row>
    <row r="3" spans="1:3" x14ac:dyDescent="0.25">
      <c r="A3" s="9" t="s">
        <v>105</v>
      </c>
      <c r="B3" s="9">
        <v>21</v>
      </c>
      <c r="C3" s="9">
        <v>19</v>
      </c>
    </row>
    <row r="4" spans="1:3" x14ac:dyDescent="0.25">
      <c r="A4" s="9" t="s">
        <v>103</v>
      </c>
      <c r="B4" s="9">
        <v>7</v>
      </c>
      <c r="C4" s="9">
        <v>9</v>
      </c>
    </row>
    <row r="5" spans="1:3" x14ac:dyDescent="0.25">
      <c r="A5" s="9" t="s">
        <v>148</v>
      </c>
      <c r="B5" s="9">
        <v>4</v>
      </c>
      <c r="C5" s="9">
        <v>4</v>
      </c>
    </row>
    <row r="6" spans="1:3" x14ac:dyDescent="0.25">
      <c r="A6" s="9" t="s">
        <v>149</v>
      </c>
      <c r="B6" s="9">
        <v>16</v>
      </c>
      <c r="C6" s="9">
        <v>17</v>
      </c>
    </row>
    <row r="7" spans="1:3" x14ac:dyDescent="0.25">
      <c r="A7" s="9" t="s">
        <v>110</v>
      </c>
      <c r="B7" s="9">
        <v>4</v>
      </c>
      <c r="C7" s="9">
        <v>4</v>
      </c>
    </row>
    <row r="8" spans="1:3" x14ac:dyDescent="0.25">
      <c r="A8" s="9" t="s">
        <v>102</v>
      </c>
      <c r="B8" s="9">
        <v>1</v>
      </c>
      <c r="C8" s="9">
        <v>3</v>
      </c>
    </row>
    <row r="9" spans="1:3" x14ac:dyDescent="0.25">
      <c r="A9" s="9" t="s">
        <v>108</v>
      </c>
      <c r="B9" s="9">
        <v>1</v>
      </c>
      <c r="C9" s="9">
        <v>1</v>
      </c>
    </row>
    <row r="10" spans="1:3" x14ac:dyDescent="0.25">
      <c r="A10" s="12" t="s">
        <v>12</v>
      </c>
      <c r="B10" s="9">
        <f>SUM(B2:B9)</f>
        <v>89</v>
      </c>
      <c r="C10" s="9">
        <f>SUM(C2:C9)</f>
        <v>89</v>
      </c>
    </row>
    <row r="12" spans="1:3" x14ac:dyDescent="0.25">
      <c r="A12" s="9" t="s">
        <v>136</v>
      </c>
      <c r="B12" s="9" t="s">
        <v>146</v>
      </c>
      <c r="C12" s="9" t="s">
        <v>147</v>
      </c>
    </row>
    <row r="13" spans="1:3" x14ac:dyDescent="0.25">
      <c r="A13" s="9" t="s">
        <v>104</v>
      </c>
      <c r="B13" s="19">
        <f>B2/$B$10*100</f>
        <v>39.325842696629216</v>
      </c>
      <c r="C13" s="19">
        <f>C2/$C$10*100</f>
        <v>35.955056179775283</v>
      </c>
    </row>
    <row r="14" spans="1:3" x14ac:dyDescent="0.25">
      <c r="A14" s="9" t="s">
        <v>105</v>
      </c>
      <c r="B14" s="19">
        <f t="shared" ref="B14:B20" si="0">B3/$B$10*100</f>
        <v>23.595505617977526</v>
      </c>
      <c r="C14" s="19">
        <f t="shared" ref="C14:C20" si="1">C3/$C$10*100</f>
        <v>21.348314606741571</v>
      </c>
    </row>
    <row r="15" spans="1:3" x14ac:dyDescent="0.25">
      <c r="A15" s="9" t="s">
        <v>103</v>
      </c>
      <c r="B15" s="19">
        <f t="shared" si="0"/>
        <v>7.8651685393258424</v>
      </c>
      <c r="C15" s="19">
        <f t="shared" si="1"/>
        <v>10.112359550561797</v>
      </c>
    </row>
    <row r="16" spans="1:3" x14ac:dyDescent="0.25">
      <c r="A16" s="9" t="s">
        <v>148</v>
      </c>
      <c r="B16" s="19">
        <f t="shared" si="0"/>
        <v>4.4943820224719104</v>
      </c>
      <c r="C16" s="19">
        <f t="shared" si="1"/>
        <v>4.4943820224719104</v>
      </c>
    </row>
    <row r="17" spans="1:3" x14ac:dyDescent="0.25">
      <c r="A17" s="9" t="s">
        <v>149</v>
      </c>
      <c r="B17" s="19">
        <f t="shared" si="0"/>
        <v>17.977528089887642</v>
      </c>
      <c r="C17" s="19">
        <f t="shared" si="1"/>
        <v>19.101123595505616</v>
      </c>
    </row>
    <row r="18" spans="1:3" x14ac:dyDescent="0.25">
      <c r="A18" s="9" t="s">
        <v>110</v>
      </c>
      <c r="B18" s="19">
        <f t="shared" si="0"/>
        <v>4.4943820224719104</v>
      </c>
      <c r="C18" s="19">
        <f t="shared" si="1"/>
        <v>4.4943820224719104</v>
      </c>
    </row>
    <row r="19" spans="1:3" x14ac:dyDescent="0.25">
      <c r="A19" s="9" t="s">
        <v>102</v>
      </c>
      <c r="B19" s="19">
        <f t="shared" si="0"/>
        <v>1.1235955056179776</v>
      </c>
      <c r="C19" s="19">
        <f t="shared" si="1"/>
        <v>3.3707865168539324</v>
      </c>
    </row>
    <row r="20" spans="1:3" x14ac:dyDescent="0.25">
      <c r="A20" s="9" t="s">
        <v>108</v>
      </c>
      <c r="B20" s="19">
        <f t="shared" si="0"/>
        <v>1.1235955056179776</v>
      </c>
      <c r="C20" s="19">
        <f t="shared" si="1"/>
        <v>1.1235955056179776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84441-0A46-4810-A40D-2754CCA890ED}">
  <dimension ref="A1:E15"/>
  <sheetViews>
    <sheetView workbookViewId="0">
      <selection activeCell="A9" sqref="A9:E15"/>
    </sheetView>
  </sheetViews>
  <sheetFormatPr defaultRowHeight="15" x14ac:dyDescent="0.25"/>
  <cols>
    <col min="1" max="1" width="16.5703125" bestFit="1" customWidth="1"/>
    <col min="2" max="2" width="17.85546875" customWidth="1"/>
    <col min="3" max="3" width="11.140625" bestFit="1" customWidth="1"/>
    <col min="4" max="4" width="18.42578125" customWidth="1"/>
    <col min="5" max="5" width="11.140625" bestFit="1" customWidth="1"/>
  </cols>
  <sheetData>
    <row r="1" spans="1:5" s="23" customFormat="1" ht="30" customHeight="1" x14ac:dyDescent="0.25">
      <c r="A1" s="17" t="s">
        <v>152</v>
      </c>
      <c r="B1" s="27" t="s">
        <v>153</v>
      </c>
      <c r="C1" s="27"/>
      <c r="D1" s="27" t="s">
        <v>154</v>
      </c>
      <c r="E1" s="27"/>
    </row>
    <row r="2" spans="1:5" x14ac:dyDescent="0.25">
      <c r="A2" s="17"/>
      <c r="B2" s="17" t="s">
        <v>155</v>
      </c>
      <c r="C2" s="17" t="s">
        <v>156</v>
      </c>
      <c r="D2" s="17" t="s">
        <v>155</v>
      </c>
      <c r="E2" s="17" t="s">
        <v>156</v>
      </c>
    </row>
    <row r="3" spans="1:5" x14ac:dyDescent="0.25">
      <c r="A3" s="9" t="s">
        <v>157</v>
      </c>
      <c r="B3" s="9">
        <v>60</v>
      </c>
      <c r="C3" s="9">
        <v>29</v>
      </c>
      <c r="D3" s="9">
        <f>SUM(B3:C3)</f>
        <v>89</v>
      </c>
      <c r="E3" s="9" t="s">
        <v>162</v>
      </c>
    </row>
    <row r="4" spans="1:5" x14ac:dyDescent="0.25">
      <c r="A4" s="9" t="s">
        <v>158</v>
      </c>
      <c r="B4" s="9">
        <v>89</v>
      </c>
      <c r="C4" s="9">
        <v>0</v>
      </c>
      <c r="D4" s="9">
        <f t="shared" ref="D4:D7" si="0">SUM(B4:C4)</f>
        <v>89</v>
      </c>
      <c r="E4" s="9" t="s">
        <v>162</v>
      </c>
    </row>
    <row r="5" spans="1:5" x14ac:dyDescent="0.25">
      <c r="A5" s="9" t="s">
        <v>159</v>
      </c>
      <c r="B5" s="9">
        <v>82</v>
      </c>
      <c r="C5" s="9">
        <v>7</v>
      </c>
      <c r="D5" s="9">
        <f t="shared" si="0"/>
        <v>89</v>
      </c>
      <c r="E5" s="9" t="s">
        <v>162</v>
      </c>
    </row>
    <row r="6" spans="1:5" x14ac:dyDescent="0.25">
      <c r="A6" s="9" t="s">
        <v>160</v>
      </c>
      <c r="B6" s="9">
        <v>89</v>
      </c>
      <c r="C6" s="9">
        <v>0</v>
      </c>
      <c r="D6" s="9">
        <f t="shared" si="0"/>
        <v>89</v>
      </c>
      <c r="E6" s="9" t="s">
        <v>162</v>
      </c>
    </row>
    <row r="7" spans="1:5" x14ac:dyDescent="0.25">
      <c r="A7" s="9" t="s">
        <v>161</v>
      </c>
      <c r="B7" s="9">
        <v>34</v>
      </c>
      <c r="C7" s="9">
        <v>55</v>
      </c>
      <c r="D7" s="9">
        <f t="shared" si="0"/>
        <v>89</v>
      </c>
      <c r="E7" s="9" t="s">
        <v>162</v>
      </c>
    </row>
    <row r="9" spans="1:5" ht="37.5" customHeight="1" x14ac:dyDescent="0.25">
      <c r="A9" s="17" t="s">
        <v>152</v>
      </c>
      <c r="B9" s="27" t="s">
        <v>153</v>
      </c>
      <c r="C9" s="27"/>
      <c r="D9" s="27" t="s">
        <v>154</v>
      </c>
      <c r="E9" s="27"/>
    </row>
    <row r="10" spans="1:5" x14ac:dyDescent="0.25">
      <c r="A10" s="17"/>
      <c r="B10" s="17" t="s">
        <v>155</v>
      </c>
      <c r="C10" s="17" t="s">
        <v>156</v>
      </c>
      <c r="D10" s="17" t="s">
        <v>155</v>
      </c>
      <c r="E10" s="17" t="s">
        <v>156</v>
      </c>
    </row>
    <row r="11" spans="1:5" x14ac:dyDescent="0.25">
      <c r="A11" s="9" t="s">
        <v>157</v>
      </c>
      <c r="B11" s="19">
        <f>B3/D3*100</f>
        <v>67.415730337078656</v>
      </c>
      <c r="C11" s="19">
        <f>C3/D3*100</f>
        <v>32.584269662921351</v>
      </c>
      <c r="D11" s="19">
        <f>D3/D3*100</f>
        <v>100</v>
      </c>
      <c r="E11" s="9" t="s">
        <v>162</v>
      </c>
    </row>
    <row r="12" spans="1:5" x14ac:dyDescent="0.25">
      <c r="A12" s="9" t="s">
        <v>158</v>
      </c>
      <c r="B12" s="19">
        <f t="shared" ref="B12:B15" si="1">B4/D4*100</f>
        <v>100</v>
      </c>
      <c r="C12" s="19">
        <f t="shared" ref="C12:C15" si="2">C4/D4*100</f>
        <v>0</v>
      </c>
      <c r="D12" s="19">
        <f t="shared" ref="D12:D15" si="3">D4/D4*100</f>
        <v>100</v>
      </c>
      <c r="E12" s="9" t="s">
        <v>162</v>
      </c>
    </row>
    <row r="13" spans="1:5" x14ac:dyDescent="0.25">
      <c r="A13" s="9" t="s">
        <v>159</v>
      </c>
      <c r="B13" s="19">
        <f t="shared" si="1"/>
        <v>92.134831460674164</v>
      </c>
      <c r="C13" s="19">
        <f t="shared" si="2"/>
        <v>7.8651685393258424</v>
      </c>
      <c r="D13" s="19">
        <f t="shared" si="3"/>
        <v>100</v>
      </c>
      <c r="E13" s="9" t="s">
        <v>162</v>
      </c>
    </row>
    <row r="14" spans="1:5" x14ac:dyDescent="0.25">
      <c r="A14" s="9" t="s">
        <v>160</v>
      </c>
      <c r="B14" s="19">
        <f t="shared" si="1"/>
        <v>100</v>
      </c>
      <c r="C14" s="19">
        <f t="shared" si="2"/>
        <v>0</v>
      </c>
      <c r="D14" s="19">
        <f t="shared" si="3"/>
        <v>100</v>
      </c>
      <c r="E14" s="9" t="s">
        <v>162</v>
      </c>
    </row>
    <row r="15" spans="1:5" x14ac:dyDescent="0.25">
      <c r="A15" s="9" t="s">
        <v>161</v>
      </c>
      <c r="B15" s="19">
        <f t="shared" si="1"/>
        <v>38.202247191011232</v>
      </c>
      <c r="C15" s="19">
        <f t="shared" si="2"/>
        <v>61.797752808988761</v>
      </c>
      <c r="D15" s="19">
        <f t="shared" si="3"/>
        <v>100</v>
      </c>
      <c r="E15" s="9" t="s">
        <v>162</v>
      </c>
    </row>
  </sheetData>
  <mergeCells count="4">
    <mergeCell ref="B1:C1"/>
    <mergeCell ref="D1:E1"/>
    <mergeCell ref="B9:C9"/>
    <mergeCell ref="D9:E9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D76E6-F265-420D-A051-20972C028530}">
  <dimension ref="A1:C5"/>
  <sheetViews>
    <sheetView tabSelected="1" workbookViewId="0">
      <selection activeCell="C4" sqref="C4"/>
    </sheetView>
  </sheetViews>
  <sheetFormatPr defaultRowHeight="15" x14ac:dyDescent="0.25"/>
  <cols>
    <col min="1" max="1" width="18.5703125" bestFit="1" customWidth="1"/>
    <col min="2" max="2" width="18.7109375" bestFit="1" customWidth="1"/>
    <col min="3" max="3" width="14.5703125" bestFit="1" customWidth="1"/>
  </cols>
  <sheetData>
    <row r="1" spans="1:3" x14ac:dyDescent="0.25">
      <c r="A1" s="9" t="s">
        <v>163</v>
      </c>
      <c r="B1" s="9" t="s">
        <v>164</v>
      </c>
      <c r="C1" s="9" t="s">
        <v>48</v>
      </c>
    </row>
    <row r="2" spans="1:3" x14ac:dyDescent="0.25">
      <c r="A2" s="9" t="s">
        <v>165</v>
      </c>
      <c r="B2" s="9">
        <v>64</v>
      </c>
      <c r="C2" s="19">
        <f>B2/$B$5*100</f>
        <v>71.910112359550567</v>
      </c>
    </row>
    <row r="3" spans="1:3" x14ac:dyDescent="0.25">
      <c r="A3" s="9" t="s">
        <v>166</v>
      </c>
      <c r="B3" s="9">
        <v>20</v>
      </c>
      <c r="C3" s="19">
        <f t="shared" ref="C3:C5" si="0">B3/$B$5*100</f>
        <v>22.471910112359549</v>
      </c>
    </row>
    <row r="4" spans="1:3" x14ac:dyDescent="0.25">
      <c r="A4" s="9" t="s">
        <v>167</v>
      </c>
      <c r="B4" s="9">
        <v>5</v>
      </c>
      <c r="C4" s="19">
        <f t="shared" si="0"/>
        <v>5.6179775280898872</v>
      </c>
    </row>
    <row r="5" spans="1:3" x14ac:dyDescent="0.25">
      <c r="A5" s="9" t="s">
        <v>12</v>
      </c>
      <c r="B5" s="9">
        <f>SUM(B2:B4)</f>
        <v>89</v>
      </c>
      <c r="C5" s="19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Reasons for leaving origin</vt:lpstr>
      <vt:lpstr>Distribution of Households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Reason leaving origin</vt:lpstr>
      <vt:lpstr>Place of Origin</vt:lpstr>
      <vt:lpstr>Responsible person</vt:lpstr>
      <vt:lpstr>Satisfaction</vt:lpstr>
      <vt:lpstr>Problems facing in destination</vt:lpstr>
      <vt:lpstr>Future intention</vt:lpstr>
      <vt:lpstr>Changed Aspects</vt:lpstr>
      <vt:lpstr>Monthly income comparison</vt:lpstr>
      <vt:lpstr>Occupation origin &amp; Destination</vt:lpstr>
      <vt:lpstr>Physical facilities</vt:lpstr>
      <vt:lpstr>Suggestion to relatives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2026-10-01T10:28:24Z</dcterms:modified>
</cp:coreProperties>
</file>