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9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91E1768E-6645-4FF9-85FA-45983B8FEBE6}" xr6:coauthVersionLast="47" xr6:coauthVersionMax="47" xr10:uidLastSave="{00000000-0000-0000-0000-000000000000}"/>
  <bookViews>
    <workbookView xWindow="-120" yWindow="-120" windowWidth="20730" windowHeight="11040" firstSheet="10" activeTab="13" xr2:uid="{00000000-000D-0000-FFFF-FFFF00000000}"/>
  </bookViews>
  <sheets>
    <sheet name="Reasons for leaving origin" sheetId="1" r:id="rId1"/>
    <sheet name="Distribution of Households" sheetId="2" r:id="rId2"/>
    <sheet name="Satisfaction" sheetId="3" r:id="rId3"/>
    <sheet name="Datewise migrants no." sheetId="4" r:id="rId4"/>
    <sheet name="Literacy status" sheetId="6" r:id="rId5"/>
    <sheet name="Ethnicity" sheetId="5" r:id="rId6"/>
    <sheet name="Religion" sheetId="7" r:id="rId7"/>
    <sheet name="Land holdings" sheetId="8" r:id="rId8"/>
    <sheet name="Water source" sheetId="9" r:id="rId9"/>
    <sheet name="5yrs age group" sheetId="10" r:id="rId10"/>
    <sheet name="Marrital status" sheetId="11" r:id="rId11"/>
    <sheet name="Family size" sheetId="12" r:id="rId12"/>
    <sheet name="dependency ratio" sheetId="13" r:id="rId13"/>
    <sheet name="Leaving origin" sheetId="14" r:id="rId14"/>
    <sheet name="Place of Origin" sheetId="15" r:id="rId15"/>
  </sheets>
  <externalReferences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5" l="1"/>
  <c r="C10" i="15"/>
  <c r="C11" i="15"/>
  <c r="C8" i="15"/>
  <c r="B11" i="15"/>
  <c r="B9" i="15"/>
  <c r="C4" i="13" l="1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B5" i="11"/>
  <c r="B4" i="11"/>
  <c r="F4" i="11" s="1"/>
  <c r="D5" i="11"/>
  <c r="D4" i="11"/>
  <c r="G3" i="9"/>
  <c r="G4" i="9"/>
  <c r="G2" i="9"/>
  <c r="B3" i="8"/>
  <c r="B2" i="8"/>
  <c r="B6" i="11" l="1"/>
  <c r="C5" i="11" s="1"/>
  <c r="N4" i="11" s="1"/>
  <c r="D6" i="11"/>
  <c r="E5" i="11" s="1"/>
  <c r="O4" i="11" s="1"/>
  <c r="F6" i="11"/>
  <c r="G4" i="11" s="1"/>
  <c r="F5" i="11"/>
  <c r="C4" i="11" l="1"/>
  <c r="E4" i="11"/>
  <c r="K4" i="1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O3" i="11" l="1"/>
  <c r="E6" i="11"/>
  <c r="G6" i="1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4" i="5" l="1"/>
  <c r="B3" i="7" l="1"/>
  <c r="B3" i="5" l="1"/>
  <c r="B2" i="5"/>
  <c r="B5" i="5"/>
  <c r="B6" i="5" l="1"/>
  <c r="C4" i="5" s="1"/>
  <c r="G4" i="5" s="1"/>
  <c r="B5" i="7"/>
  <c r="B2" i="7"/>
  <c r="C3" i="5" l="1"/>
  <c r="G3" i="5" s="1"/>
  <c r="C2" i="5"/>
  <c r="G2" i="5" s="1"/>
  <c r="B6" i="7"/>
  <c r="C5" i="7" s="1"/>
  <c r="G5" i="7" s="1"/>
  <c r="C5" i="5"/>
  <c r="G5" i="5" s="1"/>
  <c r="C6" i="5" l="1"/>
  <c r="C2" i="7"/>
  <c r="C4" i="7"/>
  <c r="G4" i="7" s="1"/>
  <c r="C3" i="7"/>
  <c r="G3" i="7" s="1"/>
  <c r="G2" i="7" l="1"/>
  <c r="C6" i="7"/>
</calcChain>
</file>

<file path=xl/sharedStrings.xml><?xml version="1.0" encoding="utf-8"?>
<sst xmlns="http://schemas.openxmlformats.org/spreadsheetml/2006/main" count="190" uniqueCount="112">
  <si>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</si>
  <si>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</si>
  <si>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</si>
  <si>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</si>
  <si>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</si>
  <si>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</si>
  <si>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</si>
  <si>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</si>
  <si>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</si>
  <si>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</si>
  <si>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</si>
  <si>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</si>
  <si>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</si>
  <si>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</si>
  <si>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</si>
  <si>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</si>
  <si>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</si>
  <si>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</si>
  <si>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</si>
  <si>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</si>
  <si>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</si>
  <si>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</si>
  <si>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</si>
  <si>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</si>
  <si>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</si>
  <si>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</si>
  <si>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</si>
  <si>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</si>
  <si>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</si>
  <si>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</si>
  <si>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</si>
  <si>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</si>
  <si>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</si>
  <si>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</si>
  <si>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</si>
  <si>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</si>
  <si>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</si>
  <si>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</si>
  <si>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</si>
  <si>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</si>
  <si>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</si>
  <si>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</si>
  <si>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</si>
  <si>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</si>
  <si>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</si>
  <si>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</si>
  <si>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</si>
  <si>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</si>
  <si>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</si>
  <si>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</si>
  <si>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</si>
  <si>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</si>
  <si>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</si>
  <si>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</si>
  <si>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</si>
  <si>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</si>
  <si>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</si>
  <si>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</si>
  <si>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</si>
  <si>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</si>
  <si>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</si>
  <si>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</si>
  <si>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</si>
  <si>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</si>
  <si>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</si>
  <si>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</si>
  <si>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</si>
  <si>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</si>
  <si>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</si>
  <si>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</si>
  <si>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</si>
  <si>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</si>
  <si>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</si>
  <si>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</si>
  <si>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</si>
  <si>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</si>
  <si>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</si>
  <si>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</si>
  <si>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</si>
  <si>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</si>
  <si>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</si>
  <si>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</si>
  <si>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</si>
  <si>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</si>
  <si>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</si>
  <si>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</si>
  <si>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</si>
  <si>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</si>
  <si>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</si>
  <si>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</si>
  <si>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</si>
  <si>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</si>
  <si>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</si>
  <si>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</si>
  <si>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</si>
  <si>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Country</t>
  </si>
  <si>
    <t>District</t>
  </si>
  <si>
    <t>VDC/Municipality</t>
  </si>
  <si>
    <t>Same palika</t>
  </si>
  <si>
    <t>Other palika of same district</t>
  </si>
  <si>
    <t>Other district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</si>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</sst>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Satisfaction!$C$4:$C$6</c:f>
              <c:numCache>
                <c:formatCode>General</c:formatCode>
                <c:ptCount val="3"/>
                <c:pt idx="0">
                  <c:v>62</c:v>
                </c:pt>
                <c:pt idx="1">
                  <c:v>17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 of Households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Satisfaction of Respondents with Current Place of Residence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4B4-4CCD-943D-5AD815A96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4B4-4CCD-943D-5AD815A96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4B4-4CCD-943D-5AD815A969FB}"/>
              </c:ext>
            </c:extLst>
          </c:dPt>
          <c:dLbls>
            <c:dLbl>
              <c:idx val="0"/>
              <c:layout>
                <c:manualLayout>
                  <c:x val="-0.12179833770778653"/>
                  <c:y val="-0.1712696850393700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4B4-4CCD-943D-5AD815A969FB}"/>
                </c:ext>
              </c:extLst>
            </c:dLbl>
            <c:dLbl>
              <c:idx val="1"/>
              <c:layout>
                <c:manualLayout>
                  <c:x val="9.95424321959755E-2"/>
                  <c:y val="0.15501932050160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4B4-4CCD-943D-5AD815A969FB}"/>
                </c:ext>
              </c:extLst>
            </c:dLbl>
            <c:dLbl>
              <c:idx val="2"/>
              <c:layout>
                <c:manualLayout>
                  <c:x val="-0.16785083114610672"/>
                  <c:y val="6.093977836103820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4B4-4CCD-943D-5AD815A969F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Satisfaction!$A$4:$A$6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Satisfaction!$B$4:$B$6</c:f>
              <c:numCache>
                <c:formatCode>0.00%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4-4CCD-943D-5AD815A969F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>
                    <a:solidFill>
                      <a:schemeClr val="tx1"/>
                    </a:solidFill>
                  </a:rPr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normalizeH="0" baseline="0">
                    <a:solidFill>
                      <a:schemeClr val="tx1"/>
                    </a:solidFill>
                  </a:rPr>
                  <a:t>Percent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pattFill prst="weave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dotDmnd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ltUpDiag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ysClr val="windowText" lastClr="000000"/>
                </a:solidFill>
              </a:ln>
              <a:effectLst/>
              <a:sp3d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dashHorz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ltDnDiag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attFill prst="smCheck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pattFill prst="wave">
                <a:fgClr>
                  <a:schemeClr val="tx1"/>
                </a:fgClr>
                <a:bgClr>
                  <a:schemeClr val="bg1"/>
                </a:bgClr>
              </a:pattFill>
              <a:ln w="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gradFill flip="none" rotWithShape="1">
                      <a:gsLst>
                        <a:gs pos="0">
                          <a:schemeClr val="bg2"/>
                        </a:gs>
                        <a:gs pos="74000">
                          <a:schemeClr val="accent1">
                            <a:lumMod val="45000"/>
                            <a:lumOff val="55000"/>
                          </a:schemeClr>
                        </a:gs>
                        <a:gs pos="83000">
                          <a:schemeClr val="accent1">
                            <a:lumMod val="45000"/>
                            <a:lumOff val="55000"/>
                          </a:schemeClr>
                        </a:gs>
                        <a:gs pos="100000">
                          <a:schemeClr val="accent1">
                            <a:lumMod val="30000"/>
                            <a:lumOff val="70000"/>
                          </a:schemeClr>
                        </a:gs>
                      </a:gsLst>
                      <a:lin ang="5400000" scaled="1"/>
                      <a:tileRect/>
                    </a:gradFill>
                    <a:effectLst>
                      <a:outerShdw blurRad="50800" dist="50800" dir="5400000" algn="ctr" rotWithShape="0">
                        <a:schemeClr val="bg2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 w="0"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Marital Status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rPr>
                  <a:t>Percent</a:t>
                </a:r>
                <a:endParaRPr lang="en-GB"/>
              </a:p>
            </c:rich>
          </c:tx>
          <c:overlay val="0"/>
          <c:spPr>
            <a:solidFill>
              <a:schemeClr val="lt1"/>
            </a:solidFill>
            <a:ln w="12700" cap="flat" cmpd="sng" algn="ctr">
              <a:noFill/>
              <a:prstDash val="solid"/>
              <a:miter lim="800000"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1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30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25400">
                <a:solidFill>
                  <a:sysClr val="windowText" lastClr="000000"/>
                </a:solidFill>
              </a:ln>
              <a:effectLst/>
              <a:sp3d contourW="254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176212</xdr:colOff>
      <xdr:row>8</xdr:row>
      <xdr:rowOff>33337</xdr:rowOff>
    </xdr:from>
    <xdr:to>
      <xdr:col>6</xdr:col>
      <xdr:colOff>252412</xdr:colOff>
      <xdr:row>22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2ADD8-B152-C44E-A84D-74BD594FF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350520</xdr:colOff>
      <xdr:row>7</xdr:row>
      <xdr:rowOff>102870</xdr:rowOff>
    </xdr:from>
    <xdr:to>
      <xdr:col>17</xdr:col>
      <xdr:colOff>525780</xdr:colOff>
      <xdr:row>24</xdr:row>
      <xdr:rowOff>129540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547687</xdr:colOff>
      <xdr:row>5</xdr:row>
      <xdr:rowOff>52387</xdr:rowOff>
    </xdr:from>
    <xdr:to>
      <xdr:col>11</xdr:col>
      <xdr:colOff>242887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</xdr:row>
      <xdr:rowOff>19050</xdr:rowOff>
    </xdr:from>
    <xdr:to>
      <xdr:col>8</xdr:col>
      <xdr:colOff>419100</xdr:colOff>
      <xdr:row>23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2082_2083\migration\list%20of%20immigrants.xlsx" TargetMode="External"/><Relationship Id="rId1" Type="http://schemas.openxmlformats.org/officeDocument/2006/relationships/externalLinkPath" Target="list%20of%20immigr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ed"/>
      <sheetName val="for graph"/>
      <sheetName val="Sheet2"/>
      <sheetName val="Reasons"/>
      <sheetName val="Detailed (2)"/>
      <sheetName val="5yrs above"/>
      <sheetName val="10yrs above"/>
    </sheetNames>
    <sheetDataSet>
      <sheetData sheetId="0"/>
      <sheetData sheetId="1">
        <row r="3">
          <cell r="I3">
            <v>32</v>
          </cell>
          <cell r="K3">
            <v>60</v>
          </cell>
        </row>
        <row r="4">
          <cell r="I4">
            <v>28</v>
          </cell>
        </row>
        <row r="6">
          <cell r="I6">
            <v>6</v>
          </cell>
          <cell r="K6">
            <v>6</v>
          </cell>
        </row>
        <row r="14">
          <cell r="I14">
            <v>23</v>
          </cell>
          <cell r="K14">
            <v>23</v>
          </cell>
        </row>
      </sheetData>
      <sheetData sheetId="2"/>
      <sheetData sheetId="3"/>
      <sheetData sheetId="4"/>
      <sheetData sheetId="5"/>
      <sheetData sheetId="6">
        <row r="4">
          <cell r="I4">
            <v>99</v>
          </cell>
        </row>
        <row r="5">
          <cell r="I5">
            <v>102</v>
          </cell>
        </row>
        <row r="6">
          <cell r="I6">
            <v>69</v>
          </cell>
        </row>
        <row r="8">
          <cell r="I8">
            <v>54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</row>
    <row r="2" spans="1:9" ht="15.75" thickBot="1" x14ac:dyDescent="0.3">
      <c r="A2" s="18" t="s">
        <v>1</v>
      </c>
      <c r="B2" s="18"/>
      <c r="C2" s="18"/>
      <c r="D2" s="18"/>
      <c r="E2" s="18"/>
      <c r="F2" s="18"/>
      <c r="G2" s="18"/>
      <c r="H2" s="18"/>
      <c r="I2" s="18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17" t="s">
        <v>13</v>
      </c>
      <c r="B1" s="17"/>
      <c r="C1" s="17"/>
      <c r="D1" s="17"/>
      <c r="E1" s="17"/>
      <c r="F1" s="17"/>
      <c r="G1" s="17"/>
      <c r="H1" s="1"/>
      <c r="I1" s="1"/>
      <c r="J1" s="1"/>
      <c r="K1" s="1"/>
      <c r="L1" s="1"/>
    </row>
    <row r="2" spans="1:12" ht="15.75" thickBot="1" x14ac:dyDescent="0.3">
      <c r="A2" s="18" t="s">
        <v>14</v>
      </c>
      <c r="B2" s="18"/>
      <c r="C2" s="18"/>
      <c r="D2" s="18"/>
      <c r="E2" s="18"/>
      <c r="F2" s="18"/>
      <c r="G2" s="18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"/>
  <sheetViews>
    <sheetView workbookViewId="0">
      <selection activeCell="L20" sqref="L2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17" t="s">
        <v>19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thickBot="1" x14ac:dyDescent="0.3">
      <c r="A2" s="18" t="s">
        <v>20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62</v>
      </c>
    </row>
    <row r="5" spans="1:11" ht="15.75" thickBot="1" x14ac:dyDescent="0.3">
      <c r="A5" s="5" t="s">
        <v>23</v>
      </c>
      <c r="B5" s="7">
        <v>0.21</v>
      </c>
      <c r="C5" s="6">
        <v>17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opLeftCell="C1" workbookViewId="0">
      <selection activeCell="M20" sqref="M20"/>
    </sheetView>
  </sheetViews>
  <sheetFormatPr defaultRowHeight="15" x14ac:dyDescent="0.25"/>
  <cols>
    <col min="2" max="2" width="11.42578125" bestFit="1" customWidth="1"/>
  </cols>
  <sheetData>
    <row r="1" spans="1:2" x14ac:dyDescent="0.25">
      <c r="A1" s="8" t="s">
        <v>25</v>
      </c>
      <c r="B1" s="8" t="s">
        <v>26</v>
      </c>
    </row>
    <row r="2" spans="1:2" x14ac:dyDescent="0.25">
      <c r="A2" s="9">
        <v>2083</v>
      </c>
      <c r="B2" s="9">
        <v>3</v>
      </c>
    </row>
    <row r="3" spans="1:2" x14ac:dyDescent="0.25">
      <c r="A3" s="9">
        <v>2082</v>
      </c>
      <c r="B3" s="9">
        <v>16</v>
      </c>
    </row>
    <row r="4" spans="1:2" x14ac:dyDescent="0.25">
      <c r="A4" s="9">
        <v>2081</v>
      </c>
      <c r="B4" s="9">
        <v>11</v>
      </c>
    </row>
    <row r="5" spans="1:2" x14ac:dyDescent="0.25">
      <c r="A5" s="9">
        <v>2080</v>
      </c>
      <c r="B5" s="9">
        <v>9</v>
      </c>
    </row>
    <row r="6" spans="1:2" x14ac:dyDescent="0.25">
      <c r="A6" s="9">
        <v>2079</v>
      </c>
      <c r="B6" s="9">
        <v>14</v>
      </c>
    </row>
    <row r="7" spans="1:2" x14ac:dyDescent="0.25">
      <c r="A7" s="9">
        <v>2078</v>
      </c>
      <c r="B7" s="9">
        <v>12</v>
      </c>
    </row>
    <row r="8" spans="1:2" x14ac:dyDescent="0.25">
      <c r="A8" s="9">
        <v>2077</v>
      </c>
      <c r="B8" s="9">
        <v>2</v>
      </c>
    </row>
    <row r="9" spans="1:2" x14ac:dyDescent="0.25">
      <c r="A9" s="9">
        <v>2076</v>
      </c>
      <c r="B9" s="9">
        <v>8</v>
      </c>
    </row>
    <row r="10" spans="1:2" x14ac:dyDescent="0.25">
      <c r="A10" s="9">
        <v>2075</v>
      </c>
      <c r="B10" s="9">
        <v>5</v>
      </c>
    </row>
    <row r="11" spans="1:2" x14ac:dyDescent="0.25">
      <c r="A11" s="9">
        <v>2074</v>
      </c>
      <c r="B11" s="9">
        <v>9</v>
      </c>
    </row>
    <row r="12" spans="1:2" x14ac:dyDescent="0.25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workbookViewId="0">
      <selection activeCell="G5" sqref="G5"/>
    </sheetView>
  </sheetViews>
  <sheetFormatPr defaultRowHeight="15" x14ac:dyDescent="0.25"/>
  <sheetData>
    <row r="1" spans="1:11" x14ac:dyDescent="0.25">
      <c r="A1" s="20" t="s">
        <v>33</v>
      </c>
      <c r="B1" s="19" t="s">
        <v>34</v>
      </c>
      <c r="C1" s="19"/>
      <c r="D1" s="19"/>
      <c r="E1" s="19"/>
      <c r="F1" s="20" t="s">
        <v>12</v>
      </c>
      <c r="G1" s="20"/>
    </row>
    <row r="2" spans="1:11" x14ac:dyDescent="0.25">
      <c r="A2" s="20"/>
      <c r="B2" s="19" t="s">
        <v>36</v>
      </c>
      <c r="C2" s="19"/>
      <c r="D2" s="19" t="s">
        <v>35</v>
      </c>
      <c r="E2" s="19"/>
      <c r="F2" s="20"/>
      <c r="G2" s="20"/>
    </row>
    <row r="3" spans="1:11" x14ac:dyDescent="0.25">
      <c r="A3" s="20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25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25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25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2" sqref="F2:G5"/>
    </sheetView>
  </sheetViews>
  <sheetFormatPr defaultRowHeight="15" x14ac:dyDescent="0.25"/>
  <cols>
    <col min="2" max="2" width="17.42578125" bestFit="1" customWidth="1"/>
  </cols>
  <sheetData>
    <row r="1" spans="1:7" x14ac:dyDescent="0.25">
      <c r="A1" s="8" t="s">
        <v>27</v>
      </c>
      <c r="B1" s="8" t="s">
        <v>28</v>
      </c>
      <c r="C1" s="8" t="s">
        <v>29</v>
      </c>
    </row>
    <row r="2" spans="1:7" x14ac:dyDescent="0.25">
      <c r="A2" s="9" t="s">
        <v>30</v>
      </c>
      <c r="B2" s="9">
        <f ca="1">'[1]for graph'!$I$4</f>
        <v>28</v>
      </c>
      <c r="C2" s="11">
        <f ca="1">B2/B6*100</f>
        <v>31.460674157303369</v>
      </c>
      <c r="F2" s="9" t="s">
        <v>30</v>
      </c>
      <c r="G2" s="11">
        <f ca="1">C2</f>
        <v>31.460674157303369</v>
      </c>
    </row>
    <row r="3" spans="1:7" x14ac:dyDescent="0.25">
      <c r="A3" s="9" t="s">
        <v>31</v>
      </c>
      <c r="B3" s="9">
        <f ca="1">'[1]for graph'!$I$3</f>
        <v>32</v>
      </c>
      <c r="C3" s="11">
        <f ca="1">B3/B6*100</f>
        <v>35.955056179775283</v>
      </c>
      <c r="F3" s="9" t="s">
        <v>31</v>
      </c>
      <c r="G3" s="11">
        <f t="shared" ref="G3:G5" ca="1" si="0">C3</f>
        <v>35.955056179775283</v>
      </c>
    </row>
    <row r="4" spans="1:7" x14ac:dyDescent="0.25">
      <c r="A4" s="9" t="s">
        <v>40</v>
      </c>
      <c r="B4" s="9">
        <f ca="1">'[1]for graph'!$I$14</f>
        <v>23</v>
      </c>
      <c r="C4" s="11">
        <f ca="1">B4/B6*100</f>
        <v>25.842696629213485</v>
      </c>
      <c r="F4" s="9" t="s">
        <v>40</v>
      </c>
      <c r="G4" s="11">
        <f t="shared" ca="1" si="0"/>
        <v>25.842696629213485</v>
      </c>
    </row>
    <row r="5" spans="1:7" x14ac:dyDescent="0.25">
      <c r="A5" s="9" t="s">
        <v>41</v>
      </c>
      <c r="B5" s="9">
        <f ca="1">'[1]for graph'!$I$6</f>
        <v>6</v>
      </c>
      <c r="C5" s="11">
        <f ca="1">B5/B6*100</f>
        <v>6.7415730337078648</v>
      </c>
      <c r="F5" s="9" t="s">
        <v>41</v>
      </c>
      <c r="G5" s="11">
        <f t="shared" ca="1" si="0"/>
        <v>6.7415730337078648</v>
      </c>
    </row>
    <row r="6" spans="1:7" x14ac:dyDescent="0.25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dimension ref="A1:G6"/>
  <sheetViews>
    <sheetView workbookViewId="0">
      <selection sqref="A1:C6"/>
    </sheetView>
  </sheetViews>
  <sheetFormatPr defaultRowHeight="15" x14ac:dyDescent="0.25"/>
  <cols>
    <col min="2" max="2" width="16.42578125" bestFit="1" customWidth="1"/>
    <col min="3" max="3" width="7.42578125" bestFit="1" customWidth="1"/>
  </cols>
  <sheetData>
    <row r="1" spans="1:7" x14ac:dyDescent="0.25">
      <c r="A1" s="8" t="s">
        <v>42</v>
      </c>
      <c r="B1" s="8" t="s">
        <v>28</v>
      </c>
      <c r="C1" s="8" t="s">
        <v>29</v>
      </c>
    </row>
    <row r="2" spans="1:7" x14ac:dyDescent="0.25">
      <c r="A2" s="9" t="s">
        <v>43</v>
      </c>
      <c r="B2" s="9">
        <f ca="1">'[1]for graph'!$K$3</f>
        <v>60</v>
      </c>
      <c r="C2" s="11">
        <f ca="1">B2/B6*100</f>
        <v>67.415730337078656</v>
      </c>
      <c r="F2" s="9" t="s">
        <v>43</v>
      </c>
      <c r="G2" s="11">
        <f ca="1">C2</f>
        <v>67.415730337078656</v>
      </c>
    </row>
    <row r="3" spans="1:7" x14ac:dyDescent="0.25">
      <c r="A3" s="9" t="s">
        <v>44</v>
      </c>
      <c r="B3" s="9">
        <f ca="1">'[1]for graph'!$K$14</f>
        <v>23</v>
      </c>
      <c r="C3" s="11">
        <f ca="1">B3/B6*100</f>
        <v>25.842696629213485</v>
      </c>
      <c r="F3" s="9" t="s">
        <v>44</v>
      </c>
      <c r="G3" s="11">
        <f ca="1">C3</f>
        <v>25.842696629213485</v>
      </c>
    </row>
    <row r="4" spans="1:7" x14ac:dyDescent="0.25">
      <c r="A4" s="9" t="s">
        <v>45</v>
      </c>
      <c r="B4" s="9">
        <v>0</v>
      </c>
      <c r="C4" s="11">
        <f ca="1">B4/B6*100</f>
        <v>0</v>
      </c>
      <c r="F4" s="9" t="s">
        <v>45</v>
      </c>
      <c r="G4" s="11">
        <f ca="1">C4</f>
        <v>0</v>
      </c>
    </row>
    <row r="5" spans="1:7" x14ac:dyDescent="0.25">
      <c r="A5" s="9" t="s">
        <v>46</v>
      </c>
      <c r="B5" s="9">
        <f ca="1">'[1]for graph'!$K$6</f>
        <v>6</v>
      </c>
      <c r="C5" s="11">
        <f ca="1">B5/B6*100</f>
        <v>6.7415730337078648</v>
      </c>
      <c r="F5" s="9" t="s">
        <v>46</v>
      </c>
      <c r="G5" s="11">
        <f ca="1">C5</f>
        <v>6.7415730337078648</v>
      </c>
    </row>
    <row r="6" spans="1:7" x14ac:dyDescent="0.25">
      <c r="A6" s="9" t="s">
        <v>12</v>
      </c>
      <c r="B6" s="9">
        <f ca="1">SUM(B2:B5)</f>
        <v>89</v>
      </c>
      <c r="C6" s="9">
        <f ca="1"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dimension ref="A1:C7"/>
  <sheetViews>
    <sheetView workbookViewId="0">
      <selection activeCell="C12" sqref="C12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3" width="13.28515625" bestFit="1" customWidth="1"/>
  </cols>
  <sheetData>
    <row r="1" spans="1:3" x14ac:dyDescent="0.25">
      <c r="A1" s="9" t="s">
        <v>47</v>
      </c>
      <c r="B1" s="9" t="s">
        <v>3</v>
      </c>
      <c r="C1" s="9" t="s">
        <v>48</v>
      </c>
    </row>
    <row r="2" spans="1:3" x14ac:dyDescent="0.25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25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25">
      <c r="A4" s="9" t="s">
        <v>51</v>
      </c>
      <c r="B4" s="9">
        <v>0</v>
      </c>
      <c r="C4" s="11">
        <f t="shared" si="0"/>
        <v>0</v>
      </c>
    </row>
    <row r="5" spans="1:3" x14ac:dyDescent="0.25">
      <c r="A5" s="9" t="s">
        <v>52</v>
      </c>
      <c r="B5" s="9">
        <v>0</v>
      </c>
      <c r="C5" s="11">
        <f t="shared" si="0"/>
        <v>0</v>
      </c>
    </row>
    <row r="6" spans="1:3" x14ac:dyDescent="0.25">
      <c r="A6" s="9" t="s">
        <v>32</v>
      </c>
      <c r="B6" s="9">
        <v>11</v>
      </c>
      <c r="C6" s="11">
        <f t="shared" si="0"/>
        <v>12.359550561797752</v>
      </c>
    </row>
    <row r="7" spans="1:3" x14ac:dyDescent="0.25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M3" sqref="M3"/>
    </sheetView>
  </sheetViews>
  <sheetFormatPr defaultRowHeight="15" x14ac:dyDescent="0.25"/>
  <cols>
    <col min="1" max="1" width="15.85546875" bestFit="1" customWidth="1"/>
    <col min="2" max="2" width="17.5703125" bestFit="1" customWidth="1"/>
    <col min="3" max="3" width="14.5703125" bestFit="1" customWidth="1"/>
  </cols>
  <sheetData>
    <row r="1" spans="1:7" x14ac:dyDescent="0.25">
      <c r="A1" s="9" t="s">
        <v>53</v>
      </c>
      <c r="B1" s="9" t="s">
        <v>3</v>
      </c>
      <c r="C1" s="9" t="s">
        <v>48</v>
      </c>
    </row>
    <row r="2" spans="1:7" x14ac:dyDescent="0.25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25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25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25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H13" sqref="H13"/>
    </sheetView>
  </sheetViews>
  <sheetFormatPr defaultRowHeight="15" x14ac:dyDescent="0.25"/>
  <cols>
    <col min="2" max="2" width="6.5703125" bestFit="1" customWidth="1"/>
    <col min="3" max="3" width="14.5703125" bestFit="1" customWidth="1"/>
    <col min="4" max="4" width="7.5703125" bestFit="1" customWidth="1"/>
    <col min="5" max="5" width="14.5703125" bestFit="1" customWidth="1"/>
    <col min="6" max="6" width="6.5703125" bestFit="1" customWidth="1"/>
    <col min="7" max="7" width="14.5703125" bestFit="1" customWidth="1"/>
  </cols>
  <sheetData>
    <row r="1" spans="1:9" x14ac:dyDescent="0.25">
      <c r="A1" s="20" t="s">
        <v>72</v>
      </c>
      <c r="B1" s="21" t="s">
        <v>71</v>
      </c>
      <c r="C1" s="21"/>
      <c r="D1" s="21"/>
      <c r="E1" s="21"/>
      <c r="F1" s="19" t="s">
        <v>12</v>
      </c>
      <c r="G1" s="19" t="s">
        <v>48</v>
      </c>
    </row>
    <row r="2" spans="1:9" x14ac:dyDescent="0.25">
      <c r="A2" s="20"/>
      <c r="B2" s="9" t="s">
        <v>36</v>
      </c>
      <c r="C2" s="9" t="s">
        <v>48</v>
      </c>
      <c r="D2" s="9" t="s">
        <v>35</v>
      </c>
      <c r="E2" s="9" t="s">
        <v>48</v>
      </c>
      <c r="F2" s="19"/>
      <c r="G2" s="19"/>
    </row>
    <row r="3" spans="1:9" x14ac:dyDescent="0.25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25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25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25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25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25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25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25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25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25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25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25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25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25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25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F1" workbookViewId="0">
      <selection activeCell="G25" sqref="G25"/>
    </sheetView>
  </sheetViews>
  <sheetFormatPr defaultRowHeight="15" x14ac:dyDescent="0.25"/>
  <cols>
    <col min="1" max="1" width="12.28515625" bestFit="1" customWidth="1"/>
    <col min="2" max="2" width="4" bestFit="1" customWidth="1"/>
    <col min="3" max="3" width="13.28515625" bestFit="1" customWidth="1"/>
    <col min="4" max="4" width="4" bestFit="1" customWidth="1"/>
    <col min="5" max="5" width="13.28515625" bestFit="1" customWidth="1"/>
    <col min="6" max="6" width="4" bestFit="1" customWidth="1"/>
    <col min="7" max="7" width="13.28515625" bestFit="1" customWidth="1"/>
    <col min="10" max="10" width="9.7109375" bestFit="1" customWidth="1"/>
    <col min="11" max="11" width="5.7109375" customWidth="1"/>
    <col min="13" max="13" width="9.7109375" bestFit="1" customWidth="1"/>
    <col min="15" max="15" width="6.85546875" bestFit="1" customWidth="1"/>
  </cols>
  <sheetData>
    <row r="1" spans="1:15" x14ac:dyDescent="0.25">
      <c r="A1" s="20" t="s">
        <v>73</v>
      </c>
      <c r="B1" s="21" t="s">
        <v>34</v>
      </c>
      <c r="C1" s="21"/>
      <c r="D1" s="21"/>
      <c r="E1" s="21"/>
      <c r="F1" s="19" t="s">
        <v>12</v>
      </c>
      <c r="G1" s="19"/>
    </row>
    <row r="2" spans="1:15" x14ac:dyDescent="0.25">
      <c r="A2" s="20"/>
      <c r="B2" s="21" t="s">
        <v>36</v>
      </c>
      <c r="C2" s="21"/>
      <c r="D2" s="21" t="s">
        <v>35</v>
      </c>
      <c r="E2" s="21"/>
      <c r="F2" s="19"/>
      <c r="G2" s="19"/>
      <c r="N2" t="s">
        <v>77</v>
      </c>
      <c r="O2" t="s">
        <v>35</v>
      </c>
    </row>
    <row r="3" spans="1:15" x14ac:dyDescent="0.25">
      <c r="A3" s="20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25">
      <c r="A4" s="9" t="s">
        <v>75</v>
      </c>
      <c r="B4" s="9">
        <f>'[1]10yrs above'!$I$6</f>
        <v>69</v>
      </c>
      <c r="C4" s="11">
        <f>B4/$B$6*100</f>
        <v>41.071428571428569</v>
      </c>
      <c r="D4" s="9">
        <f>'[1]10yrs above'!$I$8</f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25">
      <c r="A5" s="9" t="s">
        <v>76</v>
      </c>
      <c r="B5" s="9">
        <f>'[1]10yrs above'!$I$4</f>
        <v>99</v>
      </c>
      <c r="C5" s="11">
        <f t="shared" ref="C5" si="0">B5/$B$6*100</f>
        <v>58.928571428571431</v>
      </c>
      <c r="D5" s="9">
        <f>'[1]10yrs above'!$I$5</f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25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25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workbookViewId="0">
      <selection sqref="A1:C5"/>
    </sheetView>
  </sheetViews>
  <sheetFormatPr defaultRowHeight="15" x14ac:dyDescent="0.25"/>
  <cols>
    <col min="1" max="1" width="9.7109375" bestFit="1" customWidth="1"/>
    <col min="2" max="2" width="15.42578125" bestFit="1" customWidth="1"/>
    <col min="3" max="3" width="7.28515625" bestFit="1" customWidth="1"/>
  </cols>
  <sheetData>
    <row r="1" spans="1:7" x14ac:dyDescent="0.25">
      <c r="A1" s="9" t="s">
        <v>82</v>
      </c>
      <c r="B1" s="9" t="s">
        <v>78</v>
      </c>
      <c r="C1" s="9" t="s">
        <v>29</v>
      </c>
    </row>
    <row r="2" spans="1:7" x14ac:dyDescent="0.25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25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25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25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activeCell="M11" sqref="M11"/>
    </sheetView>
  </sheetViews>
  <sheetFormatPr defaultRowHeight="15" x14ac:dyDescent="0.25"/>
  <cols>
    <col min="1" max="1" width="22.7109375" bestFit="1" customWidth="1"/>
  </cols>
  <sheetData>
    <row r="1" spans="1:9" x14ac:dyDescent="0.25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25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25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25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sheetPr>
    <tabColor rgb="FFC00000"/>
  </sheetPr>
  <dimension ref="A1:C18"/>
  <sheetViews>
    <sheetView tabSelected="1" workbookViewId="0">
      <selection activeCell="E13" sqref="E13"/>
    </sheetView>
  </sheetViews>
  <sheetFormatPr defaultRowHeight="15" x14ac:dyDescent="0.25"/>
  <cols>
    <col min="1" max="1" width="26.42578125" customWidth="1"/>
    <col min="2" max="2" width="17.5703125" bestFit="1" customWidth="1"/>
    <col min="3" max="3" width="11" bestFit="1" customWidth="1"/>
  </cols>
  <sheetData>
    <row r="1" spans="1:3" x14ac:dyDescent="0.25">
      <c r="A1" s="9" t="s">
        <v>90</v>
      </c>
      <c r="B1" s="9" t="s">
        <v>3</v>
      </c>
      <c r="C1" s="9" t="s">
        <v>91</v>
      </c>
    </row>
    <row r="2" spans="1:3" x14ac:dyDescent="0.25">
      <c r="A2" s="9" t="s">
        <v>92</v>
      </c>
      <c r="B2" s="9"/>
      <c r="C2" s="9"/>
    </row>
    <row r="3" spans="1:3" x14ac:dyDescent="0.25">
      <c r="A3" s="9" t="s">
        <v>93</v>
      </c>
      <c r="B3" s="9"/>
      <c r="C3" s="9"/>
    </row>
    <row r="4" spans="1:3" x14ac:dyDescent="0.25">
      <c r="A4" s="9" t="s">
        <v>94</v>
      </c>
      <c r="B4" s="9"/>
      <c r="C4" s="9"/>
    </row>
    <row r="5" spans="1:3" x14ac:dyDescent="0.25">
      <c r="A5" s="9" t="s">
        <v>32</v>
      </c>
      <c r="B5" s="9"/>
      <c r="C5" s="9"/>
    </row>
    <row r="6" spans="1:3" x14ac:dyDescent="0.25">
      <c r="A6" s="9" t="s">
        <v>12</v>
      </c>
      <c r="B6" s="9"/>
      <c r="C6" s="9"/>
    </row>
    <row r="8" spans="1:3" x14ac:dyDescent="0.25">
      <c r="A8" s="9" t="s">
        <v>101</v>
      </c>
      <c r="B8" s="9"/>
      <c r="C8" s="9"/>
    </row>
    <row r="9" spans="1:3" x14ac:dyDescent="0.25">
      <c r="A9" s="9" t="s">
        <v>102</v>
      </c>
      <c r="B9" s="9"/>
      <c r="C9" s="9"/>
    </row>
    <row r="10" spans="1:3" x14ac:dyDescent="0.25">
      <c r="A10" s="9" t="s">
        <v>103</v>
      </c>
      <c r="B10" s="9"/>
      <c r="C10" s="9"/>
    </row>
    <row r="11" spans="1:3" x14ac:dyDescent="0.25">
      <c r="A11" s="9" t="s">
        <v>104</v>
      </c>
      <c r="B11" s="9"/>
      <c r="C11" s="9"/>
    </row>
    <row r="12" spans="1:3" x14ac:dyDescent="0.25">
      <c r="A12" s="9" t="s">
        <v>105</v>
      </c>
      <c r="B12" s="9"/>
      <c r="C12" s="9"/>
    </row>
    <row r="13" spans="1:3" x14ac:dyDescent="0.25">
      <c r="A13" s="9" t="s">
        <v>106</v>
      </c>
      <c r="B13" s="9"/>
      <c r="C13" s="9"/>
    </row>
    <row r="14" spans="1:3" x14ac:dyDescent="0.25">
      <c r="A14" s="9" t="s">
        <v>107</v>
      </c>
      <c r="B14" s="9"/>
      <c r="C14" s="9"/>
    </row>
    <row r="15" spans="1:3" x14ac:dyDescent="0.25">
      <c r="A15" s="9" t="s">
        <v>108</v>
      </c>
      <c r="B15" s="9"/>
      <c r="C15" s="9"/>
    </row>
    <row r="16" spans="1:3" x14ac:dyDescent="0.25">
      <c r="A16" s="9" t="s">
        <v>109</v>
      </c>
      <c r="B16" s="9"/>
      <c r="C16" s="9"/>
    </row>
    <row r="17" spans="1:3" x14ac:dyDescent="0.25">
      <c r="A17" s="9" t="s">
        <v>110</v>
      </c>
      <c r="B17" s="9"/>
      <c r="C17" s="9"/>
    </row>
    <row r="18" spans="1:3" x14ac:dyDescent="0.25">
      <c r="A18" s="9" t="s">
        <v>111</v>
      </c>
      <c r="B18" s="9"/>
      <c r="C18" s="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1:C11"/>
  <sheetViews>
    <sheetView workbookViewId="0">
      <selection activeCell="F3" sqref="F3"/>
    </sheetView>
  </sheetViews>
  <sheetFormatPr defaultRowHeight="15" x14ac:dyDescent="0.25"/>
  <cols>
    <col min="1" max="1" width="26.42578125" bestFit="1" customWidth="1"/>
    <col min="2" max="2" width="17.5703125" bestFit="1" customWidth="1"/>
    <col min="3" max="3" width="14.5703125" bestFit="1" customWidth="1"/>
  </cols>
  <sheetData>
    <row r="1" spans="1:3" x14ac:dyDescent="0.25">
      <c r="A1" s="9" t="s">
        <v>15</v>
      </c>
      <c r="B1" s="9" t="s">
        <v>3</v>
      </c>
      <c r="C1" s="9" t="s">
        <v>48</v>
      </c>
    </row>
    <row r="2" spans="1:3" x14ac:dyDescent="0.25">
      <c r="A2" s="9" t="s">
        <v>95</v>
      </c>
      <c r="B2" s="9"/>
      <c r="C2" s="9"/>
    </row>
    <row r="3" spans="1:3" x14ac:dyDescent="0.25">
      <c r="A3" s="9" t="s">
        <v>96</v>
      </c>
      <c r="B3" s="9"/>
      <c r="C3" s="9"/>
    </row>
    <row r="4" spans="1:3" x14ac:dyDescent="0.25">
      <c r="A4" s="9" t="s">
        <v>97</v>
      </c>
      <c r="B4" s="9"/>
      <c r="C4" s="9"/>
    </row>
    <row r="5" spans="1:3" x14ac:dyDescent="0.25">
      <c r="A5" s="9" t="s">
        <v>12</v>
      </c>
      <c r="B5" s="9"/>
      <c r="C5" s="9"/>
    </row>
    <row r="7" spans="1:3" x14ac:dyDescent="0.25">
      <c r="A7" s="8" t="s">
        <v>15</v>
      </c>
      <c r="B7" s="8" t="s">
        <v>3</v>
      </c>
      <c r="C7" s="8" t="s">
        <v>48</v>
      </c>
    </row>
    <row r="8" spans="1:3" x14ac:dyDescent="0.25">
      <c r="A8" s="8" t="s">
        <v>98</v>
      </c>
      <c r="B8" s="9">
        <v>5</v>
      </c>
      <c r="C8" s="11">
        <f>B8/$B$11*100</f>
        <v>5.6179775280898872</v>
      </c>
    </row>
    <row r="9" spans="1:3" x14ac:dyDescent="0.25">
      <c r="A9" s="8" t="s">
        <v>99</v>
      </c>
      <c r="B9" s="9">
        <f>24-B8</f>
        <v>19</v>
      </c>
      <c r="C9" s="11">
        <f t="shared" ref="C9:C11" si="0">B9/$B$11*100</f>
        <v>21.348314606741571</v>
      </c>
    </row>
    <row r="10" spans="1:3" x14ac:dyDescent="0.25">
      <c r="A10" s="8" t="s">
        <v>100</v>
      </c>
      <c r="B10" s="9">
        <v>65</v>
      </c>
      <c r="C10" s="11">
        <f t="shared" si="0"/>
        <v>73.033707865168537</v>
      </c>
    </row>
    <row r="11" spans="1:3" x14ac:dyDescent="0.25">
      <c r="A11" s="8" t="s">
        <v>12</v>
      </c>
      <c r="B11" s="9">
        <f>SUM(B8:B10)</f>
        <v>89</v>
      </c>
      <c r="C11" s="11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Reasons for leaving origin</vt:lpstr>
      <vt:lpstr>Distribution of Households</vt:lpstr>
      <vt:lpstr>Satisfaction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Place of Origin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2026-09-14T08:09:24Z</dcterms:modified>
</cp:coreProperties>
</file>