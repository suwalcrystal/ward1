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E4AA62B8-92AD-4C8E-8193-AF02823E51C5}" xr6:coauthVersionLast="47" xr6:coauthVersionMax="47" xr10:uidLastSave="{00000000-0000-0000-0000-000000000000}"/>
  <bookViews>
    <workbookView xWindow="-108" yWindow="-108" windowWidth="23256" windowHeight="12576" firstSheet="12" activeTab="16" xr2:uid="{00000000-000D-0000-FFFF-FFFF00000000}"/>
  </bookViews>
  <sheets>
    <sheet name="Reasons for leaving origin" sheetId="1" r:id="rId1"/>
    <sheet name="Consequence for Local" sheetId="16" r:id="rId2"/>
    <sheet name="Distribution of Households" sheetId="2" r:id="rId3"/>
    <sheet name="Satisfaction" sheetId="3" r:id="rId4"/>
    <sheet name="Datewise migrants no." sheetId="4" r:id="rId5"/>
    <sheet name="Literacy status" sheetId="6" r:id="rId6"/>
    <sheet name="Ethnicity" sheetId="5" r:id="rId7"/>
    <sheet name="Religion" sheetId="7" r:id="rId8"/>
    <sheet name="Land holdings" sheetId="8" r:id="rId9"/>
    <sheet name="Water source" sheetId="9" r:id="rId10"/>
    <sheet name="5yrs age group" sheetId="10" r:id="rId11"/>
    <sheet name="Marrital status" sheetId="11" r:id="rId12"/>
    <sheet name="Family size" sheetId="12" r:id="rId13"/>
    <sheet name="dependency ratio" sheetId="13" r:id="rId14"/>
    <sheet name="Leaving origin" sheetId="14" state="hidden" r:id="rId15"/>
    <sheet name="Reason leaving origin" sheetId="17" r:id="rId16"/>
    <sheet name="Place of Origin" sheetId="15" r:id="rId17"/>
  </sheets>
  <externalReferences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5" l="1"/>
  <c r="F5" i="15"/>
  <c r="F3" i="15"/>
  <c r="B8" i="17"/>
  <c r="C7" i="17" s="1"/>
  <c r="F7" i="17" s="1"/>
  <c r="C7" i="3"/>
  <c r="B4" i="15"/>
  <c r="C4" i="15" l="1"/>
  <c r="B6" i="15"/>
  <c r="C3" i="15" s="1"/>
  <c r="C5" i="15"/>
  <c r="C6" i="15"/>
  <c r="C6" i="17"/>
  <c r="F6" i="17" s="1"/>
  <c r="C5" i="17"/>
  <c r="F5" i="17" s="1"/>
  <c r="C4" i="17"/>
  <c r="F4" i="17" s="1"/>
  <c r="C3" i="17"/>
  <c r="F3" i="17" s="1"/>
  <c r="C2" i="17"/>
  <c r="F2" i="17" s="1"/>
  <c r="C8" i="17"/>
  <c r="C4" i="13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B5" i="11"/>
  <c r="B4" i="11"/>
  <c r="F4" i="11" s="1"/>
  <c r="D5" i="11"/>
  <c r="D4" i="11"/>
  <c r="G3" i="9"/>
  <c r="G4" i="9"/>
  <c r="G2" i="9"/>
  <c r="B3" i="8"/>
  <c r="B2" i="8"/>
  <c r="B6" i="11" l="1"/>
  <c r="C5" i="11" s="1"/>
  <c r="N4" i="11" s="1"/>
  <c r="D6" i="11"/>
  <c r="E5" i="11" s="1"/>
  <c r="O4" i="11" s="1"/>
  <c r="F6" i="11"/>
  <c r="G4" i="11" s="1"/>
  <c r="F5" i="1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4" i="5" l="1"/>
  <c r="B3" i="7" l="1"/>
  <c r="B3" i="5" l="1"/>
  <c r="B2" i="5"/>
  <c r="B5" i="5"/>
  <c r="B6" i="5" l="1"/>
  <c r="C4" i="5" s="1"/>
  <c r="G4" i="5" s="1"/>
  <c r="B5" i="7"/>
  <c r="B2" i="7"/>
  <c r="C3" i="5" l="1"/>
  <c r="G3" i="5" s="1"/>
  <c r="C2" i="5"/>
  <c r="G2" i="5" s="1"/>
  <c r="B6" i="7"/>
  <c r="C5" i="7" s="1"/>
  <c r="G5" i="7" s="1"/>
  <c r="C5" i="5"/>
  <c r="G5" i="5" s="1"/>
  <c r="C6" i="5" l="1"/>
  <c r="C2" i="7"/>
  <c r="C4" i="7"/>
  <c r="G4" i="7" s="1"/>
  <c r="C3" i="7"/>
  <c r="G3" i="7" s="1"/>
  <c r="G2" i="7" l="1"/>
  <c r="C6" i="7"/>
</calcChain>
</file>

<file path=xl/sharedStrings.xml><?xml version="1.0" encoding="utf-8"?>
<sst xmlns="http://schemas.openxmlformats.org/spreadsheetml/2006/main" count="202" uniqueCount="116">
  <si>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</si>
  <si>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</si>
  <si>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</si>
  <si>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</si>
  <si>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</si>
  <si>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</si>
  <si>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</si>
  <si>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</si>
  <si>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</si>
  <si>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</si>
  <si>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</si>
  <si>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</si>
  <si>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</si>
  <si>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</si>
  <si>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</si>
  <si>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</si>
  <si>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</si>
  <si>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</si>
  <si>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</si>
  <si>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</si>
  <si>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</si>
  <si>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</si>
  <si>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</si>
  <si>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</si>
  <si>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</si>
  <si>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</si>
  <si>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</si>
  <si>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</si>
  <si>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</si>
  <si>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</si>
  <si>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</si>
  <si>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</si>
  <si>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</si>
  <si>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</si>
  <si>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</si>
  <si>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</si>
  <si>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</si>
  <si>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</si>
  <si>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</si>
  <si>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</si>
  <si>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</si>
  <si>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</si>
  <si>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</si>
  <si>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</si>
  <si>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</si>
  <si>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</si>
  <si>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</si>
  <si>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</si>
  <si>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</si>
  <si>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</si>
  <si>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</si>
  <si>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</si>
  <si>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</si>
  <si>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</si>
  <si>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</si>
  <si>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</si>
  <si>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</si>
  <si>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</si>
  <si>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</si>
  <si>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</si>
  <si>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</si>
  <si>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</si>
  <si>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</si>
  <si>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</si>
  <si>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</si>
  <si>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</si>
  <si>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</si>
  <si>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</si>
  <si>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</si>
  <si>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</si>
  <si>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</si>
  <si>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</si>
  <si>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</si>
  <si>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</si>
  <si>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</si>
  <si>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</si>
  <si>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</si>
  <si>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</si>
  <si>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</si>
  <si>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</si>
  <si>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</si>
  <si>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</si>
  <si>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</si>
  <si>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</si>
  <si>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</si>
  <si>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</si>
  <si>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</si>
  <si>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</si>
  <si>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</si>
  <si>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</si>
  <si>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</si>
  <si>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</si>
  <si>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</si>
  <si>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</si>
  <si>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</si>
  <si>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</si>
  <si>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</si>
  <si>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</si>
  <si>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</si>
  <si>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</si>
  <si>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</si>
  <si>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</si>
  <si>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</si>
  <si>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</si>
  <si>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</si>
  <si>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</si>
  <si>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</si>
  <si>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</si>
  <si>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</si>
  <si>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Reason for leaving</t>
  </si>
  <si>
    <t>Government job</t>
  </si>
  <si>
    <t>Limited market</t>
  </si>
  <si>
    <t>Limited arable land</t>
  </si>
  <si>
    <t>Limited job opportunity</t>
  </si>
  <si>
    <t>Limited infrastructure</t>
  </si>
  <si>
    <t>Victim of conflict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</si>
</sst>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79</c:v>
                </c:pt>
                <c:pt idx="1">
                  <c:v>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pattFill prst="pct5">
              <a:fgClr>
                <a:schemeClr val="dk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'Reason leaving origin'!$E$2:$E$7</c:f>
              <c:strCache>
                <c:ptCount val="6"/>
                <c:pt idx="0">
                  <c:v>Limited market</c:v>
                </c:pt>
                <c:pt idx="1">
                  <c:v>Limited arable land</c:v>
                </c:pt>
                <c:pt idx="2">
                  <c:v>Limited job opportunity</c:v>
                </c:pt>
                <c:pt idx="3">
                  <c:v>Limited infrastructure</c:v>
                </c:pt>
                <c:pt idx="4">
                  <c:v>Government job</c:v>
                </c:pt>
                <c:pt idx="5">
                  <c:v>Victim of conflict</c:v>
                </c:pt>
              </c:strCache>
            </c:strRef>
          </c:cat>
          <c:val>
            <c:numRef>
              <c:f>'Reason leaving origin'!$F$2:$F$7</c:f>
              <c:numCache>
                <c:formatCode>0.00</c:formatCode>
                <c:ptCount val="6"/>
                <c:pt idx="0">
                  <c:v>20.224719101123593</c:v>
                </c:pt>
                <c:pt idx="1">
                  <c:v>7.8651685393258424</c:v>
                </c:pt>
                <c:pt idx="2">
                  <c:v>26.966292134831459</c:v>
                </c:pt>
                <c:pt idx="3">
                  <c:v>34.831460674157306</c:v>
                </c:pt>
                <c:pt idx="4">
                  <c:v>5.6179775280898872</c:v>
                </c:pt>
                <c:pt idx="5">
                  <c:v>4.4943820224719104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1-45F9-B1D2-DD6AEB167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141911823"/>
        <c:axId val="1746210975"/>
      </c:barChart>
      <c:catAx>
        <c:axId val="1141911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Reasons for leaving</a:t>
                </a:r>
                <a:r>
                  <a:rPr lang="en-GB" baseline="0">
                    <a:solidFill>
                      <a:schemeClr val="tx1"/>
                    </a:solidFill>
                  </a:rPr>
                  <a:t> origin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210975"/>
        <c:crosses val="autoZero"/>
        <c:auto val="1"/>
        <c:lblAlgn val="ctr"/>
        <c:lblOffset val="100"/>
        <c:noMultiLvlLbl val="0"/>
      </c:catAx>
      <c:valAx>
        <c:axId val="174621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Percentage</a:t>
                </a:r>
                <a:r>
                  <a:rPr lang="en-GB" baseline="0">
                    <a:solidFill>
                      <a:schemeClr val="tx1"/>
                    </a:solidFill>
                  </a:rPr>
                  <a:t> (%)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1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pattFill prst="diag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81-4E4F-BFFF-ECBBBD34CE17}"/>
              </c:ext>
            </c:extLst>
          </c:dPt>
          <c:dPt>
            <c:idx val="1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B81-4E4F-BFFF-ECBBBD34CE17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81-4E4F-BFFF-ECBBBD34CE17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'Place of Origin'!$E$3:$E$5</c:f>
              <c:strCache>
                <c:ptCount val="3"/>
                <c:pt idx="0">
                  <c:v>Same palika</c:v>
                </c:pt>
                <c:pt idx="1">
                  <c:v>Other palika of same district</c:v>
                </c:pt>
                <c:pt idx="2">
                  <c:v>Other district</c:v>
                </c:pt>
              </c:strCache>
            </c:strRef>
          </c:cat>
          <c:val>
            <c:numRef>
              <c:f>'Place of Origin'!$F$3:$F$5</c:f>
              <c:numCache>
                <c:formatCode>0.00</c:formatCode>
                <c:ptCount val="3"/>
                <c:pt idx="0">
                  <c:v>5.6179775280898872</c:v>
                </c:pt>
                <c:pt idx="1">
                  <c:v>21.348314606741571</c:v>
                </c:pt>
                <c:pt idx="2">
                  <c:v>73.033707865168537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1-4E4F-BFFF-ECBBBD34CE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10</xdr:row>
      <xdr:rowOff>60960</xdr:rowOff>
    </xdr:from>
    <xdr:to>
      <xdr:col>10</xdr:col>
      <xdr:colOff>99060</xdr:colOff>
      <xdr:row>29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793400-371C-D104-249D-A0000A5DB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426720</xdr:colOff>
      <xdr:row>8</xdr:row>
      <xdr:rowOff>133350</xdr:rowOff>
    </xdr:from>
    <xdr:to>
      <xdr:col>7</xdr:col>
      <xdr:colOff>472440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FEF239-81DD-10B3-DE30-F9B5AC448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2082_2083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/>
      <sheetData sheetId="3"/>
      <sheetData sheetId="4"/>
      <sheetData sheetId="5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4.4" x14ac:dyDescent="0.3"/>
  <cols>
    <col min="1" max="1" width="26.44140625" bestFit="1" customWidth="1"/>
    <col min="2" max="2" width="15" bestFit="1" customWidth="1"/>
    <col min="3" max="3" width="15" customWidth="1"/>
    <col min="4" max="4" width="10.88671875" bestFit="1" customWidth="1"/>
  </cols>
  <sheetData>
    <row r="1" spans="1:9" ht="2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" thickBo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27" thickBot="1" x14ac:dyDescent="0.35">
      <c r="A3" s="3" t="s">
        <v>2</v>
      </c>
      <c r="B3" s="4" t="s">
        <v>4</v>
      </c>
      <c r="C3" s="4" t="s">
        <v>3</v>
      </c>
    </row>
    <row r="4" spans="1:9" ht="15" thickBot="1" x14ac:dyDescent="0.35">
      <c r="A4" s="5" t="s">
        <v>5</v>
      </c>
      <c r="B4" s="7">
        <v>0.86399999999999999</v>
      </c>
      <c r="C4" s="6">
        <v>70</v>
      </c>
    </row>
    <row r="5" spans="1:9" ht="15" thickBot="1" x14ac:dyDescent="0.35">
      <c r="A5" s="5" t="s">
        <v>6</v>
      </c>
      <c r="B5" s="7">
        <v>6.2E-2</v>
      </c>
      <c r="C5" s="6">
        <v>5</v>
      </c>
    </row>
    <row r="6" spans="1:9" ht="15" thickBot="1" x14ac:dyDescent="0.35">
      <c r="A6" s="5" t="s">
        <v>7</v>
      </c>
      <c r="B6" s="7">
        <v>3.6999999999999998E-2</v>
      </c>
      <c r="C6" s="6">
        <v>3</v>
      </c>
    </row>
    <row r="7" spans="1:9" ht="15" thickBot="1" x14ac:dyDescent="0.35">
      <c r="A7" s="5" t="s">
        <v>8</v>
      </c>
      <c r="B7" s="7">
        <v>2.5000000000000001E-2</v>
      </c>
      <c r="C7" s="6">
        <v>2</v>
      </c>
    </row>
    <row r="8" spans="1:9" ht="15" thickBot="1" x14ac:dyDescent="0.35">
      <c r="A8" s="5" t="s">
        <v>9</v>
      </c>
      <c r="B8" s="7">
        <v>1.2E-2</v>
      </c>
      <c r="C8" s="6">
        <v>1</v>
      </c>
    </row>
    <row r="9" spans="1:9" ht="15" thickBot="1" x14ac:dyDescent="0.35">
      <c r="A9" s="5" t="s">
        <v>10</v>
      </c>
      <c r="B9" s="7">
        <v>0</v>
      </c>
      <c r="C9" s="6">
        <v>0</v>
      </c>
    </row>
    <row r="10" spans="1:9" ht="15" thickBot="1" x14ac:dyDescent="0.35">
      <c r="A10" s="5" t="s">
        <v>11</v>
      </c>
      <c r="B10" s="7">
        <v>0</v>
      </c>
      <c r="C10" s="6">
        <v>0</v>
      </c>
    </row>
    <row r="11" spans="1:9" ht="15" thickBot="1" x14ac:dyDescent="0.35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E6E1-0788-40AD-8F74-B033FAAE0A65}">
  <dimension ref="A1"/>
  <sheetViews>
    <sheetView topLeftCell="AG1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4.4" x14ac:dyDescent="0.3"/>
  <cols>
    <col min="1" max="1" width="50" bestFit="1" customWidth="1"/>
    <col min="2" max="2" width="10.88671875" bestFit="1" customWidth="1"/>
    <col min="3" max="3" width="15" bestFit="1" customWidth="1"/>
    <col min="4" max="4" width="10.88671875" bestFit="1" customWidth="1"/>
  </cols>
  <sheetData>
    <row r="1" spans="1:12" ht="21" x14ac:dyDescent="0.3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" thickBot="1" x14ac:dyDescent="0.35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27" thickBot="1" x14ac:dyDescent="0.35">
      <c r="A3" s="3" t="s">
        <v>15</v>
      </c>
      <c r="B3" s="4" t="s">
        <v>4</v>
      </c>
      <c r="C3" s="4" t="s">
        <v>3</v>
      </c>
    </row>
    <row r="4" spans="1:12" ht="15" thickBot="1" x14ac:dyDescent="0.35">
      <c r="A4" s="5" t="s">
        <v>16</v>
      </c>
      <c r="B4" s="7">
        <v>0.70399999999999996</v>
      </c>
      <c r="C4" s="6">
        <v>57</v>
      </c>
    </row>
    <row r="5" spans="1:12" ht="27" thickBot="1" x14ac:dyDescent="0.35">
      <c r="A5" s="5" t="s">
        <v>17</v>
      </c>
      <c r="B5" s="7">
        <v>0.23499999999999999</v>
      </c>
      <c r="C5" s="6">
        <v>19</v>
      </c>
    </row>
    <row r="6" spans="1:12" ht="15" thickBot="1" x14ac:dyDescent="0.35">
      <c r="A6" s="5" t="s">
        <v>18</v>
      </c>
      <c r="B6" s="7">
        <v>6.2E-2</v>
      </c>
      <c r="C6" s="6">
        <v>5</v>
      </c>
    </row>
    <row r="7" spans="1:12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E6" sqref="E6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15" bestFit="1" customWidth="1"/>
    <col min="4" max="4" width="10.88671875" bestFit="1" customWidth="1"/>
    <col min="8" max="8" width="9.109375" customWidth="1"/>
  </cols>
  <sheetData>
    <row r="1" spans="1:11" ht="21" x14ac:dyDescent="0.3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" thickBot="1" x14ac:dyDescent="0.35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27" thickBot="1" x14ac:dyDescent="0.35">
      <c r="A3" s="3" t="s">
        <v>21</v>
      </c>
      <c r="B3" s="4" t="s">
        <v>4</v>
      </c>
      <c r="C3" s="4" t="s">
        <v>3</v>
      </c>
    </row>
    <row r="4" spans="1:11" ht="15" thickBot="1" x14ac:dyDescent="0.35">
      <c r="A4" s="5" t="s">
        <v>22</v>
      </c>
      <c r="B4" s="7">
        <v>0.76500000000000001</v>
      </c>
      <c r="C4" s="6">
        <v>79</v>
      </c>
    </row>
    <row r="5" spans="1:11" ht="15" thickBot="1" x14ac:dyDescent="0.35">
      <c r="A5" s="5" t="s">
        <v>23</v>
      </c>
      <c r="B5" s="7">
        <v>0.21</v>
      </c>
      <c r="C5" s="6">
        <v>8</v>
      </c>
    </row>
    <row r="6" spans="1:11" ht="27" thickBot="1" x14ac:dyDescent="0.35">
      <c r="A6" s="5" t="s">
        <v>24</v>
      </c>
      <c r="B6" s="7">
        <v>2.5000000000000001E-2</v>
      </c>
      <c r="C6" s="6">
        <v>2</v>
      </c>
    </row>
    <row r="7" spans="1:11" ht="15" thickBot="1" x14ac:dyDescent="0.35">
      <c r="A7" s="5" t="s">
        <v>12</v>
      </c>
      <c r="B7" s="7">
        <v>1</v>
      </c>
      <c r="C7" s="6">
        <f>SUM(C4:C6)</f>
        <v>89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B9" sqref="B9"/>
    </sheetView>
  </sheetViews>
  <sheetFormatPr defaultRowHeight="14.4" x14ac:dyDescent="0.3"/>
  <cols>
    <col min="2" max="2" width="11.44140625" bestFit="1" customWidth="1"/>
  </cols>
  <sheetData>
    <row r="1" spans="1:2" x14ac:dyDescent="0.3">
      <c r="A1" s="8" t="s">
        <v>25</v>
      </c>
      <c r="B1" s="8" t="s">
        <v>26</v>
      </c>
    </row>
    <row r="2" spans="1:2" x14ac:dyDescent="0.3">
      <c r="A2" s="9">
        <v>2083</v>
      </c>
      <c r="B2" s="9">
        <v>3</v>
      </c>
    </row>
    <row r="3" spans="1:2" x14ac:dyDescent="0.3">
      <c r="A3" s="9">
        <v>2082</v>
      </c>
      <c r="B3" s="9">
        <v>16</v>
      </c>
    </row>
    <row r="4" spans="1:2" x14ac:dyDescent="0.3">
      <c r="A4" s="9">
        <v>2081</v>
      </c>
      <c r="B4" s="9">
        <v>11</v>
      </c>
    </row>
    <row r="5" spans="1:2" x14ac:dyDescent="0.3">
      <c r="A5" s="9">
        <v>2080</v>
      </c>
      <c r="B5" s="9">
        <v>9</v>
      </c>
    </row>
    <row r="6" spans="1:2" x14ac:dyDescent="0.3">
      <c r="A6" s="9">
        <v>2079</v>
      </c>
      <c r="B6" s="9">
        <v>14</v>
      </c>
    </row>
    <row r="7" spans="1:2" x14ac:dyDescent="0.3">
      <c r="A7" s="9">
        <v>2078</v>
      </c>
      <c r="B7" s="9">
        <v>12</v>
      </c>
    </row>
    <row r="8" spans="1:2" x14ac:dyDescent="0.3">
      <c r="A8" s="9">
        <v>2077</v>
      </c>
      <c r="B8" s="9">
        <v>2</v>
      </c>
    </row>
    <row r="9" spans="1:2" x14ac:dyDescent="0.3">
      <c r="A9" s="9">
        <v>2076</v>
      </c>
      <c r="B9" s="9">
        <v>8</v>
      </c>
    </row>
    <row r="10" spans="1:2" x14ac:dyDescent="0.3">
      <c r="A10" s="9">
        <v>2075</v>
      </c>
      <c r="B10" s="9">
        <v>5</v>
      </c>
    </row>
    <row r="11" spans="1:2" x14ac:dyDescent="0.3">
      <c r="A11" s="9">
        <v>2074</v>
      </c>
      <c r="B11" s="9">
        <v>9</v>
      </c>
    </row>
    <row r="12" spans="1:2" x14ac:dyDescent="0.3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G5" sqref="G5"/>
    </sheetView>
  </sheetViews>
  <sheetFormatPr defaultRowHeight="14.4" x14ac:dyDescent="0.3"/>
  <sheetData>
    <row r="1" spans="1:11" x14ac:dyDescent="0.3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3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3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3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3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3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4.4" x14ac:dyDescent="0.3"/>
  <cols>
    <col min="2" max="2" width="17.44140625" bestFit="1" customWidth="1"/>
  </cols>
  <sheetData>
    <row r="1" spans="1:7" x14ac:dyDescent="0.3">
      <c r="A1" s="8" t="s">
        <v>27</v>
      </c>
      <c r="B1" s="8" t="s">
        <v>28</v>
      </c>
      <c r="C1" s="8" t="s">
        <v>29</v>
      </c>
    </row>
    <row r="2" spans="1:7" x14ac:dyDescent="0.3">
      <c r="A2" s="9" t="s">
        <v>30</v>
      </c>
      <c r="B2" s="9">
        <f>'[1]for graph'!$I$4</f>
        <v>28</v>
      </c>
      <c r="C2" s="11">
        <f>B2/B6*100</f>
        <v>31.460674157303369</v>
      </c>
      <c r="F2" s="9" t="s">
        <v>30</v>
      </c>
      <c r="G2" s="11">
        <f>C2</f>
        <v>31.460674157303369</v>
      </c>
    </row>
    <row r="3" spans="1:7" x14ac:dyDescent="0.3">
      <c r="A3" s="9" t="s">
        <v>31</v>
      </c>
      <c r="B3" s="9">
        <f>'[1]for graph'!$I$3</f>
        <v>32</v>
      </c>
      <c r="C3" s="11">
        <f>B3/B6*100</f>
        <v>35.955056179775283</v>
      </c>
      <c r="F3" s="9" t="s">
        <v>31</v>
      </c>
      <c r="G3" s="11">
        <f t="shared" ref="G3:G5" si="0">C3</f>
        <v>35.955056179775283</v>
      </c>
    </row>
    <row r="4" spans="1:7" x14ac:dyDescent="0.3">
      <c r="A4" s="9" t="s">
        <v>40</v>
      </c>
      <c r="B4" s="9">
        <f>'[1]for graph'!$I$14</f>
        <v>23</v>
      </c>
      <c r="C4" s="11">
        <f>B4/B6*100</f>
        <v>25.842696629213485</v>
      </c>
      <c r="F4" s="9" t="s">
        <v>40</v>
      </c>
      <c r="G4" s="11">
        <f t="shared" si="0"/>
        <v>25.842696629213485</v>
      </c>
    </row>
    <row r="5" spans="1:7" x14ac:dyDescent="0.3">
      <c r="A5" s="9" t="s">
        <v>41</v>
      </c>
      <c r="B5" s="9">
        <f>'[1]for graph'!$I$6</f>
        <v>6</v>
      </c>
      <c r="C5" s="11">
        <f>B5/B6*100</f>
        <v>6.7415730337078648</v>
      </c>
      <c r="F5" s="9" t="s">
        <v>41</v>
      </c>
      <c r="G5" s="11">
        <f t="shared" si="0"/>
        <v>6.7415730337078648</v>
      </c>
    </row>
    <row r="6" spans="1:7" x14ac:dyDescent="0.3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sqref="A1:C6"/>
    </sheetView>
  </sheetViews>
  <sheetFormatPr defaultRowHeight="14.4" x14ac:dyDescent="0.3"/>
  <cols>
    <col min="2" max="2" width="16.44140625" bestFit="1" customWidth="1"/>
    <col min="3" max="3" width="7.44140625" bestFit="1" customWidth="1"/>
  </cols>
  <sheetData>
    <row r="1" spans="1:7" x14ac:dyDescent="0.3">
      <c r="A1" s="8" t="s">
        <v>42</v>
      </c>
      <c r="B1" s="8" t="s">
        <v>28</v>
      </c>
      <c r="C1" s="8" t="s">
        <v>29</v>
      </c>
    </row>
    <row r="2" spans="1:7" x14ac:dyDescent="0.3">
      <c r="A2" s="9" t="s">
        <v>43</v>
      </c>
      <c r="B2" s="9">
        <f>'[1]for graph'!$K$3</f>
        <v>60</v>
      </c>
      <c r="C2" s="11">
        <f>B2/B6*100</f>
        <v>67.415730337078656</v>
      </c>
      <c r="F2" s="9" t="s">
        <v>43</v>
      </c>
      <c r="G2" s="11">
        <f>C2</f>
        <v>67.415730337078656</v>
      </c>
    </row>
    <row r="3" spans="1:7" x14ac:dyDescent="0.3">
      <c r="A3" s="9" t="s">
        <v>44</v>
      </c>
      <c r="B3" s="9">
        <f>'[1]for graph'!$K$14</f>
        <v>23</v>
      </c>
      <c r="C3" s="11">
        <f>B3/B6*100</f>
        <v>25.842696629213485</v>
      </c>
      <c r="F3" s="9" t="s">
        <v>44</v>
      </c>
      <c r="G3" s="11">
        <f>C3</f>
        <v>25.842696629213485</v>
      </c>
    </row>
    <row r="4" spans="1:7" x14ac:dyDescent="0.3">
      <c r="A4" s="9" t="s">
        <v>45</v>
      </c>
      <c r="B4" s="9">
        <v>0</v>
      </c>
      <c r="C4" s="11">
        <f>B4/B6*100</f>
        <v>0</v>
      </c>
      <c r="F4" s="9" t="s">
        <v>45</v>
      </c>
      <c r="G4" s="11">
        <f>C4</f>
        <v>0</v>
      </c>
    </row>
    <row r="5" spans="1:7" x14ac:dyDescent="0.3">
      <c r="A5" s="9" t="s">
        <v>46</v>
      </c>
      <c r="B5" s="9">
        <f>'[1]for graph'!$K$6</f>
        <v>6</v>
      </c>
      <c r="C5" s="11">
        <f>B5/B6*100</f>
        <v>6.7415730337078648</v>
      </c>
      <c r="F5" s="9" t="s">
        <v>46</v>
      </c>
      <c r="G5" s="11">
        <f>C5</f>
        <v>6.7415730337078648</v>
      </c>
    </row>
    <row r="6" spans="1:7" x14ac:dyDescent="0.3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C12" sqref="C12"/>
    </sheetView>
  </sheetViews>
  <sheetFormatPr defaultRowHeight="14.4" x14ac:dyDescent="0.3"/>
  <cols>
    <col min="1" max="1" width="17.44140625" bestFit="1" customWidth="1"/>
    <col min="2" max="2" width="16.33203125" bestFit="1" customWidth="1"/>
    <col min="3" max="3" width="13.33203125" bestFit="1" customWidth="1"/>
  </cols>
  <sheetData>
    <row r="1" spans="1:3" x14ac:dyDescent="0.3">
      <c r="A1" s="9" t="s">
        <v>47</v>
      </c>
      <c r="B1" s="9" t="s">
        <v>3</v>
      </c>
      <c r="C1" s="9" t="s">
        <v>48</v>
      </c>
    </row>
    <row r="2" spans="1:3" x14ac:dyDescent="0.3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3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3">
      <c r="A4" s="9" t="s">
        <v>51</v>
      </c>
      <c r="B4" s="9">
        <v>0</v>
      </c>
      <c r="C4" s="11">
        <f t="shared" si="0"/>
        <v>0</v>
      </c>
    </row>
    <row r="5" spans="1:3" x14ac:dyDescent="0.3">
      <c r="A5" s="9" t="s">
        <v>52</v>
      </c>
      <c r="B5" s="9">
        <v>0</v>
      </c>
      <c r="C5" s="11">
        <f t="shared" si="0"/>
        <v>0</v>
      </c>
    </row>
    <row r="6" spans="1:3" x14ac:dyDescent="0.3">
      <c r="A6" s="9" t="s">
        <v>32</v>
      </c>
      <c r="B6" s="9">
        <v>11</v>
      </c>
      <c r="C6" s="11">
        <f t="shared" si="0"/>
        <v>12.359550561797752</v>
      </c>
    </row>
    <row r="7" spans="1:3" x14ac:dyDescent="0.3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4.4" x14ac:dyDescent="0.3"/>
  <cols>
    <col min="1" max="1" width="15.88671875" bestFit="1" customWidth="1"/>
    <col min="2" max="2" width="17.5546875" bestFit="1" customWidth="1"/>
    <col min="3" max="3" width="14.5546875" bestFit="1" customWidth="1"/>
  </cols>
  <sheetData>
    <row r="1" spans="1:7" x14ac:dyDescent="0.3">
      <c r="A1" s="9" t="s">
        <v>53</v>
      </c>
      <c r="B1" s="9" t="s">
        <v>3</v>
      </c>
      <c r="C1" s="9" t="s">
        <v>48</v>
      </c>
    </row>
    <row r="2" spans="1:7" x14ac:dyDescent="0.3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3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3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3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4.4" x14ac:dyDescent="0.3"/>
  <cols>
    <col min="2" max="2" width="6.5546875" bestFit="1" customWidth="1"/>
    <col min="3" max="3" width="14.5546875" bestFit="1" customWidth="1"/>
    <col min="4" max="4" width="7.5546875" bestFit="1" customWidth="1"/>
    <col min="5" max="5" width="14.5546875" bestFit="1" customWidth="1"/>
    <col min="6" max="6" width="6.5546875" bestFit="1" customWidth="1"/>
    <col min="7" max="7" width="14.5546875" bestFit="1" customWidth="1"/>
  </cols>
  <sheetData>
    <row r="1" spans="1:9" x14ac:dyDescent="0.3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3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3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3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3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3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3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3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3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3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3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3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3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3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3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3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3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4.4" x14ac:dyDescent="0.3"/>
  <cols>
    <col min="1" max="1" width="12.33203125" bestFit="1" customWidth="1"/>
    <col min="2" max="2" width="4" bestFit="1" customWidth="1"/>
    <col min="3" max="3" width="13.33203125" bestFit="1" customWidth="1"/>
    <col min="4" max="4" width="4" bestFit="1" customWidth="1"/>
    <col min="5" max="5" width="13.33203125" bestFit="1" customWidth="1"/>
    <col min="6" max="6" width="4" bestFit="1" customWidth="1"/>
    <col min="7" max="7" width="13.33203125" bestFit="1" customWidth="1"/>
    <col min="10" max="10" width="9.6640625" bestFit="1" customWidth="1"/>
    <col min="11" max="11" width="5.6640625" customWidth="1"/>
    <col min="13" max="13" width="9.6640625" bestFit="1" customWidth="1"/>
    <col min="15" max="15" width="6.88671875" bestFit="1" customWidth="1"/>
  </cols>
  <sheetData>
    <row r="1" spans="1:15" x14ac:dyDescent="0.3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3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3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3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3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3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3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4.4" x14ac:dyDescent="0.3"/>
  <cols>
    <col min="1" max="1" width="9.6640625" bestFit="1" customWidth="1"/>
    <col min="2" max="2" width="15.44140625" bestFit="1" customWidth="1"/>
    <col min="3" max="3" width="7.33203125" bestFit="1" customWidth="1"/>
  </cols>
  <sheetData>
    <row r="1" spans="1:7" x14ac:dyDescent="0.3">
      <c r="A1" s="9" t="s">
        <v>82</v>
      </c>
      <c r="B1" s="9" t="s">
        <v>78</v>
      </c>
      <c r="C1" s="9" t="s">
        <v>29</v>
      </c>
    </row>
    <row r="2" spans="1:7" x14ac:dyDescent="0.3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3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3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3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M11" sqref="M11"/>
    </sheetView>
  </sheetViews>
  <sheetFormatPr defaultRowHeight="14.4" x14ac:dyDescent="0.3"/>
  <cols>
    <col min="1" max="1" width="22.6640625" bestFit="1" customWidth="1"/>
  </cols>
  <sheetData>
    <row r="1" spans="1:9" x14ac:dyDescent="0.3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3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3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3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workbookViewId="0">
      <selection activeCell="A8" sqref="A8:XFD18"/>
    </sheetView>
  </sheetViews>
  <sheetFormatPr defaultRowHeight="14.4" x14ac:dyDescent="0.3"/>
  <cols>
    <col min="1" max="1" width="26.44140625" customWidth="1"/>
    <col min="2" max="2" width="17.5546875" bestFit="1" customWidth="1"/>
    <col min="3" max="3" width="11" bestFit="1" customWidth="1"/>
  </cols>
  <sheetData>
    <row r="1" spans="1:3" x14ac:dyDescent="0.3">
      <c r="A1" s="9" t="s">
        <v>90</v>
      </c>
      <c r="B1" s="9" t="s">
        <v>3</v>
      </c>
      <c r="C1" s="9" t="s">
        <v>91</v>
      </c>
    </row>
    <row r="2" spans="1:3" x14ac:dyDescent="0.3">
      <c r="A2" s="9" t="s">
        <v>92</v>
      </c>
      <c r="B2" s="9"/>
      <c r="C2" s="9"/>
    </row>
    <row r="3" spans="1:3" x14ac:dyDescent="0.3">
      <c r="A3" s="9" t="s">
        <v>93</v>
      </c>
      <c r="B3" s="9"/>
      <c r="C3" s="9"/>
    </row>
    <row r="4" spans="1:3" x14ac:dyDescent="0.3">
      <c r="A4" s="9" t="s">
        <v>94</v>
      </c>
      <c r="B4" s="9"/>
      <c r="C4" s="9"/>
    </row>
    <row r="5" spans="1:3" x14ac:dyDescent="0.3">
      <c r="A5" s="9" t="s">
        <v>32</v>
      </c>
      <c r="B5" s="9"/>
      <c r="C5" s="9"/>
    </row>
    <row r="6" spans="1:3" x14ac:dyDescent="0.3">
      <c r="A6" s="9" t="s">
        <v>12</v>
      </c>
      <c r="B6" s="9"/>
      <c r="C6" s="9"/>
    </row>
    <row r="8" spans="1:3" x14ac:dyDescent="0.3">
      <c r="A8" s="9" t="s">
        <v>98</v>
      </c>
      <c r="B8" s="9"/>
      <c r="C8" s="9"/>
    </row>
    <row r="9" spans="1:3" x14ac:dyDescent="0.3">
      <c r="A9" s="9" t="s">
        <v>99</v>
      </c>
      <c r="B9" s="9"/>
      <c r="C9" s="9"/>
    </row>
    <row r="10" spans="1:3" x14ac:dyDescent="0.3">
      <c r="A10" s="9" t="s">
        <v>100</v>
      </c>
      <c r="B10" s="9"/>
      <c r="C10" s="9"/>
    </row>
    <row r="11" spans="1:3" x14ac:dyDescent="0.3">
      <c r="A11" s="9" t="s">
        <v>101</v>
      </c>
      <c r="B11" s="9"/>
      <c r="C11" s="9"/>
    </row>
    <row r="12" spans="1:3" x14ac:dyDescent="0.3">
      <c r="A12" s="9" t="s">
        <v>102</v>
      </c>
      <c r="B12" s="9"/>
      <c r="C12" s="9"/>
    </row>
    <row r="13" spans="1:3" x14ac:dyDescent="0.3">
      <c r="A13" s="9" t="s">
        <v>103</v>
      </c>
      <c r="B13" s="9"/>
      <c r="C13" s="9"/>
    </row>
    <row r="14" spans="1:3" x14ac:dyDescent="0.3">
      <c r="A14" s="9" t="s">
        <v>104</v>
      </c>
      <c r="B14" s="9"/>
      <c r="C14" s="9"/>
    </row>
    <row r="15" spans="1:3" x14ac:dyDescent="0.3">
      <c r="A15" s="9" t="s">
        <v>105</v>
      </c>
      <c r="B15" s="9"/>
      <c r="C15" s="9"/>
    </row>
    <row r="16" spans="1:3" x14ac:dyDescent="0.3">
      <c r="A16" s="9" t="s">
        <v>106</v>
      </c>
      <c r="B16" s="9"/>
      <c r="C16" s="9"/>
    </row>
    <row r="17" spans="1:3" x14ac:dyDescent="0.3">
      <c r="A17" s="9" t="s">
        <v>107</v>
      </c>
      <c r="B17" s="9"/>
      <c r="C17" s="9"/>
    </row>
    <row r="18" spans="1:3" x14ac:dyDescent="0.3">
      <c r="A18" s="9" t="s">
        <v>108</v>
      </c>
      <c r="B18" s="9"/>
      <c r="C18" s="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2314-3B3B-4824-945E-BC96E76CCF72}">
  <dimension ref="A1:F8"/>
  <sheetViews>
    <sheetView topLeftCell="A7" workbookViewId="0">
      <selection activeCell="M26" sqref="M26"/>
    </sheetView>
  </sheetViews>
  <sheetFormatPr defaultRowHeight="14.4" x14ac:dyDescent="0.3"/>
  <cols>
    <col min="1" max="1" width="20.21875" bestFit="1" customWidth="1"/>
    <col min="2" max="2" width="16" bestFit="1" customWidth="1"/>
    <col min="3" max="3" width="13.21875" bestFit="1" customWidth="1"/>
    <col min="5" max="5" width="20.21875" bestFit="1" customWidth="1"/>
  </cols>
  <sheetData>
    <row r="1" spans="1:6" x14ac:dyDescent="0.3">
      <c r="A1" s="9" t="s">
        <v>109</v>
      </c>
      <c r="B1" s="9" t="s">
        <v>28</v>
      </c>
      <c r="C1" s="9" t="s">
        <v>48</v>
      </c>
    </row>
    <row r="2" spans="1:6" x14ac:dyDescent="0.3">
      <c r="A2" s="9" t="s">
        <v>111</v>
      </c>
      <c r="B2" s="9">
        <v>18</v>
      </c>
      <c r="C2" s="11">
        <f>B2/$B$8*100</f>
        <v>20.224719101123593</v>
      </c>
      <c r="E2" s="9" t="s">
        <v>111</v>
      </c>
      <c r="F2" s="11">
        <f>C2</f>
        <v>20.224719101123593</v>
      </c>
    </row>
    <row r="3" spans="1:6" x14ac:dyDescent="0.3">
      <c r="A3" s="9" t="s">
        <v>112</v>
      </c>
      <c r="B3" s="9">
        <v>7</v>
      </c>
      <c r="C3" s="11">
        <f t="shared" ref="C3:C8" si="0">B3/$B$8*100</f>
        <v>7.8651685393258424</v>
      </c>
      <c r="E3" s="9" t="s">
        <v>112</v>
      </c>
      <c r="F3" s="11">
        <f t="shared" ref="F3:F7" si="1">C3</f>
        <v>7.8651685393258424</v>
      </c>
    </row>
    <row r="4" spans="1:6" x14ac:dyDescent="0.3">
      <c r="A4" s="9" t="s">
        <v>113</v>
      </c>
      <c r="B4" s="9">
        <v>24</v>
      </c>
      <c r="C4" s="11">
        <f t="shared" si="0"/>
        <v>26.966292134831459</v>
      </c>
      <c r="E4" s="9" t="s">
        <v>113</v>
      </c>
      <c r="F4" s="11">
        <f t="shared" si="1"/>
        <v>26.966292134831459</v>
      </c>
    </row>
    <row r="5" spans="1:6" x14ac:dyDescent="0.3">
      <c r="A5" s="9" t="s">
        <v>114</v>
      </c>
      <c r="B5" s="9">
        <v>31</v>
      </c>
      <c r="C5" s="11">
        <f t="shared" si="0"/>
        <v>34.831460674157306</v>
      </c>
      <c r="E5" s="9" t="s">
        <v>114</v>
      </c>
      <c r="F5" s="11">
        <f t="shared" si="1"/>
        <v>34.831460674157306</v>
      </c>
    </row>
    <row r="6" spans="1:6" x14ac:dyDescent="0.3">
      <c r="A6" s="9" t="s">
        <v>110</v>
      </c>
      <c r="B6" s="9">
        <v>5</v>
      </c>
      <c r="C6" s="11">
        <f t="shared" si="0"/>
        <v>5.6179775280898872</v>
      </c>
      <c r="E6" s="9" t="s">
        <v>110</v>
      </c>
      <c r="F6" s="11">
        <f t="shared" si="1"/>
        <v>5.6179775280898872</v>
      </c>
    </row>
    <row r="7" spans="1:6" x14ac:dyDescent="0.3">
      <c r="A7" s="9" t="s">
        <v>115</v>
      </c>
      <c r="B7" s="9">
        <v>4</v>
      </c>
      <c r="C7" s="11">
        <f t="shared" si="0"/>
        <v>4.4943820224719104</v>
      </c>
      <c r="E7" s="9" t="s">
        <v>115</v>
      </c>
      <c r="F7" s="11">
        <f t="shared" si="1"/>
        <v>4.4943820224719104</v>
      </c>
    </row>
    <row r="8" spans="1:6" x14ac:dyDescent="0.3">
      <c r="A8" s="9" t="s">
        <v>12</v>
      </c>
      <c r="B8" s="9">
        <f>SUM(B2:B7)</f>
        <v>89</v>
      </c>
      <c r="C8" s="11">
        <f t="shared" si="0"/>
        <v>100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2:F6"/>
  <sheetViews>
    <sheetView tabSelected="1" workbookViewId="0">
      <selection activeCell="A17" sqref="A17"/>
    </sheetView>
  </sheetViews>
  <sheetFormatPr defaultRowHeight="14.4" x14ac:dyDescent="0.3"/>
  <cols>
    <col min="1" max="1" width="26.44140625" bestFit="1" customWidth="1"/>
    <col min="2" max="2" width="17.5546875" bestFit="1" customWidth="1"/>
    <col min="3" max="3" width="14.5546875" bestFit="1" customWidth="1"/>
    <col min="5" max="5" width="24.77734375" bestFit="1" customWidth="1"/>
  </cols>
  <sheetData>
    <row r="2" spans="1:6" x14ac:dyDescent="0.3">
      <c r="A2" s="8" t="s">
        <v>15</v>
      </c>
      <c r="B2" s="8" t="s">
        <v>3</v>
      </c>
      <c r="C2" s="8" t="s">
        <v>48</v>
      </c>
    </row>
    <row r="3" spans="1:6" x14ac:dyDescent="0.3">
      <c r="A3" s="8" t="s">
        <v>95</v>
      </c>
      <c r="B3" s="9">
        <v>5</v>
      </c>
      <c r="C3" s="11">
        <f>B3/$B$6*100</f>
        <v>5.6179775280898872</v>
      </c>
      <c r="E3" s="8" t="s">
        <v>95</v>
      </c>
      <c r="F3" s="11">
        <f>C3</f>
        <v>5.6179775280898872</v>
      </c>
    </row>
    <row r="4" spans="1:6" x14ac:dyDescent="0.3">
      <c r="A4" s="8" t="s">
        <v>96</v>
      </c>
      <c r="B4" s="9">
        <f>24-B3</f>
        <v>19</v>
      </c>
      <c r="C4" s="11">
        <f t="shared" ref="C4:C6" si="0">B4/$B$6*100</f>
        <v>21.348314606741571</v>
      </c>
      <c r="E4" s="8" t="s">
        <v>96</v>
      </c>
      <c r="F4" s="11">
        <f t="shared" ref="F4:F5" si="1">C4</f>
        <v>21.348314606741571</v>
      </c>
    </row>
    <row r="5" spans="1:6" x14ac:dyDescent="0.3">
      <c r="A5" s="8" t="s">
        <v>97</v>
      </c>
      <c r="B5" s="9">
        <v>65</v>
      </c>
      <c r="C5" s="11">
        <f t="shared" si="0"/>
        <v>73.033707865168537</v>
      </c>
      <c r="E5" s="8" t="s">
        <v>97</v>
      </c>
      <c r="F5" s="11">
        <f t="shared" si="1"/>
        <v>73.033707865168537</v>
      </c>
    </row>
    <row r="6" spans="1:6" x14ac:dyDescent="0.3">
      <c r="A6" s="8" t="s">
        <v>12</v>
      </c>
      <c r="B6" s="9">
        <f>SUM(B3:B5)</f>
        <v>89</v>
      </c>
      <c r="C6" s="11">
        <f t="shared" si="0"/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Reasons for leaving origin</vt:lpstr>
      <vt:lpstr>Consequence for Local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Reason 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dcterms:created xsi:type="dcterms:W3CDTF">2015-06-05T18:17:20Z</dcterms:created>
  <dcterms:modified xsi:type="dcterms:W3CDTF">2026-09-20T16:08:24Z</dcterms:modified>
</cp:coreProperties>
</file>