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1395476B-5C5C-4699-AEFB-BB4C8329EBB3}" xr6:coauthVersionLast="47" xr6:coauthVersionMax="47" xr10:uidLastSave="{00000000-0000-0000-0000-000000000000}"/>
  <bookViews>
    <workbookView xWindow="-120" yWindow="-120" windowWidth="20730" windowHeight="11040" firstSheet="10" activeTab="13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Literacy status" sheetId="6" r:id="rId5"/>
    <sheet name="Ethnicity" sheetId="5" r:id="rId6"/>
    <sheet name="Religion" sheetId="7" r:id="rId7"/>
    <sheet name="Land holdings" sheetId="8" r:id="rId8"/>
    <sheet name="Water source" sheetId="9" r:id="rId9"/>
    <sheet name="5yrs age group" sheetId="10" r:id="rId10"/>
    <sheet name="Marrital status" sheetId="11" r:id="rId11"/>
    <sheet name="Family size" sheetId="12" r:id="rId12"/>
    <sheet name="dependency ratio" sheetId="13" r:id="rId13"/>
    <sheet name="Leaving origin" sheetId="14" r:id="rId14"/>
    <sheet name="Place of Origin" sheetId="15" r:id="rId15"/>
  </sheets>
  <externalReferences>
    <externalReference r:id="rId1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5" l="1"/>
  <c r="C10" i="15"/>
  <c r="C11" i="15"/>
  <c r="C8" i="15"/>
  <c r="B11" i="15"/>
  <c r="B9" i="15"/>
  <c r="C4" i="13" l="1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J5" i="11"/>
  <c r="J4" i="11"/>
  <c r="B5" i="11"/>
  <c r="B4" i="11"/>
  <c r="F4" i="11" s="1"/>
  <c r="D5" i="11"/>
  <c r="D4" i="11"/>
  <c r="G3" i="9"/>
  <c r="G4" i="9"/>
  <c r="G2" i="9"/>
  <c r="B3" i="8"/>
  <c r="B2" i="8"/>
  <c r="B6" i="11" l="1"/>
  <c r="C5" i="11" s="1"/>
  <c r="N4" i="11" s="1"/>
  <c r="D6" i="11"/>
  <c r="E5" i="11" s="1"/>
  <c r="O4" i="11" s="1"/>
  <c r="F6" i="11"/>
  <c r="G4" i="11" s="1"/>
  <c r="F5" i="11"/>
  <c r="C4" i="11" l="1"/>
  <c r="E4" i="11"/>
  <c r="K4" i="11"/>
  <c r="N3" i="11"/>
  <c r="C6" i="11"/>
  <c r="G5" i="11"/>
  <c r="K5" i="11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O3" i="11" l="1"/>
  <c r="E6" i="11"/>
  <c r="G6" i="11"/>
  <c r="C3" i="8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4" i="5" l="1"/>
  <c r="B3" i="7" l="1"/>
  <c r="B3" i="5" l="1"/>
  <c r="B2" i="5"/>
  <c r="B5" i="5"/>
  <c r="B6" i="5" l="1"/>
  <c r="C4" i="5" s="1"/>
  <c r="G4" i="5" s="1"/>
  <c r="B5" i="7"/>
  <c r="B2" i="7"/>
  <c r="B6" i="7" l="1"/>
  <c r="C2" i="7" s="1"/>
  <c r="C3" i="5"/>
  <c r="G3" i="5" s="1"/>
  <c r="C2" i="5"/>
  <c r="C5" i="5"/>
  <c r="G5" i="5" s="1"/>
  <c r="C4" i="7" l="1"/>
  <c r="G4" i="7" s="1"/>
  <c r="C5" i="7"/>
  <c r="G5" i="7" s="1"/>
  <c r="C3" i="7"/>
  <c r="G3" i="7" s="1"/>
  <c r="G2" i="5"/>
  <c r="C6" i="5"/>
  <c r="G2" i="7"/>
  <c r="C6" i="7" l="1"/>
</calcChain>
</file>

<file path=xl/sharedStrings.xml><?xml version="1.0" encoding="utf-8"?>
<sst xmlns="http://schemas.openxmlformats.org/spreadsheetml/2006/main" count="190" uniqueCount="112">
  <si>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</si>
  <si>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</si>
  <si>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</si>
  <si>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</si>
  <si>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</si>
  <si>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</si>
  <si>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</si>
  <si>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</si>
  <si>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</si>
  <si>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</si>
  <si>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</si>
  <si>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</si>
  <si>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</si>
  <si>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</si>
  <si>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</si>
  <si>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</si>
  <si>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</si>
  <si>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</si>
  <si>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</si>
  <si>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</si>
  <si>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</si>
  <si>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</si>
  <si>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</si>
  <si>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</si>
  <si>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</si>
  <si>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</si>
  <si>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</si>
  <si>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</si>
  <si>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</si>
  <si>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</si>
  <si>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</si>
  <si>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</si>
  <si>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</si>
  <si>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</si>
  <si>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</si>
  <si>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</si>
  <si>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</si>
  <si>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</si>
  <si>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</si>
  <si>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</si>
  <si>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</si>
  <si>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</si>
  <si>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</si>
  <si>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</si>
  <si>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</si>
  <si>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</si>
  <si>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</si>
  <si>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</si>
  <si>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</si>
  <si>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</si>
  <si>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</si>
  <si>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</si>
  <si>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</si>
  <si>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</si>
  <si>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</si>
  <si>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</si>
  <si>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</si>
  <si>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</si>
  <si>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</si>
  <si>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</si>
  <si>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</si>
  <si>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</si>
  <si>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</si>
  <si>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</si>
  <si>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</si>
  <si>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</si>
  <si>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</si>
  <si>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</si>
  <si>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</si>
  <si>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</si>
  <si>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</si>
  <si>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</si>
  <si>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</si>
  <si>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</si>
  <si>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</si>
  <si>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</si>
  <si>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</si>
  <si>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</si>
  <si>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</si>
  <si>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</si>
  <si>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</si>
  <si>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</si>
  <si>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</si>
  <si>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</si>
  <si>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</si>
  <si>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</si>
  <si>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</si>
  <si>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</si>
  <si>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</si>
  <si>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</si>
  <si>
    <t>Reasons for Left</t>
  </si>
  <si>
    <t>Percentage</t>
  </si>
  <si>
    <t>No/Limited opportunity</t>
  </si>
  <si>
    <t>Unemployment</t>
  </si>
  <si>
    <t>Political Instability</t>
  </si>
  <si>
    <t>Country</t>
  </si>
  <si>
    <t>District</t>
  </si>
  <si>
    <t>VDC/Municipality</t>
  </si>
  <si>
    <t>Same palika</t>
  </si>
  <si>
    <t>Other palika of same district</t>
  </si>
  <si>
    <t>Other district</t>
  </si>
  <si>
    <t>Reasons of migration from different places to this municipality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</si>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</sst>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0" fillId="0" borderId="5" xfId="0" quotePrefix="1" applyBorder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pattFill prst="weave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dotDmnd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dashHorz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lt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smCheck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pattFill prst="wave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gradFill flip="none" rotWithShape="1">
                      <a:gsLst>
                        <a:gs pos="0">
                          <a:schemeClr val="bg2"/>
                        </a:gs>
                        <a:gs pos="74000">
                          <a:schemeClr val="accent1">
                            <a:lumMod val="45000"/>
                            <a:lumOff val="55000"/>
                          </a:schemeClr>
                        </a:gs>
                        <a:gs pos="83000">
                          <a:schemeClr val="accent1">
                            <a:lumMod val="45000"/>
                            <a:lumOff val="55000"/>
                          </a:schemeClr>
                        </a:gs>
                        <a:gs pos="100000">
                          <a:schemeClr val="accent1">
                            <a:lumMod val="30000"/>
                            <a:lumOff val="70000"/>
                          </a:schemeClr>
                        </a:gs>
                      </a:gsLst>
                      <a:lin ang="5400000" scaled="1"/>
                      <a:tileRect/>
                    </a:gradFill>
                    <a:effectLst>
                      <a:outerShdw blurRad="50800" dist="50800" dir="5400000" algn="ctr" rotWithShape="0">
                        <a:schemeClr val="bg2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 w="0"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Marital Status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Percent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1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547687</xdr:colOff>
      <xdr:row>5</xdr:row>
      <xdr:rowOff>52387</xdr:rowOff>
    </xdr:from>
    <xdr:to>
      <xdr:col>11</xdr:col>
      <xdr:colOff>242887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19050</xdr:rowOff>
    </xdr:from>
    <xdr:to>
      <xdr:col>8</xdr:col>
      <xdr:colOff>419100</xdr:colOff>
      <xdr:row>23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2082_2083\migration\list%20of%20immigrants.xlsx" TargetMode="External"/><Relationship Id="rId1" Type="http://schemas.openxmlformats.org/officeDocument/2006/relationships/externalLinkPath" Target="list%20of%20immigr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ed"/>
      <sheetName val="for graph"/>
      <sheetName val="Sheet2"/>
      <sheetName val="Reasons"/>
      <sheetName val="Detailed (2)"/>
      <sheetName val="5yrs above"/>
      <sheetName val="10yrs above"/>
    </sheetNames>
    <sheetDataSet>
      <sheetData sheetId="0" refreshError="1"/>
      <sheetData sheetId="1">
        <row r="3">
          <cell r="I3">
            <v>32</v>
          </cell>
          <cell r="K3">
            <v>60</v>
          </cell>
        </row>
        <row r="4">
          <cell r="I4">
            <v>28</v>
          </cell>
        </row>
        <row r="6">
          <cell r="I6">
            <v>6</v>
          </cell>
          <cell r="K6">
            <v>6</v>
          </cell>
        </row>
        <row r="14">
          <cell r="I14">
            <v>23</v>
          </cell>
          <cell r="K14">
            <v>23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4">
          <cell r="I4">
            <v>99</v>
          </cell>
        </row>
        <row r="5">
          <cell r="I5">
            <v>102</v>
          </cell>
        </row>
        <row r="6">
          <cell r="I6">
            <v>69</v>
          </cell>
        </row>
        <row r="8">
          <cell r="I8">
            <v>54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5" x14ac:dyDescent="0.25"/>
  <cols>
    <col min="1" max="1" width="26.42578125" bestFit="1" customWidth="1"/>
    <col min="2" max="2" width="15" bestFit="1" customWidth="1"/>
    <col min="3" max="3" width="15" customWidth="1"/>
    <col min="4" max="4" width="10.85546875" bestFit="1" customWidth="1"/>
  </cols>
  <sheetData>
    <row r="1" spans="1:9" ht="20.25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5.75" thickBot="1" x14ac:dyDescent="0.3">
      <c r="A2" s="18" t="s">
        <v>1</v>
      </c>
      <c r="B2" s="18"/>
      <c r="C2" s="18"/>
      <c r="D2" s="18"/>
      <c r="E2" s="18"/>
      <c r="F2" s="18"/>
      <c r="G2" s="18"/>
      <c r="H2" s="18"/>
      <c r="I2" s="18"/>
    </row>
    <row r="3" spans="1:9" ht="15.75" thickBot="1" x14ac:dyDescent="0.3">
      <c r="A3" s="3" t="s">
        <v>2</v>
      </c>
      <c r="B3" s="4" t="s">
        <v>4</v>
      </c>
      <c r="C3" s="4" t="s">
        <v>3</v>
      </c>
    </row>
    <row r="4" spans="1:9" ht="15.75" thickBot="1" x14ac:dyDescent="0.3">
      <c r="A4" s="5" t="s">
        <v>5</v>
      </c>
      <c r="B4" s="7">
        <v>0.86399999999999999</v>
      </c>
      <c r="C4" s="6">
        <v>70</v>
      </c>
    </row>
    <row r="5" spans="1:9" ht="15.75" thickBot="1" x14ac:dyDescent="0.3">
      <c r="A5" s="5" t="s">
        <v>6</v>
      </c>
      <c r="B5" s="7">
        <v>6.2E-2</v>
      </c>
      <c r="C5" s="6">
        <v>5</v>
      </c>
    </row>
    <row r="6" spans="1:9" ht="15.75" thickBot="1" x14ac:dyDescent="0.3">
      <c r="A6" s="5" t="s">
        <v>7</v>
      </c>
      <c r="B6" s="7">
        <v>3.6999999999999998E-2</v>
      </c>
      <c r="C6" s="6">
        <v>3</v>
      </c>
    </row>
    <row r="7" spans="1:9" ht="15.75" thickBot="1" x14ac:dyDescent="0.3">
      <c r="A7" s="5" t="s">
        <v>8</v>
      </c>
      <c r="B7" s="7">
        <v>2.5000000000000001E-2</v>
      </c>
      <c r="C7" s="6">
        <v>2</v>
      </c>
    </row>
    <row r="8" spans="1:9" ht="15.75" thickBot="1" x14ac:dyDescent="0.3">
      <c r="A8" s="5" t="s">
        <v>9</v>
      </c>
      <c r="B8" s="7">
        <v>1.2E-2</v>
      </c>
      <c r="C8" s="6">
        <v>1</v>
      </c>
    </row>
    <row r="9" spans="1:9" ht="15.75" thickBot="1" x14ac:dyDescent="0.3">
      <c r="A9" s="5" t="s">
        <v>10</v>
      </c>
      <c r="B9" s="7">
        <v>0</v>
      </c>
      <c r="C9" s="6">
        <v>0</v>
      </c>
    </row>
    <row r="10" spans="1:9" ht="15.75" thickBot="1" x14ac:dyDescent="0.3">
      <c r="A10" s="5" t="s">
        <v>11</v>
      </c>
      <c r="B10" s="7">
        <v>0</v>
      </c>
      <c r="C10" s="6">
        <v>0</v>
      </c>
    </row>
    <row r="11" spans="1:9" ht="15.75" thickBot="1" x14ac:dyDescent="0.3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5" x14ac:dyDescent="0.25"/>
  <cols>
    <col min="1" max="1" width="50" bestFit="1" customWidth="1"/>
    <col min="2" max="2" width="10.85546875" bestFit="1" customWidth="1"/>
    <col min="3" max="3" width="15" bestFit="1" customWidth="1"/>
    <col min="4" max="4" width="10.85546875" bestFit="1" customWidth="1"/>
  </cols>
  <sheetData>
    <row r="1" spans="1:12" ht="20.25" x14ac:dyDescent="0.25">
      <c r="A1" s="17" t="s">
        <v>13</v>
      </c>
      <c r="B1" s="17"/>
      <c r="C1" s="17"/>
      <c r="D1" s="17"/>
      <c r="E1" s="17"/>
      <c r="F1" s="17"/>
      <c r="G1" s="17"/>
      <c r="H1" s="1"/>
      <c r="I1" s="1"/>
      <c r="J1" s="1"/>
      <c r="K1" s="1"/>
      <c r="L1" s="1"/>
    </row>
    <row r="2" spans="1:12" ht="15.75" thickBot="1" x14ac:dyDescent="0.3">
      <c r="A2" s="18" t="s">
        <v>14</v>
      </c>
      <c r="B2" s="18"/>
      <c r="C2" s="18"/>
      <c r="D2" s="18"/>
      <c r="E2" s="18"/>
      <c r="F2" s="18"/>
      <c r="G2" s="18"/>
      <c r="H2" s="2"/>
      <c r="I2" s="2"/>
      <c r="J2" s="2"/>
      <c r="K2" s="2"/>
      <c r="L2" s="2"/>
    </row>
    <row r="3" spans="1:12" ht="15.75" thickBot="1" x14ac:dyDescent="0.3">
      <c r="A3" s="3" t="s">
        <v>15</v>
      </c>
      <c r="B3" s="4" t="s">
        <v>4</v>
      </c>
      <c r="C3" s="4" t="s">
        <v>3</v>
      </c>
    </row>
    <row r="4" spans="1:12" ht="15.75" thickBot="1" x14ac:dyDescent="0.3">
      <c r="A4" s="5" t="s">
        <v>16</v>
      </c>
      <c r="B4" s="7">
        <v>0.70399999999999996</v>
      </c>
      <c r="C4" s="6">
        <v>57</v>
      </c>
    </row>
    <row r="5" spans="1:12" ht="15.75" thickBot="1" x14ac:dyDescent="0.3">
      <c r="A5" s="5" t="s">
        <v>17</v>
      </c>
      <c r="B5" s="7">
        <v>0.23499999999999999</v>
      </c>
      <c r="C5" s="6">
        <v>19</v>
      </c>
    </row>
    <row r="6" spans="1:12" ht="15.75" thickBot="1" x14ac:dyDescent="0.3">
      <c r="A6" s="5" t="s">
        <v>18</v>
      </c>
      <c r="B6" s="7">
        <v>6.2E-2</v>
      </c>
      <c r="C6" s="6">
        <v>5</v>
      </c>
    </row>
    <row r="7" spans="1:12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L20" sqref="L20"/>
    </sheetView>
  </sheetViews>
  <sheetFormatPr defaultRowHeight="15" x14ac:dyDescent="0.25"/>
  <cols>
    <col min="1" max="1" width="12.42578125" bestFit="1" customWidth="1"/>
    <col min="2" max="2" width="10.85546875" bestFit="1" customWidth="1"/>
    <col min="3" max="3" width="15" bestFit="1" customWidth="1"/>
    <col min="4" max="4" width="10.85546875" bestFit="1" customWidth="1"/>
    <col min="8" max="8" width="9.140625" customWidth="1"/>
  </cols>
  <sheetData>
    <row r="1" spans="1:11" ht="20.25" x14ac:dyDescent="0.25">
      <c r="A1" s="17" t="s">
        <v>19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thickBot="1" x14ac:dyDescent="0.3">
      <c r="A2" s="18" t="s">
        <v>20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5.75" thickBot="1" x14ac:dyDescent="0.3">
      <c r="A3" s="3" t="s">
        <v>21</v>
      </c>
      <c r="B3" s="4" t="s">
        <v>4</v>
      </c>
      <c r="C3" s="4" t="s">
        <v>3</v>
      </c>
    </row>
    <row r="4" spans="1:11" ht="15.75" thickBot="1" x14ac:dyDescent="0.3">
      <c r="A4" s="5" t="s">
        <v>22</v>
      </c>
      <c r="B4" s="7">
        <v>0.76500000000000001</v>
      </c>
      <c r="C4" s="6">
        <v>62</v>
      </c>
    </row>
    <row r="5" spans="1:11" ht="15.75" thickBot="1" x14ac:dyDescent="0.3">
      <c r="A5" s="5" t="s">
        <v>23</v>
      </c>
      <c r="B5" s="7">
        <v>0.21</v>
      </c>
      <c r="C5" s="6">
        <v>17</v>
      </c>
    </row>
    <row r="6" spans="1:11" ht="15.75" thickBot="1" x14ac:dyDescent="0.3">
      <c r="A6" s="5" t="s">
        <v>24</v>
      </c>
      <c r="B6" s="7">
        <v>2.5000000000000001E-2</v>
      </c>
      <c r="C6" s="6">
        <v>2</v>
      </c>
    </row>
    <row r="7" spans="1:11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topLeftCell="C1" workbookViewId="0">
      <selection activeCell="M20" sqref="M20"/>
    </sheetView>
  </sheetViews>
  <sheetFormatPr defaultRowHeight="15" x14ac:dyDescent="0.25"/>
  <cols>
    <col min="2" max="2" width="11.42578125" bestFit="1" customWidth="1"/>
  </cols>
  <sheetData>
    <row r="1" spans="1:2" x14ac:dyDescent="0.25">
      <c r="A1" s="8" t="s">
        <v>25</v>
      </c>
      <c r="B1" s="8" t="s">
        <v>26</v>
      </c>
    </row>
    <row r="2" spans="1:2" x14ac:dyDescent="0.25">
      <c r="A2" s="9">
        <v>2083</v>
      </c>
      <c r="B2" s="9">
        <v>3</v>
      </c>
    </row>
    <row r="3" spans="1:2" x14ac:dyDescent="0.25">
      <c r="A3" s="9">
        <v>2082</v>
      </c>
      <c r="B3" s="9">
        <v>16</v>
      </c>
    </row>
    <row r="4" spans="1:2" x14ac:dyDescent="0.25">
      <c r="A4" s="9">
        <v>2081</v>
      </c>
      <c r="B4" s="9">
        <v>11</v>
      </c>
    </row>
    <row r="5" spans="1:2" x14ac:dyDescent="0.25">
      <c r="A5" s="9">
        <v>2080</v>
      </c>
      <c r="B5" s="9">
        <v>9</v>
      </c>
    </row>
    <row r="6" spans="1:2" x14ac:dyDescent="0.25">
      <c r="A6" s="9">
        <v>2079</v>
      </c>
      <c r="B6" s="9">
        <v>14</v>
      </c>
    </row>
    <row r="7" spans="1:2" x14ac:dyDescent="0.25">
      <c r="A7" s="9">
        <v>2078</v>
      </c>
      <c r="B7" s="9">
        <v>12</v>
      </c>
    </row>
    <row r="8" spans="1:2" x14ac:dyDescent="0.25">
      <c r="A8" s="9">
        <v>2077</v>
      </c>
      <c r="B8" s="9">
        <v>2</v>
      </c>
    </row>
    <row r="9" spans="1:2" x14ac:dyDescent="0.25">
      <c r="A9" s="9">
        <v>2076</v>
      </c>
      <c r="B9" s="9">
        <v>8</v>
      </c>
    </row>
    <row r="10" spans="1:2" x14ac:dyDescent="0.25">
      <c r="A10" s="9">
        <v>2075</v>
      </c>
      <c r="B10" s="9">
        <v>5</v>
      </c>
    </row>
    <row r="11" spans="1:2" x14ac:dyDescent="0.25">
      <c r="A11" s="9">
        <v>2074</v>
      </c>
      <c r="B11" s="9">
        <v>9</v>
      </c>
    </row>
    <row r="12" spans="1:2" x14ac:dyDescent="0.25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G5" sqref="G5"/>
    </sheetView>
  </sheetViews>
  <sheetFormatPr defaultRowHeight="15" x14ac:dyDescent="0.25"/>
  <sheetData>
    <row r="1" spans="1:11" x14ac:dyDescent="0.25">
      <c r="A1" s="20" t="s">
        <v>33</v>
      </c>
      <c r="B1" s="19" t="s">
        <v>34</v>
      </c>
      <c r="C1" s="19"/>
      <c r="D1" s="19"/>
      <c r="E1" s="19"/>
      <c r="F1" s="20" t="s">
        <v>12</v>
      </c>
      <c r="G1" s="20"/>
    </row>
    <row r="2" spans="1:11" x14ac:dyDescent="0.25">
      <c r="A2" s="20"/>
      <c r="B2" s="19" t="s">
        <v>36</v>
      </c>
      <c r="C2" s="19"/>
      <c r="D2" s="19" t="s">
        <v>35</v>
      </c>
      <c r="E2" s="19"/>
      <c r="F2" s="20"/>
      <c r="G2" s="20"/>
    </row>
    <row r="3" spans="1:11" x14ac:dyDescent="0.25">
      <c r="A3" s="20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25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25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25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2" sqref="F2:G5"/>
    </sheetView>
  </sheetViews>
  <sheetFormatPr defaultRowHeight="15" x14ac:dyDescent="0.25"/>
  <cols>
    <col min="2" max="2" width="17.42578125" bestFit="1" customWidth="1"/>
  </cols>
  <sheetData>
    <row r="1" spans="1:7" x14ac:dyDescent="0.25">
      <c r="A1" s="8" t="s">
        <v>27</v>
      </c>
      <c r="B1" s="8" t="s">
        <v>28</v>
      </c>
      <c r="C1" s="8" t="s">
        <v>29</v>
      </c>
    </row>
    <row r="2" spans="1:7" x14ac:dyDescent="0.25">
      <c r="A2" s="9" t="s">
        <v>30</v>
      </c>
      <c r="B2" s="9">
        <f ca="1">'[1]for graph'!$I$4</f>
        <v>28</v>
      </c>
      <c r="C2" s="11">
        <f ca="1">B2/B6*100</f>
        <v>31.460674157303369</v>
      </c>
      <c r="F2" s="9" t="s">
        <v>30</v>
      </c>
      <c r="G2" s="11">
        <f ca="1">C2</f>
        <v>31.460674157303369</v>
      </c>
    </row>
    <row r="3" spans="1:7" x14ac:dyDescent="0.25">
      <c r="A3" s="9" t="s">
        <v>31</v>
      </c>
      <c r="B3" s="9">
        <f ca="1">'[1]for graph'!$I$3</f>
        <v>32</v>
      </c>
      <c r="C3" s="11">
        <f ca="1">B3/B6*100</f>
        <v>35.955056179775283</v>
      </c>
      <c r="F3" s="9" t="s">
        <v>31</v>
      </c>
      <c r="G3" s="11">
        <f t="shared" ref="G3:G5" ca="1" si="0">C3</f>
        <v>35.955056179775283</v>
      </c>
    </row>
    <row r="4" spans="1:7" x14ac:dyDescent="0.25">
      <c r="A4" s="9" t="s">
        <v>40</v>
      </c>
      <c r="B4" s="9">
        <f ca="1">'[1]for graph'!$I$14</f>
        <v>23</v>
      </c>
      <c r="C4" s="11">
        <f ca="1">B4/B6*100</f>
        <v>25.842696629213485</v>
      </c>
      <c r="F4" s="9" t="s">
        <v>40</v>
      </c>
      <c r="G4" s="11">
        <f t="shared" ca="1" si="0"/>
        <v>25.842696629213485</v>
      </c>
    </row>
    <row r="5" spans="1:7" x14ac:dyDescent="0.25">
      <c r="A5" s="9" t="s">
        <v>41</v>
      </c>
      <c r="B5" s="9">
        <f ca="1">'[1]for graph'!$I$6</f>
        <v>6</v>
      </c>
      <c r="C5" s="11">
        <f ca="1">B5/B6*100</f>
        <v>6.7415730337078648</v>
      </c>
      <c r="F5" s="9" t="s">
        <v>41</v>
      </c>
      <c r="G5" s="11">
        <f t="shared" ca="1" si="0"/>
        <v>6.7415730337078648</v>
      </c>
    </row>
    <row r="6" spans="1:7" x14ac:dyDescent="0.25">
      <c r="A6" s="9" t="s">
        <v>12</v>
      </c>
      <c r="B6" s="9">
        <f ca="1">SUM(B2:B5)</f>
        <v>89</v>
      </c>
      <c r="C6" s="9">
        <f ca="1"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dimension ref="A1:G6"/>
  <sheetViews>
    <sheetView workbookViewId="0">
      <selection sqref="A1:C6"/>
    </sheetView>
  </sheetViews>
  <sheetFormatPr defaultRowHeight="15" x14ac:dyDescent="0.25"/>
  <cols>
    <col min="2" max="2" width="16.42578125" bestFit="1" customWidth="1"/>
    <col min="3" max="3" width="7.42578125" bestFit="1" customWidth="1"/>
  </cols>
  <sheetData>
    <row r="1" spans="1:7" x14ac:dyDescent="0.25">
      <c r="A1" s="8" t="s">
        <v>42</v>
      </c>
      <c r="B1" s="8" t="s">
        <v>28</v>
      </c>
      <c r="C1" s="8" t="s">
        <v>29</v>
      </c>
    </row>
    <row r="2" spans="1:7" x14ac:dyDescent="0.25">
      <c r="A2" s="9" t="s">
        <v>43</v>
      </c>
      <c r="B2" s="9">
        <f ca="1">'[1]for graph'!$K$3</f>
        <v>60</v>
      </c>
      <c r="C2" s="11">
        <f ca="1">B2/B6*100</f>
        <v>67.415730337078656</v>
      </c>
      <c r="F2" s="9" t="s">
        <v>43</v>
      </c>
      <c r="G2" s="11">
        <f ca="1">C2</f>
        <v>67.415730337078656</v>
      </c>
    </row>
    <row r="3" spans="1:7" x14ac:dyDescent="0.25">
      <c r="A3" s="9" t="s">
        <v>44</v>
      </c>
      <c r="B3" s="9">
        <f ca="1">'[1]for graph'!$K$14</f>
        <v>23</v>
      </c>
      <c r="C3" s="11">
        <f ca="1">B3/B6*100</f>
        <v>25.842696629213485</v>
      </c>
      <c r="F3" s="9" t="s">
        <v>44</v>
      </c>
      <c r="G3" s="11">
        <f ca="1">C3</f>
        <v>25.842696629213485</v>
      </c>
    </row>
    <row r="4" spans="1:7" x14ac:dyDescent="0.25">
      <c r="A4" s="9" t="s">
        <v>45</v>
      </c>
      <c r="B4" s="9">
        <v>0</v>
      </c>
      <c r="C4" s="11">
        <f ca="1">B4/B6*100</f>
        <v>0</v>
      </c>
      <c r="F4" s="9" t="s">
        <v>45</v>
      </c>
      <c r="G4" s="11">
        <f ca="1">C4</f>
        <v>0</v>
      </c>
    </row>
    <row r="5" spans="1:7" x14ac:dyDescent="0.25">
      <c r="A5" s="9" t="s">
        <v>46</v>
      </c>
      <c r="B5" s="9">
        <f ca="1">'[1]for graph'!$K$6</f>
        <v>6</v>
      </c>
      <c r="C5" s="11">
        <f ca="1">B5/B6*100</f>
        <v>6.7415730337078648</v>
      </c>
      <c r="F5" s="9" t="s">
        <v>46</v>
      </c>
      <c r="G5" s="11">
        <f ca="1">C5</f>
        <v>6.7415730337078648</v>
      </c>
    </row>
    <row r="6" spans="1:7" x14ac:dyDescent="0.25">
      <c r="A6" s="9" t="s">
        <v>12</v>
      </c>
      <c r="B6" s="9">
        <f ca="1">SUM(B2:B5)</f>
        <v>89</v>
      </c>
      <c r="C6" s="9">
        <f ca="1"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dimension ref="A1:C7"/>
  <sheetViews>
    <sheetView workbookViewId="0">
      <selection activeCell="C12" sqref="C12"/>
    </sheetView>
  </sheetViews>
  <sheetFormatPr defaultRowHeight="15" x14ac:dyDescent="0.25"/>
  <cols>
    <col min="1" max="1" width="17.42578125" bestFit="1" customWidth="1"/>
    <col min="2" max="2" width="16.28515625" bestFit="1" customWidth="1"/>
    <col min="3" max="3" width="13.28515625" bestFit="1" customWidth="1"/>
  </cols>
  <sheetData>
    <row r="1" spans="1:3" x14ac:dyDescent="0.25">
      <c r="A1" s="9" t="s">
        <v>47</v>
      </c>
      <c r="B1" s="9" t="s">
        <v>3</v>
      </c>
      <c r="C1" s="9" t="s">
        <v>48</v>
      </c>
    </row>
    <row r="2" spans="1:3" x14ac:dyDescent="0.25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25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25">
      <c r="A4" s="9" t="s">
        <v>51</v>
      </c>
      <c r="B4" s="9">
        <v>0</v>
      </c>
      <c r="C4" s="11">
        <f t="shared" si="0"/>
        <v>0</v>
      </c>
    </row>
    <row r="5" spans="1:3" x14ac:dyDescent="0.25">
      <c r="A5" s="9" t="s">
        <v>52</v>
      </c>
      <c r="B5" s="9">
        <v>0</v>
      </c>
      <c r="C5" s="11">
        <f t="shared" si="0"/>
        <v>0</v>
      </c>
    </row>
    <row r="6" spans="1:3" x14ac:dyDescent="0.25">
      <c r="A6" s="9" t="s">
        <v>32</v>
      </c>
      <c r="B6" s="9">
        <v>11</v>
      </c>
      <c r="C6" s="11">
        <f t="shared" si="0"/>
        <v>12.359550561797752</v>
      </c>
    </row>
    <row r="7" spans="1:3" x14ac:dyDescent="0.25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M3" sqref="M3"/>
    </sheetView>
  </sheetViews>
  <sheetFormatPr defaultRowHeight="15" x14ac:dyDescent="0.25"/>
  <cols>
    <col min="1" max="1" width="15.85546875" bestFit="1" customWidth="1"/>
    <col min="2" max="2" width="17.5703125" bestFit="1" customWidth="1"/>
    <col min="3" max="3" width="14.5703125" bestFit="1" customWidth="1"/>
  </cols>
  <sheetData>
    <row r="1" spans="1:7" x14ac:dyDescent="0.25">
      <c r="A1" s="9" t="s">
        <v>53</v>
      </c>
      <c r="B1" s="9" t="s">
        <v>3</v>
      </c>
      <c r="C1" s="9" t="s">
        <v>48</v>
      </c>
    </row>
    <row r="2" spans="1:7" x14ac:dyDescent="0.25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25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25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25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H13" sqref="H13"/>
    </sheetView>
  </sheetViews>
  <sheetFormatPr defaultRowHeight="15" x14ac:dyDescent="0.25"/>
  <cols>
    <col min="2" max="2" width="6.5703125" bestFit="1" customWidth="1"/>
    <col min="3" max="3" width="14.5703125" bestFit="1" customWidth="1"/>
    <col min="4" max="4" width="7.5703125" bestFit="1" customWidth="1"/>
    <col min="5" max="5" width="14.5703125" bestFit="1" customWidth="1"/>
    <col min="6" max="6" width="6.5703125" bestFit="1" customWidth="1"/>
    <col min="7" max="7" width="14.5703125" bestFit="1" customWidth="1"/>
  </cols>
  <sheetData>
    <row r="1" spans="1:9" x14ac:dyDescent="0.25">
      <c r="A1" s="20" t="s">
        <v>72</v>
      </c>
      <c r="B1" s="21" t="s">
        <v>71</v>
      </c>
      <c r="C1" s="21"/>
      <c r="D1" s="21"/>
      <c r="E1" s="21"/>
      <c r="F1" s="19" t="s">
        <v>12</v>
      </c>
      <c r="G1" s="19" t="s">
        <v>48</v>
      </c>
    </row>
    <row r="2" spans="1:9" x14ac:dyDescent="0.25">
      <c r="A2" s="20"/>
      <c r="B2" s="9" t="s">
        <v>36</v>
      </c>
      <c r="C2" s="9" t="s">
        <v>48</v>
      </c>
      <c r="D2" s="9" t="s">
        <v>35</v>
      </c>
      <c r="E2" s="9" t="s">
        <v>48</v>
      </c>
      <c r="F2" s="19"/>
      <c r="G2" s="19"/>
    </row>
    <row r="3" spans="1:9" x14ac:dyDescent="0.25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25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25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25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25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25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25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25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25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25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25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25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25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25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25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F1" workbookViewId="0">
      <selection activeCell="G25" sqref="G25"/>
    </sheetView>
  </sheetViews>
  <sheetFormatPr defaultRowHeight="15" x14ac:dyDescent="0.25"/>
  <cols>
    <col min="1" max="1" width="12.28515625" bestFit="1" customWidth="1"/>
    <col min="2" max="2" width="4" bestFit="1" customWidth="1"/>
    <col min="3" max="3" width="13.28515625" bestFit="1" customWidth="1"/>
    <col min="4" max="4" width="4" bestFit="1" customWidth="1"/>
    <col min="5" max="5" width="13.28515625" bestFit="1" customWidth="1"/>
    <col min="6" max="6" width="4" bestFit="1" customWidth="1"/>
    <col min="7" max="7" width="13.28515625" bestFit="1" customWidth="1"/>
    <col min="10" max="10" width="9.7109375" bestFit="1" customWidth="1"/>
    <col min="11" max="11" width="5.7109375" customWidth="1"/>
    <col min="13" max="13" width="9.7109375" bestFit="1" customWidth="1"/>
    <col min="15" max="15" width="6.85546875" bestFit="1" customWidth="1"/>
  </cols>
  <sheetData>
    <row r="1" spans="1:15" x14ac:dyDescent="0.25">
      <c r="A1" s="20" t="s">
        <v>73</v>
      </c>
      <c r="B1" s="21" t="s">
        <v>34</v>
      </c>
      <c r="C1" s="21"/>
      <c r="D1" s="21"/>
      <c r="E1" s="21"/>
      <c r="F1" s="19" t="s">
        <v>12</v>
      </c>
      <c r="G1" s="19"/>
    </row>
    <row r="2" spans="1:15" x14ac:dyDescent="0.25">
      <c r="A2" s="20"/>
      <c r="B2" s="21" t="s">
        <v>36</v>
      </c>
      <c r="C2" s="21"/>
      <c r="D2" s="21" t="s">
        <v>35</v>
      </c>
      <c r="E2" s="21"/>
      <c r="F2" s="19"/>
      <c r="G2" s="19"/>
      <c r="N2" t="s">
        <v>77</v>
      </c>
      <c r="O2" t="s">
        <v>35</v>
      </c>
    </row>
    <row r="3" spans="1:15" x14ac:dyDescent="0.25">
      <c r="A3" s="20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25">
      <c r="A4" s="9" t="s">
        <v>75</v>
      </c>
      <c r="B4" s="9">
        <f>'[1]10yrs above'!$I$6</f>
        <v>69</v>
      </c>
      <c r="C4" s="11">
        <f>B4/$B$6*100</f>
        <v>41.071428571428569</v>
      </c>
      <c r="D4" s="9">
        <f>'[1]10yrs above'!$I$8</f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25">
      <c r="A5" s="9" t="s">
        <v>76</v>
      </c>
      <c r="B5" s="9">
        <f>'[1]10yrs above'!$I$4</f>
        <v>99</v>
      </c>
      <c r="C5" s="11">
        <f t="shared" ref="C5" si="0">B5/$B$6*100</f>
        <v>58.928571428571431</v>
      </c>
      <c r="D5" s="9">
        <f>'[1]10yrs above'!$I$5</f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25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K6" s="13"/>
    </row>
    <row r="7" spans="1:15" x14ac:dyDescent="0.25">
      <c r="K7" s="13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workbookViewId="0">
      <selection sqref="A1:C5"/>
    </sheetView>
  </sheetViews>
  <sheetFormatPr defaultRowHeight="15" x14ac:dyDescent="0.25"/>
  <cols>
    <col min="1" max="1" width="9.7109375" bestFit="1" customWidth="1"/>
    <col min="2" max="2" width="15.42578125" bestFit="1" customWidth="1"/>
    <col min="3" max="3" width="7.28515625" bestFit="1" customWidth="1"/>
  </cols>
  <sheetData>
    <row r="1" spans="1:7" x14ac:dyDescent="0.25">
      <c r="A1" s="9" t="s">
        <v>82</v>
      </c>
      <c r="B1" s="9" t="s">
        <v>78</v>
      </c>
      <c r="C1" s="9" t="s">
        <v>29</v>
      </c>
    </row>
    <row r="2" spans="1:7" x14ac:dyDescent="0.25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25">
      <c r="A3" s="16" t="s">
        <v>80</v>
      </c>
      <c r="B3" s="9">
        <v>15</v>
      </c>
      <c r="C3" s="11">
        <f t="shared" ref="C3:C5" si="0">B3/$B$5*100</f>
        <v>16.853932584269664</v>
      </c>
      <c r="F3" s="16" t="s">
        <v>80</v>
      </c>
      <c r="G3" s="11">
        <f t="shared" ref="G3:G4" si="1">C3</f>
        <v>16.853932584269664</v>
      </c>
    </row>
    <row r="4" spans="1:7" x14ac:dyDescent="0.25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25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workbookViewId="0">
      <selection activeCell="M11" sqref="M11"/>
    </sheetView>
  </sheetViews>
  <sheetFormatPr defaultRowHeight="15" x14ac:dyDescent="0.25"/>
  <cols>
    <col min="1" max="1" width="22.7109375" bestFit="1" customWidth="1"/>
  </cols>
  <sheetData>
    <row r="1" spans="1:9" x14ac:dyDescent="0.25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25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25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25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45B5-F0A4-4C32-BF38-D8BF1F0ED0B6}">
  <sheetPr>
    <tabColor rgb="FFC00000"/>
  </sheetPr>
  <dimension ref="A1:C18"/>
  <sheetViews>
    <sheetView tabSelected="1" workbookViewId="0">
      <selection activeCell="E13" sqref="E13"/>
    </sheetView>
  </sheetViews>
  <sheetFormatPr defaultRowHeight="15" x14ac:dyDescent="0.25"/>
  <cols>
    <col min="1" max="1" width="26.42578125" customWidth="1"/>
    <col min="2" max="2" width="17.5703125" bestFit="1" customWidth="1"/>
    <col min="3" max="3" width="11" bestFit="1" customWidth="1"/>
  </cols>
  <sheetData>
    <row r="1" spans="1:3" x14ac:dyDescent="0.25">
      <c r="A1" s="9" t="s">
        <v>90</v>
      </c>
      <c r="B1" s="9" t="s">
        <v>3</v>
      </c>
      <c r="C1" s="9" t="s">
        <v>91</v>
      </c>
    </row>
    <row r="2" spans="1:3" x14ac:dyDescent="0.25">
      <c r="A2" s="9" t="s">
        <v>92</v>
      </c>
      <c r="B2" s="9"/>
      <c r="C2" s="9"/>
    </row>
    <row r="3" spans="1:3" x14ac:dyDescent="0.25">
      <c r="A3" s="9" t="s">
        <v>93</v>
      </c>
      <c r="B3" s="9"/>
      <c r="C3" s="9"/>
    </row>
    <row r="4" spans="1:3" x14ac:dyDescent="0.25">
      <c r="A4" s="9" t="s">
        <v>94</v>
      </c>
      <c r="B4" s="9"/>
      <c r="C4" s="9"/>
    </row>
    <row r="5" spans="1:3" x14ac:dyDescent="0.25">
      <c r="A5" s="9" t="s">
        <v>32</v>
      </c>
      <c r="B5" s="9"/>
      <c r="C5" s="9"/>
    </row>
    <row r="6" spans="1:3" x14ac:dyDescent="0.25">
      <c r="A6" s="9" t="s">
        <v>12</v>
      </c>
      <c r="B6" s="9"/>
      <c r="C6" s="9"/>
    </row>
    <row r="8" spans="1:3" x14ac:dyDescent="0.25">
      <c r="A8" s="9" t="s">
        <v>101</v>
      </c>
      <c r="B8" s="9"/>
      <c r="C8" s="9"/>
    </row>
    <row r="9" spans="1:3" x14ac:dyDescent="0.25">
      <c r="A9" s="9" t="s">
        <v>102</v>
      </c>
      <c r="B9" s="9"/>
      <c r="C9" s="9"/>
    </row>
    <row r="10" spans="1:3" x14ac:dyDescent="0.25">
      <c r="A10" s="9" t="s">
        <v>103</v>
      </c>
      <c r="B10" s="9"/>
      <c r="C10" s="9"/>
    </row>
    <row r="11" spans="1:3" x14ac:dyDescent="0.25">
      <c r="A11" s="9" t="s">
        <v>104</v>
      </c>
      <c r="B11" s="9"/>
      <c r="C11" s="9"/>
    </row>
    <row r="12" spans="1:3" x14ac:dyDescent="0.25">
      <c r="A12" s="9" t="s">
        <v>105</v>
      </c>
      <c r="B12" s="9"/>
      <c r="C12" s="9"/>
    </row>
    <row r="13" spans="1:3" x14ac:dyDescent="0.25">
      <c r="A13" s="9" t="s">
        <v>106</v>
      </c>
      <c r="B13" s="9"/>
      <c r="C13" s="9"/>
    </row>
    <row r="14" spans="1:3" x14ac:dyDescent="0.25">
      <c r="A14" s="9" t="s">
        <v>107</v>
      </c>
      <c r="B14" s="9"/>
      <c r="C14" s="9"/>
    </row>
    <row r="15" spans="1:3" x14ac:dyDescent="0.25">
      <c r="A15" s="9" t="s">
        <v>108</v>
      </c>
      <c r="B15" s="9"/>
      <c r="C15" s="9"/>
    </row>
    <row r="16" spans="1:3" x14ac:dyDescent="0.25">
      <c r="A16" s="9" t="s">
        <v>109</v>
      </c>
      <c r="B16" s="9"/>
      <c r="C16" s="9"/>
    </row>
    <row r="17" spans="1:3" x14ac:dyDescent="0.25">
      <c r="A17" s="9" t="s">
        <v>110</v>
      </c>
      <c r="B17" s="9"/>
      <c r="C17" s="9"/>
    </row>
    <row r="18" spans="1:3" x14ac:dyDescent="0.25">
      <c r="A18" s="9" t="s">
        <v>111</v>
      </c>
      <c r="B18" s="9"/>
      <c r="C18" s="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5C9-7DF2-4829-BE18-8FD1E5D07B3F}">
  <dimension ref="A1:C11"/>
  <sheetViews>
    <sheetView workbookViewId="0">
      <selection activeCell="F3" sqref="F3"/>
    </sheetView>
  </sheetViews>
  <sheetFormatPr defaultRowHeight="15" x14ac:dyDescent="0.25"/>
  <cols>
    <col min="1" max="1" width="26.42578125" bestFit="1" customWidth="1"/>
    <col min="2" max="2" width="17.5703125" bestFit="1" customWidth="1"/>
    <col min="3" max="3" width="14.5703125" bestFit="1" customWidth="1"/>
  </cols>
  <sheetData>
    <row r="1" spans="1:3" x14ac:dyDescent="0.25">
      <c r="A1" s="9" t="s">
        <v>15</v>
      </c>
      <c r="B1" s="9" t="s">
        <v>3</v>
      </c>
      <c r="C1" s="9" t="s">
        <v>48</v>
      </c>
    </row>
    <row r="2" spans="1:3" x14ac:dyDescent="0.25">
      <c r="A2" s="9" t="s">
        <v>95</v>
      </c>
      <c r="B2" s="9"/>
      <c r="C2" s="9"/>
    </row>
    <row r="3" spans="1:3" x14ac:dyDescent="0.25">
      <c r="A3" s="9" t="s">
        <v>96</v>
      </c>
      <c r="B3" s="9"/>
      <c r="C3" s="9"/>
    </row>
    <row r="4" spans="1:3" x14ac:dyDescent="0.25">
      <c r="A4" s="9" t="s">
        <v>97</v>
      </c>
      <c r="B4" s="9"/>
      <c r="C4" s="9"/>
    </row>
    <row r="5" spans="1:3" x14ac:dyDescent="0.25">
      <c r="A5" s="9" t="s">
        <v>12</v>
      </c>
      <c r="B5" s="9"/>
      <c r="C5" s="9"/>
    </row>
    <row r="7" spans="1:3" x14ac:dyDescent="0.25">
      <c r="A7" s="8" t="s">
        <v>15</v>
      </c>
      <c r="B7" s="8" t="s">
        <v>3</v>
      </c>
      <c r="C7" s="8" t="s">
        <v>48</v>
      </c>
    </row>
    <row r="8" spans="1:3" x14ac:dyDescent="0.25">
      <c r="A8" s="8" t="s">
        <v>98</v>
      </c>
      <c r="B8" s="9">
        <v>5</v>
      </c>
      <c r="C8" s="11">
        <f>B8/$B$11*100</f>
        <v>5.6179775280898872</v>
      </c>
    </row>
    <row r="9" spans="1:3" x14ac:dyDescent="0.25">
      <c r="A9" s="8" t="s">
        <v>99</v>
      </c>
      <c r="B9" s="9">
        <f>24-B8</f>
        <v>19</v>
      </c>
      <c r="C9" s="11">
        <f t="shared" ref="C9:C11" si="0">B9/$B$11*100</f>
        <v>21.348314606741571</v>
      </c>
    </row>
    <row r="10" spans="1:3" x14ac:dyDescent="0.25">
      <c r="A10" s="8" t="s">
        <v>100</v>
      </c>
      <c r="B10" s="9">
        <v>65</v>
      </c>
      <c r="C10" s="11">
        <f t="shared" si="0"/>
        <v>73.033707865168537</v>
      </c>
    </row>
    <row r="11" spans="1:3" x14ac:dyDescent="0.25">
      <c r="A11" s="8" t="s">
        <v>12</v>
      </c>
      <c r="B11" s="9">
        <f>SUM(B8:B10)</f>
        <v>89</v>
      </c>
      <c r="C11" s="11">
        <f t="shared" si="0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Reasons for leaving origin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  <vt:lpstr>Leaving origin</vt:lpstr>
      <vt:lpstr>Place of Origin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2026-09-11T09:15:19Z</dcterms:modified>
</cp:coreProperties>
</file>