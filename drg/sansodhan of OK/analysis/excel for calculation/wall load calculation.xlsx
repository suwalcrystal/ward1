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/>
  <xr:revisionPtr revIDLastSave="0" documentId="13_ncr:1_{B8FBB725-53AE-40F5-BFA5-D72E43F2DE4E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Interpoaltion" sheetId="1" r:id="rId1"/>
    <sheet name="wall loa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" l="1"/>
  <c r="H4" i="2" s="1"/>
  <c r="G4" i="2"/>
  <c r="I4" i="2"/>
  <c r="F5" i="2"/>
  <c r="G3" i="2"/>
  <c r="I3" i="2" s="1"/>
  <c r="F3" i="2"/>
  <c r="H3" i="2" s="1"/>
  <c r="M4" i="2"/>
  <c r="N4" i="2" s="1"/>
  <c r="M3" i="2"/>
  <c r="N3" i="2"/>
  <c r="M2" i="2"/>
  <c r="N2" i="2"/>
  <c r="C3" i="1"/>
</calcChain>
</file>

<file path=xl/sharedStrings.xml><?xml version="1.0" encoding="utf-8"?>
<sst xmlns="http://schemas.openxmlformats.org/spreadsheetml/2006/main" count="21" uniqueCount="20">
  <si>
    <t>y-y1=((y2-y1)/(x2-x1))*(x-x1)</t>
  </si>
  <si>
    <t>x</t>
  </si>
  <si>
    <t>y</t>
  </si>
  <si>
    <t>Wall Type</t>
  </si>
  <si>
    <t>Breadth</t>
  </si>
  <si>
    <t>Unit weight</t>
  </si>
  <si>
    <t>Load Intensity</t>
  </si>
  <si>
    <t>Without Opening</t>
  </si>
  <si>
    <t>With 30% opening</t>
  </si>
  <si>
    <t>m</t>
  </si>
  <si>
    <t>230mm</t>
  </si>
  <si>
    <t>230*115*57</t>
  </si>
  <si>
    <t>Brick size</t>
  </si>
  <si>
    <t>115mm</t>
  </si>
  <si>
    <t>Height (m)</t>
  </si>
  <si>
    <t>Upto Beam</t>
  </si>
  <si>
    <t>Upto Slab</t>
  </si>
  <si>
    <t>KN/m3</t>
  </si>
  <si>
    <t>inch</t>
  </si>
  <si>
    <t>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</si>
</sst>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2" fontId="0" fillId="0" borderId="1" xfId="0" applyNumberFormat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1" fillId="0" borderId="2" xfId="0" applyNumberFormat="1" applyFont="1" applyBorder="1" applyAlignment="1">
      <alignment horizontal="center"/>
    </xf>
    <xf numFmtId="2" fontId="1" fillId="0" borderId="3" xfId="0" applyNumberFormat="1" applyFont="1" applyBorder="1" applyAlignment="1">
      <alignment horizontal="center"/>
    </xf>
    <xf numFmtId="2" fontId="0" fillId="0" borderId="1" xfId="0" applyNumberFormat="1" applyFont="1" applyBorder="1"/>
    <xf numFmtId="2" fontId="0" fillId="0" borderId="2" xfId="0" applyNumberFormat="1" applyFont="1" applyBorder="1" applyAlignment="1">
      <alignment horizontal="center"/>
    </xf>
    <xf numFmtId="2" fontId="0" fillId="0" borderId="3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4"/>
  <sheetViews>
    <sheetView workbookViewId="0">
      <selection activeCell="C4" sqref="C4"/>
    </sheetView>
  </sheetViews>
  <sheetFormatPr defaultRowHeight="15" x14ac:dyDescent="0.25"/>
  <sheetData>
    <row r="1" spans="2:5" x14ac:dyDescent="0.25">
      <c r="B1" t="s">
        <v>1</v>
      </c>
      <c r="C1" t="s">
        <v>2</v>
      </c>
    </row>
    <row r="2" spans="2:5" x14ac:dyDescent="0.25">
      <c r="B2">
        <v>0.5</v>
      </c>
      <c r="C2">
        <v>1</v>
      </c>
    </row>
    <row r="3" spans="2:5" x14ac:dyDescent="0.25">
      <c r="B3">
        <v>0.68700000000000006</v>
      </c>
      <c r="C3">
        <f>(((C4-C2)/(B4-B2))*(B3-B2))+C2</f>
        <v>1.0935000000000001</v>
      </c>
      <c r="E3" t="s">
        <v>0</v>
      </c>
    </row>
    <row r="4" spans="2:5" x14ac:dyDescent="0.25">
      <c r="B4">
        <v>2.5</v>
      </c>
      <c r="C4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5F103-52A0-4D11-811D-43BFE2FAABA8}">
  <dimension ref="A1:N5"/>
  <sheetViews>
    <sheetView tabSelected="1" workbookViewId="0">
      <selection activeCell="M7" sqref="M7"/>
    </sheetView>
  </sheetViews>
  <sheetFormatPr defaultRowHeight="15" x14ac:dyDescent="0.25"/>
  <cols>
    <col min="1" max="1" width="9.7109375" bestFit="1" customWidth="1"/>
    <col min="2" max="2" width="11.28515625" bestFit="1" customWidth="1"/>
    <col min="3" max="3" width="8" bestFit="1" customWidth="1"/>
    <col min="4" max="4" width="10.7109375" bestFit="1" customWidth="1"/>
    <col min="5" max="5" width="9.42578125" bestFit="1" customWidth="1"/>
    <col min="6" max="9" width="11" bestFit="1" customWidth="1"/>
    <col min="11" max="11" width="11" bestFit="1" customWidth="1"/>
  </cols>
  <sheetData>
    <row r="1" spans="1:14" x14ac:dyDescent="0.25">
      <c r="A1" s="11" t="s">
        <v>3</v>
      </c>
      <c r="B1" s="3" t="s">
        <v>5</v>
      </c>
      <c r="C1" s="3" t="s">
        <v>4</v>
      </c>
      <c r="D1" s="12" t="s">
        <v>14</v>
      </c>
      <c r="E1" s="13"/>
      <c r="F1" s="11" t="s">
        <v>6</v>
      </c>
      <c r="G1" s="11"/>
      <c r="H1" s="11"/>
      <c r="I1" s="11"/>
      <c r="K1" s="3" t="s">
        <v>12</v>
      </c>
      <c r="M1" s="3" t="s">
        <v>18</v>
      </c>
      <c r="N1" s="3" t="s">
        <v>19</v>
      </c>
    </row>
    <row r="2" spans="1:14" x14ac:dyDescent="0.25">
      <c r="A2" s="11"/>
      <c r="B2" s="3" t="s">
        <v>17</v>
      </c>
      <c r="C2" s="3" t="s">
        <v>9</v>
      </c>
      <c r="D2" s="3" t="s">
        <v>15</v>
      </c>
      <c r="E2" s="3" t="s">
        <v>16</v>
      </c>
      <c r="F2" s="4" t="s">
        <v>7</v>
      </c>
      <c r="G2" s="4"/>
      <c r="H2" s="4" t="s">
        <v>8</v>
      </c>
      <c r="I2" s="4"/>
      <c r="K2" s="1" t="s">
        <v>11</v>
      </c>
      <c r="M2" s="1">
        <f>8*12+2</f>
        <v>98</v>
      </c>
      <c r="N2" s="1">
        <f>CONVERT(M2,"in","m")</f>
        <v>2.4891999999999999</v>
      </c>
    </row>
    <row r="3" spans="1:14" x14ac:dyDescent="0.25">
      <c r="A3" s="1" t="s">
        <v>10</v>
      </c>
      <c r="B3" s="2">
        <v>19.2</v>
      </c>
      <c r="C3" s="2">
        <v>0.23</v>
      </c>
      <c r="D3" s="8">
        <v>2.4891999999999999</v>
      </c>
      <c r="E3" s="8">
        <v>2.7178</v>
      </c>
      <c r="F3" s="5">
        <f>C3*D3*B3</f>
        <v>10.992307200000001</v>
      </c>
      <c r="G3" s="5">
        <f>C3*E3*B3</f>
        <v>12.0018048</v>
      </c>
      <c r="H3" s="5">
        <f>0.7*F3</f>
        <v>7.6946150400000004</v>
      </c>
      <c r="I3" s="5">
        <f>0.7*G3</f>
        <v>8.4012633599999997</v>
      </c>
      <c r="M3" s="1">
        <f>8*12+11</f>
        <v>107</v>
      </c>
      <c r="N3" s="1">
        <f>CONVERT(M3,"in","m")</f>
        <v>2.7178</v>
      </c>
    </row>
    <row r="4" spans="1:14" x14ac:dyDescent="0.25">
      <c r="A4" s="1" t="s">
        <v>13</v>
      </c>
      <c r="B4" s="2">
        <v>19.2</v>
      </c>
      <c r="C4" s="2">
        <v>0.115</v>
      </c>
      <c r="D4" s="8">
        <v>2.4891999999999999</v>
      </c>
      <c r="E4" s="8">
        <v>2.7178</v>
      </c>
      <c r="F4" s="5">
        <f>C4*D4*B4</f>
        <v>5.4961536000000004</v>
      </c>
      <c r="G4" s="5">
        <f>C4*E4*B4</f>
        <v>6.0009024000000002</v>
      </c>
      <c r="H4" s="5">
        <f t="shared" ref="H4" si="0">0.7*F4</f>
        <v>3.8473075200000002</v>
      </c>
      <c r="I4" s="5">
        <f t="shared" ref="I4" si="1">0.7*G4</f>
        <v>4.2006316799999999</v>
      </c>
      <c r="M4" s="1">
        <f>3*12</f>
        <v>36</v>
      </c>
      <c r="N4" s="1">
        <f>CONVERT(M4,"in","m")</f>
        <v>0.91439999999999999</v>
      </c>
    </row>
    <row r="5" spans="1:14" x14ac:dyDescent="0.25">
      <c r="A5" s="1" t="s">
        <v>13</v>
      </c>
      <c r="B5" s="2">
        <v>19.2</v>
      </c>
      <c r="C5" s="2">
        <v>0.115</v>
      </c>
      <c r="D5" s="9">
        <v>0.91439999999999999</v>
      </c>
      <c r="E5" s="10"/>
      <c r="F5" s="6">
        <f>C5*D5*B5</f>
        <v>2.0189952</v>
      </c>
      <c r="G5" s="7"/>
      <c r="H5" s="6"/>
      <c r="I5" s="7"/>
    </row>
  </sheetData>
  <mergeCells count="8">
    <mergeCell ref="F5:G5"/>
    <mergeCell ref="D5:E5"/>
    <mergeCell ref="H5:I5"/>
    <mergeCell ref="A1:A2"/>
    <mergeCell ref="D1:E1"/>
    <mergeCell ref="F1:I1"/>
    <mergeCell ref="F2:G2"/>
    <mergeCell ref="H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Interpoaltion</vt:lpstr>
      <vt:lpstr>wall 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2026-07-17T05:03:15Z</dcterms:modified>
</cp:coreProperties>
</file>