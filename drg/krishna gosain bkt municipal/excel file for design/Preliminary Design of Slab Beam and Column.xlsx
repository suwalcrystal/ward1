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summo\Desktop\New folder\summon personal\Youtube Project\"/>
    </mc:Choice>
  </mc:AlternateContent>
  <xr:revisionPtr revIDLastSave="0" documentId="13_ncr:1_{1486E2E2-9487-4140-997F-F3D046F7CF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umn" sheetId="3" r:id="rId1"/>
    <sheet name="Beam" sheetId="2" r:id="rId2"/>
    <sheet name="Slab" sheetId="1" r:id="rId3"/>
  </sheets>
  <definedNames>
    <definedName name="_xlnm.Print_Area" localSheetId="1">Beam!$A$1:$J$28</definedName>
    <definedName name="_xlnm.Print_Area" localSheetId="0">Column!$A$1:$H$40</definedName>
    <definedName name="_xlnm.Print_Area" localSheetId="2">Slab!$A$1:$H$42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2" l="1"/>
  <c r="B24" i="2"/>
  <c r="B25" i="2"/>
  <c r="D33" i="3"/>
  <c r="C32" i="3"/>
  <c r="C9" i="3"/>
  <c r="C39" i="1" l="1"/>
  <c r="C38" i="1"/>
  <c r="A26" i="3" l="1"/>
  <c r="A28" i="2"/>
  <c r="A34" i="1"/>
  <c r="B11" i="2"/>
  <c r="B26" i="2" s="1"/>
  <c r="B5" i="2"/>
  <c r="C25" i="3"/>
  <c r="C23" i="3"/>
  <c r="C22" i="3"/>
  <c r="C36" i="3"/>
  <c r="D36" i="3" s="1"/>
  <c r="C35" i="3"/>
  <c r="D35" i="3" s="1"/>
  <c r="C34" i="3"/>
  <c r="D34" i="3" s="1"/>
  <c r="C33" i="3"/>
  <c r="D32" i="3"/>
  <c r="C10" i="3"/>
  <c r="B12" i="2" l="1"/>
  <c r="C18" i="3"/>
  <c r="C19" i="3" s="1"/>
  <c r="B17" i="2"/>
  <c r="C17" i="3"/>
  <c r="B20" i="1"/>
  <c r="D24" i="1"/>
  <c r="B25" i="1" s="1"/>
  <c r="B21" i="1"/>
  <c r="A25" i="1"/>
  <c r="B6" i="1"/>
  <c r="B9" i="1" s="1"/>
  <c r="B27" i="1" l="1"/>
  <c r="B30" i="1" s="1"/>
  <c r="B26" i="1"/>
  <c r="B31" i="1" l="1"/>
  <c r="B32" i="1" s="1"/>
  <c r="B12" i="1" l="1"/>
  <c r="B8" i="1" l="1"/>
  <c r="B13" i="1"/>
  <c r="B14" i="1" s="1"/>
</calcChain>
</file>

<file path=xl/sharedStrings.xml><?xml version="1.0" encoding="utf-8"?>
<sst xmlns="http://schemas.openxmlformats.org/spreadsheetml/2006/main" count="82" uniqueCount="61">
  <si>
    <t>IS 456:2000 (Clause 24.1)</t>
  </si>
  <si>
    <t>Simply supported slabs</t>
  </si>
  <si>
    <t>Continuous slabs</t>
  </si>
  <si>
    <t>Continuous Slabs</t>
  </si>
  <si>
    <t>CAUTION: Do not edit</t>
  </si>
  <si>
    <t>(depth of slab)</t>
  </si>
  <si>
    <t>Clear cover=</t>
  </si>
  <si>
    <t>Overall depth (D)=</t>
  </si>
  <si>
    <t>Adopt (Φ)=</t>
  </si>
  <si>
    <t>(diameter of rebar)</t>
  </si>
  <si>
    <t>l =</t>
  </si>
  <si>
    <t>d =</t>
  </si>
  <si>
    <t>(say)</t>
  </si>
  <si>
    <t>PRELIMINARY DESIGN OF SLAB</t>
  </si>
  <si>
    <t>feet</t>
  </si>
  <si>
    <t>inches</t>
  </si>
  <si>
    <t>mm</t>
  </si>
  <si>
    <t>Normally l/d ratio is taken
between (25 to 40)</t>
  </si>
  <si>
    <t>lx=</t>
  </si>
  <si>
    <t>ly=</t>
  </si>
  <si>
    <t>shorter span of slab</t>
  </si>
  <si>
    <t>longer span of slab</t>
  </si>
  <si>
    <t>(shorter span of the slab that need to be designed)</t>
  </si>
  <si>
    <t>11'9"</t>
  </si>
  <si>
    <t>PRELIMINARY DESIGN OF BEAM</t>
  </si>
  <si>
    <t>Column (Dimensional Limit)</t>
  </si>
  <si>
    <t>NBC 105:2020 (Clause 4.2.1)</t>
  </si>
  <si>
    <t>Clause 4.2.1 (a)</t>
  </si>
  <si>
    <t>(largest dia. of longitudinal rebar in the beam)</t>
  </si>
  <si>
    <t>(Clause 4.2.1 (b)</t>
  </si>
  <si>
    <t>(Clause 4.2.1 (c)</t>
  </si>
  <si>
    <t>Rebar dia.</t>
  </si>
  <si>
    <t>numbers</t>
  </si>
  <si>
    <t>area</t>
  </si>
  <si>
    <t xml:space="preserve">Beam(Dimensional Limit) NBC 105:2020
</t>
  </si>
  <si>
    <t>Clause 4.1.1 (a)</t>
  </si>
  <si>
    <t>width of beam=</t>
  </si>
  <si>
    <t>Depth of beam=</t>
  </si>
  <si>
    <t>width to depth ratio &gt;</t>
  </si>
  <si>
    <t>Clause 4.1.1 (b)</t>
  </si>
  <si>
    <t>min. width of beam=</t>
  </si>
  <si>
    <t>effective span=</t>
  </si>
  <si>
    <t>Depth of beam&lt;</t>
  </si>
  <si>
    <t>=</t>
  </si>
  <si>
    <t>width to depth ratio=</t>
  </si>
  <si>
    <r>
      <t>1/4</t>
    </r>
    <r>
      <rPr>
        <vertAlign val="superscript"/>
        <sz val="11"/>
        <color theme="1"/>
        <rFont val="Times New Roman"/>
        <family val="1"/>
      </rPr>
      <t xml:space="preserve">th </t>
    </r>
    <r>
      <rPr>
        <sz val="11"/>
        <color theme="1"/>
        <rFont val="Times New Roman"/>
        <family val="1"/>
      </rPr>
      <t>of clear span</t>
    </r>
  </si>
  <si>
    <r>
      <t>1/4</t>
    </r>
    <r>
      <rPr>
        <vertAlign val="superscript"/>
        <sz val="11"/>
        <color theme="1"/>
        <rFont val="Times New Roman"/>
        <family val="1"/>
      </rPr>
      <t xml:space="preserve">th </t>
    </r>
    <r>
      <rPr>
        <sz val="11"/>
        <color theme="1"/>
        <rFont val="Times New Roman"/>
        <family val="1"/>
      </rPr>
      <t>of clear span=</t>
    </r>
  </si>
  <si>
    <t xml:space="preserve">                 Column depth=</t>
  </si>
  <si>
    <r>
      <t>20d</t>
    </r>
    <r>
      <rPr>
        <vertAlign val="sub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=</t>
    </r>
  </si>
  <si>
    <t>no.s X area</t>
  </si>
  <si>
    <t>ft</t>
  </si>
  <si>
    <t>clear span</t>
  </si>
  <si>
    <t>waist slab thickness (Leff/20 - Leff/25)</t>
  </si>
  <si>
    <t xml:space="preserve">              effective length (Leff)=</t>
  </si>
  <si>
    <t xml:space="preserve">                 waist slab thickness=</t>
  </si>
  <si>
    <t>Clause 4.1.1 (c)</t>
  </si>
  <si>
    <r>
      <t xml:space="preserve">  Diameter of rebar (d</t>
    </r>
    <r>
      <rPr>
        <vertAlign val="sub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)=</t>
    </r>
  </si>
  <si>
    <t xml:space="preserve">          min. dim. of column=</t>
  </si>
  <si>
    <t xml:space="preserve">            width to depth ratio </t>
  </si>
  <si>
    <t xml:space="preserve">          width to depth ratio=</t>
  </si>
  <si>
    <t xml:space="preserve">                   Column width=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</si>
</sst>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0&quot;mm&quot;"/>
    <numFmt numFmtId="165" formatCode="0.00#&quot;mm&quot;"/>
    <numFmt numFmtId="166" formatCode="#&quot;mm&quot;"/>
    <numFmt numFmtId="167" formatCode="#0.00&quot;mm&quot;"/>
    <numFmt numFmtId="168" formatCode="&quot;&gt;&quot;#,##0.00"/>
    <numFmt numFmtId="169" formatCode="#0.00&quot; mm2&quot;"/>
    <numFmt numFmtId="170" formatCode="#\ &quot;mm&quot;"/>
    <numFmt numFmtId="171" formatCode="#.00\ &quot;mm&quot;"/>
    <numFmt numFmtId="172" formatCode="#&quot;''&quot;"/>
    <numFmt numFmtId="173" formatCode="0.00#\ &quot;mm&quot;"/>
    <numFmt numFmtId="174" formatCode="0.00#&quot;''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22"/>
      <color rgb="FFFFFF00"/>
      <name val="Times New Roman"/>
      <family val="1"/>
    </font>
    <font>
      <vertAlign val="superscript"/>
      <sz val="11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2" borderId="0" xfId="0" applyFont="1" applyFill="1" applyAlignment="1" applyProtection="1">
      <protection locked="0"/>
    </xf>
    <xf numFmtId="0" fontId="1" fillId="2" borderId="0" xfId="0" applyFont="1" applyFill="1" applyAlignment="1" applyProtection="1">
      <protection locked="0"/>
    </xf>
    <xf numFmtId="0" fontId="1" fillId="0" borderId="1" xfId="0" applyFont="1" applyBorder="1" applyProtection="1">
      <protection locked="0"/>
    </xf>
    <xf numFmtId="0" fontId="3" fillId="0" borderId="0" xfId="0" applyFont="1" applyFill="1" applyAlignment="1" applyProtection="1">
      <protection locked="0"/>
    </xf>
    <xf numFmtId="0" fontId="1" fillId="0" borderId="0" xfId="0" applyFont="1" applyFill="1" applyAlignment="1" applyProtection="1">
      <protection locked="0"/>
    </xf>
    <xf numFmtId="0" fontId="1" fillId="0" borderId="0" xfId="0" applyFont="1" applyFill="1" applyProtection="1">
      <protection locked="0"/>
    </xf>
    <xf numFmtId="0" fontId="1" fillId="0" borderId="1" xfId="0" applyFont="1" applyFill="1" applyBorder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centerContinuous" wrapText="1"/>
      <protection locked="0"/>
    </xf>
    <xf numFmtId="0" fontId="1" fillId="0" borderId="0" xfId="0" applyFont="1" applyAlignment="1" applyProtection="1">
      <alignment horizontal="centerContinuous"/>
      <protection locked="0"/>
    </xf>
    <xf numFmtId="164" fontId="1" fillId="2" borderId="0" xfId="0" applyNumberFormat="1" applyFont="1" applyFill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165" fontId="1" fillId="0" borderId="0" xfId="0" applyNumberFormat="1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5" fontId="1" fillId="0" borderId="0" xfId="0" applyNumberFormat="1" applyFont="1" applyProtection="1">
      <protection locked="0"/>
    </xf>
    <xf numFmtId="165" fontId="1" fillId="3" borderId="0" xfId="0" applyNumberFormat="1" applyFont="1" applyFill="1" applyProtection="1">
      <protection locked="0"/>
    </xf>
    <xf numFmtId="165" fontId="1" fillId="0" borderId="0" xfId="0" applyNumberFormat="1" applyFont="1" applyFill="1" applyProtection="1">
      <protection locked="0"/>
    </xf>
    <xf numFmtId="0" fontId="1" fillId="2" borderId="0" xfId="0" applyFont="1" applyFill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" fillId="0" borderId="0" xfId="0" applyFont="1" applyAlignment="1" applyProtection="1">
      <protection locked="0"/>
    </xf>
    <xf numFmtId="172" fontId="1" fillId="2" borderId="0" xfId="0" applyNumberFormat="1" applyFont="1" applyFill="1" applyAlignment="1" applyProtection="1">
      <alignment horizontal="left"/>
      <protection locked="0"/>
    </xf>
    <xf numFmtId="174" fontId="1" fillId="0" borderId="0" xfId="0" applyNumberFormat="1" applyFont="1" applyAlignment="1" applyProtection="1">
      <alignment horizontal="left"/>
      <protection locked="0"/>
    </xf>
    <xf numFmtId="172" fontId="1" fillId="6" borderId="0" xfId="0" applyNumberFormat="1" applyFont="1" applyFill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/>
    </xf>
    <xf numFmtId="0" fontId="1" fillId="0" borderId="0" xfId="0" applyFont="1" applyProtection="1"/>
    <xf numFmtId="165" fontId="1" fillId="0" borderId="0" xfId="0" applyNumberFormat="1" applyFont="1" applyFill="1" applyAlignment="1" applyProtection="1">
      <alignment horizontal="left"/>
    </xf>
    <xf numFmtId="0" fontId="1" fillId="0" borderId="1" xfId="0" applyFont="1" applyBorder="1" applyProtection="1"/>
    <xf numFmtId="0" fontId="1" fillId="0" borderId="0" xfId="0" applyFont="1" applyFill="1" applyProtection="1"/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166" fontId="1" fillId="0" borderId="0" xfId="0" applyNumberFormat="1" applyFont="1" applyProtection="1">
      <protection locked="0"/>
    </xf>
    <xf numFmtId="171" fontId="1" fillId="0" borderId="0" xfId="0" applyNumberFormat="1" applyFont="1" applyFill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right"/>
      <protection locked="0"/>
    </xf>
    <xf numFmtId="169" fontId="1" fillId="0" borderId="0" xfId="0" applyNumberFormat="1" applyFont="1" applyAlignment="1" applyProtection="1">
      <alignment horizontal="left"/>
      <protection locked="0"/>
    </xf>
    <xf numFmtId="0" fontId="1" fillId="5" borderId="1" xfId="0" applyFont="1" applyFill="1" applyBorder="1" applyAlignment="1" applyProtection="1">
      <alignment horizontal="right"/>
      <protection locked="0"/>
    </xf>
    <xf numFmtId="166" fontId="1" fillId="4" borderId="0" xfId="0" applyNumberFormat="1" applyFont="1" applyFill="1" applyProtection="1"/>
    <xf numFmtId="168" fontId="1" fillId="4" borderId="0" xfId="0" applyNumberFormat="1" applyFont="1" applyFill="1" applyAlignment="1" applyProtection="1">
      <alignment horizontal="left"/>
    </xf>
    <xf numFmtId="171" fontId="1" fillId="0" borderId="0" xfId="0" applyNumberFormat="1" applyFont="1" applyFill="1" applyAlignment="1" applyProtection="1">
      <alignment horizontal="left"/>
    </xf>
    <xf numFmtId="169" fontId="1" fillId="0" borderId="1" xfId="0" applyNumberFormat="1" applyFont="1" applyBorder="1" applyAlignment="1" applyProtection="1">
      <alignment horizontal="left"/>
    </xf>
    <xf numFmtId="166" fontId="1" fillId="0" borderId="1" xfId="0" applyNumberFormat="1" applyFont="1" applyBorder="1" applyAlignment="1" applyProtection="1">
      <alignment horizontal="left"/>
    </xf>
    <xf numFmtId="0" fontId="1" fillId="0" borderId="1" xfId="0" applyFont="1" applyBorder="1" applyAlignment="1" applyProtection="1">
      <alignment horizontal="center"/>
    </xf>
    <xf numFmtId="173" fontId="1" fillId="0" borderId="0" xfId="0" applyNumberFormat="1" applyFont="1" applyFill="1" applyAlignment="1" applyProtection="1">
      <alignment horizontal="left"/>
      <protection locked="0"/>
    </xf>
    <xf numFmtId="173" fontId="1" fillId="0" borderId="1" xfId="0" applyNumberFormat="1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right"/>
      <protection locked="0"/>
    </xf>
    <xf numFmtId="0" fontId="1" fillId="2" borderId="1" xfId="0" applyNumberFormat="1" applyFont="1" applyFill="1" applyBorder="1" applyAlignment="1" applyProtection="1">
      <alignment horizontal="left"/>
      <protection locked="0"/>
    </xf>
    <xf numFmtId="170" fontId="1" fillId="0" borderId="0" xfId="0" applyNumberFormat="1" applyFont="1" applyFill="1" applyAlignment="1" applyProtection="1">
      <alignment horizontal="left"/>
      <protection locked="0"/>
    </xf>
    <xf numFmtId="2" fontId="1" fillId="0" borderId="0" xfId="0" applyNumberFormat="1" applyFont="1" applyAlignment="1" applyProtection="1">
      <alignment horizontal="left"/>
      <protection locked="0"/>
    </xf>
    <xf numFmtId="170" fontId="1" fillId="0" borderId="0" xfId="0" applyNumberFormat="1" applyFont="1" applyAlignment="1" applyProtection="1">
      <alignment horizontal="left"/>
      <protection locked="0"/>
    </xf>
    <xf numFmtId="0" fontId="1" fillId="4" borderId="0" xfId="0" applyFont="1" applyFill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2" fillId="0" borderId="0" xfId="0" applyFont="1" applyProtection="1"/>
    <xf numFmtId="170" fontId="1" fillId="4" borderId="0" xfId="0" applyNumberFormat="1" applyFont="1" applyFill="1" applyAlignment="1" applyProtection="1">
      <alignment horizontal="left"/>
    </xf>
    <xf numFmtId="2" fontId="1" fillId="0" borderId="0" xfId="0" applyNumberFormat="1" applyFont="1" applyAlignment="1" applyProtection="1">
      <alignment horizontal="left"/>
    </xf>
    <xf numFmtId="0" fontId="1" fillId="0" borderId="0" xfId="0" applyFont="1" applyAlignment="1" applyProtection="1">
      <alignment horizontal="left"/>
    </xf>
    <xf numFmtId="166" fontId="1" fillId="0" borderId="0" xfId="0" applyNumberFormat="1" applyFont="1" applyAlignment="1" applyProtection="1">
      <alignment horizontal="left"/>
    </xf>
    <xf numFmtId="167" fontId="1" fillId="0" borderId="0" xfId="0" applyNumberFormat="1" applyFont="1" applyFill="1" applyAlignment="1" applyProtection="1">
      <alignment horizontal="left"/>
    </xf>
    <xf numFmtId="0" fontId="8" fillId="0" borderId="0" xfId="0" applyFont="1" applyProtection="1"/>
    <xf numFmtId="0" fontId="8" fillId="0" borderId="0" xfId="0" applyFont="1" applyAlignment="1" applyProtection="1">
      <alignment horizontal="right"/>
    </xf>
    <xf numFmtId="166" fontId="1" fillId="4" borderId="0" xfId="0" applyNumberFormat="1" applyFont="1" applyFill="1" applyAlignment="1" applyProtection="1">
      <alignment horizontal="left"/>
    </xf>
    <xf numFmtId="0" fontId="1" fillId="0" borderId="0" xfId="0" applyFont="1" applyAlignment="1" applyProtection="1">
      <alignment horizontal="left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141111</xdr:colOff>
      <xdr:row>3</xdr:row>
      <xdr:rowOff>112888</xdr:rowOff>
    </xdr:from>
    <xdr:to>
      <xdr:col>18</xdr:col>
      <xdr:colOff>252201</xdr:colOff>
      <xdr:row>28</xdr:row>
      <xdr:rowOff>2350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4620D2-7434-4FC2-97E9-80E874702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4333" y="747888"/>
          <a:ext cx="6178868" cy="4553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179295</xdr:colOff>
      <xdr:row>2</xdr:row>
      <xdr:rowOff>44094</xdr:rowOff>
    </xdr:from>
    <xdr:to>
      <xdr:col>17</xdr:col>
      <xdr:colOff>11512</xdr:colOff>
      <xdr:row>10</xdr:row>
      <xdr:rowOff>126704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C259E6-59C5-4E32-8D1D-457C52AD2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56"/>
        <a:stretch/>
      </xdr:blipFill>
      <xdr:spPr>
        <a:xfrm>
          <a:off x="6058648" y="2770859"/>
          <a:ext cx="5958099" cy="151696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16</xdr:col>
      <xdr:colOff>525866</xdr:colOff>
      <xdr:row>27</xdr:row>
      <xdr:rowOff>118546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B83234-157F-4BBE-8F4B-639889306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9353" y="2330824"/>
          <a:ext cx="6039160" cy="2673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815446</xdr:colOff>
      <xdr:row>5</xdr:row>
      <xdr:rowOff>8465</xdr:rowOff>
    </xdr:from>
    <xdr:to>
      <xdr:col>0</xdr:col>
      <xdr:colOff>1078147</xdr:colOff>
      <xdr:row>5</xdr:row>
      <xdr:rowOff>329835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DB03964-7F99-4924-9E9C-4B1945F8E0B1}"/>
                </a:ext>
              </a:extLst>
            </xdr:cNvPr>
            <xdr:cNvSpPr txBox="1">
              <a:spLocks/>
            </xdr:cNvSpPr>
          </xdr:nvSpPr>
          <xdr:spPr>
            <a:xfrm>
              <a:off x="815446" y="908048"/>
              <a:ext cx="262701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DB03964-7F99-4924-9E9C-4B1945F8E0B1}"/>
                </a:ext>
              </a:extLst>
            </xdr:cNvPr>
            <xdr:cNvSpPr txBox="1">
              <a:spLocks/>
            </xdr:cNvSpPr>
          </xdr:nvSpPr>
          <xdr:spPr>
            <a:xfrm>
              <a:off x="815446" y="908048"/>
              <a:ext cx="262701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𝑙/𝑑=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0</xdr:col>
      <xdr:colOff>815446</xdr:colOff>
      <xdr:row>19</xdr:row>
      <xdr:rowOff>8465</xdr:rowOff>
    </xdr:from>
    <xdr:to>
      <xdr:col>0</xdr:col>
      <xdr:colOff>1078147</xdr:colOff>
      <xdr:row>19</xdr:row>
      <xdr:rowOff>329835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7D52B7C-E432-4990-9CDA-702EA399A26C}"/>
                </a:ext>
              </a:extLst>
            </xdr:cNvPr>
            <xdr:cNvSpPr txBox="1">
              <a:spLocks/>
            </xdr:cNvSpPr>
          </xdr:nvSpPr>
          <xdr:spPr>
            <a:xfrm>
              <a:off x="815446" y="908048"/>
              <a:ext cx="262701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7D52B7C-E432-4990-9CDA-702EA399A26C}"/>
                </a:ext>
              </a:extLst>
            </xdr:cNvPr>
            <xdr:cNvSpPr txBox="1">
              <a:spLocks/>
            </xdr:cNvSpPr>
          </xdr:nvSpPr>
          <xdr:spPr>
            <a:xfrm>
              <a:off x="815446" y="908048"/>
              <a:ext cx="262701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𝑙/𝑑=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8</xdr:col>
      <xdr:colOff>82550</xdr:colOff>
      <xdr:row>20</xdr:row>
      <xdr:rowOff>25400</xdr:rowOff>
    </xdr:from>
    <xdr:to>
      <xdr:col>21</xdr:col>
      <xdr:colOff>266222</xdr:colOff>
      <xdr:row>44</xdr:row>
      <xdr:rowOff>76830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94147D-1B2E-480F-805F-3C4A26A59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700" y="4095750"/>
          <a:ext cx="8375172" cy="4332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FD7D-715D-4AF3-8D7D-76FF5131518A}">
  <dimension ref="A3:F36"/>
  <sheetViews>
    <sheetView tabSelected="1" zoomScale="90" zoomScaleNormal="90" zoomScaleSheetLayoutView="90" workbookViewId="0">
      <selection activeCell="F11" sqref="F11"/>
    </sheetView>
  </sheetViews>
  <sheetFormatPr defaultRowHeight="14" x14ac:dyDescent="0.3"/>
  <cols>
    <col min="1" max="1" width="9.54296875" style="1" customWidth="1"/>
    <col min="2" max="2" width="12.90625" style="1" customWidth="1"/>
    <col min="3" max="3" width="11.1796875" style="1" bestFit="1" customWidth="1"/>
    <col min="4" max="4" width="9.7265625" style="1" customWidth="1"/>
    <col min="5" max="5" width="11.1796875" style="1" bestFit="1" customWidth="1"/>
    <col min="6" max="7" width="8.7265625" style="1"/>
    <col min="8" max="8" width="11.1796875" style="1" bestFit="1" customWidth="1"/>
    <col min="9" max="16384" width="8.7265625" style="1"/>
  </cols>
  <sheetData>
    <row r="3" spans="1:4" ht="20" x14ac:dyDescent="0.4">
      <c r="A3" s="34" t="s">
        <v>25</v>
      </c>
    </row>
    <row r="4" spans="1:4" ht="20" x14ac:dyDescent="0.4">
      <c r="A4" s="35" t="s">
        <v>26</v>
      </c>
    </row>
    <row r="6" spans="1:4" x14ac:dyDescent="0.3">
      <c r="A6" s="57" t="s">
        <v>27</v>
      </c>
    </row>
    <row r="7" spans="1:4" ht="17.5" x14ac:dyDescent="0.45">
      <c r="A7" s="63" t="s">
        <v>56</v>
      </c>
      <c r="C7" s="17">
        <v>16</v>
      </c>
      <c r="D7" s="30" t="s">
        <v>28</v>
      </c>
    </row>
    <row r="9" spans="1:4" ht="17.5" x14ac:dyDescent="0.45">
      <c r="B9" s="64" t="s">
        <v>48</v>
      </c>
      <c r="C9" s="30" t="str">
        <f>CONCATENATE("20*",C7,)</f>
        <v>20*16</v>
      </c>
    </row>
    <row r="10" spans="1:4" ht="15.5" x14ac:dyDescent="0.35">
      <c r="B10" s="36"/>
      <c r="C10" s="42">
        <f>20*C7</f>
        <v>320</v>
      </c>
    </row>
    <row r="11" spans="1:4" ht="15.5" x14ac:dyDescent="0.35">
      <c r="B11" s="36"/>
      <c r="C11" s="37"/>
    </row>
    <row r="12" spans="1:4" ht="15.5" x14ac:dyDescent="0.35">
      <c r="A12" s="57" t="s">
        <v>29</v>
      </c>
      <c r="B12" s="36"/>
      <c r="C12" s="37"/>
    </row>
    <row r="13" spans="1:4" x14ac:dyDescent="0.3">
      <c r="A13" s="60" t="s">
        <v>57</v>
      </c>
      <c r="C13" s="65">
        <v>300</v>
      </c>
    </row>
    <row r="15" spans="1:4" x14ac:dyDescent="0.3">
      <c r="A15" s="57" t="s">
        <v>30</v>
      </c>
    </row>
    <row r="16" spans="1:4" x14ac:dyDescent="0.3">
      <c r="A16" s="30" t="s">
        <v>58</v>
      </c>
      <c r="C16" s="43">
        <v>0.45</v>
      </c>
    </row>
    <row r="17" spans="1:5" x14ac:dyDescent="0.3">
      <c r="A17" s="1" t="s">
        <v>59</v>
      </c>
      <c r="C17" s="1" t="str">
        <f>CONCATENATE(C23,"/",C25)</f>
        <v>355.6/355.6</v>
      </c>
    </row>
    <row r="18" spans="1:5" x14ac:dyDescent="0.3">
      <c r="B18" s="11" t="s">
        <v>43</v>
      </c>
      <c r="C18" s="15">
        <f>C23/C25</f>
        <v>1</v>
      </c>
    </row>
    <row r="19" spans="1:5" x14ac:dyDescent="0.3">
      <c r="C19" s="66" t="str">
        <f>IF(C18&gt;C16,"OK","change width and depth")</f>
        <v>OK</v>
      </c>
      <c r="D19" s="66"/>
    </row>
    <row r="21" spans="1:5" x14ac:dyDescent="0.3">
      <c r="A21" s="1" t="s">
        <v>60</v>
      </c>
      <c r="C21" s="26">
        <v>14</v>
      </c>
    </row>
    <row r="22" spans="1:5" x14ac:dyDescent="0.3">
      <c r="B22" s="11" t="s">
        <v>43</v>
      </c>
      <c r="C22" s="30" t="str">
        <f>CONCATENATE(,C21,"*25.4")</f>
        <v>14*25.4</v>
      </c>
    </row>
    <row r="23" spans="1:5" x14ac:dyDescent="0.3">
      <c r="B23" s="11" t="s">
        <v>43</v>
      </c>
      <c r="C23" s="44">
        <f>C21*25.4</f>
        <v>355.59999999999997</v>
      </c>
    </row>
    <row r="24" spans="1:5" x14ac:dyDescent="0.3">
      <c r="A24" s="1" t="s">
        <v>47</v>
      </c>
      <c r="C24" s="26">
        <v>14</v>
      </c>
    </row>
    <row r="25" spans="1:5" x14ac:dyDescent="0.3">
      <c r="B25" s="11" t="s">
        <v>43</v>
      </c>
      <c r="C25" s="44">
        <f>C24*25.4</f>
        <v>355.59999999999997</v>
      </c>
    </row>
    <row r="26" spans="1:5" ht="15" x14ac:dyDescent="0.3">
      <c r="A26" s="24" t="str">
        <f>CONCATENATE("Provide Column Size of ", C21,"''X",C24,"''.",)</f>
        <v>Provide Column Size of 14''X14''.</v>
      </c>
      <c r="B26" s="11"/>
      <c r="C26" s="38"/>
    </row>
    <row r="31" spans="1:5" x14ac:dyDescent="0.3">
      <c r="A31" s="32" t="s">
        <v>31</v>
      </c>
      <c r="B31" s="47" t="s">
        <v>32</v>
      </c>
      <c r="C31" s="47" t="s">
        <v>33</v>
      </c>
      <c r="D31" s="32" t="s">
        <v>49</v>
      </c>
    </row>
    <row r="32" spans="1:5" x14ac:dyDescent="0.3">
      <c r="A32" s="46">
        <v>20</v>
      </c>
      <c r="B32" s="22">
        <v>1</v>
      </c>
      <c r="C32" s="45">
        <f>(PI()/4)*A32*A32</f>
        <v>314.15926535897933</v>
      </c>
      <c r="D32" s="39">
        <f>B32*C32</f>
        <v>314.15926535897933</v>
      </c>
      <c r="E32" s="40"/>
    </row>
    <row r="33" spans="1:6" x14ac:dyDescent="0.3">
      <c r="A33" s="46">
        <v>16</v>
      </c>
      <c r="B33" s="22">
        <v>3</v>
      </c>
      <c r="C33" s="45">
        <f t="shared" ref="C33:C36" si="0">(PI()/4)*A33*A33</f>
        <v>201.06192982974676</v>
      </c>
      <c r="D33" s="41">
        <f>B33*C33</f>
        <v>603.18578948924028</v>
      </c>
      <c r="F33" s="1">
        <v>600</v>
      </c>
    </row>
    <row r="34" spans="1:6" x14ac:dyDescent="0.3">
      <c r="A34" s="46">
        <v>12</v>
      </c>
      <c r="B34" s="22">
        <v>6</v>
      </c>
      <c r="C34" s="45">
        <f t="shared" si="0"/>
        <v>113.09733552923255</v>
      </c>
      <c r="D34" s="39">
        <f t="shared" ref="D34:D36" si="1">B34*C34</f>
        <v>678.58401317539528</v>
      </c>
    </row>
    <row r="35" spans="1:6" x14ac:dyDescent="0.3">
      <c r="A35" s="46">
        <v>10</v>
      </c>
      <c r="B35" s="22">
        <v>1</v>
      </c>
      <c r="C35" s="45">
        <f t="shared" si="0"/>
        <v>78.539816339744831</v>
      </c>
      <c r="D35" s="39">
        <f t="shared" si="1"/>
        <v>78.539816339744831</v>
      </c>
    </row>
    <row r="36" spans="1:6" x14ac:dyDescent="0.3">
      <c r="A36" s="46">
        <v>8</v>
      </c>
      <c r="B36" s="22">
        <v>1</v>
      </c>
      <c r="C36" s="45">
        <f t="shared" si="0"/>
        <v>50.26548245743669</v>
      </c>
      <c r="D36" s="39">
        <f t="shared" si="1"/>
        <v>50.26548245743669</v>
      </c>
    </row>
  </sheetData>
  <sheetProtection algorithmName="SHA-512" hashValue="5/7SQSzvtBtvTIG5FpuAMeyArkVXkviB8+SjnvaLO8tAK4FMjzpl2trR2a56LWAykobQMwICVohrwdJNX5fd0g==" saltValue="f/YiFV2EyNEQ2cAdpx6u+A==" spinCount="100000" sheet="1" objects="1" scenarios="1"/>
  <mergeCells count="1">
    <mergeCell ref="C19:D19"/>
  </mergeCells>
  <conditionalFormatting sqref="C19">
    <cfRule type="cellIs" dxfId="5" priority="1" operator="equal">
      <formula>"change width and depth"</formula>
    </cfRule>
    <cfRule type="cellIs" dxfId="4" priority="2" operator="equal">
      <formula>"OK"</formula>
    </cfRule>
  </conditionalFormatting>
  <dataValidations count="1">
    <dataValidation type="list" allowBlank="1" showInputMessage="1" showErrorMessage="1" sqref="C7" xr:uid="{04ABD5B6-E3BB-4CE1-88A3-2BAB23C58C39}">
      <formula1>"12,16,20,25,32"</formula1>
    </dataValidation>
  </dataValidations>
  <pageMargins left="0.7" right="0.7" top="0.75" bottom="0.75" header="0.3" footer="0.3"/>
  <pageSetup paperSize="9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2194-E0B9-4135-9FE2-FADD871C19B8}">
  <dimension ref="A1:C34"/>
  <sheetViews>
    <sheetView zoomScale="90" zoomScaleNormal="90" zoomScaleSheetLayoutView="100" workbookViewId="0">
      <selection activeCell="A36" sqref="A36"/>
    </sheetView>
  </sheetViews>
  <sheetFormatPr defaultRowHeight="14" x14ac:dyDescent="0.3"/>
  <cols>
    <col min="1" max="1" width="19.08984375" style="1" customWidth="1"/>
    <col min="2" max="2" width="21.1796875" style="1" bestFit="1" customWidth="1"/>
    <col min="3" max="16384" width="8.7265625" style="1"/>
  </cols>
  <sheetData>
    <row r="1" spans="1:2" x14ac:dyDescent="0.3">
      <c r="A1" s="3" t="s">
        <v>24</v>
      </c>
    </row>
    <row r="2" spans="1:2" x14ac:dyDescent="0.3">
      <c r="A2" s="1" t="s">
        <v>34</v>
      </c>
    </row>
    <row r="4" spans="1:2" x14ac:dyDescent="0.3">
      <c r="A4" s="11" t="s">
        <v>36</v>
      </c>
      <c r="B4" s="26">
        <v>9</v>
      </c>
    </row>
    <row r="5" spans="1:2" x14ac:dyDescent="0.3">
      <c r="A5" s="11" t="s">
        <v>43</v>
      </c>
      <c r="B5" s="48">
        <f>B4*25.4</f>
        <v>228.6</v>
      </c>
    </row>
    <row r="6" spans="1:2" x14ac:dyDescent="0.3">
      <c r="A6" s="11" t="s">
        <v>37</v>
      </c>
      <c r="B6" s="26">
        <v>14</v>
      </c>
    </row>
    <row r="7" spans="1:2" x14ac:dyDescent="0.3">
      <c r="A7" s="11" t="s">
        <v>43</v>
      </c>
      <c r="B7" s="48">
        <v>355.6</v>
      </c>
    </row>
    <row r="8" spans="1:2" x14ac:dyDescent="0.3">
      <c r="A8" s="11" t="s">
        <v>51</v>
      </c>
      <c r="B8" s="48"/>
    </row>
    <row r="9" spans="1:2" x14ac:dyDescent="0.3">
      <c r="A9" s="39" t="s">
        <v>50</v>
      </c>
      <c r="B9" s="49" t="s">
        <v>15</v>
      </c>
    </row>
    <row r="10" spans="1:2" x14ac:dyDescent="0.3">
      <c r="A10" s="50">
        <v>11</v>
      </c>
      <c r="B10" s="51">
        <v>9</v>
      </c>
    </row>
    <row r="11" spans="1:2" x14ac:dyDescent="0.3">
      <c r="A11" s="11" t="s">
        <v>43</v>
      </c>
      <c r="B11" s="48">
        <f>((A10*12)+B10)*25.4</f>
        <v>3581.3999999999996</v>
      </c>
    </row>
    <row r="12" spans="1:2" x14ac:dyDescent="0.3">
      <c r="A12" s="11" t="s">
        <v>41</v>
      </c>
      <c r="B12" s="48">
        <f>B11+(B5/2)+(B5/2)</f>
        <v>3810</v>
      </c>
    </row>
    <row r="13" spans="1:2" x14ac:dyDescent="0.3">
      <c r="A13" s="11"/>
      <c r="B13" s="52"/>
    </row>
    <row r="14" spans="1:2" x14ac:dyDescent="0.3">
      <c r="A14" s="57" t="s">
        <v>35</v>
      </c>
    </row>
    <row r="15" spans="1:2" x14ac:dyDescent="0.3">
      <c r="A15" s="56" t="s">
        <v>38</v>
      </c>
      <c r="B15" s="55">
        <v>0.3</v>
      </c>
    </row>
    <row r="16" spans="1:2" x14ac:dyDescent="0.3">
      <c r="A16" s="11" t="s">
        <v>44</v>
      </c>
      <c r="B16" s="53">
        <f>B5/B7</f>
        <v>0.64285714285714279</v>
      </c>
    </row>
    <row r="17" spans="1:3" x14ac:dyDescent="0.3">
      <c r="A17" s="11"/>
      <c r="B17" s="59" t="str">
        <f>IF(B16&gt;B15,"OK","change width and depth")</f>
        <v>OK</v>
      </c>
    </row>
    <row r="18" spans="1:3" x14ac:dyDescent="0.3">
      <c r="A18" s="57" t="s">
        <v>39</v>
      </c>
    </row>
    <row r="19" spans="1:3" x14ac:dyDescent="0.3">
      <c r="A19" s="56" t="s">
        <v>40</v>
      </c>
      <c r="B19" s="58">
        <v>200</v>
      </c>
    </row>
    <row r="21" spans="1:3" x14ac:dyDescent="0.3">
      <c r="A21" s="57" t="s">
        <v>55</v>
      </c>
    </row>
    <row r="23" spans="1:3" ht="16" x14ac:dyDescent="0.3">
      <c r="A23" s="56" t="s">
        <v>42</v>
      </c>
      <c r="B23" s="55" t="s">
        <v>45</v>
      </c>
      <c r="C23" s="9"/>
    </row>
    <row r="24" spans="1:3" ht="16" x14ac:dyDescent="0.3">
      <c r="A24" s="11" t="s">
        <v>46</v>
      </c>
      <c r="B24" s="1" t="str">
        <f>CONCATENATE("1/4 *",B11)</f>
        <v>1/4 *3581.4</v>
      </c>
    </row>
    <row r="25" spans="1:3" x14ac:dyDescent="0.3">
      <c r="A25" s="11" t="s">
        <v>43</v>
      </c>
      <c r="B25" s="54">
        <f>(1/4)*B11</f>
        <v>895.34999999999991</v>
      </c>
    </row>
    <row r="26" spans="1:3" x14ac:dyDescent="0.3">
      <c r="B26" s="30" t="str">
        <f>IF(B7&lt;B25,"OK","Change the depth")</f>
        <v>OK</v>
      </c>
    </row>
    <row r="28" spans="1:3" ht="15" x14ac:dyDescent="0.3">
      <c r="A28" s="24" t="str">
        <f>CONCATENATE("Provide Beam Size of ",B4,"''X",B6,"''.",)</f>
        <v>Provide Beam Size of 9''X14''.</v>
      </c>
    </row>
    <row r="34" spans="1:1" x14ac:dyDescent="0.3">
      <c r="A34" s="3" t="s">
        <v>24</v>
      </c>
    </row>
  </sheetData>
  <sheetProtection algorithmName="SHA-512" hashValue="zA41qS8tvzAg0qV4WFfPmqpPwpZFO4JSFMGzo6ibSK+YgDHwK0aC+50nIQ6QsQCkYdjnq13E9k2xP7z+okkkdw==" saltValue="b3YkR2zF6LMXZ2e27bAf0g==" spinCount="100000" sheet="1" objects="1" scenarios="1"/>
  <conditionalFormatting sqref="B17">
    <cfRule type="cellIs" dxfId="3" priority="5" operator="equal">
      <formula>"change width and depth"</formula>
    </cfRule>
    <cfRule type="cellIs" dxfId="2" priority="8" operator="equal">
      <formula>"OK"</formula>
    </cfRule>
  </conditionalFormatting>
  <conditionalFormatting sqref="B26">
    <cfRule type="cellIs" dxfId="1" priority="6" operator="equal">
      <formula>"Change the depth"</formula>
    </cfRule>
    <cfRule type="cellIs" dxfId="0" priority="7" operator="equal">
      <formula>"OK"</formula>
    </cfRule>
  </conditionalFormatting>
  <pageMargins left="0.7" right="0.7" top="0.75" bottom="0.75" header="0.3" footer="0.3"/>
  <pageSetup orientation="portrait" blackAndWhite="1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opLeftCell="A18" zoomScale="90" zoomScaleNormal="90" zoomScaleSheetLayoutView="100" workbookViewId="0">
      <selection activeCell="C20" sqref="C20"/>
    </sheetView>
  </sheetViews>
  <sheetFormatPr defaultRowHeight="14" x14ac:dyDescent="0.3"/>
  <cols>
    <col min="1" max="1" width="15.6328125" style="1" customWidth="1"/>
    <col min="2" max="2" width="10.36328125" style="1" bestFit="1" customWidth="1"/>
    <col min="3" max="5" width="8.7265625" style="1"/>
    <col min="6" max="6" width="9.36328125" style="1" bestFit="1" customWidth="1"/>
    <col min="7" max="13" width="8.7265625" style="1"/>
    <col min="14" max="14" width="12.54296875" style="1" customWidth="1"/>
    <col min="15" max="16384" width="8.7265625" style="1"/>
  </cols>
  <sheetData>
    <row r="1" spans="1:15" ht="27.5" x14ac:dyDescent="0.55000000000000004">
      <c r="L1" s="2" t="s">
        <v>4</v>
      </c>
      <c r="M1" s="3"/>
      <c r="N1" s="3"/>
    </row>
    <row r="2" spans="1:15" x14ac:dyDescent="0.3">
      <c r="A2" s="3" t="s">
        <v>13</v>
      </c>
    </row>
    <row r="4" spans="1:15" x14ac:dyDescent="0.3">
      <c r="A4" s="4" t="s">
        <v>3</v>
      </c>
      <c r="B4" s="5"/>
      <c r="C4" s="5"/>
      <c r="M4" s="6" t="s">
        <v>1</v>
      </c>
      <c r="N4" s="6"/>
      <c r="O4" s="6">
        <v>35</v>
      </c>
    </row>
    <row r="5" spans="1:15" s="9" customFormat="1" x14ac:dyDescent="0.3">
      <c r="A5" s="7"/>
      <c r="B5" s="8"/>
      <c r="C5" s="8"/>
      <c r="M5" s="10"/>
      <c r="N5" s="10"/>
      <c r="O5" s="10"/>
    </row>
    <row r="6" spans="1:15" ht="27.5" customHeight="1" x14ac:dyDescent="0.3">
      <c r="A6" s="56"/>
      <c r="B6" s="29">
        <f>VLOOKUP(A4,M4:O6,3,FALSE)</f>
        <v>40</v>
      </c>
      <c r="C6" s="29" t="s">
        <v>0</v>
      </c>
      <c r="D6" s="30"/>
      <c r="E6" s="30"/>
      <c r="F6" s="12" t="s">
        <v>17</v>
      </c>
      <c r="G6" s="13"/>
      <c r="H6" s="13"/>
      <c r="M6" s="6" t="s">
        <v>2</v>
      </c>
      <c r="N6" s="6"/>
      <c r="O6" s="6">
        <v>40</v>
      </c>
    </row>
    <row r="7" spans="1:15" x14ac:dyDescent="0.3">
      <c r="A7" s="11" t="s">
        <v>10</v>
      </c>
      <c r="B7" s="14">
        <v>3124</v>
      </c>
      <c r="C7" s="60" t="s">
        <v>22</v>
      </c>
    </row>
    <row r="8" spans="1:15" x14ac:dyDescent="0.3">
      <c r="A8" s="56" t="s">
        <v>11</v>
      </c>
      <c r="B8" s="30" t="str">
        <f>CONCATENATE(,B7," / ",B6,)</f>
        <v>3124 / 40</v>
      </c>
      <c r="C8" s="60" t="s">
        <v>5</v>
      </c>
      <c r="D8" s="30"/>
    </row>
    <row r="9" spans="1:15" x14ac:dyDescent="0.3">
      <c r="A9" s="56"/>
      <c r="B9" s="31">
        <f>B7/B6</f>
        <v>78.099999999999994</v>
      </c>
      <c r="C9" s="60"/>
      <c r="D9" s="30"/>
    </row>
    <row r="10" spans="1:15" x14ac:dyDescent="0.3">
      <c r="A10" s="11" t="s">
        <v>8</v>
      </c>
      <c r="B10" s="17">
        <v>10</v>
      </c>
      <c r="C10" s="1" t="s">
        <v>9</v>
      </c>
    </row>
    <row r="11" spans="1:15" x14ac:dyDescent="0.3">
      <c r="A11" s="11" t="s">
        <v>6</v>
      </c>
      <c r="B11" s="61">
        <v>15</v>
      </c>
    </row>
    <row r="12" spans="1:15" x14ac:dyDescent="0.3">
      <c r="A12" s="1" t="s">
        <v>7</v>
      </c>
      <c r="B12" s="1" t="str">
        <f>CONCATENATE(,B9,"+(",B10,"/2) ","+",B11)</f>
        <v>78.1+(10/2) +15</v>
      </c>
      <c r="F12" s="18"/>
    </row>
    <row r="13" spans="1:15" x14ac:dyDescent="0.3">
      <c r="B13" s="18">
        <f>B9+(B10/2)+B11</f>
        <v>98.1</v>
      </c>
      <c r="F13" s="18"/>
    </row>
    <row r="14" spans="1:15" x14ac:dyDescent="0.3">
      <c r="B14" s="19">
        <f>ROUNDUP(B13,0.1)</f>
        <v>99</v>
      </c>
      <c r="C14" s="1" t="s">
        <v>12</v>
      </c>
      <c r="F14" s="20"/>
    </row>
    <row r="18" spans="1:15" x14ac:dyDescent="0.3">
      <c r="A18" s="4" t="s">
        <v>3</v>
      </c>
      <c r="B18" s="5"/>
      <c r="C18" s="5"/>
      <c r="M18" s="6" t="s">
        <v>1</v>
      </c>
      <c r="N18" s="6"/>
      <c r="O18" s="6">
        <v>35</v>
      </c>
    </row>
    <row r="19" spans="1:15" s="9" customFormat="1" x14ac:dyDescent="0.3">
      <c r="A19" s="7"/>
      <c r="B19" s="8"/>
      <c r="C19" s="8"/>
      <c r="M19" s="10"/>
      <c r="N19" s="10"/>
      <c r="O19" s="10"/>
    </row>
    <row r="20" spans="1:15" ht="27.5" customHeight="1" x14ac:dyDescent="0.3">
      <c r="A20" s="56"/>
      <c r="B20" s="29">
        <f>VLOOKUP(A18,M18:O20,3,FALSE)</f>
        <v>40</v>
      </c>
      <c r="C20" s="29" t="s">
        <v>0</v>
      </c>
      <c r="D20" s="30"/>
      <c r="E20" s="30"/>
      <c r="G20" s="13"/>
      <c r="H20" s="13"/>
      <c r="M20" s="6" t="s">
        <v>2</v>
      </c>
      <c r="N20" s="6"/>
      <c r="O20" s="6">
        <v>40</v>
      </c>
    </row>
    <row r="21" spans="1:15" x14ac:dyDescent="0.3">
      <c r="A21" s="56" t="s">
        <v>18</v>
      </c>
      <c r="B21" s="33" t="str">
        <f>CONCATENATE(,B24,"' ",C24,"""")</f>
        <v>10' 3"</v>
      </c>
      <c r="C21" s="30" t="s">
        <v>20</v>
      </c>
      <c r="D21" s="30"/>
    </row>
    <row r="22" spans="1:15" x14ac:dyDescent="0.3">
      <c r="A22" s="11" t="s">
        <v>19</v>
      </c>
      <c r="B22" s="21" t="s">
        <v>23</v>
      </c>
      <c r="C22" s="1" t="s">
        <v>21</v>
      </c>
    </row>
    <row r="23" spans="1:15" x14ac:dyDescent="0.3">
      <c r="B23" s="22" t="s">
        <v>14</v>
      </c>
      <c r="C23" s="22" t="s">
        <v>15</v>
      </c>
      <c r="D23" s="22" t="s">
        <v>16</v>
      </c>
    </row>
    <row r="24" spans="1:15" x14ac:dyDescent="0.3">
      <c r="B24" s="23">
        <v>10</v>
      </c>
      <c r="C24" s="23">
        <v>3</v>
      </c>
      <c r="D24" s="47">
        <f>((B24*12)+C24)*25.4</f>
        <v>3124.2</v>
      </c>
    </row>
    <row r="25" spans="1:15" x14ac:dyDescent="0.3">
      <c r="A25" s="56" t="str">
        <f>+A21</f>
        <v>lx=</v>
      </c>
      <c r="B25" s="62">
        <f>D24</f>
        <v>3124.2</v>
      </c>
      <c r="C25" s="60" t="s">
        <v>22</v>
      </c>
      <c r="D25" s="30"/>
      <c r="E25" s="30"/>
      <c r="F25" s="30"/>
      <c r="G25" s="30"/>
    </row>
    <row r="26" spans="1:15" x14ac:dyDescent="0.3">
      <c r="A26" s="56" t="s">
        <v>11</v>
      </c>
      <c r="B26" s="30" t="str">
        <f>CONCATENATE(,B25," / ",B20,)</f>
        <v>3124.2 / 40</v>
      </c>
      <c r="C26" s="60" t="s">
        <v>5</v>
      </c>
      <c r="D26" s="30"/>
      <c r="E26" s="30"/>
      <c r="F26" s="30"/>
      <c r="G26" s="30"/>
    </row>
    <row r="27" spans="1:15" x14ac:dyDescent="0.3">
      <c r="A27" s="11"/>
      <c r="B27" s="16">
        <f>ROUND(B25/B20,3)</f>
        <v>78.105000000000004</v>
      </c>
      <c r="C27" s="15"/>
    </row>
    <row r="28" spans="1:15" x14ac:dyDescent="0.3">
      <c r="A28" s="11" t="s">
        <v>8</v>
      </c>
      <c r="B28" s="17">
        <v>10</v>
      </c>
      <c r="C28" s="1" t="s">
        <v>9</v>
      </c>
    </row>
    <row r="29" spans="1:15" x14ac:dyDescent="0.3">
      <c r="A29" s="11" t="s">
        <v>6</v>
      </c>
      <c r="B29" s="61">
        <v>15</v>
      </c>
    </row>
    <row r="30" spans="1:15" x14ac:dyDescent="0.3">
      <c r="A30" s="1" t="s">
        <v>7</v>
      </c>
      <c r="B30" s="1" t="str">
        <f>CONCATENATE(,B27,"+(",B28,"/2) ","+",B29)</f>
        <v>78.105+(10/2) +15</v>
      </c>
      <c r="F30" s="18"/>
    </row>
    <row r="31" spans="1:15" x14ac:dyDescent="0.3">
      <c r="B31" s="18">
        <f>B27+(B28/2)+B29</f>
        <v>98.105000000000004</v>
      </c>
      <c r="F31" s="18"/>
    </row>
    <row r="32" spans="1:15" x14ac:dyDescent="0.3">
      <c r="B32" s="19">
        <f>ROUNDUP(B31,0.1)</f>
        <v>99</v>
      </c>
      <c r="C32" s="1" t="s">
        <v>12</v>
      </c>
      <c r="F32" s="20"/>
    </row>
    <row r="33" spans="1:6" x14ac:dyDescent="0.3">
      <c r="B33" s="17">
        <v>125</v>
      </c>
      <c r="F33" s="20"/>
    </row>
    <row r="34" spans="1:6" ht="15" x14ac:dyDescent="0.3">
      <c r="A34" s="24" t="str">
        <f>CONCATENATE("Provide Slab thickness of ",B33,"mm.",)</f>
        <v>Provide Slab thickness of 125mm.</v>
      </c>
    </row>
    <row r="36" spans="1:6" x14ac:dyDescent="0.3">
      <c r="A36" s="1" t="s">
        <v>52</v>
      </c>
    </row>
    <row r="37" spans="1:6" x14ac:dyDescent="0.3">
      <c r="A37" s="25" t="s">
        <v>53</v>
      </c>
      <c r="C37" s="26">
        <v>146</v>
      </c>
    </row>
    <row r="38" spans="1:6" x14ac:dyDescent="0.3">
      <c r="A38" s="1" t="s">
        <v>54</v>
      </c>
      <c r="C38" s="27">
        <f>C37/25</f>
        <v>5.84</v>
      </c>
    </row>
    <row r="39" spans="1:6" x14ac:dyDescent="0.3">
      <c r="C39" s="28">
        <f>ROUND(C37/25,0)</f>
        <v>6</v>
      </c>
    </row>
  </sheetData>
  <sheetProtection algorithmName="SHA-512" hashValue="8Bfp0CpePreZJSOagj/LFyCm0hEnrMHtOffAvD8f1imggPKL3vohpztd8aNgH/P17begzzwEHRpQzvvZFF3L8w==" saltValue="Y1R/M1oa+m1VyWdTD/Y6EA==" spinCount="100000" sheet="1" objects="1" scenarios="1"/>
  <dataValidations count="2">
    <dataValidation type="list" allowBlank="1" showInputMessage="1" showErrorMessage="1" sqref="A4:A5 A18:A19" xr:uid="{28628772-7A7D-4D36-9476-DB1480396298}">
      <formula1>"Simply supported slabs, Continuous Slabs"</formula1>
    </dataValidation>
    <dataValidation type="list" allowBlank="1" showInputMessage="1" showErrorMessage="1" sqref="B10 B28" xr:uid="{CE0CDC3F-591E-447A-A4D8-DA8E087DFA6A}">
      <formula1>"8,10,12"</formula1>
    </dataValidation>
  </dataValidations>
  <pageMargins left="0.7" right="0.7" top="0.75" bottom="0.75" header="0.3" footer="0.3"/>
  <pageSetup paperSize="9" orientation="portrait" blackAndWhite="1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Column</vt:lpstr>
      <vt:lpstr>Beam</vt:lpstr>
      <vt:lpstr>Slab</vt:lpstr>
      <vt:lpstr>Beam!Print_Area</vt:lpstr>
      <vt:lpstr>Column!Print_Area</vt:lpstr>
      <vt:lpstr>Slab!Print_Area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summon balami</dc:creator>
  <cp:lastModifiedBy>summon balami</cp:lastModifiedBy>
  <cp:lastPrinted>2022-08-07T06:05:15Z</cp:lastPrinted>
  <dcterms:created xsi:type="dcterms:W3CDTF">2015-06-05T18:17:20Z</dcterms:created>
  <dcterms:modified xsi:type="dcterms:W3CDTF">2022-08-07T06:06:02Z</dcterms:modified>
</cp:coreProperties>
</file>