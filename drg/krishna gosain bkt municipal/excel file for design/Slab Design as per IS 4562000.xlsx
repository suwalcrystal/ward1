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o way slab" sheetId="1" r:id="rId4"/>
  </sheets>
  <definedNames/>
  <calcPr/>
  <extLst>
    <ext uri="GoogleSheetsCustomDataVersion1">
      <go:sheetsCustomData xmlns:go="http://customooxmlschemas.google.com/" r:id="rId5" roundtripDataSignature="AMtx7mhWrAunPmDgsAvXH2AaGYseQgL8gg=="/>
    </ext>
  </extLst>
</workbook>
</file>

<file path=xl/sharedStrings.xml><?xml version="1.0" encoding="utf-8"?>
<sst xmlns="http://schemas.openxmlformats.org/spreadsheetml/2006/main" count="269" uniqueCount="211">
  <si>
    <t>SLAB DESIGN</t>
  </si>
  <si>
    <t>Claculation of effective depth</t>
  </si>
  <si>
    <t>Slab ID: A1:A2:B2:B1</t>
  </si>
  <si>
    <t>ft.</t>
  </si>
  <si>
    <t>in.</t>
  </si>
  <si>
    <t>c/c distance of shorter length (lx)=</t>
  </si>
  <si>
    <t>clear span along shorter length=</t>
  </si>
  <si>
    <t>c/c distance of longer length (ly)=</t>
  </si>
  <si>
    <t>clear span along longer length=</t>
  </si>
  <si>
    <t>Width of Support=</t>
  </si>
  <si>
    <t>IS 456:2000 Clause 24.1</t>
  </si>
  <si>
    <t>NOTE:</t>
  </si>
  <si>
    <t>lx/d</t>
  </si>
  <si>
    <t>for one way slab</t>
  </si>
  <si>
    <t>d=</t>
  </si>
  <si>
    <t>Simply Supported beam</t>
  </si>
  <si>
    <t>=</t>
  </si>
  <si>
    <t>Continuous Beam</t>
  </si>
  <si>
    <t>Two adjacent edge discontinuous</t>
  </si>
  <si>
    <t>Adopt diameter of main bar(Φ)=</t>
  </si>
  <si>
    <t>Clear cover=</t>
  </si>
  <si>
    <t>Adopt diameter of distribution bar(Φ)=</t>
  </si>
  <si>
    <t>Dia. of reinforcing bars is choosen in such a way that it shall not exceed 1/8th of the total thickness of slab</t>
  </si>
  <si>
    <t>1/8th of total thickness of slab=</t>
  </si>
  <si>
    <t>IS 456:2000 Clause 26.5.2.2</t>
  </si>
  <si>
    <t>Overall depth (D)=</t>
  </si>
  <si>
    <t>Calculation of effective length</t>
  </si>
  <si>
    <t>Along shorter length</t>
  </si>
  <si>
    <t>c/c distace=</t>
  </si>
  <si>
    <t>clear span+eff. Depth(dx)=</t>
  </si>
  <si>
    <t>lex=</t>
  </si>
  <si>
    <t>Along longer length</t>
  </si>
  <si>
    <t>clear span+eff. Depth(dy)=</t>
  </si>
  <si>
    <t>ley=</t>
  </si>
  <si>
    <t>ley/lex=</t>
  </si>
  <si>
    <t>if ley/lex &lt; 2, then it is two way slab
 otherwise one way slab</t>
  </si>
  <si>
    <t>Slab Type=</t>
  </si>
  <si>
    <t>Load Claculation</t>
  </si>
  <si>
    <t>Compressive Strength of Concrete (fck)=</t>
  </si>
  <si>
    <t>Minimum Yield Strength of Steel (fy)=</t>
  </si>
  <si>
    <t>Unit weight of concrete (γ)=</t>
  </si>
  <si>
    <t>IS: 875 (Part 1)-1987,Table-1 Item no. 22</t>
  </si>
  <si>
    <t>(For 1m width of slab)</t>
  </si>
  <si>
    <t>Live Load (LL)=</t>
  </si>
  <si>
    <t>Floor Finish (FF)=</t>
  </si>
  <si>
    <t>Partition wall=</t>
  </si>
  <si>
    <t>Self weight=</t>
  </si>
  <si>
    <t>γ*D</t>
  </si>
  <si>
    <t>Total Load=</t>
  </si>
  <si>
    <t>Factored Load=</t>
  </si>
  <si>
    <t>Maximum bending moment calculation</t>
  </si>
  <si>
    <t>Type of Panel=</t>
  </si>
  <si>
    <t>Four Edges Discontinuous</t>
  </si>
  <si>
    <t>ley/lex</t>
  </si>
  <si>
    <t>The value of ley/lex and α</t>
  </si>
  <si>
    <t>is taken from IS 456:2000 Table-26</t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</si>
  <si>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</si>
  <si>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</si>
  <si>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 xml:space="preserve">-ve   </t>
    </r>
    <r>
      <rPr>
        <rFont val="Times New Roman"/>
        <color rgb="FF222222"/>
        <sz val="12.0"/>
      </rPr>
      <t>=y1 + [{(y2-y1)/(x2-x1)}*(x-x1)] =</t>
    </r>
  </si>
  <si>
    <r>
      <rPr>
        <rFont val="Times New Roman"/>
        <b/>
        <color rgb="FF222222"/>
        <sz val="12.0"/>
      </rPr>
      <t>α</t>
    </r>
    <r>
      <rPr>
        <rFont val="Times New Roman"/>
        <b/>
        <color rgb="FF222222"/>
        <sz val="12.0"/>
        <vertAlign val="subscript"/>
      </rPr>
      <t>x</t>
    </r>
    <r>
      <rPr>
        <rFont val="Times New Roman"/>
        <b/>
        <color rgb="FF222222"/>
        <sz val="12.0"/>
        <vertAlign val="superscript"/>
      </rPr>
      <t xml:space="preserve">-ve   </t>
    </r>
    <r>
      <rPr>
        <rFont val="Times New Roman"/>
        <b/>
        <color rgb="FF222222"/>
        <sz val="12.0"/>
      </rPr>
      <t>=</t>
    </r>
  </si>
  <si>
    <r>
      <rPr>
        <rFont val="Times New Roman"/>
        <b/>
        <color rgb="FF222222"/>
        <sz val="12.0"/>
      </rPr>
      <t>α</t>
    </r>
    <r>
      <rPr>
        <rFont val="Times New Roman"/>
        <b/>
        <color rgb="FF222222"/>
        <sz val="12.0"/>
        <vertAlign val="subscript"/>
      </rPr>
      <t>x</t>
    </r>
    <r>
      <rPr>
        <rFont val="Times New Roman"/>
        <b/>
        <color rgb="FF222222"/>
        <sz val="12.0"/>
        <vertAlign val="superscript"/>
      </rPr>
      <t xml:space="preserve">+ve   </t>
    </r>
    <r>
      <rPr>
        <rFont val="Times New Roman"/>
        <b/>
        <color rgb="FF222222"/>
        <sz val="12.0"/>
      </rPr>
      <t>=</t>
    </r>
  </si>
  <si>
    <t xml:space="preserve"> is taken from IS 456:2000 Table-26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</si>
  <si>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-ve</t>
    </r>
    <r>
      <rPr>
        <rFont val="Times New Roman"/>
        <color theme="1"/>
        <sz val="12.0"/>
      </rPr>
      <t xml:space="preserve"> = α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-ve</t>
    </r>
    <r>
      <rPr>
        <rFont val="Times New Roman"/>
        <color theme="1"/>
        <sz val="12.0"/>
      </rPr>
      <t xml:space="preserve"> * W * l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2</t>
    </r>
    <r>
      <rPr>
        <rFont val="Times New Roman"/>
        <color theme="1"/>
        <sz val="12.0"/>
      </rPr>
      <t xml:space="preserve">  =</t>
    </r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</si>
  <si>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+ve</t>
    </r>
    <r>
      <rPr>
        <rFont val="Times New Roman"/>
        <color theme="1"/>
        <sz val="12.0"/>
      </rPr>
      <t xml:space="preserve"> = α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+ve</t>
    </r>
    <r>
      <rPr>
        <rFont val="Times New Roman"/>
        <color theme="1"/>
        <sz val="12.0"/>
      </rPr>
      <t xml:space="preserve"> * W * l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2</t>
    </r>
    <r>
      <rPr>
        <rFont val="Times New Roman"/>
        <color theme="1"/>
        <sz val="12.0"/>
      </rPr>
      <t xml:space="preserve">  =</t>
    </r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</si>
  <si>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bscript"/>
      </rPr>
      <t>y</t>
    </r>
    <r>
      <rPr>
        <rFont val="Times New Roman"/>
        <color theme="1"/>
        <sz val="12.0"/>
        <vertAlign val="superscript"/>
      </rPr>
      <t>-ve</t>
    </r>
    <r>
      <rPr>
        <rFont val="Times New Roman"/>
        <color theme="1"/>
        <sz val="12.0"/>
      </rPr>
      <t xml:space="preserve"> = α</t>
    </r>
    <r>
      <rPr>
        <rFont val="Times New Roman"/>
        <color theme="1"/>
        <sz val="12.0"/>
        <vertAlign val="subscript"/>
      </rPr>
      <t>y</t>
    </r>
    <r>
      <rPr>
        <rFont val="Times New Roman"/>
        <color theme="1"/>
        <sz val="12.0"/>
        <vertAlign val="superscript"/>
      </rPr>
      <t>-ve</t>
    </r>
    <r>
      <rPr>
        <rFont val="Times New Roman"/>
        <color theme="1"/>
        <sz val="12.0"/>
      </rPr>
      <t xml:space="preserve"> * W * l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2</t>
    </r>
    <r>
      <rPr>
        <rFont val="Times New Roman"/>
        <color theme="1"/>
        <sz val="12.0"/>
      </rPr>
      <t xml:space="preserve">  =</t>
    </r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</si>
  <si>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bscript"/>
      </rPr>
      <t>y</t>
    </r>
    <r>
      <rPr>
        <rFont val="Times New Roman"/>
        <color theme="1"/>
        <sz val="12.0"/>
        <vertAlign val="superscript"/>
      </rPr>
      <t>+ve</t>
    </r>
    <r>
      <rPr>
        <rFont val="Times New Roman"/>
        <color theme="1"/>
        <sz val="12.0"/>
      </rPr>
      <t xml:space="preserve"> = α</t>
    </r>
    <r>
      <rPr>
        <rFont val="Times New Roman"/>
        <color theme="1"/>
        <sz val="12.0"/>
        <vertAlign val="subscript"/>
      </rPr>
      <t>y</t>
    </r>
    <r>
      <rPr>
        <rFont val="Times New Roman"/>
        <color theme="1"/>
        <sz val="12.0"/>
        <vertAlign val="superscript"/>
      </rPr>
      <t>+ve</t>
    </r>
    <r>
      <rPr>
        <rFont val="Times New Roman"/>
        <color theme="1"/>
        <sz val="12.0"/>
      </rPr>
      <t xml:space="preserve"> * W * l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2</t>
    </r>
    <r>
      <rPr>
        <rFont val="Times New Roman"/>
        <color theme="1"/>
        <sz val="12.0"/>
      </rPr>
      <t xml:space="preserve">  =</t>
    </r>
  </si>
  <si>
    <t>Check for depth against bending</t>
  </si>
  <si>
    <t>Mmax=</t>
  </si>
  <si>
    <t>dreq=</t>
  </si>
  <si>
    <t>Area of Steel Calculation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</si>
  <si>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-ve</t>
    </r>
    <r>
      <rPr>
        <rFont val="Times New Roman"/>
        <color theme="1"/>
        <sz val="12.0"/>
      </rPr>
      <t xml:space="preserve">  =</t>
    </r>
  </si>
  <si>
    <r>
      <rPr>
        <rFont val="Times New Roman"/>
        <color theme="1"/>
        <sz val="12.0"/>
      </rPr>
      <t>0.87*fy*Ast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-ve</t>
    </r>
    <r>
      <rPr>
        <rFont val="Times New Roman"/>
        <color theme="1"/>
        <sz val="12.0"/>
      </rPr>
      <t>*dx*[1-{(Ast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-ve</t>
    </r>
    <r>
      <rPr>
        <rFont val="Times New Roman"/>
        <color theme="1"/>
        <sz val="12.0"/>
      </rPr>
      <t>*fy)/(b*dx*fck)}]</t>
    </r>
  </si>
  <si>
    <r>
      <rPr>
        <rFont val="Times New Roman"/>
        <b/>
        <color theme="1"/>
        <sz val="12.0"/>
      </rPr>
      <t>Ast</t>
    </r>
    <r>
      <rPr>
        <rFont val="Times New Roman"/>
        <b/>
        <color theme="1"/>
        <sz val="12.0"/>
        <vertAlign val="subscript"/>
      </rPr>
      <t>x</t>
    </r>
    <r>
      <rPr>
        <rFont val="Times New Roman"/>
        <b/>
        <color theme="1"/>
        <sz val="12.0"/>
        <vertAlign val="superscript"/>
      </rPr>
      <t>-ve</t>
    </r>
    <r>
      <rPr>
        <rFont val="Times New Roman"/>
        <b/>
        <color theme="1"/>
        <sz val="12.0"/>
      </rPr>
      <t xml:space="preserve">  =</t>
    </r>
  </si>
  <si>
    <t>Similarly,</t>
  </si>
  <si>
    <r>
      <rPr>
        <rFont val="Times New Roman"/>
        <b/>
        <color theme="1"/>
        <sz val="12.0"/>
      </rPr>
      <t>Ast</t>
    </r>
    <r>
      <rPr>
        <rFont val="Times New Roman"/>
        <b/>
        <color theme="1"/>
        <sz val="12.0"/>
        <vertAlign val="subscript"/>
      </rPr>
      <t>x</t>
    </r>
    <r>
      <rPr>
        <rFont val="Times New Roman"/>
        <b/>
        <color theme="1"/>
        <sz val="12.0"/>
        <vertAlign val="superscript"/>
      </rPr>
      <t>+ve</t>
    </r>
    <r>
      <rPr>
        <rFont val="Times New Roman"/>
        <b/>
        <color theme="1"/>
        <sz val="12.0"/>
      </rPr>
      <t xml:space="preserve">  =</t>
    </r>
  </si>
  <si>
    <r>
      <rPr>
        <rFont val="Times New Roman"/>
        <color theme="1"/>
        <sz val="12.0"/>
      </rPr>
      <t>ax</t>
    </r>
    <r>
      <rPr>
        <rFont val="Times New Roman"/>
        <color theme="1"/>
        <sz val="12.0"/>
        <vertAlign val="superscript"/>
      </rPr>
      <t>2</t>
    </r>
    <r>
      <rPr>
        <rFont val="Times New Roman"/>
        <color theme="1"/>
        <sz val="12.0"/>
      </rPr>
      <t>+bx+c</t>
    </r>
  </si>
  <si>
    <r>
      <rPr>
        <rFont val="Times New Roman"/>
        <b/>
        <color theme="1"/>
        <sz val="12.0"/>
      </rPr>
      <t>Ast</t>
    </r>
    <r>
      <rPr>
        <rFont val="Times New Roman"/>
        <b/>
        <color theme="1"/>
        <sz val="12.0"/>
        <vertAlign val="subscript"/>
      </rPr>
      <t>y</t>
    </r>
    <r>
      <rPr>
        <rFont val="Times New Roman"/>
        <b/>
        <color theme="1"/>
        <sz val="12.0"/>
        <vertAlign val="superscript"/>
      </rPr>
      <t>-ve</t>
    </r>
    <r>
      <rPr>
        <rFont val="Times New Roman"/>
        <b/>
        <color theme="1"/>
        <sz val="12.0"/>
      </rPr>
      <t xml:space="preserve">  =</t>
    </r>
  </si>
  <si>
    <r>
      <rPr>
        <rFont val="Times New Roman"/>
        <b/>
        <color theme="1"/>
        <sz val="12.0"/>
      </rPr>
      <t>Ast</t>
    </r>
    <r>
      <rPr>
        <rFont val="Times New Roman"/>
        <b/>
        <color theme="1"/>
        <sz val="12.0"/>
        <vertAlign val="subscript"/>
      </rPr>
      <t>y</t>
    </r>
    <r>
      <rPr>
        <rFont val="Times New Roman"/>
        <b/>
        <color theme="1"/>
        <sz val="12.0"/>
        <vertAlign val="superscript"/>
      </rPr>
      <t>+ve</t>
    </r>
    <r>
      <rPr>
        <rFont val="Times New Roman"/>
        <b/>
        <color theme="1"/>
        <sz val="12.0"/>
      </rPr>
      <t xml:space="preserve">  =</t>
    </r>
  </si>
  <si>
    <t>(Ast)min=</t>
  </si>
  <si>
    <t>Taking maximum area between Ast and (Ast)min for spacing calculation</t>
  </si>
  <si>
    <r>
      <rPr>
        <rFont val="Times New Roman"/>
        <color theme="1"/>
        <sz val="12.0"/>
      </rPr>
      <t>(Spacing)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-ve</t>
    </r>
    <r>
      <rPr>
        <rFont val="Times New Roman"/>
        <color theme="1"/>
        <sz val="12.0"/>
      </rPr>
      <t>=</t>
    </r>
  </si>
  <si>
    <r>
      <rPr>
        <rFont val="Times New Roman"/>
        <color theme="1"/>
        <sz val="12.0"/>
      </rPr>
      <t>(Spacing)</t>
    </r>
    <r>
      <rPr>
        <rFont val="Times New Roman"/>
        <color theme="1"/>
        <sz val="12.0"/>
        <vertAlign val="subscript"/>
      </rPr>
      <t>x</t>
    </r>
    <r>
      <rPr>
        <rFont val="Times New Roman"/>
        <color theme="1"/>
        <sz val="12.0"/>
        <vertAlign val="superscript"/>
      </rPr>
      <t>+ve</t>
    </r>
    <r>
      <rPr>
        <rFont val="Times New Roman"/>
        <color theme="1"/>
        <sz val="12.0"/>
      </rPr>
      <t>=</t>
    </r>
  </si>
  <si>
    <r>
      <rPr>
        <rFont val="Times New Roman"/>
        <color theme="1"/>
        <sz val="12.0"/>
      </rPr>
      <t>(Spacing)</t>
    </r>
    <r>
      <rPr>
        <rFont val="Times New Roman"/>
        <color theme="1"/>
        <sz val="12.0"/>
        <vertAlign val="subscript"/>
      </rPr>
      <t>y</t>
    </r>
    <r>
      <rPr>
        <rFont val="Times New Roman"/>
        <color theme="1"/>
        <sz val="12.0"/>
        <vertAlign val="superscript"/>
      </rPr>
      <t>-ve</t>
    </r>
    <r>
      <rPr>
        <rFont val="Times New Roman"/>
        <color theme="1"/>
        <sz val="12.0"/>
      </rPr>
      <t>=</t>
    </r>
  </si>
  <si>
    <r>
      <rPr>
        <rFont val="Times New Roman"/>
        <color theme="1"/>
        <sz val="12.0"/>
      </rPr>
      <t>(Spacing)</t>
    </r>
    <r>
      <rPr>
        <rFont val="Times New Roman"/>
        <color theme="1"/>
        <sz val="12.0"/>
        <vertAlign val="subscript"/>
      </rPr>
      <t>y</t>
    </r>
    <r>
      <rPr>
        <rFont val="Times New Roman"/>
        <color theme="1"/>
        <sz val="12.0"/>
        <vertAlign val="superscript"/>
      </rPr>
      <t>+ve</t>
    </r>
    <r>
      <rPr>
        <rFont val="Times New Roman"/>
        <color theme="1"/>
        <sz val="12.0"/>
      </rPr>
      <t>=</t>
    </r>
  </si>
  <si>
    <t>Maximum Spacing of main bar</t>
  </si>
  <si>
    <t>Maximum Spacing of distribution bar</t>
  </si>
  <si>
    <t>(i)</t>
  </si>
  <si>
    <t>3d</t>
  </si>
  <si>
    <t>5d</t>
  </si>
  <si>
    <t>(ii)</t>
  </si>
  <si>
    <t>300mm</t>
  </si>
  <si>
    <t>minimum of  (i) &amp; (ii) =</t>
  </si>
  <si>
    <t>Maximum allowable spacing for main bar=</t>
  </si>
  <si>
    <t>Maximum allowable spacing for distribution bar=</t>
  </si>
  <si>
    <r>
      <rPr>
        <rFont val="Times New Roman"/>
        <b/>
        <color theme="1"/>
        <sz val="12.0"/>
      </rPr>
      <t>(Ast)</t>
    </r>
    <r>
      <rPr>
        <rFont val="Times New Roman"/>
        <b/>
        <color theme="1"/>
        <sz val="12.0"/>
        <vertAlign val="subscript"/>
      </rPr>
      <t>x</t>
    </r>
    <r>
      <rPr>
        <rFont val="Times New Roman"/>
        <b/>
        <color theme="1"/>
        <sz val="12.0"/>
        <vertAlign val="superscript"/>
      </rPr>
      <t>+</t>
    </r>
    <r>
      <rPr>
        <rFont val="Times New Roman"/>
        <b/>
        <color theme="1"/>
        <sz val="12.0"/>
      </rPr>
      <t xml:space="preserve"> provided =</t>
    </r>
  </si>
  <si>
    <t>% steel provided=</t>
  </si>
  <si>
    <t>Area provided/(b*D)</t>
  </si>
  <si>
    <t>Check for shear force</t>
  </si>
  <si>
    <t>Vmax=</t>
  </si>
  <si>
    <r>
      <rPr>
        <rFont val="Times New Roman"/>
        <color theme="1"/>
        <sz val="18.0"/>
      </rPr>
      <t>τ</t>
    </r>
    <r>
      <rPr>
        <rFont val="Times New Roman"/>
        <color theme="1"/>
        <sz val="11.0"/>
      </rPr>
      <t>=</t>
    </r>
  </si>
  <si>
    <r>
      <rPr>
        <rFont val="Times New Roman"/>
        <color theme="1"/>
        <sz val="18.0"/>
      </rPr>
      <t xml:space="preserve"> </t>
    </r>
    <r>
      <rPr>
        <rFont val="Times New Roman"/>
        <color theme="1"/>
        <sz val="12.0"/>
      </rPr>
      <t>(</t>
    </r>
    <r>
      <rPr>
        <rFont val="Times New Roman"/>
        <color theme="1"/>
        <sz val="18.0"/>
      </rPr>
      <t>τ</t>
    </r>
    <r>
      <rPr>
        <rFont val="Times New Roman"/>
        <color theme="1"/>
        <sz val="11.0"/>
      </rPr>
      <t>c)=</t>
    </r>
  </si>
  <si>
    <t>value calculated from IS456:200 Table-19</t>
  </si>
  <si>
    <t>k=</t>
  </si>
  <si>
    <r>
      <rPr>
        <rFont val="Times New Roman"/>
        <color theme="1"/>
        <sz val="18.0"/>
      </rPr>
      <t xml:space="preserve"> </t>
    </r>
    <r>
      <rPr>
        <rFont val="Times New Roman"/>
        <color theme="1"/>
        <sz val="12.0"/>
      </rPr>
      <t>K*</t>
    </r>
    <r>
      <rPr>
        <rFont val="Times New Roman"/>
        <color theme="1"/>
        <sz val="18.0"/>
      </rPr>
      <t>τ</t>
    </r>
    <r>
      <rPr>
        <rFont val="Times New Roman"/>
        <color theme="1"/>
        <sz val="11.0"/>
      </rPr>
      <t>c=</t>
    </r>
  </si>
  <si>
    <t>for solid slab (IS 456:2000 Clause 40.2.1)</t>
  </si>
  <si>
    <t>Design Shear strength=</t>
  </si>
  <si>
    <r>
      <rPr>
        <rFont val="Times New Roman"/>
        <color theme="1"/>
        <sz val="12.0"/>
      </rPr>
      <t>Design shear strength of concrete</t>
    </r>
    <r>
      <rPr>
        <rFont val="Times New Roman"/>
        <color theme="1"/>
        <sz val="18.0"/>
      </rPr>
      <t xml:space="preserve"> </t>
    </r>
    <r>
      <rPr>
        <rFont val="Times New Roman"/>
        <color theme="1"/>
        <sz val="12.0"/>
      </rPr>
      <t>(</t>
    </r>
    <r>
      <rPr>
        <rFont val="Times New Roman"/>
        <color theme="1"/>
        <sz val="18.0"/>
      </rPr>
      <t>τ</t>
    </r>
    <r>
      <rPr>
        <rFont val="Times New Roman"/>
        <color theme="1"/>
        <sz val="11.0"/>
      </rPr>
      <t>c)min=</t>
    </r>
  </si>
  <si>
    <t>IS456:200 Table-19</t>
  </si>
  <si>
    <r>
      <rPr>
        <rFont val="Times New Roman"/>
        <color theme="1"/>
        <sz val="12.0"/>
      </rPr>
      <t>Maximum shear stress</t>
    </r>
    <r>
      <rPr>
        <rFont val="Times New Roman"/>
        <color theme="1"/>
        <sz val="18.0"/>
      </rPr>
      <t xml:space="preserve"> </t>
    </r>
    <r>
      <rPr>
        <rFont val="Times New Roman"/>
        <color theme="1"/>
        <sz val="12.0"/>
      </rPr>
      <t>(</t>
    </r>
    <r>
      <rPr>
        <rFont val="Times New Roman"/>
        <color theme="1"/>
        <sz val="18.0"/>
      </rPr>
      <t>τ</t>
    </r>
    <r>
      <rPr>
        <rFont val="Times New Roman"/>
        <color theme="1"/>
        <sz val="11.0"/>
      </rPr>
      <t>c)max=</t>
    </r>
  </si>
  <si>
    <t>IS456:200 Table-20</t>
  </si>
  <si>
    <t>Check for deflection</t>
  </si>
  <si>
    <t>Basic values</t>
  </si>
  <si>
    <t>Basic value: α=</t>
  </si>
  <si>
    <t>IS 456:2000 Clause 23.2.1 (a)</t>
  </si>
  <si>
    <t>Modification factor</t>
  </si>
  <si>
    <t>(β) =</t>
  </si>
  <si>
    <t>IS 456:2000 Clause 23.2.1 (b)</t>
  </si>
  <si>
    <t xml:space="preserve"> For Tension Reinforcement (γ) =</t>
  </si>
  <si>
    <t>IS 456:2000 Clause 23.2.1 ( c) fig 4</t>
  </si>
  <si>
    <t>For Compression Reinforcement (δ) =</t>
  </si>
  <si>
    <t>IS 456:2000 Clause 23.2.1 (d) fig 5</t>
  </si>
  <si>
    <t>Reduction factor for flanged beam (λ) =</t>
  </si>
  <si>
    <t>IS 456:2000 Clause 23.2.1 (e) fig 6</t>
  </si>
  <si>
    <t xml:space="preserve">For Calculating the the factor γ </t>
  </si>
  <si>
    <t>Steel Stress of service load (fs)=</t>
  </si>
  <si>
    <t>Now,</t>
  </si>
  <si>
    <t>αβγδλ=</t>
  </si>
  <si>
    <t>l/d=</t>
  </si>
  <si>
    <t>Check for development length</t>
  </si>
  <si>
    <t>IS 456:2000 Clause 26.2.1</t>
  </si>
  <si>
    <t>Type of Panel</t>
  </si>
  <si>
    <r>
      <rPr>
        <rFont val="Times New Roman"/>
        <b/>
        <color theme="1"/>
        <sz val="12.0"/>
      </rPr>
      <t>L</t>
    </r>
    <r>
      <rPr>
        <rFont val="Times New Roman"/>
        <b/>
        <color theme="1"/>
        <sz val="12.0"/>
        <vertAlign val="subscript"/>
      </rPr>
      <t>d</t>
    </r>
    <r>
      <rPr>
        <rFont val="Times New Roman"/>
        <b/>
        <color theme="1"/>
        <sz val="12.0"/>
      </rPr>
      <t>=</t>
    </r>
  </si>
  <si>
    <t>Interior Panels</t>
  </si>
  <si>
    <t>(Continuous)</t>
  </si>
  <si>
    <t>Φ=</t>
  </si>
  <si>
    <t>(nominal dia. of bar)</t>
  </si>
  <si>
    <t>One Short Edge Discontinuous</t>
  </si>
  <si>
    <t>(Average)</t>
  </si>
  <si>
    <r>
      <rPr>
        <rFont val="Calibri"/>
        <color theme="1"/>
        <sz val="12.0"/>
      </rPr>
      <t>σ</t>
    </r>
    <r>
      <rPr>
        <rFont val="Times New Roman"/>
        <color theme="1"/>
        <sz val="13.0"/>
        <vertAlign val="subscript"/>
      </rPr>
      <t>s</t>
    </r>
    <r>
      <rPr>
        <rFont val="Times New Roman"/>
        <color theme="1"/>
        <sz val="12.0"/>
      </rPr>
      <t>= 0.87*fy =</t>
    </r>
  </si>
  <si>
    <t>(stress in bar)</t>
  </si>
  <si>
    <t>One Long Edge Discontinuous</t>
  </si>
  <si>
    <t>(Simply Supported)</t>
  </si>
  <si>
    <r>
      <rPr>
        <rFont val="Calibri"/>
        <color theme="1"/>
        <sz val="12.0"/>
        <vertAlign val="subscript"/>
      </rPr>
      <t>τ</t>
    </r>
    <r>
      <rPr>
        <rFont val="Times New Roman"/>
        <color theme="1"/>
        <sz val="12.0"/>
        <vertAlign val="subscript"/>
      </rPr>
      <t>𝑏𝑑</t>
    </r>
    <r>
      <rPr>
        <rFont val="Times New Roman"/>
        <color theme="1"/>
        <sz val="12.0"/>
      </rPr>
      <t>=</t>
    </r>
  </si>
  <si>
    <t>(design bond stress)</t>
  </si>
  <si>
    <t xml:space="preserve">Two Adjacent Edges Discontinuous </t>
  </si>
  <si>
    <t>Two Short Edges Discontinuous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</si>
  <si>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bscript"/>
      </rPr>
      <t>l</t>
    </r>
    <r>
      <rPr>
        <rFont val="Times New Roman"/>
        <color theme="1"/>
        <sz val="12.0"/>
      </rPr>
      <t>=</t>
    </r>
  </si>
  <si>
    <t>Two Long Edges Discontinuous</t>
  </si>
  <si>
    <t>Three Edges Discontinuous (One Long Edges Discontinuous)</t>
  </si>
  <si>
    <t>Three Edges Discontinuous (One Short Edges Discontinuous)</t>
  </si>
  <si>
    <t>let lo=</t>
  </si>
  <si>
    <r>
      <rPr>
        <rFont val="Times New Roman"/>
        <b/>
        <color theme="1"/>
        <sz val="12.0"/>
      </rPr>
      <t>[(1.3M</t>
    </r>
    <r>
      <rPr>
        <rFont val="Times New Roman"/>
        <b/>
        <color theme="1"/>
        <sz val="12.0"/>
        <vertAlign val="subscript"/>
      </rPr>
      <t>l</t>
    </r>
    <r>
      <rPr>
        <rFont val="Times New Roman"/>
        <b/>
        <color theme="1"/>
        <sz val="12.0"/>
      </rPr>
      <t>)/V +l</t>
    </r>
    <r>
      <rPr>
        <rFont val="Times New Roman"/>
        <b/>
        <color theme="1"/>
        <sz val="12.0"/>
        <vertAlign val="subscript"/>
      </rPr>
      <t>0</t>
    </r>
    <r>
      <rPr>
        <rFont val="Times New Roman"/>
        <b/>
        <color theme="1"/>
        <sz val="12.0"/>
      </rPr>
      <t>]=</t>
    </r>
  </si>
  <si>
    <t>Top Rebar for Negative Moment</t>
  </si>
  <si>
    <t>Bottom Rebar for Positive Moment</t>
  </si>
  <si>
    <t>if there is no discontinuous edges then torsional bar calculation is not required</t>
  </si>
  <si>
    <t>Torsion Reinforcement</t>
  </si>
  <si>
    <t>Mesh Size=</t>
  </si>
  <si>
    <t>lx/5</t>
  </si>
  <si>
    <t>Area=</t>
  </si>
  <si>
    <t>(3/4) of Ast.provoded</t>
  </si>
  <si>
    <t>IS 456:2000 (Table-26)</t>
  </si>
  <si>
    <t>Rebar dia.=</t>
  </si>
  <si>
    <t>8mm</t>
  </si>
  <si>
    <t>Types of Panel and Moment Considered</t>
  </si>
  <si>
    <r>
      <rPr>
        <rFont val="Times New Roman"/>
        <b/>
        <color theme="1"/>
        <sz val="12.0"/>
      </rPr>
      <t>Short Span Coeficients α</t>
    </r>
    <r>
      <rPr>
        <rFont val="Times New Roman"/>
        <b/>
        <color theme="1"/>
        <sz val="12.0"/>
        <vertAlign val="subscript"/>
      </rPr>
      <t>x</t>
    </r>
    <r>
      <rPr>
        <rFont val="Times New Roman"/>
        <b/>
        <color theme="1"/>
        <sz val="12.0"/>
      </rPr>
      <t xml:space="preserve"> (Values of l</t>
    </r>
    <r>
      <rPr>
        <rFont val="Times New Roman"/>
        <b/>
        <color theme="1"/>
        <sz val="12.0"/>
        <vertAlign val="subscript"/>
      </rPr>
      <t>y</t>
    </r>
    <r>
      <rPr>
        <rFont val="Times New Roman"/>
        <b/>
        <color theme="1"/>
        <sz val="12.0"/>
      </rPr>
      <t>/l</t>
    </r>
    <r>
      <rPr>
        <rFont val="Times New Roman"/>
        <b/>
        <color theme="1"/>
        <sz val="12.0"/>
        <vertAlign val="subscript"/>
      </rPr>
      <t>x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</si>
  <si>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α</t>
    </r>
    <r>
      <rPr>
        <rFont val="Times New Roman"/>
        <b/>
        <color theme="1"/>
        <sz val="12.0"/>
        <vertAlign val="subscript"/>
      </rPr>
      <t>y</t>
    </r>
  </si>
  <si>
    <t>Spacing=</t>
  </si>
  <si>
    <t>(1000*rebar area)/Area</t>
  </si>
  <si>
    <r>
      <rPr>
        <rFont val="Times New Roman"/>
        <color rgb="FF222222"/>
        <sz val="12.0"/>
      </rPr>
      <t xml:space="preserve"> α</t>
    </r>
    <r>
      <rPr>
        <rFont val="Times New Roman"/>
        <color rgb="FF222222"/>
        <sz val="12.0"/>
        <vertAlign val="subscript"/>
      </rPr>
      <t>y</t>
    </r>
    <r>
      <rPr>
        <rFont val="Times New Roman"/>
        <color rgb="FF222222"/>
        <sz val="12.0"/>
        <vertAlign val="superscript"/>
      </rPr>
      <t>-ve</t>
    </r>
    <r>
      <rPr>
        <rFont val="Times New Roman"/>
        <color rgb="FF222222"/>
        <sz val="12.0"/>
      </rPr>
      <t>=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</si>
  <si>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y</t>
    </r>
    <r>
      <rPr>
        <rFont val="Times New Roman"/>
        <color rgb="FF222222"/>
        <sz val="12.0"/>
        <vertAlign val="superscript"/>
      </rPr>
      <t>+ve</t>
    </r>
    <r>
      <rPr>
        <rFont val="Times New Roman"/>
        <color rgb="FF222222"/>
        <sz val="12.0"/>
      </rPr>
      <t>=</t>
    </r>
  </si>
  <si>
    <t>No. of bar=</t>
  </si>
  <si>
    <t>Mesh Size length/Spacing</t>
  </si>
  <si>
    <t>Provide 8mm dia bar  @ 150mm c/c in slab</t>
  </si>
  <si>
    <r>
      <rPr>
        <rFont val="Times New Roman"/>
        <color rgb="FF222222"/>
        <sz val="12.0"/>
      </rPr>
      <t>Negative moment at continuous edges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</si>
  <si>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 xml:space="preserve"> 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</si>
  <si>
    <t>Provide 8mm dia bar  @ 150mm c/c  at edge</t>
  </si>
  <si>
    <r>
      <rPr>
        <rFont val="Times New Roman"/>
        <color rgb="FF222222"/>
        <sz val="12.0"/>
      </rPr>
      <t>Positive moment at mid-span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</si>
  <si>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</si>
  <si>
    <r>
      <rPr>
        <rFont val="Times New Roman"/>
        <color rgb="FF222222"/>
        <sz val="12.0"/>
      </rPr>
      <t>Negative moment at continuous edges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</si>
  <si>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 xml:space="preserve"> 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</si>
  <si>
    <r>
      <rPr>
        <rFont val="Times New Roman"/>
        <color rgb="FF222222"/>
        <sz val="12.0"/>
      </rPr>
      <t>Positive moment at mid-span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</si>
  <si>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</si>
  <si>
    <r>
      <rPr>
        <rFont val="Times New Roman"/>
        <color rgb="FF222222"/>
        <sz val="12.0"/>
      </rPr>
      <t>Negative moment at continuous edges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</si>
  <si>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 xml:space="preserve"> 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</si>
  <si>
    <r>
      <rPr>
        <rFont val="Times New Roman"/>
        <color rgb="FF222222"/>
        <sz val="12.0"/>
      </rPr>
      <t>Positive moment at mid-span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</si>
  <si>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</si>
  <si>
    <r>
      <rPr>
        <rFont val="Times New Roman"/>
        <color rgb="FF222222"/>
        <sz val="12.0"/>
      </rPr>
      <t>Negative moment at continuous edges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</si>
  <si>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 xml:space="preserve"> 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</si>
  <si>
    <r>
      <rPr>
        <rFont val="Times New Roman"/>
        <color rgb="FF222222"/>
        <sz val="12.0"/>
      </rPr>
      <t>Positive moment at mid-span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</si>
  <si>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</si>
  <si>
    <r>
      <rPr>
        <rFont val="Times New Roman"/>
        <color rgb="FF222222"/>
        <sz val="12.0"/>
      </rPr>
      <t>Negative moment at continuous edges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</si>
  <si>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 xml:space="preserve"> 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</si>
  <si>
    <r>
      <rPr>
        <rFont val="Times New Roman"/>
        <color rgb="FF222222"/>
        <sz val="12.0"/>
      </rPr>
      <t>Positive moment at mid-span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</si>
  <si>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</si>
  <si>
    <r>
      <rPr>
        <rFont val="Times New Roman"/>
        <color rgb="FF222222"/>
        <sz val="12.0"/>
      </rPr>
      <t>Negative moment at continuous edges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</si>
  <si>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 xml:space="preserve"> 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</si>
  <si>
    <r>
      <rPr>
        <rFont val="Times New Roman"/>
        <color rgb="FF222222"/>
        <sz val="12.0"/>
      </rPr>
      <t>Positive moment at mid-span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</si>
  <si>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</si>
  <si>
    <t>(One Long Edges Discontinuous)</t>
  </si>
  <si>
    <r>
      <rPr>
        <rFont val="Times New Roman"/>
        <color rgb="FF222222"/>
        <sz val="12.0"/>
      </rPr>
      <t>Negative moment at continuous edges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</si>
  <si>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 xml:space="preserve"> 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</si>
  <si>
    <r>
      <rPr>
        <rFont val="Times New Roman"/>
        <color rgb="FF222222"/>
        <sz val="12.0"/>
      </rPr>
      <t>Positive moment at mid-span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</si>
  <si>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</si>
  <si>
    <t>(One Short Edges Discontinuous)</t>
  </si>
  <si>
    <r>
      <rPr>
        <rFont val="Times New Roman"/>
        <color rgb="FF222222"/>
        <sz val="12.0"/>
      </rPr>
      <t>Negative moment at continuous edges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</si>
  <si>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 xml:space="preserve"> 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</si>
  <si>
    <r>
      <rPr>
        <rFont val="Times New Roman"/>
        <color rgb="FF222222"/>
        <sz val="12.0"/>
      </rPr>
      <t>Positive moment at mid-span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</si>
  <si>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</si>
  <si>
    <r>
      <rPr>
        <rFont val="Times New Roman"/>
        <color rgb="FF222222"/>
        <sz val="12.0"/>
      </rPr>
      <t xml:space="preserve"> 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-ve</t>
    </r>
  </si>
  <si>
    <r>
      <rPr>
        <rFont val="Times New Roman"/>
        <color rgb="FF222222"/>
        <sz val="12.0"/>
      </rPr>
      <t>Positive moment at mid-span (α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  <r>
      <rPr>
        <rFont val="Times New Roman"/>
        <color rgb="FF222222"/>
        <sz val="12.0"/>
      </rPr>
      <t>)</t>
    </r>
  </si>
  <si>
    <r>
      <rPr>
        <rFont val="Times New Roman"/>
        <color rgb="FF222222"/>
        <sz val="12.0"/>
      </rPr>
      <t>α</t>
    </r>
    <r>
      <rPr>
        <rFont val="Times New Roman"/>
        <color rgb="FF222222"/>
        <sz val="12.0"/>
        <vertAlign val="subscript"/>
      </rPr>
      <t>x</t>
    </r>
    <r>
      <rPr>
        <rFont val="Times New Roman"/>
        <color rgb="FF222222"/>
        <sz val="12.0"/>
        <vertAlign val="superscript"/>
      </rPr>
      <t>+ve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</si>
</sst>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1">
    <numFmt numFmtId="164" formatCode="0.000\ &quot;m&quot;"/>
    <numFmt numFmtId="165" formatCode="0.00\ &quot;m&quot;"/>
    <numFmt numFmtId="166" formatCode="0.000"/>
    <numFmt numFmtId="167" formatCode="&quot;≈&quot;\ General&quot;mm&quot;"/>
    <numFmt numFmtId="168" formatCode="#&quot;mm&quot;"/>
    <numFmt numFmtId="169" formatCode="0.00#&quot;mm&quot;"/>
    <numFmt numFmtId="170" formatCode="General\ &quot;N/mm²&quot;"/>
    <numFmt numFmtId="171" formatCode="General\ &quot;KN/m³&quot;"/>
    <numFmt numFmtId="172" formatCode="General\ &quot;KN/m²&quot;"/>
    <numFmt numFmtId="173" formatCode="General\ &quot;KN/m&quot;"/>
    <numFmt numFmtId="174" formatCode="&quot;=&quot;General\ &quot;KN/m&quot;"/>
    <numFmt numFmtId="175" formatCode="0.0000"/>
    <numFmt numFmtId="176" formatCode="0.000\ &quot;KN-m&quot;"/>
    <numFmt numFmtId="177" formatCode="0.000\ &quot;mm&quot;"/>
    <numFmt numFmtId="178" formatCode="General\ &quot;mm²&quot;"/>
    <numFmt numFmtId="179" formatCode="0.00%\ &quot;of bD&quot;"/>
    <numFmt numFmtId="180" formatCode="&quot;=&quot;\ 0.00#&quot; mm&quot;"/>
    <numFmt numFmtId="181" formatCode="#&quot; mm&quot;"/>
    <numFmt numFmtId="182" formatCode="&quot; Provide &quot;#&quot;mm dia. bar @&quot;"/>
    <numFmt numFmtId="183" formatCode="&quot;dia. bar @&quot;General&quot;mm c/c at support of X-axis&quot;"/>
    <numFmt numFmtId="184" formatCode="&quot;dia. bar @&quot;General&quot;mm c/c at mid-span of X-axis&quot;"/>
    <numFmt numFmtId="185" formatCode="&quot;dia. bar @&quot;General&quot;mm c/c at mid-span of Y-axis&quot;"/>
    <numFmt numFmtId="186" formatCode="&quot;=&quot;0.000\ &quot;mm²&quot;"/>
    <numFmt numFmtId="187" formatCode="&quot;=&quot;0.000%"/>
    <numFmt numFmtId="188" formatCode="0.000\ &quot;KN&quot;"/>
    <numFmt numFmtId="189" formatCode="0.000\ &quot;N/mm²&quot;"/>
    <numFmt numFmtId="190" formatCode="&quot;M&quot;General"/>
    <numFmt numFmtId="191" formatCode="General&quot; or more&quot;"/>
    <numFmt numFmtId="192" formatCode="General&quot; or less&quot;"/>
    <numFmt numFmtId="193" formatCode="0.00\ &quot;N/mm²&quot;"/>
    <numFmt numFmtId="194" formatCode="0\ &quot;mm&quot;"/>
  </numFmts>
  <fonts count="17">
    <font>
      <sz val="11.0"/>
      <color theme="1"/>
      <name val="Calibri"/>
      <scheme val="minor"/>
    </font>
    <font>
      <b/>
      <u/>
      <sz val="12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u/>
      <sz val="12.0"/>
      <color theme="1"/>
      <name val="Times New Roman"/>
    </font>
    <font>
      <b/>
      <sz val="11.0"/>
      <color theme="1"/>
      <name val="Times New Roman"/>
    </font>
    <font/>
    <font>
      <sz val="12.0"/>
      <color rgb="FF222222"/>
      <name val="Times New Roman"/>
    </font>
    <font>
      <b/>
      <sz val="12.0"/>
      <color rgb="FF222222"/>
      <name val="Times New Roman"/>
    </font>
    <font>
      <u/>
      <sz val="12.0"/>
      <color theme="1"/>
      <name val="Times New Roman"/>
    </font>
    <font>
      <sz val="18.0"/>
      <color theme="1"/>
      <name val="Times New Roman"/>
    </font>
    <font>
      <u/>
      <sz val="12.0"/>
      <color theme="1"/>
      <name val="Times New Roman"/>
    </font>
    <font>
      <sz val="13.0"/>
      <color rgb="FF222222"/>
      <name val="Times New Roman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b/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</fills>
  <borders count="3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1" fillId="2" fontId="2" numFmtId="0" xfId="0" applyBorder="1" applyFill="1" applyFont="1"/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right"/>
    </xf>
    <xf borderId="1" fillId="2" fontId="2" numFmtId="164" xfId="0" applyAlignment="1" applyBorder="1" applyFont="1" applyNumberFormat="1">
      <alignment horizontal="left"/>
    </xf>
    <xf borderId="0" fillId="0" fontId="2" numFmtId="164" xfId="0" applyAlignment="1" applyFont="1" applyNumberFormat="1">
      <alignment horizontal="left"/>
    </xf>
    <xf borderId="2" fillId="2" fontId="2" numFmtId="0" xfId="0" applyAlignment="1" applyBorder="1" applyFont="1">
      <alignment horizontal="center"/>
    </xf>
    <xf borderId="1" fillId="2" fontId="2" numFmtId="165" xfId="0" applyAlignment="1" applyBorder="1" applyFont="1" applyNumberFormat="1">
      <alignment horizontal="left"/>
    </xf>
    <xf borderId="1" fillId="2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/>
    </xf>
    <xf borderId="3" fillId="0" fontId="2" numFmtId="0" xfId="0" applyBorder="1" applyFont="1"/>
    <xf borderId="4" fillId="0" fontId="2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Alignment="1" applyBorder="1" applyFont="1">
      <alignment horizontal="center"/>
    </xf>
    <xf borderId="7" fillId="3" fontId="2" numFmtId="0" xfId="0" applyAlignment="1" applyBorder="1" applyFont="1">
      <alignment horizontal="center"/>
    </xf>
    <xf borderId="0" fillId="0" fontId="2" numFmtId="166" xfId="0" applyAlignment="1" applyFont="1" applyNumberFormat="1">
      <alignment horizontal="left"/>
    </xf>
    <xf borderId="1" fillId="3" fontId="3" numFmtId="167" xfId="0" applyBorder="1" applyFont="1" applyNumberFormat="1"/>
    <xf borderId="8" fillId="0" fontId="2" numFmtId="0" xfId="0" applyBorder="1" applyFont="1"/>
    <xf borderId="1" fillId="2" fontId="2" numFmtId="168" xfId="0" applyAlignment="1" applyBorder="1" applyFont="1" applyNumberFormat="1">
      <alignment horizontal="left"/>
    </xf>
    <xf borderId="0" fillId="0" fontId="2" numFmtId="168" xfId="0" applyAlignment="1" applyFont="1" applyNumberFormat="1">
      <alignment horizontal="left"/>
    </xf>
    <xf borderId="9" fillId="0" fontId="2" numFmtId="0" xfId="0" applyAlignment="1" applyBorder="1" applyFont="1">
      <alignment horizontal="center"/>
    </xf>
    <xf borderId="10" fillId="0" fontId="2" numFmtId="0" xfId="0" applyBorder="1" applyFont="1"/>
    <xf borderId="10" fillId="0" fontId="2" numFmtId="0" xfId="0" applyAlignment="1" applyBorder="1" applyFont="1">
      <alignment horizontal="center"/>
    </xf>
    <xf borderId="1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169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right"/>
    </xf>
    <xf borderId="0" fillId="0" fontId="3" numFmtId="166" xfId="0" applyAlignment="1" applyFont="1" applyNumberFormat="1">
      <alignment horizontal="left"/>
    </xf>
    <xf borderId="0" fillId="0" fontId="2" numFmtId="0" xfId="0" applyAlignment="1" applyFont="1">
      <alignment horizontal="center" shrinkToFit="0" wrapText="1"/>
    </xf>
    <xf borderId="1" fillId="2" fontId="2" numFmtId="170" xfId="0" applyAlignment="1" applyBorder="1" applyFont="1" applyNumberFormat="1">
      <alignment horizontal="left"/>
    </xf>
    <xf borderId="0" fillId="0" fontId="2" numFmtId="171" xfId="0" applyAlignment="1" applyFont="1" applyNumberFormat="1">
      <alignment horizontal="left"/>
    </xf>
    <xf borderId="0" fillId="0" fontId="5" numFmtId="0" xfId="0" applyAlignment="1" applyFont="1">
      <alignment horizontal="left"/>
    </xf>
    <xf borderId="1" fillId="2" fontId="2" numFmtId="172" xfId="0" applyAlignment="1" applyBorder="1" applyFont="1" applyNumberFormat="1">
      <alignment horizontal="left"/>
    </xf>
    <xf borderId="0" fillId="0" fontId="2" numFmtId="172" xfId="0" applyFont="1" applyNumberFormat="1"/>
    <xf borderId="0" fillId="0" fontId="3" numFmtId="173" xfId="0" applyAlignment="1" applyFont="1" applyNumberFormat="1">
      <alignment horizontal="left"/>
    </xf>
    <xf borderId="0" fillId="0" fontId="3" numFmtId="174" xfId="0" applyAlignment="1" applyFont="1" applyNumberFormat="1">
      <alignment horizontal="left"/>
    </xf>
    <xf borderId="1" fillId="2" fontId="3" numFmtId="173" xfId="0" applyAlignment="1" applyBorder="1" applyFont="1" applyNumberFormat="1">
      <alignment horizontal="left"/>
    </xf>
    <xf borderId="12" fillId="2" fontId="3" numFmtId="0" xfId="0" applyAlignment="1" applyBorder="1" applyFont="1">
      <alignment readingOrder="0"/>
    </xf>
    <xf borderId="13" fillId="0" fontId="6" numFmtId="0" xfId="0" applyBorder="1" applyFont="1"/>
    <xf borderId="14" fillId="0" fontId="6" numFmtId="0" xfId="0" applyBorder="1" applyFont="1"/>
    <xf borderId="0" fillId="0" fontId="7" numFmtId="0" xfId="0" applyFont="1"/>
    <xf borderId="15" fillId="0" fontId="3" numFmtId="0" xfId="0" applyAlignment="1" applyBorder="1" applyFont="1">
      <alignment horizontal="center"/>
    </xf>
    <xf borderId="16" fillId="0" fontId="8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8" fillId="2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22" fillId="0" fontId="2" numFmtId="166" xfId="0" applyAlignment="1" applyBorder="1" applyFont="1" applyNumberFormat="1">
      <alignment horizontal="center"/>
    </xf>
    <xf borderId="23" fillId="0" fontId="7" numFmtId="0" xfId="0" applyAlignment="1" applyBorder="1" applyFont="1">
      <alignment horizontal="center"/>
    </xf>
    <xf borderId="24" fillId="0" fontId="2" numFmtId="166" xfId="0" applyAlignment="1" applyBorder="1" applyFont="1" applyNumberFormat="1">
      <alignment horizontal="center"/>
    </xf>
    <xf borderId="22" fillId="0" fontId="7" numFmtId="0" xfId="0" applyAlignment="1" applyBorder="1" applyFont="1">
      <alignment horizontal="center"/>
    </xf>
    <xf borderId="25" fillId="2" fontId="2" numFmtId="0" xfId="0" applyAlignment="1" applyBorder="1" applyFont="1">
      <alignment horizontal="center"/>
    </xf>
    <xf borderId="26" fillId="0" fontId="2" numFmtId="0" xfId="0" applyAlignment="1" applyBorder="1" applyFont="1">
      <alignment horizontal="center"/>
    </xf>
    <xf borderId="27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0" fillId="0" fontId="7" numFmtId="0" xfId="0" applyAlignment="1" applyFont="1">
      <alignment horizontal="right"/>
    </xf>
    <xf borderId="0" fillId="0" fontId="8" numFmtId="0" xfId="0" applyAlignment="1" applyFont="1">
      <alignment horizontal="right"/>
    </xf>
    <xf borderId="0" fillId="0" fontId="3" numFmtId="175" xfId="0" applyAlignment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176" xfId="0" applyAlignment="1" applyFont="1" applyNumberFormat="1">
      <alignment horizontal="left"/>
    </xf>
    <xf borderId="0" fillId="0" fontId="2" numFmtId="166" xfId="0" applyAlignment="1" applyFont="1" applyNumberFormat="1">
      <alignment horizontal="right"/>
    </xf>
    <xf borderId="1" fillId="3" fontId="3" numFmtId="177" xfId="0" applyAlignment="1" applyBorder="1" applyFont="1" applyNumberFormat="1">
      <alignment horizontal="left"/>
    </xf>
    <xf borderId="0" fillId="0" fontId="3" numFmtId="178" xfId="0" applyAlignment="1" applyFont="1" applyNumberFormat="1">
      <alignment horizontal="left"/>
    </xf>
    <xf borderId="0" fillId="0" fontId="2" numFmtId="179" xfId="0" applyAlignment="1" applyFont="1" applyNumberFormat="1">
      <alignment horizontal="left"/>
    </xf>
    <xf borderId="0" fillId="0" fontId="2" numFmtId="178" xfId="0" applyFont="1" applyNumberFormat="1"/>
    <xf borderId="0" fillId="0" fontId="3" numFmtId="180" xfId="0" applyAlignment="1" applyFont="1" applyNumberFormat="1">
      <alignment horizontal="left"/>
    </xf>
    <xf borderId="0" fillId="0" fontId="2" numFmtId="167" xfId="0" applyFont="1" applyNumberFormat="1"/>
    <xf borderId="0" fillId="0" fontId="9" numFmtId="0" xfId="0" applyAlignment="1" applyFont="1">
      <alignment horizontal="right"/>
    </xf>
    <xf borderId="0" fillId="0" fontId="3" numFmtId="181" xfId="0" applyAlignment="1" applyFont="1" applyNumberFormat="1">
      <alignment horizontal="left"/>
    </xf>
    <xf borderId="0" fillId="0" fontId="2" numFmtId="181" xfId="0" applyAlignment="1" applyFont="1" applyNumberFormat="1">
      <alignment horizontal="left"/>
    </xf>
    <xf borderId="0" fillId="0" fontId="2" numFmtId="182" xfId="0" applyAlignment="1" applyFont="1" applyNumberFormat="1">
      <alignment horizontal="right"/>
    </xf>
    <xf borderId="12" fillId="2" fontId="2" numFmtId="183" xfId="0" applyAlignment="1" applyBorder="1" applyFont="1" applyNumberFormat="1">
      <alignment horizontal="left"/>
    </xf>
    <xf borderId="12" fillId="2" fontId="2" numFmtId="184" xfId="0" applyAlignment="1" applyBorder="1" applyFont="1" applyNumberFormat="1">
      <alignment horizontal="left"/>
    </xf>
    <xf borderId="12" fillId="2" fontId="2" numFmtId="185" xfId="0" applyAlignment="1" applyBorder="1" applyFont="1" applyNumberFormat="1">
      <alignment horizontal="left"/>
    </xf>
    <xf borderId="0" fillId="0" fontId="3" numFmtId="186" xfId="0" applyAlignment="1" applyFont="1" applyNumberFormat="1">
      <alignment horizontal="left"/>
    </xf>
    <xf borderId="0" fillId="0" fontId="3" numFmtId="187" xfId="0" applyAlignment="1" applyFont="1" applyNumberFormat="1">
      <alignment horizontal="left"/>
    </xf>
    <xf borderId="0" fillId="0" fontId="2" numFmtId="0" xfId="0" applyAlignment="1" applyFont="1">
      <alignment horizontal="right" vertical="center"/>
    </xf>
    <xf borderId="0" fillId="0" fontId="10" numFmtId="0" xfId="0" applyAlignment="1" applyFont="1">
      <alignment horizontal="right" vertical="center"/>
    </xf>
    <xf borderId="0" fillId="0" fontId="3" numFmtId="188" xfId="0" applyAlignment="1" applyFont="1" applyNumberFormat="1">
      <alignment horizontal="left"/>
    </xf>
    <xf borderId="0" fillId="0" fontId="3" numFmtId="189" xfId="0" applyAlignment="1" applyFont="1" applyNumberFormat="1">
      <alignment horizontal="left"/>
    </xf>
    <xf borderId="0" fillId="0" fontId="3" numFmtId="166" xfId="0" applyAlignment="1" applyFont="1" applyNumberFormat="1">
      <alignment horizontal="left" vertical="center"/>
    </xf>
    <xf borderId="17" fillId="0" fontId="2" numFmtId="0" xfId="0" applyBorder="1" applyFont="1"/>
    <xf borderId="15" fillId="0" fontId="2" numFmtId="190" xfId="0" applyBorder="1" applyFont="1" applyNumberFormat="1"/>
    <xf borderId="2" fillId="0" fontId="2" numFmtId="191" xfId="0" applyBorder="1" applyFont="1" applyNumberFormat="1"/>
    <xf borderId="2" fillId="0" fontId="2" numFmtId="0" xfId="0" applyBorder="1" applyFont="1"/>
    <xf borderId="2" fillId="0" fontId="2" numFmtId="192" xfId="0" applyBorder="1" applyFont="1" applyNumberFormat="1"/>
    <xf borderId="0" fillId="0" fontId="11" numFmtId="0" xfId="0" applyAlignment="1" applyFont="1">
      <alignment horizontal="center"/>
    </xf>
    <xf borderId="28" fillId="2" fontId="2" numFmtId="0" xfId="0" applyAlignment="1" applyBorder="1" applyFont="1">
      <alignment horizontal="center"/>
    </xf>
    <xf borderId="1" fillId="4" fontId="2" numFmtId="166" xfId="0" applyAlignment="1" applyBorder="1" applyFill="1" applyFont="1" applyNumberFormat="1">
      <alignment horizontal="left"/>
    </xf>
    <xf borderId="22" fillId="0" fontId="2" numFmtId="2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left"/>
    </xf>
    <xf borderId="29" fillId="2" fontId="2" numFmtId="0" xfId="0" applyAlignment="1" applyBorder="1" applyFont="1">
      <alignment horizontal="center"/>
    </xf>
    <xf borderId="0" fillId="0" fontId="3" numFmtId="193" xfId="0" applyAlignment="1" applyFont="1" applyNumberFormat="1">
      <alignment horizontal="left"/>
    </xf>
    <xf borderId="1" fillId="3" fontId="3" numFmtId="0" xfId="0" applyBorder="1" applyFont="1"/>
    <xf borderId="0" fillId="0" fontId="12" numFmtId="0" xfId="0" applyAlignment="1" applyFont="1">
      <alignment horizontal="right"/>
    </xf>
    <xf borderId="1" fillId="2" fontId="2" numFmtId="0" xfId="0" applyAlignment="1" applyBorder="1" applyFont="1">
      <alignment horizontal="left"/>
    </xf>
    <xf borderId="0" fillId="0" fontId="13" numFmtId="0" xfId="0" applyAlignment="1" applyFont="1">
      <alignment horizontal="right" vertical="center"/>
    </xf>
    <xf borderId="0" fillId="0" fontId="13" numFmtId="0" xfId="0" applyAlignment="1" applyFont="1">
      <alignment horizontal="right"/>
    </xf>
    <xf borderId="0" fillId="0" fontId="13" numFmtId="166" xfId="0" applyFont="1" applyNumberFormat="1"/>
    <xf borderId="0" fillId="0" fontId="14" numFmtId="0" xfId="0" applyFont="1"/>
    <xf borderId="0" fillId="0" fontId="13" numFmtId="0" xfId="0" applyFont="1"/>
    <xf borderId="0" fillId="0" fontId="13" numFmtId="166" xfId="0" applyAlignment="1" applyFont="1" applyNumberFormat="1">
      <alignment horizontal="left"/>
    </xf>
    <xf borderId="0" fillId="0" fontId="13" numFmtId="0" xfId="0" applyAlignment="1" applyFont="1">
      <alignment horizontal="left"/>
    </xf>
    <xf borderId="0" fillId="0" fontId="13" numFmtId="2" xfId="0" applyAlignment="1" applyFont="1" applyNumberFormat="1">
      <alignment horizontal="left"/>
    </xf>
    <xf borderId="1" fillId="3" fontId="5" numFmtId="0" xfId="0" applyAlignment="1" applyBorder="1" applyFont="1">
      <alignment horizontal="left"/>
    </xf>
    <xf borderId="17" fillId="0" fontId="3" numFmtId="0" xfId="0" applyBorder="1" applyFont="1"/>
    <xf borderId="30" fillId="0" fontId="2" numFmtId="0" xfId="0" applyBorder="1" applyFont="1"/>
    <xf borderId="16" fillId="0" fontId="2" numFmtId="0" xfId="0" applyBorder="1" applyFont="1"/>
    <xf borderId="0" fillId="0" fontId="3" numFmtId="0" xfId="0" applyAlignment="1" applyFont="1">
      <alignment horizontal="right" vertical="center"/>
    </xf>
    <xf borderId="31" fillId="0" fontId="2" numFmtId="0" xfId="0" applyBorder="1" applyFont="1"/>
    <xf borderId="32" fillId="0" fontId="2" numFmtId="0" xfId="0" applyBorder="1" applyFont="1"/>
    <xf borderId="0" fillId="0" fontId="15" numFmtId="0" xfId="0" applyFont="1"/>
    <xf borderId="1" fillId="2" fontId="3" numFmtId="177" xfId="0" applyAlignment="1" applyBorder="1" applyFont="1" applyNumberFormat="1">
      <alignment horizontal="left" vertical="center"/>
    </xf>
    <xf borderId="0" fillId="0" fontId="2" numFmtId="182" xfId="0" applyAlignment="1" applyFont="1" applyNumberFormat="1">
      <alignment horizontal="left"/>
    </xf>
    <xf borderId="0" fillId="0" fontId="2" numFmtId="176" xfId="0" applyAlignment="1" applyFont="1" applyNumberFormat="1">
      <alignment horizontal="left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4" fillId="0" fontId="15" numFmtId="0" xfId="0" applyBorder="1" applyFont="1"/>
    <xf borderId="1" fillId="2" fontId="2" numFmtId="194" xfId="0" applyAlignment="1" applyBorder="1" applyFont="1" applyNumberFormat="1">
      <alignment horizontal="left" vertical="center"/>
    </xf>
    <xf borderId="16" fillId="0" fontId="2" numFmtId="0" xfId="0" applyAlignment="1" applyBorder="1" applyFont="1">
      <alignment horizontal="center"/>
    </xf>
    <xf borderId="0" fillId="0" fontId="3" numFmtId="177" xfId="0" applyAlignment="1" applyFont="1" applyNumberFormat="1">
      <alignment horizontal="left" vertical="center"/>
    </xf>
    <xf borderId="1" fillId="3" fontId="3" numFmtId="0" xfId="0" applyAlignment="1" applyBorder="1" applyFont="1">
      <alignment horizontal="right"/>
    </xf>
    <xf borderId="1" fillId="3" fontId="2" numFmtId="0" xfId="0" applyBorder="1" applyFont="1"/>
    <xf borderId="0" fillId="0" fontId="16" numFmtId="0" xfId="0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11.png"/><Relationship Id="rId13" Type="http://schemas.openxmlformats.org/officeDocument/2006/relationships/image" Target="../media/image4.png"/><Relationship Id="rId12" Type="http://schemas.openxmlformats.org/officeDocument/2006/relationships/image" Target="../media/image13.png"/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9" Type="http://schemas.openxmlformats.org/officeDocument/2006/relationships/image" Target="../media/image10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2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2190750</xdr:colOff>
      <xdr:row>8</xdr:row>
      <xdr:rowOff>9525</xdr:rowOff>
    </xdr:from>
    <xdr:ext cx="485775" cy="361950"/>
    <xdr:sp>
      <xdr:nvSpPr>
        <xdr:cNvPr id="3" name="Shape 3"/>
        <xdr:cNvSpPr txBox="1"/>
      </xdr:nvSpPr>
      <xdr:spPr>
        <a:xfrm>
          <a:off x="5107875" y="3599025"/>
          <a:ext cx="476250" cy="3619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533400</xdr:colOff>
      <xdr:row>57</xdr:row>
      <xdr:rowOff>104775</xdr:rowOff>
    </xdr:from>
    <xdr:ext cx="5133975" cy="552450"/>
    <xdr:sp>
      <xdr:nvSpPr>
        <xdr:cNvPr id="4" name="Shape 4"/>
        <xdr:cNvSpPr/>
      </xdr:nvSpPr>
      <xdr:spPr>
        <a:xfrm>
          <a:off x="2798063" y="3522825"/>
          <a:ext cx="5095875" cy="514350"/>
        </a:xfrm>
        <a:prstGeom prst="rect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152400</xdr:colOff>
      <xdr:row>51</xdr:row>
      <xdr:rowOff>104775</xdr:rowOff>
    </xdr:from>
    <xdr:ext cx="704850" cy="228600"/>
    <xdr:sp>
      <xdr:nvSpPr>
        <xdr:cNvPr id="5" name="Shape 5"/>
        <xdr:cNvSpPr/>
      </xdr:nvSpPr>
      <xdr:spPr>
        <a:xfrm>
          <a:off x="5003100" y="3675225"/>
          <a:ext cx="685800" cy="209550"/>
        </a:xfrm>
        <a:prstGeom prst="rect">
          <a:avLst/>
        </a:prstGeom>
        <a:noFill/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142875</xdr:colOff>
      <xdr:row>58</xdr:row>
      <xdr:rowOff>47625</xdr:rowOff>
    </xdr:from>
    <xdr:ext cx="704850" cy="342900"/>
    <xdr:sp>
      <xdr:nvSpPr>
        <xdr:cNvPr id="6" name="Shape 6"/>
        <xdr:cNvSpPr/>
      </xdr:nvSpPr>
      <xdr:spPr>
        <a:xfrm>
          <a:off x="5003100" y="3618075"/>
          <a:ext cx="685800" cy="323850"/>
        </a:xfrm>
        <a:prstGeom prst="rect">
          <a:avLst/>
        </a:prstGeom>
        <a:noFill/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1876425</xdr:colOff>
      <xdr:row>89</xdr:row>
      <xdr:rowOff>19050</xdr:rowOff>
    </xdr:from>
    <xdr:ext cx="4533900" cy="361950"/>
    <xdr:sp>
      <xdr:nvSpPr>
        <xdr:cNvPr id="7" name="Shape 7"/>
        <xdr:cNvSpPr txBox="1"/>
      </xdr:nvSpPr>
      <xdr:spPr>
        <a:xfrm>
          <a:off x="3082225" y="3603788"/>
          <a:ext cx="4527550" cy="35242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66675</xdr:colOff>
      <xdr:row>95</xdr:row>
      <xdr:rowOff>0</xdr:rowOff>
    </xdr:from>
    <xdr:ext cx="1276350" cy="361950"/>
    <xdr:sp>
      <xdr:nvSpPr>
        <xdr:cNvPr id="8" name="Shape 8"/>
        <xdr:cNvSpPr txBox="1"/>
      </xdr:nvSpPr>
      <xdr:spPr>
        <a:xfrm>
          <a:off x="4711984" y="3600613"/>
          <a:ext cx="1268032" cy="35877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2571750</xdr:colOff>
      <xdr:row>127</xdr:row>
      <xdr:rowOff>28575</xdr:rowOff>
    </xdr:from>
    <xdr:ext cx="504825" cy="409575"/>
    <xdr:sp>
      <xdr:nvSpPr>
        <xdr:cNvPr id="9" name="Shape 9"/>
        <xdr:cNvSpPr txBox="1"/>
      </xdr:nvSpPr>
      <xdr:spPr>
        <a:xfrm>
          <a:off x="5098350" y="3575213"/>
          <a:ext cx="495300" cy="40957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3</xdr:col>
      <xdr:colOff>276225</xdr:colOff>
      <xdr:row>127</xdr:row>
      <xdr:rowOff>47625</xdr:rowOff>
    </xdr:from>
    <xdr:ext cx="704850" cy="390525"/>
    <xdr:sp>
      <xdr:nvSpPr>
        <xdr:cNvPr id="10" name="Shape 10"/>
        <xdr:cNvSpPr txBox="1"/>
      </xdr:nvSpPr>
      <xdr:spPr>
        <a:xfrm>
          <a:off x="4998338" y="3589500"/>
          <a:ext cx="695325" cy="3810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0</xdr:col>
      <xdr:colOff>1866900</xdr:colOff>
      <xdr:row>131</xdr:row>
      <xdr:rowOff>9525</xdr:rowOff>
    </xdr:from>
    <xdr:ext cx="762000" cy="361950"/>
    <xdr:sp>
      <xdr:nvSpPr>
        <xdr:cNvPr id="11" name="Shape 11"/>
        <xdr:cNvSpPr txBox="1"/>
      </xdr:nvSpPr>
      <xdr:spPr>
        <a:xfrm>
          <a:off x="4969763" y="3603788"/>
          <a:ext cx="752475" cy="35242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8</xdr:col>
      <xdr:colOff>495300</xdr:colOff>
      <xdr:row>131</xdr:row>
      <xdr:rowOff>38100</xdr:rowOff>
    </xdr:from>
    <xdr:ext cx="819150" cy="371475"/>
    <xdr:sp>
      <xdr:nvSpPr>
        <xdr:cNvPr id="12" name="Shape 12"/>
        <xdr:cNvSpPr txBox="1"/>
      </xdr:nvSpPr>
      <xdr:spPr>
        <a:xfrm>
          <a:off x="4941188" y="3599025"/>
          <a:ext cx="809625" cy="3619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</xdr:col>
      <xdr:colOff>9525</xdr:colOff>
      <xdr:row>152</xdr:row>
      <xdr:rowOff>66675</xdr:rowOff>
    </xdr:from>
    <xdr:ext cx="4371975" cy="266700"/>
    <xdr:sp>
      <xdr:nvSpPr>
        <xdr:cNvPr id="13" name="Shape 13"/>
        <xdr:cNvSpPr txBox="1"/>
      </xdr:nvSpPr>
      <xdr:spPr>
        <a:xfrm>
          <a:off x="3164775" y="3651413"/>
          <a:ext cx="4362450" cy="25717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0.58fy</a:t>
          </a:r>
          <a:endParaRPr sz="1100"/>
        </a:p>
      </xdr:txBody>
    </xdr:sp>
    <xdr:clientData fLocksWithSheet="0"/>
  </xdr:oneCellAnchor>
  <xdr:oneCellAnchor>
    <xdr:from>
      <xdr:col>0</xdr:col>
      <xdr:colOff>2314575</xdr:colOff>
      <xdr:row>164</xdr:row>
      <xdr:rowOff>19050</xdr:rowOff>
    </xdr:from>
    <xdr:ext cx="1114425" cy="762000"/>
    <xdr:sp>
      <xdr:nvSpPr>
        <xdr:cNvPr id="14" name="Shape 14"/>
        <xdr:cNvSpPr txBox="1"/>
      </xdr:nvSpPr>
      <xdr:spPr>
        <a:xfrm>
          <a:off x="4793550" y="3403763"/>
          <a:ext cx="1104900" cy="75247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172</xdr:row>
      <xdr:rowOff>19050</xdr:rowOff>
    </xdr:from>
    <xdr:ext cx="4533900" cy="361950"/>
    <xdr:sp>
      <xdr:nvSpPr>
        <xdr:cNvPr id="15" name="Shape 15"/>
        <xdr:cNvSpPr txBox="1"/>
      </xdr:nvSpPr>
      <xdr:spPr>
        <a:xfrm>
          <a:off x="3082225" y="3603788"/>
          <a:ext cx="4527550" cy="35242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13</xdr:row>
      <xdr:rowOff>38100</xdr:rowOff>
    </xdr:from>
    <xdr:ext cx="3619500" cy="2305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42</xdr:row>
      <xdr:rowOff>133350</xdr:rowOff>
    </xdr:from>
    <xdr:ext cx="5819775" cy="83534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26</xdr:row>
      <xdr:rowOff>0</xdr:rowOff>
    </xdr:from>
    <xdr:ext cx="3552825" cy="21526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97</xdr:row>
      <xdr:rowOff>19050</xdr:rowOff>
    </xdr:from>
    <xdr:ext cx="3543300" cy="19621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110</xdr:row>
      <xdr:rowOff>47625</xdr:rowOff>
    </xdr:from>
    <xdr:ext cx="6010275" cy="401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129</xdr:row>
      <xdr:rowOff>133350</xdr:rowOff>
    </xdr:from>
    <xdr:ext cx="6086475" cy="11430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590550</xdr:colOff>
      <xdr:row>135</xdr:row>
      <xdr:rowOff>57150</xdr:rowOff>
    </xdr:from>
    <xdr:ext cx="4962525" cy="143827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590550</xdr:colOff>
      <xdr:row>143</xdr:row>
      <xdr:rowOff>38100</xdr:rowOff>
    </xdr:from>
    <xdr:ext cx="2305050" cy="2486025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155</xdr:row>
      <xdr:rowOff>142875</xdr:rowOff>
    </xdr:from>
    <xdr:ext cx="5162550" cy="7143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971550</xdr:colOff>
      <xdr:row>142</xdr:row>
      <xdr:rowOff>161925</xdr:rowOff>
    </xdr:from>
    <xdr:ext cx="3409950" cy="27241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143</xdr:row>
      <xdr:rowOff>0</xdr:rowOff>
    </xdr:from>
    <xdr:ext cx="3952875" cy="4238625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180</xdr:row>
      <xdr:rowOff>0</xdr:rowOff>
    </xdr:from>
    <xdr:ext cx="2543175" cy="2247900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4829175" cy="1543050"/>
    <xdr:pic>
      <xdr:nvPicPr>
        <xdr:cNvPr id="0" name="image1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88</xdr:row>
      <xdr:rowOff>0</xdr:rowOff>
    </xdr:from>
    <xdr:ext cx="3600450" cy="116205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3.0"/>
    <col customWidth="1" min="3" max="3" width="9.86"/>
    <col customWidth="1" min="4" max="4" width="6.14"/>
    <col customWidth="1" min="5" max="5" width="14.71"/>
    <col customWidth="1" min="6" max="6" width="9.14"/>
    <col customWidth="1" min="7" max="7" width="10.14"/>
    <col customWidth="1" min="8" max="8" width="10.0"/>
    <col customWidth="1" min="9" max="9" width="8.71"/>
    <col customWidth="1" min="10" max="10" width="9.14"/>
    <col customWidth="1" min="11" max="11" width="9.57"/>
    <col customWidth="1" min="12" max="12" width="8.71"/>
    <col customWidth="1" min="13" max="13" width="14.29"/>
    <col customWidth="1" min="14" max="14" width="11.0"/>
    <col customWidth="1" min="15" max="18" width="8.71"/>
    <col customWidth="1" min="19" max="19" width="10.71"/>
    <col customWidth="1" min="20" max="33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5" t="s">
        <v>3</v>
      </c>
      <c r="L5" s="5" t="s">
        <v>4</v>
      </c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>
      <c r="A6" s="6" t="s">
        <v>5</v>
      </c>
      <c r="B6" s="7">
        <f t="shared" ref="B6:B8" si="1">((K6*12)+L6)*0.0254</f>
        <v>3.1242</v>
      </c>
      <c r="C6" s="2"/>
      <c r="D6" s="2"/>
      <c r="E6" s="2"/>
      <c r="F6" s="6" t="s">
        <v>6</v>
      </c>
      <c r="G6" s="8">
        <f>B6-B8</f>
        <v>2.8956</v>
      </c>
      <c r="H6" s="2"/>
      <c r="I6" s="2"/>
      <c r="J6" s="2"/>
      <c r="K6" s="9">
        <v>10.0</v>
      </c>
      <c r="L6" s="9">
        <v>3.0</v>
      </c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>
      <c r="A7" s="6" t="s">
        <v>7</v>
      </c>
      <c r="B7" s="7">
        <f t="shared" si="1"/>
        <v>3.5814</v>
      </c>
      <c r="C7" s="2"/>
      <c r="D7" s="2"/>
      <c r="E7" s="2"/>
      <c r="F7" s="6" t="s">
        <v>8</v>
      </c>
      <c r="G7" s="8">
        <f>B7-B8</f>
        <v>3.3528</v>
      </c>
      <c r="H7" s="2"/>
      <c r="I7" s="2"/>
      <c r="J7" s="2"/>
      <c r="K7" s="9">
        <v>11.0</v>
      </c>
      <c r="L7" s="9">
        <v>9.0</v>
      </c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>
      <c r="A8" s="6" t="s">
        <v>9</v>
      </c>
      <c r="B8" s="10">
        <f t="shared" si="1"/>
        <v>0.2286</v>
      </c>
      <c r="C8" s="2"/>
      <c r="D8" s="2"/>
      <c r="E8" s="2"/>
      <c r="F8" s="2"/>
      <c r="G8" s="2"/>
      <c r="H8" s="2"/>
      <c r="I8" s="2"/>
      <c r="J8" s="2"/>
      <c r="K8" s="9">
        <v>0.0</v>
      </c>
      <c r="L8" s="9">
        <v>9.0</v>
      </c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28.5" customHeight="1">
      <c r="A9" s="6"/>
      <c r="B9" s="11">
        <v>32.0</v>
      </c>
      <c r="C9" s="12" t="s">
        <v>10</v>
      </c>
      <c r="D9" s="2"/>
      <c r="E9" s="2"/>
      <c r="F9" s="2"/>
      <c r="G9" s="2"/>
      <c r="H9" s="2"/>
      <c r="I9" s="2"/>
      <c r="J9" s="2"/>
      <c r="K9" s="13" t="s">
        <v>11</v>
      </c>
      <c r="L9" s="3"/>
      <c r="M9" s="3"/>
      <c r="N9" s="14" t="s">
        <v>12</v>
      </c>
      <c r="O9" s="2" t="s">
        <v>13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>
      <c r="A10" s="6" t="s">
        <v>14</v>
      </c>
      <c r="B10" s="15" t="str">
        <f>CONCATENATE("lx/",B9)</f>
        <v>lx/32</v>
      </c>
      <c r="C10" s="2"/>
      <c r="D10" s="2"/>
      <c r="E10" s="2"/>
      <c r="F10" s="2"/>
      <c r="G10" s="2"/>
      <c r="H10" s="2"/>
      <c r="I10" s="2"/>
      <c r="J10" s="2"/>
      <c r="K10" s="16" t="s">
        <v>15</v>
      </c>
      <c r="L10" s="17"/>
      <c r="M10" s="17"/>
      <c r="N10" s="18">
        <f>35*0.8</f>
        <v>28</v>
      </c>
      <c r="O10" s="2">
        <v>25.0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>
      <c r="A11" s="6" t="s">
        <v>16</v>
      </c>
      <c r="B11" s="15" t="str">
        <f>CONCATENATE(ROUND(B6,3),"/",B9)</f>
        <v>3.124/32</v>
      </c>
      <c r="C11" s="2"/>
      <c r="D11" s="2"/>
      <c r="E11" s="2"/>
      <c r="F11" s="2"/>
      <c r="G11" s="2"/>
      <c r="H11" s="2"/>
      <c r="I11" s="2"/>
      <c r="J11" s="2"/>
      <c r="K11" s="19" t="s">
        <v>17</v>
      </c>
      <c r="L11" s="20"/>
      <c r="M11" s="20"/>
      <c r="N11" s="21">
        <f>40*0.8</f>
        <v>32</v>
      </c>
      <c r="O11" s="2">
        <v>30.0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>
      <c r="A12" s="6" t="s">
        <v>16</v>
      </c>
      <c r="B12" s="22">
        <f>(B6/B9)*1000</f>
        <v>97.63125</v>
      </c>
      <c r="C12" s="23">
        <f>_xlfn.CEILING.MATH(B12,25)</f>
        <v>100</v>
      </c>
      <c r="D12" s="2"/>
      <c r="E12" s="2"/>
      <c r="F12" s="2"/>
      <c r="G12" s="2"/>
      <c r="H12" s="2"/>
      <c r="I12" s="2"/>
      <c r="J12" s="2">
        <f>_xlfn.CEILING.MATH(B12,25)</f>
        <v>100</v>
      </c>
      <c r="K12" s="19" t="s">
        <v>18</v>
      </c>
      <c r="L12" s="20"/>
      <c r="M12" s="20"/>
      <c r="N12" s="24" t="str">
        <f>CONCATENATE("=(",N10,"+",N11,")/2")</f>
        <v>=(28+32)/2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>
      <c r="A13" s="6" t="s">
        <v>19</v>
      </c>
      <c r="B13" s="25">
        <v>8.0</v>
      </c>
      <c r="C13" s="2"/>
      <c r="D13" s="6" t="s">
        <v>20</v>
      </c>
      <c r="E13" s="26">
        <v>15.0</v>
      </c>
      <c r="F13" s="2"/>
      <c r="G13" s="2"/>
      <c r="H13" s="2"/>
      <c r="I13" s="2"/>
      <c r="J13" s="15"/>
      <c r="K13" s="27"/>
      <c r="L13" s="28"/>
      <c r="M13" s="29"/>
      <c r="N13" s="30">
        <f>(N10+N11)/2</f>
        <v>30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>
      <c r="A14" s="6" t="s">
        <v>21</v>
      </c>
      <c r="B14" s="25">
        <f>+B13</f>
        <v>8</v>
      </c>
      <c r="C14" s="2"/>
      <c r="D14" s="6"/>
      <c r="E14" s="26"/>
      <c r="F14" s="2"/>
      <c r="G14" s="2"/>
      <c r="H14" s="2"/>
      <c r="I14" s="2"/>
      <c r="J14" s="15"/>
      <c r="K14" s="3"/>
      <c r="L14" s="2"/>
      <c r="M14" s="3"/>
      <c r="N14" s="3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>
      <c r="A15" s="2"/>
      <c r="B15" s="26"/>
      <c r="C15" s="2"/>
      <c r="D15" s="6"/>
      <c r="E15" s="2"/>
      <c r="F15" s="2"/>
      <c r="G15" s="6" t="s">
        <v>22</v>
      </c>
      <c r="H15" s="2"/>
      <c r="I15" s="2"/>
      <c r="J15" s="15"/>
      <c r="K15" s="3"/>
      <c r="L15" s="2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>
      <c r="A16" s="6" t="s">
        <v>23</v>
      </c>
      <c r="B16" s="26">
        <f>(1/8)*J18</f>
        <v>15.625</v>
      </c>
      <c r="C16" s="13" t="s">
        <v>24</v>
      </c>
      <c r="D16" s="6"/>
      <c r="E16" s="2"/>
      <c r="F16" s="2"/>
      <c r="G16" s="6"/>
      <c r="H16" s="2"/>
      <c r="I16" s="2"/>
      <c r="J16" s="15"/>
      <c r="K16" s="3"/>
      <c r="L16" s="2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>
      <c r="A17" s="6" t="s">
        <v>25</v>
      </c>
      <c r="B17" s="2" t="str">
        <f>CONCATENATE(,ROUND(B12,3),"+(",B13,"/2) ","+",E13)</f>
        <v>97.631+(8/2) +15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>
      <c r="A18" s="6" t="s">
        <v>16</v>
      </c>
      <c r="B18" s="22">
        <f>B12+(B13/2)+E13</f>
        <v>116.63125</v>
      </c>
      <c r="C18" s="23">
        <f>_xlfn.CEILING.MATH(B18,25)</f>
        <v>125</v>
      </c>
      <c r="D18" s="2"/>
      <c r="E18" s="13"/>
      <c r="F18" s="2"/>
      <c r="G18" s="2"/>
      <c r="H18" s="2"/>
      <c r="I18" s="2"/>
      <c r="J18" s="2">
        <f>_xlfn.CEILING.MATH(B18,25)</f>
        <v>125</v>
      </c>
      <c r="K18" s="2"/>
      <c r="L18" s="2"/>
      <c r="M18" s="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>
      <c r="A19" s="13" t="str">
        <f>CONCATENATE("Provide Slab thickness of ",_xlfn.CEILING.MATH(B18,25),"mm.",)</f>
        <v>Provide Slab thickness of 125mm.</v>
      </c>
      <c r="B19" s="32"/>
      <c r="C19" s="2"/>
      <c r="D19" s="2"/>
      <c r="E19" s="13"/>
      <c r="F19" s="2"/>
      <c r="G19" s="2"/>
      <c r="H19" s="2"/>
      <c r="I19" s="2"/>
      <c r="J19" s="2"/>
      <c r="K19" s="2"/>
      <c r="L19" s="2"/>
      <c r="M19" s="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13"/>
      <c r="B20" s="3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>
      <c r="A21" s="33" t="s">
        <v>26</v>
      </c>
      <c r="B21" s="15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>
      <c r="A22" s="33"/>
      <c r="B22" s="15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>
      <c r="A23" s="6" t="s">
        <v>27</v>
      </c>
      <c r="B23" s="15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>
      <c r="A24" s="6" t="s">
        <v>28</v>
      </c>
      <c r="B24" s="8">
        <f>+B6</f>
        <v>3.1242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>
      <c r="A25" s="6" t="s">
        <v>29</v>
      </c>
      <c r="B25" s="15" t="str">
        <f>CONCATENATE(ROUND(G6,3),"+(",_xlfn.CEILING.MATH(B12,25),"/1000)")</f>
        <v>2.896+(100/1000)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>
      <c r="A26" s="6" t="s">
        <v>16</v>
      </c>
      <c r="B26" s="8">
        <f>G6+((_xlfn.CEILING.MATH(B12,25))/1000)</f>
        <v>2.9956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>
      <c r="A27" s="6" t="s">
        <v>30</v>
      </c>
      <c r="B27" s="15" t="str">
        <f>CONCATENATE("minimum of ",ROUND(B24,3)," and ",ROUND(B26,3))</f>
        <v>minimum of 3.124 and 2.996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>
      <c r="A28" s="6" t="s">
        <v>16</v>
      </c>
      <c r="B28" s="34">
        <f>MIN(B24,B26)</f>
        <v>2.9956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>
      <c r="A29" s="6"/>
      <c r="B29" s="34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>
      <c r="A30" s="6" t="s">
        <v>31</v>
      </c>
      <c r="B30" s="15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>
      <c r="A31" s="6" t="s">
        <v>28</v>
      </c>
      <c r="B31" s="8">
        <f>+B7</f>
        <v>3.5814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>
      <c r="A32" s="6" t="s">
        <v>32</v>
      </c>
      <c r="B32" s="15" t="str">
        <f>CONCATENATE(ROUND(G7,3),"+[(",_xlfn.CEILING.MATH(B12,25),"/1000)-",B13,"]")</f>
        <v>3.353+[(100/1000)-8]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>
      <c r="A33" s="6" t="s">
        <v>16</v>
      </c>
      <c r="B33" s="8">
        <f>G7+((_xlfn.CEILING.MATH(B12,25))/1000)</f>
        <v>3.4528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>
      <c r="A34" s="6" t="s">
        <v>33</v>
      </c>
      <c r="B34" s="15" t="str">
        <f>CONCATENATE("minimum of ",ROUND(B31,3)," and ",ROUND(B33,3))</f>
        <v>minimum of 3.581 and 3.453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>
      <c r="A35" s="6" t="s">
        <v>16</v>
      </c>
      <c r="B35" s="34">
        <f>MIN(B31,B33)</f>
        <v>3.4528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>
      <c r="A36" s="3"/>
      <c r="B36" s="34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>
      <c r="A37" s="35" t="s">
        <v>34</v>
      </c>
      <c r="B37" s="15" t="str">
        <f>CONCATENATE(ROUND(B35,3),"/",ROUND(B28,3))</f>
        <v>3.453/2.996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>
      <c r="A38" s="6" t="s">
        <v>16</v>
      </c>
      <c r="B38" s="36">
        <f>B35/B28</f>
        <v>1.152623848</v>
      </c>
      <c r="C38" s="37" t="s">
        <v>35</v>
      </c>
      <c r="G38" s="2"/>
      <c r="H38" s="2"/>
      <c r="I38" s="2"/>
      <c r="J38" s="2"/>
      <c r="K38" s="2"/>
      <c r="L38" s="2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>
      <c r="A39" s="35" t="s">
        <v>36</v>
      </c>
      <c r="B39" s="36" t="str">
        <f>IF(B38&lt;2,"Two Way Slab","One Way Slab")</f>
        <v>Two Way Slab</v>
      </c>
      <c r="G39" s="2"/>
      <c r="H39" s="2"/>
      <c r="I39" s="2"/>
      <c r="J39" s="2"/>
      <c r="K39" s="2"/>
      <c r="L39" s="2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>
      <c r="A40" s="1" t="s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6" t="s">
        <v>38</v>
      </c>
      <c r="B42" s="38">
        <v>20.0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6" t="s">
        <v>39</v>
      </c>
      <c r="B43" s="38">
        <v>500.0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6" t="s">
        <v>40</v>
      </c>
      <c r="B44" s="39">
        <v>25.0</v>
      </c>
      <c r="C44" s="40" t="s">
        <v>41</v>
      </c>
      <c r="D44" s="2"/>
      <c r="E44" s="2"/>
      <c r="F44" s="2"/>
      <c r="G44" s="2"/>
      <c r="H44" s="2"/>
      <c r="I44" s="2"/>
      <c r="J44" s="2"/>
      <c r="K44" s="2"/>
      <c r="L44" s="2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2" t="s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6" t="s">
        <v>43</v>
      </c>
      <c r="B46" s="41">
        <v>3.0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>
      <c r="A47" s="6" t="s">
        <v>16</v>
      </c>
      <c r="B47" s="42" t="str">
        <f>CONCATENATE("[",B46,"KN/m2*(1m*length)]/length")</f>
        <v>[3KN/m2*(1m*length)]/length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>
      <c r="A48" s="6" t="s">
        <v>16</v>
      </c>
      <c r="B48" s="43">
        <f>+B46</f>
        <v>3</v>
      </c>
      <c r="C48" s="2"/>
      <c r="D48" s="2"/>
      <c r="E48" s="44"/>
      <c r="F48" s="2"/>
      <c r="G48" s="2"/>
      <c r="H48" s="2"/>
      <c r="I48" s="2"/>
      <c r="J48" s="2"/>
      <c r="K48" s="2"/>
      <c r="L48" s="2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6" t="s">
        <v>44</v>
      </c>
      <c r="B49" s="45">
        <v>1.5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6" t="s">
        <v>45</v>
      </c>
      <c r="B50" s="45">
        <v>2.0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6" t="s">
        <v>46</v>
      </c>
      <c r="B51" s="2" t="s">
        <v>47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6" t="s">
        <v>16</v>
      </c>
      <c r="B52" s="2" t="str">
        <f>CONCATENATE(B44,"*",_xlfn.CEILING.MATH(B18,25))</f>
        <v>25*125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6" t="s">
        <v>16</v>
      </c>
      <c r="B53" s="43">
        <f>B44*(_xlfn.CEILING.MATH(B18,25)/1000)</f>
        <v>3.125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35" t="s">
        <v>48</v>
      </c>
      <c r="B54" s="43">
        <f>B48+B49+B50+B53</f>
        <v>9.625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35" t="s">
        <v>49</v>
      </c>
      <c r="B55" s="2" t="str">
        <f>CONCATENATE("1.5*",B54)</f>
        <v>1.5*9.625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35" t="s">
        <v>16</v>
      </c>
      <c r="B56" s="43">
        <f>1.5*B54</f>
        <v>14.4375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1" t="s">
        <v>50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6" t="s">
        <v>51</v>
      </c>
      <c r="B59" s="46" t="s">
        <v>52</v>
      </c>
      <c r="C59" s="47"/>
      <c r="D59" s="47"/>
      <c r="E59" s="47"/>
      <c r="F59" s="48"/>
      <c r="G59" s="2"/>
      <c r="H59" s="2"/>
      <c r="I59" s="2"/>
      <c r="J59" s="2"/>
      <c r="K59" s="2"/>
      <c r="L59" s="2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49"/>
      <c r="D60" s="2"/>
      <c r="E60" s="2"/>
      <c r="F60" s="2"/>
      <c r="G60" s="2"/>
      <c r="H60" s="2"/>
      <c r="I60" s="2"/>
      <c r="J60" s="2"/>
      <c r="K60" s="2"/>
      <c r="L60" s="2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2"/>
      <c r="B61" s="50" t="s">
        <v>53</v>
      </c>
      <c r="C61" s="51" t="str">
        <f>+T200</f>
        <v> αx-ve</v>
      </c>
      <c r="D61" s="2"/>
      <c r="E61" s="52" t="str">
        <f t="shared" ref="E61:E64" si="2">+B61</f>
        <v>ley/lex</v>
      </c>
      <c r="F61" s="50" t="str">
        <f>+T201</f>
        <v>αx+ve</v>
      </c>
      <c r="G61" s="2"/>
      <c r="H61" s="2"/>
      <c r="I61" s="2"/>
      <c r="J61" s="2"/>
      <c r="K61" s="2"/>
      <c r="L61" s="2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13" t="s">
        <v>54</v>
      </c>
      <c r="B62" s="53">
        <v>1.1</v>
      </c>
      <c r="C62" s="54">
        <f t="array" ref="C62">IFS(B59=O199,VLOOKUP(C61,T198:AC201,MATCH(B62,U198:AB198,0)+1,FALSE),B59=O202,VLOOKUP(C61,T203:AC204,MATCH(B62,U198:AB198,0)+1,FALSE),B59=O205,VLOOKUP(C61,T206:AC207,MATCH(B62,U198:AB198,0)+1,FALSE),B59=O208,VLOOKUP(C61,T209:AC210,MATCH(B62,U198:AB198,0)+1,FALSE),B59=O211,VLOOKUP(C61,T212:AC213,MATCH(B62,U198:AB198,0)+1,FALSE),B59=O214,VLOOKUP(C61,T215:AC216,MATCH(B62,U198:AB198,0)+1,FALSE),B59=O217,VLOOKUP(C61,T219:AC220,MATCH(B62,U198:AB198,0)+1,FALSE),B59=O221,VLOOKUP(C61,T223:AC224,MATCH(B62,U198:AB198,0)+1,FALSE),B59=O225,VLOOKUP(C61,T226:AC227,MATCH(B62,U198:AB198,0)+1,FALSE))</f>
        <v>0</v>
      </c>
      <c r="D62" s="2"/>
      <c r="E62" s="55">
        <f t="shared" si="2"/>
        <v>1.1</v>
      </c>
      <c r="F62" s="56">
        <f t="array" ref="F62">IFS(B59=O199,VLOOKUP(F61,T198:AC201,MATCH(B62,U198:AB198,0)+1,FALSE),B59=O202,VLOOKUP(F61,T203:AC204,MATCH(B62,U198:AB198,0)+1,FALSE),B59=O205,VLOOKUP(F61,T206:AC207,MATCH(B62,U198:AB198,0)+1,FALSE),B59=O208,VLOOKUP(F61,T209:AC210,MATCH(B62,U198:AB198,0)+1,FALSE),B59=O211,VLOOKUP(F61,T212:AC213,MATCH(B62,U198:AB198,0)+1,FALSE),B59=O214,VLOOKUP(F61,T215:AC216,MATCH(B62,U198:AB198,0)+1,FALSE),B59=O217,VLOOKUP(F61,T219:AC220,MATCH(B62,U198:AB198,0)+1,FALSE),B59=O221,VLOOKUP(F61,T223:AC224,MATCH(B62,U198:AB198,0)+1,FALSE),B59=O225,VLOOKUP(F61,T226:AC227,MATCH(B62,U198:AB198,0)+1,FALSE))</f>
        <v>0.064</v>
      </c>
      <c r="G62" s="2"/>
      <c r="H62" s="2"/>
      <c r="I62" s="2"/>
      <c r="J62" s="2"/>
      <c r="K62" s="2"/>
      <c r="L62" s="2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13" t="s">
        <v>55</v>
      </c>
      <c r="B63" s="57">
        <f>+B38</f>
        <v>1.152623848</v>
      </c>
      <c r="C63" s="58" t="s">
        <v>56</v>
      </c>
      <c r="D63" s="2"/>
      <c r="E63" s="59">
        <f t="shared" si="2"/>
        <v>1.152623848</v>
      </c>
      <c r="F63" s="60" t="s">
        <v>57</v>
      </c>
      <c r="G63" s="2"/>
      <c r="H63" s="2"/>
      <c r="I63" s="2"/>
      <c r="J63" s="2"/>
      <c r="K63" s="2"/>
      <c r="L63" s="2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2"/>
      <c r="B64" s="61">
        <v>1.2</v>
      </c>
      <c r="C64" s="62">
        <f t="array" ref="C64">IFS(B59=O199,VLOOKUP(C61,T198:AC201,MATCH(B64,U198:AB198,0)+1,FALSE),B59=O202,VLOOKUP(C61,T203:AC204,MATCH(B64,U198:AB198,0)+1,FALSE),B59=O205,VLOOKUP(C61,T206:AC207,MATCH(B64,U198:AB198,0)+1,FALSE),B59=O208,VLOOKUP(C61,T209:AC210,MATCH(B64,U198:AB198,0)+1,FALSE),B59=O211,VLOOKUP(C61,T212:AC213,MATCH(B64,U198:AB198,0)+1,FALSE),B59=O214,VLOOKUP(C61,T215:AC216,MATCH(B64,U198:AB198,0)+1,FALSE),B59=O217,VLOOKUP(C61,T219:AC220,MATCH(B64,U198:AB198,0)+1,FALSE),B59=O221,VLOOKUP(C61,T223:AC224,MATCH(B64,U198:AB198,0)+1,FALSE),B59=O225,VLOOKUP(C61,T226:AC227,MATCH(B64,U198:AB198,0)+1,FALSE))</f>
        <v>0</v>
      </c>
      <c r="D64" s="2"/>
      <c r="E64" s="63">
        <f t="shared" si="2"/>
        <v>1.2</v>
      </c>
      <c r="F64" s="64">
        <f t="array" ref="F64">IFS(B59=O199,VLOOKUP(F61,T198:AC201,MATCH(B64,U198:AB198,0)+1,FALSE),B59=O202,VLOOKUP(F61,T203:AC204,MATCH(B64,U198:AB198,0)+1,FALSE),B59=O205,VLOOKUP(F61,T206:AC207,MATCH(B64,U198:AB198,0)+1,FALSE),B59=O208,VLOOKUP(F61,T209:AC210,MATCH(B64,U198:AB198,0)+1,FALSE),B59=O211,VLOOKUP(F61,T212:AC213,MATCH(B64,U198:AB198,0)+1,FALSE),B59=O214,VLOOKUP(F61,T215:AC216,MATCH(B64,U198:AB198,0)+1,FALSE),B59=O217,VLOOKUP(F61,T219:AC220,MATCH(B64,U198:AB198,0)+1,FALSE),B59=O221,VLOOKUP(F61,T223:AC224,MATCH(B64,U198:AB198,0)+1,FALSE),B59=O225,VLOOKUP(F61,T226:AC227,MATCH(B64,U198:AB198,0)+1,FALSE))</f>
        <v>0.072</v>
      </c>
      <c r="G64" s="2"/>
      <c r="H64" s="2"/>
      <c r="I64" s="2"/>
      <c r="J64" s="2"/>
      <c r="K64" s="2"/>
      <c r="L64" s="2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65" t="s">
        <v>58</v>
      </c>
      <c r="B66" s="2" t="str">
        <f>CONCATENATE(C62,"+[{(",C64,"-",C62,")/(",B64,"-",B62,")}*(",ROUND(B63,3),"-",B62,")]")</f>
        <v>0+[{(0-0)/(1.2-1.1)}*(1.153-1.1)]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66" t="s">
        <v>59</v>
      </c>
      <c r="B67" s="67">
        <f>C62+(((C64-C62)/(B64-B62))*(B63-B62))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66" t="s">
        <v>60</v>
      </c>
      <c r="B69" s="2" t="str">
        <f>CONCATENATE(F62,"+[{(",F64,"-",F62,")/(",E64,"-",E62,")}*(",ROUND(E63,3),"-",E62,")]")</f>
        <v>0.064+[{(0.072-0.064)/(1.2-1.1)}*(1.153-1.1)]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35" t="s">
        <v>16</v>
      </c>
      <c r="B70" s="67">
        <f>F62+(((F64-F62)/(E64-E62))*(E63-E62))</f>
        <v>0.06820990786</v>
      </c>
      <c r="C70" s="2"/>
      <c r="D70" s="2"/>
      <c r="E70" s="2"/>
      <c r="F70" s="2"/>
      <c r="G70" s="3"/>
      <c r="H70" s="2"/>
      <c r="I70" s="2"/>
      <c r="J70" s="2"/>
      <c r="K70" s="2"/>
      <c r="L70" s="2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2"/>
      <c r="D71" s="49"/>
      <c r="E71" s="2"/>
      <c r="F71" s="2"/>
      <c r="G71" s="3"/>
      <c r="H71" s="2"/>
      <c r="I71" s="2"/>
      <c r="J71" s="2"/>
      <c r="K71" s="2"/>
      <c r="L71" s="2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2" t="str">
        <f>CONCATENATE("For ",B59," the value of  αy-ve and αy+ve")</f>
        <v>For Four Edges Discontinuous the value of  αy-ve and αy+ve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A73" s="2" t="s">
        <v>61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66" t="str">
        <f>+AD198</f>
        <v> αy-ve=</v>
      </c>
      <c r="B74" s="68">
        <f>VLOOKUP(B59,O199:AE227,MATCH(A74,AD198:AE198,0)+15,FALSE)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A75" s="66" t="str">
        <f>+AE198</f>
        <v>αy+ve=</v>
      </c>
      <c r="B75" s="68">
        <f>VLOOKUP(B59,O199:AE227,MATCH(A75,AD198:AE198,0)+15,FALSE)</f>
        <v>0.056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6" t="s">
        <v>62</v>
      </c>
      <c r="B77" s="2" t="str">
        <f>CONCATENATE(ROUND(B67,4),"*",ROUND($B$56,3),"*",ROUND($B$28,3),"^2")</f>
        <v>0*14.438*2.996^2</v>
      </c>
      <c r="C77" s="2"/>
      <c r="D77" s="35" t="s">
        <v>16</v>
      </c>
      <c r="E77" s="69">
        <f>B67*$B$56*$B$28^2</f>
        <v>0</v>
      </c>
      <c r="F77" s="2"/>
      <c r="G77" s="2"/>
      <c r="H77" s="2"/>
      <c r="I77" s="2"/>
      <c r="J77" s="2"/>
      <c r="K77" s="2"/>
      <c r="L77" s="2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6" t="s">
        <v>63</v>
      </c>
      <c r="B78" s="2" t="str">
        <f>CONCATENATE(ROUND(B70,4),"*",ROUND($B$56,3),"*",ROUND($B$28,3),"^2")</f>
        <v>0.0682*14.438*2.996^2</v>
      </c>
      <c r="C78" s="2"/>
      <c r="D78" s="35" t="s">
        <v>16</v>
      </c>
      <c r="E78" s="69">
        <f>B70*$B$56*$B$28^2</f>
        <v>8.837045762</v>
      </c>
      <c r="F78" s="2"/>
      <c r="G78" s="2"/>
      <c r="H78" s="2"/>
      <c r="I78" s="2"/>
      <c r="J78" s="2"/>
      <c r="K78" s="2"/>
      <c r="L78" s="2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6" t="s">
        <v>64</v>
      </c>
      <c r="B79" s="2" t="str">
        <f t="shared" ref="B79:B80" si="3">CONCATENATE(ROUND(B74,4),"*",ROUND($B$56,3),"*",ROUND($B$28,3),"^2")</f>
        <v>0*14.438*2.996^2</v>
      </c>
      <c r="C79" s="2"/>
      <c r="D79" s="35" t="s">
        <v>16</v>
      </c>
      <c r="E79" s="69">
        <f t="shared" ref="E79:E80" si="4">B74*$B$56*$B$28^2</f>
        <v>0</v>
      </c>
      <c r="F79" s="2"/>
      <c r="G79" s="2"/>
      <c r="H79" s="2"/>
      <c r="I79" s="2"/>
      <c r="J79" s="2"/>
      <c r="K79" s="2"/>
      <c r="L79" s="2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6" t="s">
        <v>65</v>
      </c>
      <c r="B80" s="2" t="str">
        <f t="shared" si="3"/>
        <v>0.056*14.438*2.996^2</v>
      </c>
      <c r="C80" s="2"/>
      <c r="D80" s="35" t="s">
        <v>16</v>
      </c>
      <c r="E80" s="69">
        <f t="shared" si="4"/>
        <v>7.255171253</v>
      </c>
      <c r="F80" s="2"/>
      <c r="G80" s="2"/>
      <c r="H80" s="2"/>
      <c r="I80" s="2"/>
      <c r="J80" s="2"/>
      <c r="K80" s="2"/>
      <c r="L80" s="2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1" t="s">
        <v>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6" t="s">
        <v>67</v>
      </c>
      <c r="B84" s="2" t="str">
        <f>CONCATENATE((IF(B43=J91,J92,K92)),"*fck*b*dreq^2")</f>
        <v>0.133*fck*b*dreq^2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70" t="str">
        <f>CONCATENATE(ROUND(MAX(E77:E80),3)," *10^6=")</f>
        <v>8.837 *10^6=</v>
      </c>
      <c r="B85" s="2" t="str">
        <f>CONCATENATE((IF(B43=J91,J92,K92)),"*",B42,"*1000*dreq^2")</f>
        <v>0.133*20*1000*dreq^2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35" t="s">
        <v>68</v>
      </c>
      <c r="B86" s="71">
        <f>SQRT((MAX(E77,E78,E79,E80)*10^6)/(IF(B43=J91,J92,K92)*B42*1000))</f>
        <v>57.63850844</v>
      </c>
      <c r="C86" s="13" t="str">
        <f>IF(B86&lt;_xlfn.CEILING.MATH(B12,25),CONCATENATE("&lt; effective depth provided ( ",_xlfn.CEILING.MATH(B12,25),"mm.) OK"),CONCATENATE("&gt; effective depth provided (",_xlfn.CEILING.MATH(B12,25),"mm.) Increase depth"))</f>
        <v>&lt; effective depth provided ( 100mm.) OK</v>
      </c>
      <c r="D86" s="2"/>
      <c r="E86" s="2"/>
      <c r="F86" s="2"/>
      <c r="G86" s="2"/>
      <c r="H86" s="2"/>
      <c r="I86" s="2"/>
      <c r="J86" s="2"/>
      <c r="K86" s="2"/>
      <c r="L86" s="2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1" t="s">
        <v>69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3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6" t="s">
        <v>70</v>
      </c>
      <c r="B91" s="2" t="s">
        <v>71</v>
      </c>
      <c r="C91" s="2"/>
      <c r="D91" s="2"/>
      <c r="E91" s="2"/>
      <c r="F91" s="2"/>
      <c r="G91" s="2"/>
      <c r="H91" s="2"/>
      <c r="I91" s="2"/>
      <c r="J91" s="2">
        <v>500.0</v>
      </c>
      <c r="K91" s="2">
        <v>415.0</v>
      </c>
      <c r="L91" s="2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6" t="str">
        <f>CONCATENATE(ROUND(E77,3),"*10^6=")</f>
        <v>0*10^6=</v>
      </c>
      <c r="B92" s="2" t="str">
        <f>CONCATENATE("0.87*",B43,"*(Ast)x+ve*",J12,"*[1-{(Astx+ve*",B43,")/(1000*",J12,"*",B42,")}]")</f>
        <v>0.87*500*(Ast)x+ve*100*[1-{(Astx+ve*500)/(1000*100*20)}]</v>
      </c>
      <c r="C92" s="2"/>
      <c r="D92" s="2"/>
      <c r="E92" s="2"/>
      <c r="F92" s="2"/>
      <c r="G92" s="2"/>
      <c r="H92" s="2"/>
      <c r="I92" s="2"/>
      <c r="J92" s="2">
        <v>0.133</v>
      </c>
      <c r="K92" s="2">
        <v>0.138</v>
      </c>
      <c r="L92" s="2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35" t="s">
        <v>72</v>
      </c>
      <c r="B93" s="72">
        <f>(1-(SQRT((-1)^2-(4*(500/(B42*1000*J12))*((E77*10^6)/(0.87*B43*J12))))))/(2*(500/(B42*1000*J12)))</f>
        <v>0</v>
      </c>
      <c r="C93" s="2"/>
      <c r="D93" s="2"/>
      <c r="E93" s="2"/>
      <c r="F93" s="2"/>
      <c r="G93" s="2"/>
      <c r="H93" s="2"/>
      <c r="I93" s="2"/>
      <c r="J93" s="2">
        <v>0.46</v>
      </c>
      <c r="K93" s="2">
        <v>0.48</v>
      </c>
      <c r="L93" s="2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3" t="s">
        <v>73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35" t="s">
        <v>74</v>
      </c>
      <c r="B95" s="72">
        <f>(1-(SQRT((-1)^2-(4*(500/(B42*1000*J12))*((E78*10^6)/(0.87*B43*J12))))))/(2*(500/(B42*1000*J12)))</f>
        <v>214.6714334</v>
      </c>
      <c r="C95" s="2"/>
      <c r="D95" s="2"/>
      <c r="E95" s="2"/>
      <c r="F95" s="2"/>
      <c r="G95" s="2"/>
      <c r="H95" s="2"/>
      <c r="I95" s="2"/>
      <c r="J95" s="2" t="s">
        <v>75</v>
      </c>
      <c r="K95" s="2"/>
      <c r="L95" s="2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35" t="s">
        <v>76</v>
      </c>
      <c r="B96" s="72">
        <f>(1-(SQRT((-1)^2-(4*(500/(B42*1000*J12))*((E79*10^6)/(0.87*B43*J12))))))/(2*(500/(B42*1000*J12)))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35" t="s">
        <v>77</v>
      </c>
      <c r="B97" s="72">
        <f>(1-(SQRT((-1)^2-(4*(500/(B42*1000*J12))*((E80*10^6)/(0.87*B43*J12))))))/(2*(500/(B42*1000*J12)))</f>
        <v>174.3883721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35" t="s">
        <v>78</v>
      </c>
      <c r="B98" s="73">
        <v>0.0012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6" t="s">
        <v>16</v>
      </c>
      <c r="B99" s="72">
        <f>B98*1000*J18</f>
        <v>150</v>
      </c>
      <c r="C99" s="2"/>
      <c r="D99" s="2"/>
      <c r="E99" s="74">
        <f>(1000*((PI()*$B$13^2)/4))/(MAX(B93,$B$99))</f>
        <v>335.1032164</v>
      </c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68" t="s">
        <v>79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6" t="s">
        <v>80</v>
      </c>
      <c r="B102" s="2" t="str">
        <f>IF(B93=0,"no need to calculate",CONCATENATE("1000/[",ROUND(MAX(B93,$B$99),3),"/{(3.1415*",$B$13,"^2)/4}]"))</f>
        <v>no need to calculate</v>
      </c>
      <c r="C102" s="2"/>
      <c r="D102" s="2"/>
      <c r="E102" s="75" t="str">
        <f>IF(B93=0,"N/A",(1000*((PI()*$B$13^2)/4))/(MAX(B93,$B$99)))</f>
        <v>N/A</v>
      </c>
      <c r="F102" s="76" t="str">
        <f>IF(B93=0,"N/A",_xlfn.FLOOR.MATH(E102,5))</f>
        <v>N/A</v>
      </c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6" t="s">
        <v>81</v>
      </c>
      <c r="B103" s="2" t="str">
        <f t="shared" ref="B103:B105" si="5">IF(B95=0,"no need to calculate",CONCATENATE("1000/[",ROUND(MAX(B95,$B$99),3),"/{(3.1415*",$B$13,"^2)/4}]"))</f>
        <v>1000/[214.671/{(3.1415*8^2)/4}]</v>
      </c>
      <c r="C103" s="2"/>
      <c r="D103" s="2"/>
      <c r="E103" s="75">
        <f t="shared" ref="E103:E105" si="6">IF(B95=0,"N/A",(1000*((PI()*$B$13^2)/4))/(MAX(B95,$B$99)))</f>
        <v>234.1507748</v>
      </c>
      <c r="F103" s="76">
        <f t="shared" ref="F103:F105" si="7">IF(B95=0,"N/A",_xlfn.FLOOR.MATH(E103,5))</f>
        <v>230</v>
      </c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6" t="s">
        <v>82</v>
      </c>
      <c r="B104" s="2" t="str">
        <f t="shared" si="5"/>
        <v>no need to calculate</v>
      </c>
      <c r="C104" s="2"/>
      <c r="D104" s="2"/>
      <c r="E104" s="75" t="str">
        <f t="shared" si="6"/>
        <v>N/A</v>
      </c>
      <c r="F104" s="76" t="str">
        <f t="shared" si="7"/>
        <v>N/A</v>
      </c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6" t="s">
        <v>83</v>
      </c>
      <c r="B105" s="2" t="str">
        <f t="shared" si="5"/>
        <v>1000/[174.388/{(3.1415*8^2)/4}]</v>
      </c>
      <c r="C105" s="2"/>
      <c r="D105" s="2"/>
      <c r="E105" s="75">
        <f t="shared" si="6"/>
        <v>288.2387274</v>
      </c>
      <c r="F105" s="76">
        <f t="shared" si="7"/>
        <v>285</v>
      </c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77" t="s">
        <v>84</v>
      </c>
      <c r="B107" s="2"/>
      <c r="C107" s="2"/>
      <c r="D107" s="2"/>
      <c r="E107" s="2"/>
      <c r="F107" s="77" t="s">
        <v>85</v>
      </c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6" t="s">
        <v>86</v>
      </c>
      <c r="B108" s="2" t="s">
        <v>87</v>
      </c>
      <c r="C108" s="2"/>
      <c r="D108" s="2"/>
      <c r="E108" s="6" t="s">
        <v>86</v>
      </c>
      <c r="F108" s="2" t="s">
        <v>88</v>
      </c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6" t="s">
        <v>16</v>
      </c>
      <c r="B109" s="2" t="str">
        <f>CONCATENATE("3*",J12)</f>
        <v>3*100</v>
      </c>
      <c r="C109" s="2"/>
      <c r="D109" s="2"/>
      <c r="E109" s="6" t="s">
        <v>16</v>
      </c>
      <c r="F109" s="2" t="str">
        <f>CONCATENATE("5*",J12)</f>
        <v>5*100</v>
      </c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6" t="s">
        <v>16</v>
      </c>
      <c r="B110" s="78">
        <f>3*J12</f>
        <v>300</v>
      </c>
      <c r="C110" s="2"/>
      <c r="D110" s="2"/>
      <c r="E110" s="6" t="s">
        <v>16</v>
      </c>
      <c r="F110" s="78">
        <f>5*J12</f>
        <v>500</v>
      </c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A111" s="6" t="s">
        <v>89</v>
      </c>
      <c r="B111" s="13" t="s">
        <v>90</v>
      </c>
      <c r="C111" s="2"/>
      <c r="D111" s="2"/>
      <c r="E111" s="6" t="s">
        <v>89</v>
      </c>
      <c r="F111" s="78">
        <v>450.0</v>
      </c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A112" s="35" t="s">
        <v>91</v>
      </c>
      <c r="B112" s="78">
        <f>MIN(B110,B111)</f>
        <v>300</v>
      </c>
      <c r="C112" s="2"/>
      <c r="D112" s="2"/>
      <c r="E112" s="35" t="s">
        <v>91</v>
      </c>
      <c r="F112" s="78">
        <f>MIN(F110,F111)</f>
        <v>450</v>
      </c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2"/>
      <c r="B114" s="6" t="s">
        <v>92</v>
      </c>
      <c r="C114" s="79">
        <f>MIN(B112,F102:F103)</f>
        <v>230</v>
      </c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6"/>
      <c r="B115" s="6" t="s">
        <v>93</v>
      </c>
      <c r="C115" s="79">
        <f>MIN(F112,F104:F105)</f>
        <v>285</v>
      </c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80">
        <f>+B13</f>
        <v>8</v>
      </c>
      <c r="B117" s="81">
        <v>150.0</v>
      </c>
      <c r="C117" s="47"/>
      <c r="D117" s="47"/>
      <c r="E117" s="47"/>
      <c r="F117" s="47"/>
      <c r="G117" s="48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80">
        <f t="shared" ref="A118:A119" si="8">+B13</f>
        <v>8</v>
      </c>
      <c r="B118" s="82">
        <v>150.0</v>
      </c>
      <c r="C118" s="47"/>
      <c r="D118" s="47"/>
      <c r="E118" s="47"/>
      <c r="F118" s="47"/>
      <c r="G118" s="48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80">
        <f t="shared" si="8"/>
        <v>8</v>
      </c>
      <c r="B119" s="83">
        <v>150.0</v>
      </c>
      <c r="C119" s="47"/>
      <c r="D119" s="47"/>
      <c r="E119" s="47"/>
      <c r="F119" s="47"/>
      <c r="G119" s="48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80">
        <f>+B14</f>
        <v>8</v>
      </c>
      <c r="B120" s="83">
        <v>150.0</v>
      </c>
      <c r="C120" s="47"/>
      <c r="D120" s="47"/>
      <c r="E120" s="47"/>
      <c r="F120" s="47"/>
      <c r="G120" s="48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35" t="s">
        <v>94</v>
      </c>
      <c r="B122" s="2" t="str">
        <f>CONCATENATE("{1000*(3.1415*",A118^2,")/4}/",B118)</f>
        <v>{1000*(3.1415*64)/4}/150</v>
      </c>
      <c r="C122" s="2"/>
      <c r="D122" s="2"/>
      <c r="E122" s="84">
        <f>(1000*((PI()*A118^2)/4))/B118</f>
        <v>335.1032164</v>
      </c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35" t="s">
        <v>95</v>
      </c>
      <c r="B123" s="2" t="s">
        <v>96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6" t="s">
        <v>16</v>
      </c>
      <c r="B124" s="2" t="str">
        <f>CONCATENATE("(",ROUND(E122,3),"*100)/(1000*",C18,")")</f>
        <v>(335.103*100)/(1000*125)</v>
      </c>
      <c r="C124" s="2"/>
      <c r="D124" s="2"/>
      <c r="E124" s="85">
        <f>(E122)/(1000*C18)</f>
        <v>0.002680825731</v>
      </c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1" t="s">
        <v>97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32.25" customHeight="1">
      <c r="A128" s="86" t="s">
        <v>98</v>
      </c>
      <c r="B128" s="2"/>
      <c r="C128" s="2"/>
      <c r="D128" s="87" t="s">
        <v>99</v>
      </c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6" t="s">
        <v>16</v>
      </c>
      <c r="B129" s="2" t="str">
        <f>CONCATENATE("(",ROUND(B56,3),"*",ROUND(B28,3),")/2")</f>
        <v>(14.438*2.996)/2</v>
      </c>
      <c r="C129" s="2"/>
      <c r="D129" s="6" t="s">
        <v>16</v>
      </c>
      <c r="E129" s="2" t="str">
        <f>CONCATENATE(,"(",ROUND(B130,3),"*10^3)/(1000*",C12,")")</f>
        <v>(21.628*10^3)/(1000*100)</v>
      </c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35" t="s">
        <v>16</v>
      </c>
      <c r="B130" s="88">
        <f>(ROUND(B56,3)*ROUND(B28,3))/2</f>
        <v>21.628124</v>
      </c>
      <c r="C130" s="2"/>
      <c r="D130" s="35" t="s">
        <v>16</v>
      </c>
      <c r="E130" s="89">
        <f>(B130*10^3)/(1000*C12)</f>
        <v>0.21628124</v>
      </c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35"/>
      <c r="B131" s="88"/>
      <c r="C131" s="2"/>
      <c r="D131" s="35"/>
      <c r="E131" s="89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30.0" customHeight="1">
      <c r="A132" s="35"/>
      <c r="B132" s="90">
        <f>(E122*100)/(1000*C12)</f>
        <v>0.3351032164</v>
      </c>
      <c r="C132" s="2"/>
      <c r="D132" s="35"/>
      <c r="E132" s="89"/>
      <c r="F132" s="2"/>
      <c r="G132" s="2"/>
      <c r="H132" s="2"/>
      <c r="I132" s="2"/>
      <c r="J132" s="91"/>
      <c r="K132" s="92">
        <f>+B42</f>
        <v>20</v>
      </c>
      <c r="L132" s="2"/>
      <c r="M132" s="93">
        <v>300.0</v>
      </c>
      <c r="N132" s="94">
        <v>275.0</v>
      </c>
      <c r="O132" s="94">
        <v>250.0</v>
      </c>
      <c r="P132" s="5">
        <v>225.0</v>
      </c>
      <c r="Q132" s="94">
        <v>200.0</v>
      </c>
      <c r="R132" s="94">
        <v>175.0</v>
      </c>
      <c r="S132" s="95">
        <v>150.0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A133" s="96" t="str">
        <f>CONCATENATE("For M",B42," concrete and (As*100)/bd) value")</f>
        <v>For M20 concrete and (As*100)/bd) value</v>
      </c>
      <c r="B133" s="2"/>
      <c r="C133" s="2"/>
      <c r="D133" s="2"/>
      <c r="E133" s="2"/>
      <c r="F133" s="2"/>
      <c r="G133" s="2"/>
      <c r="H133" s="2"/>
      <c r="I133" s="2"/>
      <c r="J133" s="97">
        <v>0.25</v>
      </c>
      <c r="K133" s="53">
        <v>0.36</v>
      </c>
      <c r="L133" s="2"/>
      <c r="M133" s="5">
        <v>1.0</v>
      </c>
      <c r="N133" s="94">
        <v>1.05</v>
      </c>
      <c r="O133" s="94">
        <v>1.1</v>
      </c>
      <c r="P133" s="94">
        <v>1.15</v>
      </c>
      <c r="Q133" s="94">
        <v>1.2</v>
      </c>
      <c r="R133" s="94">
        <v>1.25</v>
      </c>
      <c r="S133" s="94">
        <v>1.3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A134" s="87" t="s">
        <v>100</v>
      </c>
      <c r="B134" s="98">
        <f>+K134</f>
        <v>0.4008495439</v>
      </c>
      <c r="C134" s="13" t="s">
        <v>101</v>
      </c>
      <c r="D134" s="2"/>
      <c r="E134" s="2"/>
      <c r="F134" s="2"/>
      <c r="G134" s="2"/>
      <c r="H134" s="2"/>
      <c r="I134" s="2"/>
      <c r="J134" s="59">
        <f>+B132</f>
        <v>0.3351032164</v>
      </c>
      <c r="K134" s="99">
        <f>K133+(((K135-K133)/(J135-J133))*(J134-J133))</f>
        <v>0.4008495439</v>
      </c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86" t="s">
        <v>102</v>
      </c>
      <c r="B135" s="100">
        <f t="array" ref="B135">IFS(OR(C18=M132,C18&gt;M132),M133,C18=N132,N133,C18=O132,O133,C18=P132,P133,C18=Q132,Q133,C18=R132,R133,OR(C18=S132,C18&lt;S132),S133)</f>
        <v>1.3</v>
      </c>
      <c r="C135" s="13"/>
      <c r="D135" s="2"/>
      <c r="E135" s="2"/>
      <c r="F135" s="2"/>
      <c r="G135" s="2"/>
      <c r="H135" s="2"/>
      <c r="I135" s="2"/>
      <c r="J135" s="101">
        <v>0.5</v>
      </c>
      <c r="K135" s="61">
        <v>0.48</v>
      </c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87" t="s">
        <v>103</v>
      </c>
      <c r="B136" s="2" t="str">
        <f>CONCATENATE(B135,"*",ROUND(B134,3))</f>
        <v>1.3*0.401</v>
      </c>
      <c r="C136" s="13" t="s">
        <v>104</v>
      </c>
      <c r="D136" s="2"/>
      <c r="E136" s="2"/>
      <c r="F136" s="2"/>
      <c r="G136" s="2"/>
      <c r="H136" s="2"/>
      <c r="I136" s="2"/>
      <c r="J136" s="2">
        <v>15.0</v>
      </c>
      <c r="K136" s="2">
        <v>20.0</v>
      </c>
      <c r="L136" s="2">
        <v>25.0</v>
      </c>
      <c r="M136" s="3">
        <v>20.0</v>
      </c>
      <c r="N136" s="2">
        <v>35.0</v>
      </c>
      <c r="O136" s="2">
        <v>40.0</v>
      </c>
      <c r="P136" s="2">
        <v>30.0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6" t="s">
        <v>105</v>
      </c>
      <c r="B137" s="102">
        <f>B135*B134</f>
        <v>0.521104407</v>
      </c>
      <c r="C137" s="2"/>
      <c r="D137" s="2"/>
      <c r="E137" s="2"/>
      <c r="F137" s="2"/>
      <c r="G137" s="2"/>
      <c r="H137" s="2"/>
      <c r="I137" s="2"/>
      <c r="J137" s="2">
        <v>2.5</v>
      </c>
      <c r="K137" s="2">
        <v>2.8</v>
      </c>
      <c r="L137" s="2">
        <v>3.1</v>
      </c>
      <c r="M137" s="3">
        <v>3.5</v>
      </c>
      <c r="N137" s="2">
        <v>3.7</v>
      </c>
      <c r="O137" s="2">
        <v>4.0</v>
      </c>
      <c r="P137" s="2">
        <v>3.5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87" t="s">
        <v>106</v>
      </c>
      <c r="B138" s="102">
        <f t="array" ref="B138">IFS(B42=15,0.28,B42=20,0.28,B42=25,0.29,B42=30,0.29,B42=35,0.29,OR(B42=40,B42&gt;40),0.3)</f>
        <v>0.28</v>
      </c>
      <c r="C138" s="13" t="s">
        <v>107</v>
      </c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87" t="s">
        <v>108</v>
      </c>
      <c r="B139" s="102">
        <f t="array" ref="B139">IFS(B42=P136,P137,B42=J136,J137,B42=K136,K137,B42=L136,L137,B42=M136,M137,B42=N136,N137,OR(B42=O136,B42&gt;O136),O137)</f>
        <v>2.8</v>
      </c>
      <c r="C139" s="13" t="s">
        <v>109</v>
      </c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35" t="str">
        <f>IF(E130&lt;B138,"τ&lt;(τc)min","τ&gt;(τc)min")</f>
        <v>τ&lt;(τc)min</v>
      </c>
      <c r="B141" s="103" t="str">
        <f>IF(E130&lt;B138,"OK","NOT OK")</f>
        <v>OK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35" t="str">
        <f>IF(AND(E130&lt;B137,B137&lt;B139,E130&lt;B139),"τ &lt; kτc &lt; (τc)max","Increase depth")</f>
        <v>τ &lt; kτc &lt; (τc)max</v>
      </c>
      <c r="B142" s="103" t="str">
        <f>IF(AND(E130&lt;B137,B137&lt;B139,E130&lt;B139),"OK","NOT OK")</f>
        <v>OK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1" t="s">
        <v>110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6" t="s">
        <v>111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104" t="s">
        <v>112</v>
      </c>
      <c r="B146" s="105">
        <f>VLOOKUP(B59,J165:R176,7,FALSE)</f>
        <v>20</v>
      </c>
      <c r="C146" s="13" t="s">
        <v>113</v>
      </c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104" t="s">
        <v>114</v>
      </c>
      <c r="B147" s="1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104" t="s">
        <v>115</v>
      </c>
      <c r="B148" s="105">
        <v>1.0</v>
      </c>
      <c r="C148" s="13" t="s">
        <v>116</v>
      </c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6" t="s">
        <v>117</v>
      </c>
      <c r="B149" s="105">
        <v>2.0</v>
      </c>
      <c r="C149" s="13" t="s">
        <v>118</v>
      </c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6" t="s">
        <v>119</v>
      </c>
      <c r="B150" s="105">
        <v>1.0</v>
      </c>
      <c r="C150" s="13" t="s">
        <v>120</v>
      </c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6" t="s">
        <v>121</v>
      </c>
      <c r="B151" s="105">
        <v>1.0</v>
      </c>
      <c r="C151" s="13" t="s">
        <v>122</v>
      </c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6" t="s">
        <v>123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30.75" customHeight="1">
      <c r="A153" s="106" t="s">
        <v>124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107" t="s">
        <v>16</v>
      </c>
      <c r="B154" s="108" t="str">
        <f>CONCATENATE("0.58*",B43,"*[(Ast.req.)/(Ast.provided)]")</f>
        <v>0.58*500*[(Ast.req.)/(Ast.provided)]</v>
      </c>
      <c r="C154" s="109"/>
      <c r="D154" s="110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107" t="s">
        <v>16</v>
      </c>
      <c r="B155" s="111">
        <f>0.58*B43*(B95/E122)</f>
        <v>185.7777325</v>
      </c>
      <c r="C155" s="109"/>
      <c r="D155" s="110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107" t="s">
        <v>125</v>
      </c>
      <c r="B156" s="108"/>
      <c r="C156" s="109"/>
      <c r="D156" s="110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107" t="s">
        <v>126</v>
      </c>
      <c r="B157" s="2" t="str">
        <f>CONCATENATE(B146,"*",B148,"*",B149,"*",B150,"*",B151)</f>
        <v>20*1*2*1*1</v>
      </c>
      <c r="C157" s="109"/>
      <c r="D157" s="110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107" t="s">
        <v>16</v>
      </c>
      <c r="B158" s="112">
        <f>B146*B148*B149*B150*B151</f>
        <v>40</v>
      </c>
      <c r="C158" s="109"/>
      <c r="D158" s="110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107" t="s">
        <v>127</v>
      </c>
      <c r="B159" s="2" t="str">
        <f>CONCATENATE(ROUND(B6,3),"/(",C12,"/1000)")</f>
        <v>3.124/(100/1000)</v>
      </c>
      <c r="C159" s="109"/>
      <c r="D159" s="110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107" t="s">
        <v>16</v>
      </c>
      <c r="B160" s="113">
        <f>B6/(C12/1000)</f>
        <v>31.242</v>
      </c>
      <c r="C160" s="109"/>
      <c r="D160" s="110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2"/>
      <c r="B161" s="114" t="str">
        <f>IF(B160&lt;B158,"(l/d)&lt;αβγδλ   OK","(l/d)&gt;αβγδλ   NOT OK")</f>
        <v>(l/d)&lt;αβγδλ   OK</v>
      </c>
      <c r="C161" s="110"/>
      <c r="D161" s="109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1" t="s">
        <v>128</v>
      </c>
      <c r="B163" s="2"/>
      <c r="C163" s="13" t="s">
        <v>129</v>
      </c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115" t="s">
        <v>130</v>
      </c>
      <c r="K164" s="116"/>
      <c r="L164" s="116"/>
      <c r="M164" s="116"/>
      <c r="N164" s="116"/>
      <c r="O164" s="117"/>
      <c r="P164" s="115" t="s">
        <v>114</v>
      </c>
      <c r="Q164" s="116"/>
      <c r="R164" s="117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30.0" customHeight="1">
      <c r="A165" s="118" t="s">
        <v>131</v>
      </c>
      <c r="B165" s="2"/>
      <c r="C165" s="2"/>
      <c r="D165" s="2"/>
      <c r="E165" s="2"/>
      <c r="F165" s="2"/>
      <c r="G165" s="2"/>
      <c r="H165" s="2"/>
      <c r="I165" s="2"/>
      <c r="J165" s="119" t="s">
        <v>132</v>
      </c>
      <c r="K165" s="2"/>
      <c r="L165" s="2"/>
      <c r="M165" s="2"/>
      <c r="N165" s="2"/>
      <c r="O165" s="120"/>
      <c r="P165" s="119">
        <v>26.0</v>
      </c>
      <c r="Q165" s="121" t="s">
        <v>133</v>
      </c>
      <c r="R165" s="120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30.0" customHeight="1">
      <c r="A166" s="86" t="s">
        <v>16</v>
      </c>
      <c r="B166" s="2" t="str">
        <f>CONCATENATE("(",B168,"*",B170,")/(4*",B171,"*1.6))")</f>
        <v>(8*435)/(4*1.2*1.6))</v>
      </c>
      <c r="C166" s="2"/>
      <c r="D166" s="2"/>
      <c r="E166" s="2"/>
      <c r="F166" s="2"/>
      <c r="G166" s="2"/>
      <c r="H166" s="2"/>
      <c r="I166" s="2"/>
      <c r="J166" s="119"/>
      <c r="K166" s="2"/>
      <c r="L166" s="2"/>
      <c r="M166" s="2"/>
      <c r="N166" s="2"/>
      <c r="O166" s="120"/>
      <c r="P166" s="119"/>
      <c r="Q166" s="121"/>
      <c r="R166" s="120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30.0" customHeight="1">
      <c r="A167" s="86" t="s">
        <v>16</v>
      </c>
      <c r="B167" s="122">
        <f>((B168*B170)/(4*B171*1.6))</f>
        <v>453.125</v>
      </c>
      <c r="C167" s="2"/>
      <c r="D167" s="2"/>
      <c r="E167" s="2"/>
      <c r="F167" s="2"/>
      <c r="G167" s="2"/>
      <c r="H167" s="2"/>
      <c r="I167" s="2"/>
      <c r="J167" s="119"/>
      <c r="K167" s="2"/>
      <c r="L167" s="2"/>
      <c r="M167" s="2"/>
      <c r="N167" s="2"/>
      <c r="O167" s="120"/>
      <c r="P167" s="119"/>
      <c r="Q167" s="121"/>
      <c r="R167" s="120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6" t="s">
        <v>134</v>
      </c>
      <c r="B168" s="123">
        <f>+A117</f>
        <v>8</v>
      </c>
      <c r="C168" s="2" t="s">
        <v>135</v>
      </c>
      <c r="D168" s="2"/>
      <c r="E168" s="2"/>
      <c r="F168" s="2"/>
      <c r="G168" s="2"/>
      <c r="H168" s="2"/>
      <c r="I168" s="2"/>
      <c r="J168" s="119" t="s">
        <v>136</v>
      </c>
      <c r="K168" s="2"/>
      <c r="L168" s="2"/>
      <c r="M168" s="2"/>
      <c r="N168" s="2"/>
      <c r="O168" s="120"/>
      <c r="P168" s="119">
        <f>+(20+26)/2</f>
        <v>23</v>
      </c>
      <c r="Q168" s="121" t="s">
        <v>137</v>
      </c>
      <c r="R168" s="120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6" t="s">
        <v>138</v>
      </c>
      <c r="B169" s="2" t="str">
        <f>CONCATENATE("0.87*",B43)</f>
        <v>0.87*500</v>
      </c>
      <c r="C169" s="2" t="s">
        <v>139</v>
      </c>
      <c r="D169" s="2"/>
      <c r="E169" s="2"/>
      <c r="F169" s="2"/>
      <c r="G169" s="2"/>
      <c r="H169" s="2"/>
      <c r="I169" s="2"/>
      <c r="J169" s="119" t="s">
        <v>140</v>
      </c>
      <c r="K169" s="2"/>
      <c r="L169" s="2"/>
      <c r="M169" s="2"/>
      <c r="N169" s="2"/>
      <c r="O169" s="120"/>
      <c r="P169" s="119">
        <v>20.0</v>
      </c>
      <c r="Q169" s="121" t="s">
        <v>141</v>
      </c>
      <c r="R169" s="120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6" t="s">
        <v>16</v>
      </c>
      <c r="B170" s="15">
        <f>0.87*B43</f>
        <v>435</v>
      </c>
      <c r="C170" s="2"/>
      <c r="D170" s="2"/>
      <c r="E170" s="2"/>
      <c r="F170" s="2"/>
      <c r="G170" s="2"/>
      <c r="H170" s="2"/>
      <c r="I170" s="2"/>
      <c r="J170" s="119"/>
      <c r="K170" s="2"/>
      <c r="L170" s="2"/>
      <c r="M170" s="2"/>
      <c r="N170" s="2"/>
      <c r="O170" s="120"/>
      <c r="P170" s="119"/>
      <c r="Q170" s="121"/>
      <c r="R170" s="120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6" t="s">
        <v>142</v>
      </c>
      <c r="B171" s="15">
        <f t="array" ref="B171">IFS(B42=20,1.2,B42=25,1.4,B42=30,1.5,B42=35,1.7,AND(B42=40,B42&gt;40),1.9)</f>
        <v>1.2</v>
      </c>
      <c r="C171" s="2" t="s">
        <v>143</v>
      </c>
      <c r="D171" s="2"/>
      <c r="E171" s="2"/>
      <c r="F171" s="2"/>
      <c r="G171" s="2"/>
      <c r="H171" s="2"/>
      <c r="I171" s="2"/>
      <c r="J171" s="119" t="s">
        <v>144</v>
      </c>
      <c r="K171" s="2"/>
      <c r="L171" s="2"/>
      <c r="M171" s="2"/>
      <c r="N171" s="2"/>
      <c r="O171" s="120"/>
      <c r="P171" s="119">
        <v>23.0</v>
      </c>
      <c r="Q171" s="121" t="s">
        <v>137</v>
      </c>
      <c r="R171" s="120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6"/>
      <c r="B172" s="2"/>
      <c r="C172" s="2"/>
      <c r="D172" s="2"/>
      <c r="E172" s="2"/>
      <c r="F172" s="2"/>
      <c r="G172" s="2"/>
      <c r="H172" s="2"/>
      <c r="I172" s="2"/>
      <c r="J172" s="119" t="s">
        <v>145</v>
      </c>
      <c r="K172" s="2"/>
      <c r="L172" s="2"/>
      <c r="M172" s="2"/>
      <c r="N172" s="2"/>
      <c r="O172" s="120"/>
      <c r="P172" s="119">
        <v>20.0</v>
      </c>
      <c r="Q172" s="121" t="s">
        <v>141</v>
      </c>
      <c r="R172" s="120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24.75" customHeight="1">
      <c r="A173" s="86" t="s">
        <v>146</v>
      </c>
      <c r="B173" s="2"/>
      <c r="C173" s="2"/>
      <c r="D173" s="2"/>
      <c r="E173" s="2"/>
      <c r="F173" s="2"/>
      <c r="G173" s="2"/>
      <c r="H173" s="2"/>
      <c r="I173" s="2"/>
      <c r="J173" s="119" t="s">
        <v>147</v>
      </c>
      <c r="K173" s="2"/>
      <c r="L173" s="2"/>
      <c r="M173" s="2"/>
      <c r="N173" s="2"/>
      <c r="O173" s="120"/>
      <c r="P173" s="119">
        <v>26.0</v>
      </c>
      <c r="Q173" s="121" t="s">
        <v>133</v>
      </c>
      <c r="R173" s="120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6" t="s">
        <v>16</v>
      </c>
      <c r="B174" s="2" t="str">
        <f>CONCATENATE("0.87*",B43,"*",ROUND(E122,3),"*",J12,"*[1-{",ROUND(E122,3),"*",B43,")/(1000*",J12,"*",B42,")}]")</f>
        <v>0.87*500*335.103*100*[1-{335.103*500)/(1000*100*20)}]</v>
      </c>
      <c r="C174" s="2"/>
      <c r="D174" s="2"/>
      <c r="E174" s="2"/>
      <c r="F174" s="2"/>
      <c r="G174" s="2"/>
      <c r="H174" s="2"/>
      <c r="I174" s="2"/>
      <c r="J174" s="119" t="s">
        <v>148</v>
      </c>
      <c r="K174" s="2"/>
      <c r="L174" s="2"/>
      <c r="M174" s="2"/>
      <c r="N174" s="2"/>
      <c r="O174" s="120"/>
      <c r="P174" s="119">
        <v>26.0</v>
      </c>
      <c r="Q174" s="121" t="s">
        <v>133</v>
      </c>
      <c r="R174" s="120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6" t="s">
        <v>16</v>
      </c>
      <c r="B175" s="124">
        <f>(0.87*B43*ROUND(E122,3)*J12*(1-(ROUND(E122,3)*B43)/(1000*J12*B42)))/1000000</f>
        <v>13.35578303</v>
      </c>
      <c r="C175" s="2"/>
      <c r="D175" s="2"/>
      <c r="E175" s="2"/>
      <c r="F175" s="2"/>
      <c r="G175" s="2"/>
      <c r="H175" s="2"/>
      <c r="I175" s="2"/>
      <c r="J175" s="119" t="s">
        <v>149</v>
      </c>
      <c r="K175" s="2"/>
      <c r="L175" s="2"/>
      <c r="M175" s="2"/>
      <c r="N175" s="2"/>
      <c r="O175" s="120"/>
      <c r="P175" s="119">
        <v>23.0</v>
      </c>
      <c r="Q175" s="121" t="s">
        <v>137</v>
      </c>
      <c r="R175" s="120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6"/>
      <c r="B176" s="2"/>
      <c r="C176" s="2"/>
      <c r="D176" s="2"/>
      <c r="E176" s="2"/>
      <c r="F176" s="2"/>
      <c r="G176" s="2"/>
      <c r="H176" s="2"/>
      <c r="I176" s="2"/>
      <c r="J176" s="125" t="s">
        <v>52</v>
      </c>
      <c r="K176" s="126"/>
      <c r="L176" s="126"/>
      <c r="M176" s="126"/>
      <c r="N176" s="126"/>
      <c r="O176" s="127"/>
      <c r="P176" s="125">
        <v>20.0</v>
      </c>
      <c r="Q176" s="128" t="s">
        <v>141</v>
      </c>
      <c r="R176" s="127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6" t="s">
        <v>150</v>
      </c>
      <c r="B177" s="129">
        <v>0.0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35" t="s">
        <v>151</v>
      </c>
      <c r="B178" s="2" t="str">
        <f>CONCATENATE("[(1.3*",ROUND(B175,3),"*10^6)/(",ROUND(B130,3),"*10^3)]+",B177)</f>
        <v>[(1.3*13.356*10^6)/(21.628*10^3)]+0</v>
      </c>
      <c r="C178" s="2"/>
      <c r="D178" s="2"/>
      <c r="E178" s="2"/>
      <c r="F178" s="2"/>
      <c r="G178" s="2"/>
      <c r="H178" s="2"/>
      <c r="I178" s="2"/>
      <c r="J178" s="91" t="s">
        <v>152</v>
      </c>
      <c r="K178" s="116"/>
      <c r="L178" s="116"/>
      <c r="M178" s="130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6" t="s">
        <v>16</v>
      </c>
      <c r="B179" s="131">
        <f>((1.3*ROUND(B175,3)*10^6)/(ROUND(B130,3)*10^3))+B177</f>
        <v>802.7926762</v>
      </c>
      <c r="C179" s="2"/>
      <c r="D179" s="2"/>
      <c r="E179" s="2"/>
      <c r="F179" s="2"/>
      <c r="G179" s="2"/>
      <c r="H179" s="2"/>
      <c r="I179" s="2"/>
      <c r="J179" s="91" t="s">
        <v>153</v>
      </c>
      <c r="K179" s="116"/>
      <c r="L179" s="116"/>
      <c r="M179" s="130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2"/>
      <c r="B180" s="132" t="str">
        <f>IF(B167&lt;B179,"Ld&lt;[(1.3Ml)/V +l0]     OK","Ld&lt;[(1.3Ml)/V +l0]     NOT OK")</f>
        <v>Ld&lt;[(1.3Ml)/V +l0]     OK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103" t="s">
        <v>154</v>
      </c>
      <c r="K193" s="133"/>
      <c r="L193" s="133"/>
      <c r="M193" s="31"/>
      <c r="N193" s="133"/>
      <c r="O193" s="133"/>
      <c r="P193" s="133"/>
      <c r="Q193" s="133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134" t="s">
        <v>155</v>
      </c>
      <c r="K194" s="110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107" t="s">
        <v>156</v>
      </c>
      <c r="K195" s="110" t="s">
        <v>157</v>
      </c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107" t="s">
        <v>158</v>
      </c>
      <c r="K196" s="110" t="s">
        <v>159</v>
      </c>
      <c r="L196" s="2"/>
      <c r="M196" s="3"/>
      <c r="N196" s="13" t="s">
        <v>160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107" t="s">
        <v>161</v>
      </c>
      <c r="K197" s="110" t="s">
        <v>162</v>
      </c>
      <c r="L197" s="2"/>
      <c r="M197" s="3"/>
      <c r="N197" s="3"/>
      <c r="O197" s="13" t="s">
        <v>163</v>
      </c>
      <c r="P197" s="2"/>
      <c r="Q197" s="2"/>
      <c r="R197" s="2"/>
      <c r="S197" s="2"/>
      <c r="T197" s="2"/>
      <c r="U197" s="14" t="s">
        <v>164</v>
      </c>
      <c r="AC197" s="14" t="s">
        <v>165</v>
      </c>
      <c r="AF197" s="2"/>
      <c r="AG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107" t="s">
        <v>166</v>
      </c>
      <c r="K198" s="110" t="s">
        <v>167</v>
      </c>
      <c r="L198" s="2"/>
      <c r="M198" s="3"/>
      <c r="N198" s="2"/>
      <c r="O198" s="13"/>
      <c r="P198" s="2"/>
      <c r="Q198" s="2"/>
      <c r="R198" s="2"/>
      <c r="S198" s="2"/>
      <c r="T198" s="2"/>
      <c r="U198" s="3">
        <v>1.0</v>
      </c>
      <c r="V198" s="3">
        <v>1.1</v>
      </c>
      <c r="W198" s="3">
        <v>1.2</v>
      </c>
      <c r="X198" s="3">
        <v>1.3</v>
      </c>
      <c r="Y198" s="3">
        <v>1.4</v>
      </c>
      <c r="Z198" s="3">
        <v>1.5</v>
      </c>
      <c r="AA198" s="3">
        <v>1.75</v>
      </c>
      <c r="AB198" s="3">
        <v>2.0</v>
      </c>
      <c r="AC198" s="3"/>
      <c r="AD198" s="49" t="s">
        <v>168</v>
      </c>
      <c r="AE198" s="49" t="s">
        <v>169</v>
      </c>
      <c r="AF198" s="2"/>
      <c r="AG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107" t="s">
        <v>170</v>
      </c>
      <c r="K199" s="110" t="s">
        <v>171</v>
      </c>
      <c r="L199" s="2"/>
      <c r="M199" s="3"/>
      <c r="N199" s="3">
        <v>1.0</v>
      </c>
      <c r="O199" s="13" t="s">
        <v>132</v>
      </c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>
        <v>0.032</v>
      </c>
      <c r="AE199" s="3">
        <v>0.024</v>
      </c>
      <c r="AF199" s="2"/>
      <c r="AG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112" t="s">
        <v>172</v>
      </c>
      <c r="K200" s="110"/>
      <c r="L200" s="2"/>
      <c r="M200" s="3"/>
      <c r="N200" s="3"/>
      <c r="O200" s="49" t="s">
        <v>173</v>
      </c>
      <c r="P200" s="2"/>
      <c r="Q200" s="2"/>
      <c r="R200" s="2"/>
      <c r="S200" s="2"/>
      <c r="T200" s="49" t="s">
        <v>174</v>
      </c>
      <c r="U200" s="3">
        <v>0.032</v>
      </c>
      <c r="V200" s="3">
        <v>0.037</v>
      </c>
      <c r="W200" s="3">
        <v>0.043</v>
      </c>
      <c r="X200" s="3">
        <v>0.047</v>
      </c>
      <c r="Y200" s="3">
        <v>0.051</v>
      </c>
      <c r="Z200" s="3">
        <v>0.053</v>
      </c>
      <c r="AA200" s="3">
        <v>0.06</v>
      </c>
      <c r="AB200" s="3">
        <v>0.065</v>
      </c>
      <c r="AC200" s="2"/>
      <c r="AD200" s="2"/>
      <c r="AE200" s="2"/>
      <c r="AF200" s="2"/>
      <c r="AG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112" t="s">
        <v>175</v>
      </c>
      <c r="K201" s="110"/>
      <c r="L201" s="2"/>
      <c r="M201" s="3"/>
      <c r="N201" s="2"/>
      <c r="O201" s="49" t="s">
        <v>176</v>
      </c>
      <c r="P201" s="2"/>
      <c r="Q201" s="2"/>
      <c r="R201" s="2"/>
      <c r="S201" s="2"/>
      <c r="T201" s="49" t="s">
        <v>177</v>
      </c>
      <c r="U201" s="3">
        <v>0.024</v>
      </c>
      <c r="V201" s="3">
        <v>0.028</v>
      </c>
      <c r="W201" s="3">
        <v>0.032</v>
      </c>
      <c r="X201" s="3">
        <v>0.036</v>
      </c>
      <c r="Y201" s="3">
        <v>0.039</v>
      </c>
      <c r="Z201" s="3">
        <v>0.041</v>
      </c>
      <c r="AA201" s="3">
        <v>0.045</v>
      </c>
      <c r="AB201" s="3">
        <v>0.049</v>
      </c>
      <c r="AC201" s="2"/>
      <c r="AD201" s="2"/>
      <c r="AE201" s="2"/>
      <c r="AF201" s="2"/>
      <c r="AG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3">
        <v>2.0</v>
      </c>
      <c r="O202" s="13" t="s">
        <v>136</v>
      </c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>
        <v>0.037</v>
      </c>
      <c r="AE202" s="3">
        <v>0.028</v>
      </c>
      <c r="AF202" s="2"/>
      <c r="AG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3"/>
      <c r="O203" s="49" t="s">
        <v>178</v>
      </c>
      <c r="P203" s="2"/>
      <c r="Q203" s="2"/>
      <c r="R203" s="2"/>
      <c r="S203" s="2"/>
      <c r="T203" s="49" t="s">
        <v>179</v>
      </c>
      <c r="U203" s="3">
        <v>0.037</v>
      </c>
      <c r="V203" s="3">
        <v>0.043</v>
      </c>
      <c r="W203" s="3">
        <v>0.048</v>
      </c>
      <c r="X203" s="3">
        <v>0.051</v>
      </c>
      <c r="Y203" s="3">
        <v>0.055</v>
      </c>
      <c r="Z203" s="3">
        <v>0.057</v>
      </c>
      <c r="AA203" s="3">
        <v>0.064</v>
      </c>
      <c r="AB203" s="3">
        <v>0.068</v>
      </c>
      <c r="AC203" s="2"/>
      <c r="AD203" s="2"/>
      <c r="AE203" s="2"/>
      <c r="AF203" s="2"/>
      <c r="AG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49" t="s">
        <v>180</v>
      </c>
      <c r="P204" s="2"/>
      <c r="Q204" s="2"/>
      <c r="R204" s="2"/>
      <c r="S204" s="2"/>
      <c r="T204" s="49" t="s">
        <v>181</v>
      </c>
      <c r="U204" s="3">
        <v>0.028</v>
      </c>
      <c r="V204" s="3">
        <v>0.032</v>
      </c>
      <c r="W204" s="3">
        <v>0.036</v>
      </c>
      <c r="X204" s="3">
        <v>0.039</v>
      </c>
      <c r="Y204" s="3">
        <v>0.041</v>
      </c>
      <c r="Z204" s="3">
        <v>0.044</v>
      </c>
      <c r="AA204" s="3">
        <v>0.048</v>
      </c>
      <c r="AB204" s="3">
        <v>0.052</v>
      </c>
      <c r="AC204" s="2"/>
      <c r="AD204" s="2"/>
      <c r="AE204" s="2"/>
      <c r="AF204" s="2"/>
      <c r="AG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3">
        <v>3.0</v>
      </c>
      <c r="O205" s="13" t="s">
        <v>140</v>
      </c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>
        <v>0.037</v>
      </c>
      <c r="AE205" s="3">
        <v>0.028</v>
      </c>
      <c r="AF205" s="2"/>
      <c r="AG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3"/>
      <c r="O206" s="49" t="s">
        <v>182</v>
      </c>
      <c r="P206" s="2"/>
      <c r="Q206" s="2"/>
      <c r="R206" s="2"/>
      <c r="S206" s="2"/>
      <c r="T206" s="49" t="s">
        <v>183</v>
      </c>
      <c r="U206" s="3">
        <v>0.037</v>
      </c>
      <c r="V206" s="3">
        <v>0.044</v>
      </c>
      <c r="W206" s="3">
        <v>0.052</v>
      </c>
      <c r="X206" s="3">
        <v>0.057</v>
      </c>
      <c r="Y206" s="3">
        <v>0.063</v>
      </c>
      <c r="Z206" s="3">
        <v>0.067</v>
      </c>
      <c r="AA206" s="3">
        <v>0.077</v>
      </c>
      <c r="AB206" s="3">
        <v>0.085</v>
      </c>
      <c r="AC206" s="2"/>
      <c r="AD206" s="2"/>
      <c r="AE206" s="2"/>
      <c r="AF206" s="2"/>
      <c r="AG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49" t="s">
        <v>184</v>
      </c>
      <c r="P207" s="2"/>
      <c r="Q207" s="2"/>
      <c r="R207" s="2"/>
      <c r="S207" s="2"/>
      <c r="T207" s="49" t="s">
        <v>185</v>
      </c>
      <c r="U207" s="3">
        <v>0.028</v>
      </c>
      <c r="V207" s="3">
        <v>0.033</v>
      </c>
      <c r="W207" s="3">
        <v>0.039</v>
      </c>
      <c r="X207" s="3">
        <v>0.044</v>
      </c>
      <c r="Y207" s="3">
        <v>0.047</v>
      </c>
      <c r="Z207" s="3">
        <v>0.051</v>
      </c>
      <c r="AA207" s="3">
        <v>0.059</v>
      </c>
      <c r="AB207" s="3">
        <v>0.065</v>
      </c>
      <c r="AC207" s="2"/>
      <c r="AD207" s="2"/>
      <c r="AE207" s="2"/>
      <c r="AF207" s="2"/>
      <c r="AG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3">
        <v>4.0</v>
      </c>
      <c r="O208" s="13" t="s">
        <v>144</v>
      </c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>
        <v>0.047</v>
      </c>
      <c r="AE208" s="3">
        <v>0.035</v>
      </c>
      <c r="AF208" s="2"/>
      <c r="AG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3"/>
      <c r="O209" s="49" t="s">
        <v>186</v>
      </c>
      <c r="P209" s="2"/>
      <c r="Q209" s="2"/>
      <c r="R209" s="2"/>
      <c r="S209" s="2"/>
      <c r="T209" s="49" t="s">
        <v>187</v>
      </c>
      <c r="U209" s="3">
        <v>0.047</v>
      </c>
      <c r="V209" s="3">
        <v>0.053</v>
      </c>
      <c r="W209" s="3">
        <v>0.06</v>
      </c>
      <c r="X209" s="3">
        <v>0.065</v>
      </c>
      <c r="Y209" s="3">
        <v>0.071</v>
      </c>
      <c r="Z209" s="3">
        <v>0.075</v>
      </c>
      <c r="AA209" s="3">
        <v>0.084</v>
      </c>
      <c r="AB209" s="3">
        <v>0.091</v>
      </c>
      <c r="AC209" s="2"/>
      <c r="AD209" s="2"/>
      <c r="AE209" s="2"/>
      <c r="AF209" s="2"/>
      <c r="AG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49" t="s">
        <v>188</v>
      </c>
      <c r="P210" s="2"/>
      <c r="Q210" s="2"/>
      <c r="R210" s="2"/>
      <c r="S210" s="2"/>
      <c r="T210" s="49" t="s">
        <v>189</v>
      </c>
      <c r="U210" s="3">
        <v>0.035</v>
      </c>
      <c r="V210" s="3">
        <v>0.04</v>
      </c>
      <c r="W210" s="3">
        <v>0.045</v>
      </c>
      <c r="X210" s="3">
        <v>0.049</v>
      </c>
      <c r="Y210" s="3">
        <v>0.053</v>
      </c>
      <c r="Z210" s="3">
        <v>0.056</v>
      </c>
      <c r="AA210" s="3">
        <v>0.063</v>
      </c>
      <c r="AB210" s="3">
        <v>0.069</v>
      </c>
      <c r="AC210" s="2"/>
      <c r="AD210" s="2"/>
      <c r="AE210" s="2"/>
      <c r="AF210" s="2"/>
      <c r="AG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3">
        <v>5.0</v>
      </c>
      <c r="O211" s="13" t="s">
        <v>145</v>
      </c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>
        <v>0.0</v>
      </c>
      <c r="AE211" s="3">
        <v>0.035</v>
      </c>
      <c r="AF211" s="2"/>
      <c r="AG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3"/>
      <c r="O212" s="49" t="s">
        <v>190</v>
      </c>
      <c r="P212" s="2"/>
      <c r="Q212" s="2"/>
      <c r="R212" s="2"/>
      <c r="S212" s="2"/>
      <c r="T212" s="49" t="s">
        <v>191</v>
      </c>
      <c r="U212" s="3">
        <v>0.045</v>
      </c>
      <c r="V212" s="3">
        <v>0.049</v>
      </c>
      <c r="W212" s="3">
        <v>0.052</v>
      </c>
      <c r="X212" s="3">
        <v>0.056</v>
      </c>
      <c r="Y212" s="3">
        <v>0.059</v>
      </c>
      <c r="Z212" s="3">
        <v>0.06</v>
      </c>
      <c r="AA212" s="3">
        <v>0.065</v>
      </c>
      <c r="AB212" s="3">
        <v>0.069</v>
      </c>
      <c r="AC212" s="2"/>
      <c r="AD212" s="2"/>
      <c r="AE212" s="2"/>
      <c r="AF212" s="2"/>
      <c r="AG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49" t="s">
        <v>192</v>
      </c>
      <c r="P213" s="2"/>
      <c r="Q213" s="2"/>
      <c r="R213" s="2"/>
      <c r="S213" s="2"/>
      <c r="T213" s="49" t="s">
        <v>193</v>
      </c>
      <c r="U213" s="3">
        <v>0.035</v>
      </c>
      <c r="V213" s="3">
        <v>0.037</v>
      </c>
      <c r="W213" s="3">
        <v>0.04</v>
      </c>
      <c r="X213" s="3">
        <v>0.043</v>
      </c>
      <c r="Y213" s="3">
        <v>0.044</v>
      </c>
      <c r="Z213" s="3">
        <v>0.045</v>
      </c>
      <c r="AA213" s="3">
        <v>0.049</v>
      </c>
      <c r="AB213" s="3">
        <v>0.052</v>
      </c>
      <c r="AC213" s="2"/>
      <c r="AD213" s="2"/>
      <c r="AE213" s="2"/>
      <c r="AF213" s="2"/>
      <c r="AG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3">
        <v>6.0</v>
      </c>
      <c r="O214" s="13" t="s">
        <v>147</v>
      </c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>
        <v>0.045</v>
      </c>
      <c r="AE214" s="3">
        <v>0.035</v>
      </c>
      <c r="AF214" s="2"/>
      <c r="AG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3"/>
      <c r="O215" s="49" t="s">
        <v>194</v>
      </c>
      <c r="P215" s="2"/>
      <c r="Q215" s="2"/>
      <c r="R215" s="2"/>
      <c r="S215" s="2"/>
      <c r="T215" s="49" t="s">
        <v>195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2"/>
      <c r="AD215" s="2"/>
      <c r="AE215" s="2"/>
      <c r="AF215" s="2"/>
      <c r="AG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49" t="s">
        <v>196</v>
      </c>
      <c r="P216" s="2"/>
      <c r="Q216" s="2"/>
      <c r="R216" s="2"/>
      <c r="S216" s="2"/>
      <c r="T216" s="49" t="s">
        <v>197</v>
      </c>
      <c r="U216" s="3">
        <v>0.035</v>
      </c>
      <c r="V216" s="3">
        <v>0.043</v>
      </c>
      <c r="W216" s="3">
        <v>0.051</v>
      </c>
      <c r="X216" s="3">
        <v>0.057</v>
      </c>
      <c r="Y216" s="3">
        <v>0.063</v>
      </c>
      <c r="Z216" s="3">
        <v>0.068</v>
      </c>
      <c r="AA216" s="3">
        <v>0.08</v>
      </c>
      <c r="AB216" s="3">
        <v>0.088</v>
      </c>
      <c r="AC216" s="2"/>
      <c r="AD216" s="2"/>
      <c r="AE216" s="2"/>
      <c r="AF216" s="2"/>
      <c r="AG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3">
        <v>7.0</v>
      </c>
      <c r="O217" s="13" t="s">
        <v>148</v>
      </c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>
        <v>0.0</v>
      </c>
      <c r="AE217" s="3">
        <v>0.043</v>
      </c>
      <c r="AF217" s="2"/>
      <c r="AG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3"/>
      <c r="O218" s="2" t="s">
        <v>198</v>
      </c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2"/>
      <c r="AE218" s="2"/>
      <c r="AF218" s="2"/>
      <c r="AG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3"/>
      <c r="O219" s="49" t="s">
        <v>199</v>
      </c>
      <c r="P219" s="2"/>
      <c r="Q219" s="2"/>
      <c r="R219" s="2"/>
      <c r="S219" s="2"/>
      <c r="T219" s="49" t="s">
        <v>200</v>
      </c>
      <c r="U219" s="3">
        <v>0.057</v>
      </c>
      <c r="V219" s="3">
        <v>0.064</v>
      </c>
      <c r="W219" s="3">
        <v>0.071</v>
      </c>
      <c r="X219" s="3">
        <v>0.076</v>
      </c>
      <c r="Y219" s="3">
        <v>0.08</v>
      </c>
      <c r="Z219" s="3">
        <v>0.084</v>
      </c>
      <c r="AA219" s="3">
        <v>0.091</v>
      </c>
      <c r="AB219" s="3">
        <v>0.097</v>
      </c>
      <c r="AC219" s="2"/>
      <c r="AD219" s="2"/>
      <c r="AE219" s="2"/>
      <c r="AF219" s="2"/>
      <c r="AG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49" t="s">
        <v>201</v>
      </c>
      <c r="P220" s="2"/>
      <c r="Q220" s="2"/>
      <c r="R220" s="2"/>
      <c r="S220" s="2"/>
      <c r="T220" s="49" t="s">
        <v>202</v>
      </c>
      <c r="U220" s="3">
        <v>0.043</v>
      </c>
      <c r="V220" s="3">
        <v>0.048</v>
      </c>
      <c r="W220" s="3">
        <v>0.053</v>
      </c>
      <c r="X220" s="3">
        <v>0.057</v>
      </c>
      <c r="Y220" s="3">
        <v>0.06</v>
      </c>
      <c r="Z220" s="3">
        <v>0.064</v>
      </c>
      <c r="AA220" s="3">
        <v>0.069</v>
      </c>
      <c r="AB220" s="3">
        <v>0.073</v>
      </c>
      <c r="AC220" s="2"/>
      <c r="AD220" s="2"/>
      <c r="AE220" s="2"/>
      <c r="AF220" s="2"/>
      <c r="AG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3">
        <v>8.0</v>
      </c>
      <c r="O221" s="13" t="s">
        <v>149</v>
      </c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>
        <v>0.057</v>
      </c>
      <c r="AE221" s="3">
        <v>0.043</v>
      </c>
      <c r="AF221" s="2"/>
      <c r="AG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3"/>
      <c r="O222" s="2" t="s">
        <v>203</v>
      </c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2"/>
      <c r="AE222" s="2"/>
      <c r="AF222" s="2"/>
      <c r="AG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3"/>
      <c r="O223" s="49" t="s">
        <v>204</v>
      </c>
      <c r="P223" s="2"/>
      <c r="Q223" s="2"/>
      <c r="R223" s="2"/>
      <c r="S223" s="2"/>
      <c r="T223" s="49" t="s">
        <v>205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2"/>
      <c r="AD223" s="2"/>
      <c r="AE223" s="2"/>
      <c r="AF223" s="2"/>
      <c r="AG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49" t="s">
        <v>206</v>
      </c>
      <c r="P224" s="2"/>
      <c r="Q224" s="2"/>
      <c r="R224" s="2"/>
      <c r="S224" s="2"/>
      <c r="T224" s="49" t="s">
        <v>207</v>
      </c>
      <c r="U224" s="3">
        <v>0.043</v>
      </c>
      <c r="V224" s="3">
        <v>0.051</v>
      </c>
      <c r="W224" s="3">
        <v>0.059</v>
      </c>
      <c r="X224" s="3">
        <v>0.065</v>
      </c>
      <c r="Y224" s="3">
        <v>0.071</v>
      </c>
      <c r="Z224" s="3">
        <v>0.076</v>
      </c>
      <c r="AA224" s="3">
        <v>0.087</v>
      </c>
      <c r="AB224" s="3">
        <v>0.096</v>
      </c>
      <c r="AC224" s="2"/>
      <c r="AD224" s="2"/>
      <c r="AE224" s="2"/>
      <c r="AF224" s="2"/>
      <c r="AG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3">
        <v>9.0</v>
      </c>
      <c r="O225" s="13" t="s">
        <v>52</v>
      </c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>
        <v>0.0</v>
      </c>
      <c r="AE225" s="3">
        <v>0.056</v>
      </c>
      <c r="AF225" s="2"/>
      <c r="AG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3"/>
      <c r="O226" s="13"/>
      <c r="P226" s="2"/>
      <c r="Q226" s="2"/>
      <c r="R226" s="2"/>
      <c r="S226" s="2"/>
      <c r="T226" s="49" t="s">
        <v>208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2"/>
      <c r="AD226" s="2"/>
      <c r="AE226" s="2"/>
      <c r="AF226" s="2"/>
      <c r="AG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49" t="s">
        <v>209</v>
      </c>
      <c r="P227" s="2"/>
      <c r="Q227" s="2"/>
      <c r="R227" s="2"/>
      <c r="S227" s="2"/>
      <c r="T227" s="49" t="s">
        <v>210</v>
      </c>
      <c r="U227" s="3">
        <v>0.056</v>
      </c>
      <c r="V227" s="3">
        <v>0.064</v>
      </c>
      <c r="W227" s="3">
        <v>0.072</v>
      </c>
      <c r="X227" s="3">
        <v>0.079</v>
      </c>
      <c r="Y227" s="3">
        <v>0.085</v>
      </c>
      <c r="Z227" s="3">
        <v>0.089</v>
      </c>
      <c r="AA227" s="3">
        <v>0.1</v>
      </c>
      <c r="AB227" s="3">
        <v>0.107</v>
      </c>
      <c r="AC227" s="2"/>
      <c r="AD227" s="2"/>
      <c r="AE227" s="2"/>
      <c r="AF227" s="2"/>
      <c r="AG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13" t="str">
        <f>+O199</f>
        <v>Interior Panels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13" t="str">
        <f>+O202</f>
        <v>One Short Edge Discontinuous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13" t="str">
        <f>+O205</f>
        <v>One Long Edge Discontinuous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13" t="str">
        <f>+O208</f>
        <v>Two Adjacent Edges Discontinuous 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13" t="str">
        <f>+O211</f>
        <v>Two Short Edges Discontinuous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13" t="str">
        <f>+O214</f>
        <v>Two Long Edges Discontinuous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13" t="str">
        <f>+O217</f>
        <v>Three Edges Discontinuous (One Long Edges Discontinuous)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13" t="str">
        <f>+O221</f>
        <v>Three Edges Discontinuous (One Short Edges Discontinuous)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13" t="str">
        <f>+O225</f>
        <v>Four Edges Discontinuous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121"/>
      <c r="AG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8">
    <mergeCell ref="C38:F39"/>
    <mergeCell ref="B59:F59"/>
    <mergeCell ref="B117:G117"/>
    <mergeCell ref="B118:G118"/>
    <mergeCell ref="B119:G119"/>
    <mergeCell ref="B120:G120"/>
    <mergeCell ref="U197:AB197"/>
    <mergeCell ref="AC197:AE197"/>
  </mergeCells>
  <conditionalFormatting sqref="B86">
    <cfRule type="cellIs" dxfId="0" priority="1" operator="greaterThan">
      <formula>$J$12</formula>
    </cfRule>
  </conditionalFormatting>
  <conditionalFormatting sqref="B117:G117">
    <cfRule type="cellIs" dxfId="0" priority="2" operator="greaterThan">
      <formula>$C$114</formula>
    </cfRule>
  </conditionalFormatting>
  <conditionalFormatting sqref="B118:G118">
    <cfRule type="cellIs" dxfId="0" priority="3" operator="greaterThan">
      <formula>$C$114</formula>
    </cfRule>
  </conditionalFormatting>
  <conditionalFormatting sqref="B119:G120">
    <cfRule type="cellIs" dxfId="0" priority="4" operator="greaterThan">
      <formula>$C$114</formula>
    </cfRule>
  </conditionalFormatting>
  <conditionalFormatting sqref="B141">
    <cfRule type="containsText" dxfId="1" priority="5" operator="containsText" text="NOT OK">
      <formula>NOT(ISERROR(SEARCH(("NOT OK"),(B141))))</formula>
    </cfRule>
  </conditionalFormatting>
  <conditionalFormatting sqref="B141">
    <cfRule type="cellIs" dxfId="0" priority="6" operator="equal">
      <formula>"NNOT OK"</formula>
    </cfRule>
  </conditionalFormatting>
  <conditionalFormatting sqref="B142">
    <cfRule type="containsText" dxfId="1" priority="7" operator="containsText" text="NOT OK">
      <formula>NOT(ISERROR(SEARCH(("NOT OK"),(B142))))</formula>
    </cfRule>
  </conditionalFormatting>
  <conditionalFormatting sqref="B161">
    <cfRule type="containsText" dxfId="1" priority="8" operator="containsText" text="(l/d)&gt;αβγδλ   NOT OK">
      <formula>NOT(ISERROR(SEARCH(("(l/d)&gt;αβγδλ   NOT OK"),(B161))))</formula>
    </cfRule>
  </conditionalFormatting>
  <conditionalFormatting sqref="B180">
    <cfRule type="containsText" dxfId="1" priority="9" operator="containsText" text="Ld&lt;[(1.3Ml)/V +l0]     NOT OK">
      <formula>NOT(ISERROR(SEARCH(("Ld&lt;[(1.3Ml)/V +l0]     NOT OK"),(B180))))</formula>
    </cfRule>
  </conditionalFormatting>
  <dataValidations>
    <dataValidation type="list" allowBlank="1" showErrorMessage="1" sqref="B62 B64">
      <formula1>$U$198:$AB$198</formula1>
    </dataValidation>
    <dataValidation type="list" allowBlank="1" showErrorMessage="1" sqref="B13">
      <formula1>"8,10,12,16"</formula1>
    </dataValidation>
    <dataValidation type="list" allowBlank="1" showErrorMessage="1" sqref="B59">
      <formula1>$O$230:$O$238</formula1>
    </dataValidation>
  </dataValidations>
  <printOptions/>
  <pageMargins bottom="0.75" footer="0.0" header="0.0" left="0.7" right="0.7" top="0.75"/>
  <pageSetup paperSize="9" orientation="portrait"/>
  <rowBreaks count="2" manualBreakCount="2">
    <brk id="56" man="1"/>
    <brk id="106" man="1"/>
  </rowBreaks>
  <colBreaks count="2" manualBreakCount="2">
    <brk id="8" man="1"/>
    <brk id="9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summon balami</dc:creator>
</cp:coreProperties>
</file>