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hcWDJRQ/sxndl32Fjl3URqVRVrWw=="/>
    </ext>
  </extLst>
</workbook>
</file>

<file path=xl/sharedStrings.xml><?xml version="1.0" encoding="utf-8"?>
<sst xmlns="http://schemas.openxmlformats.org/spreadsheetml/2006/main" count="75" uniqueCount="60">
  <si>
    <t>PRELIMINARY DESIGN</t>
  </si>
  <si>
    <t>Caution: Do not change/edit the datas</t>
  </si>
  <si>
    <t>BEAM DESIGN</t>
  </si>
  <si>
    <t>1) Deflection criteria</t>
  </si>
  <si>
    <r>
      <rPr>
        <rFont val="Times New Roman"/>
        <color theme="1"/>
        <sz val="12.0"/>
      </rPr>
      <t>(10-15)</t>
    </r>
    <r>
      <rPr>
        <rFont val="Times New Roman"/>
        <b/>
        <color theme="1"/>
        <sz val="12.0"/>
      </rPr>
      <t xml:space="preserve"> IS 456:2000 Clause 23.2.1</t>
    </r>
  </si>
  <si>
    <t>L=</t>
  </si>
  <si>
    <t>(largest length of beam/critical beam/longest span)</t>
  </si>
  <si>
    <t>depth of beam (d)=</t>
  </si>
  <si>
    <t>=</t>
  </si>
  <si>
    <t>≈</t>
  </si>
  <si>
    <t>(width of beam: 0.5 to 0.75 of depth)</t>
  </si>
  <si>
    <t>width of beam (b)=</t>
  </si>
  <si>
    <t>2) Moment criteria</t>
  </si>
  <si>
    <t>Live Load (LL)=</t>
  </si>
  <si>
    <t>Floor Finish(FF)=</t>
  </si>
  <si>
    <r>
      <rPr>
        <rFont val="Times New Roman"/>
        <color theme="1"/>
        <sz val="12.0"/>
      </rPr>
      <t>Thickness of slab(D</t>
    </r>
    <r>
      <rPr>
        <rFont val="Times New Roman"/>
        <color theme="1"/>
        <sz val="12.0"/>
        <vertAlign val="subscript"/>
      </rPr>
      <t>s</t>
    </r>
    <r>
      <rPr>
        <rFont val="Times New Roman"/>
        <color theme="1"/>
        <sz val="12.0"/>
      </rPr>
      <t>)=</t>
    </r>
  </si>
  <si>
    <r>
      <rPr>
        <rFont val="Times New Roman"/>
        <color theme="1"/>
        <sz val="12.0"/>
      </rPr>
      <t>Height of wall (h</t>
    </r>
    <r>
      <rPr>
        <rFont val="Times New Roman"/>
        <color theme="1"/>
        <sz val="12.0"/>
        <vertAlign val="subscript"/>
      </rPr>
      <t>w</t>
    </r>
    <r>
      <rPr>
        <rFont val="Times New Roman"/>
        <color theme="1"/>
        <sz val="12.0"/>
      </rPr>
      <t>)=</t>
    </r>
  </si>
  <si>
    <r>
      <rPr>
        <rFont val="Times New Roman"/>
        <color theme="1"/>
        <sz val="12.0"/>
      </rPr>
      <t>Thickness of wall(t</t>
    </r>
    <r>
      <rPr>
        <rFont val="Times New Roman"/>
        <color theme="1"/>
        <sz val="12.0"/>
        <vertAlign val="subscript"/>
      </rPr>
      <t>w</t>
    </r>
    <r>
      <rPr>
        <rFont val="Times New Roman"/>
        <color theme="1"/>
        <sz val="12.0"/>
      </rPr>
      <t>)=</t>
    </r>
  </si>
  <si>
    <r>
      <rPr>
        <rFont val="Times New Roman"/>
        <color theme="1"/>
        <sz val="12.0"/>
      </rPr>
      <t>length of beam(l</t>
    </r>
    <r>
      <rPr>
        <rFont val="Times New Roman"/>
        <color theme="1"/>
        <sz val="12.0"/>
        <vertAlign val="subscript"/>
      </rPr>
      <t>b</t>
    </r>
    <r>
      <rPr>
        <rFont val="Times New Roman"/>
        <color theme="1"/>
        <sz val="12.0"/>
      </rPr>
      <t>)=</t>
    </r>
  </si>
  <si>
    <r>
      <rPr>
        <rFont val="Times New Roman"/>
        <color theme="1"/>
        <sz val="12.0"/>
      </rPr>
      <t>width of beam(b</t>
    </r>
    <r>
      <rPr>
        <rFont val="Times New Roman"/>
        <color theme="1"/>
        <sz val="12.0"/>
        <vertAlign val="subscript"/>
      </rPr>
      <t>b</t>
    </r>
    <r>
      <rPr>
        <rFont val="Times New Roman"/>
        <color theme="1"/>
        <sz val="12.0"/>
      </rPr>
      <t>)=</t>
    </r>
  </si>
  <si>
    <r>
      <rPr>
        <rFont val="Times New Roman"/>
        <color theme="1"/>
        <sz val="12.0"/>
      </rPr>
      <t>depth of beam(D</t>
    </r>
    <r>
      <rPr>
        <rFont val="Times New Roman"/>
        <color theme="1"/>
        <sz val="12.0"/>
        <vertAlign val="subscript"/>
      </rPr>
      <t>b</t>
    </r>
    <r>
      <rPr>
        <rFont val="Times New Roman"/>
        <color theme="1"/>
        <sz val="12.0"/>
      </rPr>
      <t>)=</t>
    </r>
  </si>
  <si>
    <t>adjacent beam length (right)=</t>
  </si>
  <si>
    <t>adjacent beam length (left)=</t>
  </si>
  <si>
    <t>A1=</t>
  </si>
  <si>
    <t>B1=</t>
  </si>
  <si>
    <t>A2=</t>
  </si>
  <si>
    <t>B2=</t>
  </si>
  <si>
    <t>h1=</t>
  </si>
  <si>
    <t>h2=</t>
  </si>
  <si>
    <r>
      <rPr>
        <rFont val="Times New Roman"/>
        <color theme="1"/>
        <sz val="12.0"/>
      </rPr>
      <t>Shaded area (A</t>
    </r>
    <r>
      <rPr>
        <rFont val="Times New Roman"/>
        <color theme="1"/>
        <sz val="12.0"/>
        <vertAlign val="subscript"/>
      </rPr>
      <t>b</t>
    </r>
    <r>
      <rPr>
        <rFont val="Times New Roman"/>
        <color theme="1"/>
        <sz val="12.0"/>
      </rPr>
      <t>)=</t>
    </r>
  </si>
  <si>
    <t>Total load (W)=</t>
  </si>
  <si>
    <t>(LL*Ab)+(FF*Ab) + (γc*Ab*Ds) + (γw*hw*tw*lb) + (γc*lb*bb*Db)</t>
  </si>
  <si>
    <t>fy</t>
  </si>
  <si>
    <t>Xu,max/d</t>
  </si>
  <si>
    <t>Factored load per meter(w)=</t>
  </si>
  <si>
    <r>
      <rPr>
        <rFont val="Times New Roman"/>
        <color theme="1"/>
        <sz val="12.0"/>
      </rPr>
      <t>Maximum Moment (M</t>
    </r>
    <r>
      <rPr>
        <rFont val="Times New Roman"/>
        <color theme="1"/>
        <sz val="12.0"/>
        <vertAlign val="subscript"/>
      </rPr>
      <t>max</t>
    </r>
    <r>
      <rPr>
        <rFont val="Times New Roman"/>
        <color theme="1"/>
        <sz val="12.0"/>
      </rPr>
      <t>)=</t>
    </r>
  </si>
  <si>
    <t>Grade of concrete (fck)=</t>
  </si>
  <si>
    <t>Grade of steel (fy)=</t>
  </si>
  <si>
    <t>Mu.lim=</t>
  </si>
  <si>
    <r>
      <rPr>
        <rFont val="Times New Roman"/>
        <color theme="1"/>
        <sz val="12.0"/>
      </rPr>
      <t>d</t>
    </r>
    <r>
      <rPr>
        <rFont val="Times New Roman"/>
        <color theme="1"/>
        <sz val="12.0"/>
        <vertAlign val="subscript"/>
      </rPr>
      <t>req</t>
    </r>
    <r>
      <rPr>
        <rFont val="Times New Roman"/>
        <color theme="1"/>
        <sz val="12.0"/>
      </rPr>
      <t>=</t>
    </r>
  </si>
  <si>
    <t>b=</t>
  </si>
  <si>
    <t>COLUMN DESIGN</t>
  </si>
  <si>
    <t>Shaded Area (Ac)=</t>
  </si>
  <si>
    <t>No. of floors=</t>
  </si>
  <si>
    <t>Lb'=</t>
  </si>
  <si>
    <t>Db=</t>
  </si>
  <si>
    <t>Bb=</t>
  </si>
  <si>
    <t>hw=</t>
  </si>
  <si>
    <t>tw=</t>
  </si>
  <si>
    <t>Pu=</t>
  </si>
  <si>
    <t>[(LL*Ac)+(FF*Ac)+(25*Ac*Ds)+ (25*Lb'*Db*Bb)+(19.2*Lb'*hw*tw)]* no. of floor</t>
  </si>
  <si>
    <t>Factored load=</t>
  </si>
  <si>
    <t>Let percentage of steel (P%)=</t>
  </si>
  <si>
    <t>fy=</t>
  </si>
  <si>
    <t>fck=</t>
  </si>
  <si>
    <t>Ac=</t>
  </si>
  <si>
    <t>As=</t>
  </si>
  <si>
    <t>(0.4*fck*Ac)+(0.67*fy*As)</t>
  </si>
  <si>
    <t>Ag=</t>
  </si>
  <si>
    <t>bc=Dc=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</si>
</sst>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1">
    <numFmt numFmtId="164" formatCode="#\ &quot;mm&quot;"/>
    <numFmt numFmtId="165" formatCode="0.0#\ &quot;mm&quot;"/>
    <numFmt numFmtId="166" formatCode="#\ &quot;KN/m2&quot;"/>
    <numFmt numFmtId="167" formatCode="0.00#\ &quot;KN/m2&quot;"/>
    <numFmt numFmtId="168" formatCode="0.00#&quot;m&quot;"/>
    <numFmt numFmtId="169" formatCode="#&quot;mm&quot;"/>
    <numFmt numFmtId="170" formatCode="0.000&quot;m&quot;"/>
    <numFmt numFmtId="171" formatCode="0.000#&quot;m2&quot;"/>
    <numFmt numFmtId="172" formatCode="0.00#&quot; KN&quot;"/>
    <numFmt numFmtId="173" formatCode="0.000"/>
    <numFmt numFmtId="174" formatCode="0.0#&quot; KN/m&quot;"/>
    <numFmt numFmtId="175" formatCode="0.0#&quot;KN/m&quot;"/>
    <numFmt numFmtId="176" formatCode="0.0#&quot; KN-m&quot;"/>
    <numFmt numFmtId="177" formatCode="#&quot;N/mm2&quot;"/>
    <numFmt numFmtId="178" formatCode="&quot;Fe&quot;#"/>
    <numFmt numFmtId="179" formatCode="0.0#"/>
    <numFmt numFmtId="180" formatCode="0.000#&quot;mm&quot;"/>
    <numFmt numFmtId="181" formatCode="0.00#\ &quot;m2&quot;"/>
    <numFmt numFmtId="182" formatCode="0.000#&quot;m&quot;"/>
    <numFmt numFmtId="183" formatCode="0.000&quot;KN&quot;"/>
    <numFmt numFmtId="184" formatCode="0.00#&quot;mm2&quot;"/>
  </numFmts>
  <fonts count="6">
    <font>
      <sz val="11.0"/>
      <color theme="1"/>
      <name val="Calibri"/>
      <scheme val="minor"/>
    </font>
    <font>
      <sz val="12.0"/>
      <color theme="1"/>
      <name val="Times New Roman"/>
    </font>
    <font>
      <sz val="20.0"/>
      <color rgb="FFFFFF00"/>
      <name val="Times New Roman"/>
    </font>
    <font>
      <sz val="12.0"/>
      <color rgb="FFFF0000"/>
      <name val="Times New Roman"/>
    </font>
    <font>
      <b/>
      <sz val="12.0"/>
      <color theme="1"/>
      <name val="Times New Roman"/>
    </font>
    <font>
      <b/>
      <u/>
      <sz val="12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1" numFmtId="0" xfId="0" applyAlignment="1" applyFont="1">
      <alignment horizontal="right"/>
    </xf>
    <xf borderId="1" fillId="2" fontId="1" numFmtId="0" xfId="0" applyAlignment="1" applyBorder="1" applyFill="1" applyFont="1">
      <alignment horizontal="left" vertical="center"/>
    </xf>
    <xf borderId="1" fillId="2" fontId="1" numFmtId="164" xfId="0" applyAlignment="1" applyBorder="1" applyFont="1" applyNumberFormat="1">
      <alignment horizontal="left"/>
    </xf>
    <xf borderId="0" fillId="0" fontId="1" numFmtId="0" xfId="0" applyAlignment="1" applyFont="1">
      <alignment horizontal="left"/>
    </xf>
    <xf borderId="0" fillId="0" fontId="1" numFmtId="165" xfId="0" applyAlignment="1" applyFont="1" applyNumberFormat="1">
      <alignment horizontal="left"/>
    </xf>
    <xf borderId="1" fillId="3" fontId="1" numFmtId="164" xfId="0" applyAlignment="1" applyBorder="1" applyFill="1" applyFont="1" applyNumberFormat="1">
      <alignment horizontal="left"/>
    </xf>
    <xf borderId="1" fillId="3" fontId="1" numFmtId="165" xfId="0" applyAlignment="1" applyBorder="1" applyFont="1" applyNumberFormat="1">
      <alignment horizontal="left"/>
    </xf>
    <xf borderId="1" fillId="2" fontId="1" numFmtId="166" xfId="0" applyAlignment="1" applyBorder="1" applyFont="1" applyNumberFormat="1">
      <alignment horizontal="left"/>
    </xf>
    <xf borderId="1" fillId="2" fontId="1" numFmtId="167" xfId="0" applyAlignment="1" applyBorder="1" applyFont="1" applyNumberFormat="1">
      <alignment horizontal="left"/>
    </xf>
    <xf borderId="1" fillId="2" fontId="1" numFmtId="168" xfId="0" applyAlignment="1" applyBorder="1" applyFont="1" applyNumberFormat="1">
      <alignment horizontal="left"/>
    </xf>
    <xf borderId="0" fillId="0" fontId="1" numFmtId="168" xfId="0" applyAlignment="1" applyFont="1" applyNumberFormat="1">
      <alignment horizontal="left"/>
    </xf>
    <xf borderId="1" fillId="2" fontId="1" numFmtId="169" xfId="0" applyAlignment="1" applyBorder="1" applyFont="1" applyNumberFormat="1">
      <alignment horizontal="left"/>
    </xf>
    <xf borderId="0" fillId="0" fontId="1" numFmtId="170" xfId="0" applyAlignment="1" applyFont="1" applyNumberFormat="1">
      <alignment horizontal="left"/>
    </xf>
    <xf borderId="0" fillId="0" fontId="1" numFmtId="0" xfId="0" applyAlignment="1" applyFont="1">
      <alignment horizontal="right" vertical="center"/>
    </xf>
    <xf borderId="0" fillId="0" fontId="1" numFmtId="0" xfId="0" applyAlignment="1" applyFont="1">
      <alignment shrinkToFit="0" wrapText="1"/>
    </xf>
    <xf borderId="0" fillId="0" fontId="1" numFmtId="171" xfId="0" applyAlignment="1" applyFont="1" applyNumberFormat="1">
      <alignment horizontal="left"/>
    </xf>
    <xf borderId="0" fillId="0" fontId="1" numFmtId="0" xfId="0" applyAlignment="1" applyFont="1">
      <alignment horizontal="left" readingOrder="0"/>
    </xf>
    <xf borderId="0" fillId="0" fontId="1" numFmtId="172" xfId="0" applyAlignment="1" applyFont="1" applyNumberFormat="1">
      <alignment horizontal="left"/>
    </xf>
    <xf borderId="0" fillId="0" fontId="1" numFmtId="173" xfId="0" applyFont="1" applyNumberFormat="1"/>
    <xf borderId="2" fillId="0" fontId="1" numFmtId="0" xfId="0" applyAlignment="1" applyBorder="1" applyFont="1">
      <alignment horizontal="center" vertical="center"/>
    </xf>
    <xf borderId="0" fillId="0" fontId="1" numFmtId="174" xfId="0" applyAlignment="1" applyFont="1" applyNumberFormat="1">
      <alignment horizontal="left"/>
    </xf>
    <xf borderId="0" fillId="0" fontId="1" numFmtId="175" xfId="0" applyAlignment="1" applyFont="1" applyNumberFormat="1">
      <alignment horizontal="left"/>
    </xf>
    <xf borderId="0" fillId="0" fontId="1" numFmtId="176" xfId="0" applyAlignment="1" applyFont="1" applyNumberFormat="1">
      <alignment horizontal="left"/>
    </xf>
    <xf borderId="1" fillId="2" fontId="1" numFmtId="177" xfId="0" applyAlignment="1" applyBorder="1" applyFont="1" applyNumberFormat="1">
      <alignment horizontal="left"/>
    </xf>
    <xf borderId="1" fillId="2" fontId="1" numFmtId="178" xfId="0" applyAlignment="1" applyBorder="1" applyFont="1" applyNumberFormat="1">
      <alignment horizontal="left"/>
    </xf>
    <xf borderId="0" fillId="0" fontId="1" numFmtId="179" xfId="0" applyAlignment="1" applyFont="1" applyNumberFormat="1">
      <alignment horizontal="right"/>
    </xf>
    <xf borderId="0" fillId="0" fontId="1" numFmtId="180" xfId="0" applyAlignment="1" applyFont="1" applyNumberFormat="1">
      <alignment horizontal="left"/>
    </xf>
    <xf borderId="1" fillId="3" fontId="1" numFmtId="169" xfId="0" applyAlignment="1" applyBorder="1" applyFont="1" applyNumberFormat="1">
      <alignment horizontal="left"/>
    </xf>
    <xf borderId="0" fillId="0" fontId="1" numFmtId="0" xfId="0" applyAlignment="1" applyFont="1">
      <alignment horizontal="left" vertical="center"/>
    </xf>
    <xf borderId="0" fillId="0" fontId="4" numFmtId="169" xfId="0" applyFont="1" applyNumberFormat="1"/>
    <xf borderId="0" fillId="0" fontId="3" numFmtId="0" xfId="0" applyAlignment="1" applyFont="1">
      <alignment shrinkToFit="0" wrapText="1"/>
    </xf>
    <xf borderId="1" fillId="2" fontId="1" numFmtId="181" xfId="0" applyAlignment="1" applyBorder="1" applyFont="1" applyNumberFormat="1">
      <alignment horizontal="left"/>
    </xf>
    <xf borderId="1" fillId="2" fontId="1" numFmtId="0" xfId="0" applyAlignment="1" applyBorder="1" applyFont="1">
      <alignment horizontal="left"/>
    </xf>
    <xf borderId="1" fillId="2" fontId="1" numFmtId="182" xfId="0" applyAlignment="1" applyBorder="1" applyFont="1" applyNumberFormat="1">
      <alignment horizontal="left"/>
    </xf>
    <xf borderId="0" fillId="0" fontId="1" numFmtId="183" xfId="0" applyAlignment="1" applyFont="1" applyNumberFormat="1">
      <alignment horizontal="left"/>
    </xf>
    <xf borderId="1" fillId="2" fontId="1" numFmtId="0" xfId="0" applyBorder="1" applyFont="1"/>
    <xf borderId="0" fillId="0" fontId="1" numFmtId="173" xfId="0" applyAlignment="1" applyFont="1" applyNumberFormat="1">
      <alignment horizontal="left"/>
    </xf>
    <xf borderId="0" fillId="0" fontId="1" numFmtId="184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Relationship Id="rId3" Type="http://schemas.openxmlformats.org/officeDocument/2006/relationships/image" Target="../media/image5.png"/><Relationship Id="rId4" Type="http://schemas.openxmlformats.org/officeDocument/2006/relationships/image" Target="../media/image2.png"/><Relationship Id="rId5" Type="http://schemas.openxmlformats.org/officeDocument/2006/relationships/image" Target="../media/image1.png"/><Relationship Id="rId6" Type="http://schemas.openxmlformats.org/officeDocument/2006/relationships/image" Target="../media/image8.png"/><Relationship Id="rId7" Type="http://schemas.openxmlformats.org/officeDocument/2006/relationships/image" Target="../media/image7.png"/><Relationship Id="rId8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1409700</xdr:colOff>
      <xdr:row>6</xdr:row>
      <xdr:rowOff>9525</xdr:rowOff>
    </xdr:from>
    <xdr:ext cx="542925" cy="323850"/>
    <xdr:sp>
      <xdr:nvSpPr>
        <xdr:cNvPr id="3" name="Shape 3"/>
        <xdr:cNvSpPr txBox="1"/>
      </xdr:nvSpPr>
      <xdr:spPr>
        <a:xfrm>
          <a:off x="5079300" y="3622838"/>
          <a:ext cx="533400" cy="314325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1590675</xdr:colOff>
      <xdr:row>11</xdr:row>
      <xdr:rowOff>0</xdr:rowOff>
    </xdr:from>
    <xdr:ext cx="190500" cy="323850"/>
    <xdr:sp>
      <xdr:nvSpPr>
        <xdr:cNvPr id="4" name="Shape 4"/>
        <xdr:cNvSpPr txBox="1"/>
      </xdr:nvSpPr>
      <xdr:spPr>
        <a:xfrm>
          <a:off x="5255513" y="3622838"/>
          <a:ext cx="180975" cy="314325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1838325</xdr:colOff>
      <xdr:row>35</xdr:row>
      <xdr:rowOff>9525</xdr:rowOff>
    </xdr:from>
    <xdr:ext cx="2076450" cy="381000"/>
    <xdr:sp>
      <xdr:nvSpPr>
        <xdr:cNvPr id="5" name="Shape 5"/>
        <xdr:cNvSpPr txBox="1"/>
      </xdr:nvSpPr>
      <xdr:spPr>
        <a:xfrm>
          <a:off x="4312538" y="3594263"/>
          <a:ext cx="2066925" cy="371475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676275</xdr:colOff>
      <xdr:row>20</xdr:row>
      <xdr:rowOff>133350</xdr:rowOff>
    </xdr:from>
    <xdr:ext cx="809625" cy="190500"/>
    <xdr:sp>
      <xdr:nvSpPr>
        <xdr:cNvPr id="6" name="Shape 6"/>
        <xdr:cNvSpPr/>
      </xdr:nvSpPr>
      <xdr:spPr>
        <a:xfrm>
          <a:off x="4945950" y="3684750"/>
          <a:ext cx="800100" cy="1905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sz="1100"/>
        </a:p>
      </xdr:txBody>
    </xdr:sp>
    <xdr:clientData fLocksWithSheet="0"/>
  </xdr:oneCellAnchor>
  <xdr:oneCellAnchor>
    <xdr:from>
      <xdr:col>3</xdr:col>
      <xdr:colOff>2085975</xdr:colOff>
      <xdr:row>20</xdr:row>
      <xdr:rowOff>133350</xdr:rowOff>
    </xdr:from>
    <xdr:ext cx="685800" cy="190500"/>
    <xdr:sp>
      <xdr:nvSpPr>
        <xdr:cNvPr id="7" name="Shape 7"/>
        <xdr:cNvSpPr/>
      </xdr:nvSpPr>
      <xdr:spPr>
        <a:xfrm>
          <a:off x="5007863" y="3684750"/>
          <a:ext cx="676275" cy="1905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sz="1100"/>
        </a:p>
      </xdr:txBody>
    </xdr:sp>
    <xdr:clientData fLocksWithSheet="0"/>
  </xdr:oneCellAnchor>
  <xdr:oneCellAnchor>
    <xdr:from>
      <xdr:col>3</xdr:col>
      <xdr:colOff>342900</xdr:colOff>
      <xdr:row>24</xdr:row>
      <xdr:rowOff>190500</xdr:rowOff>
    </xdr:from>
    <xdr:ext cx="895350" cy="200025"/>
    <xdr:sp>
      <xdr:nvSpPr>
        <xdr:cNvPr id="8" name="Shape 8"/>
        <xdr:cNvSpPr/>
      </xdr:nvSpPr>
      <xdr:spPr>
        <a:xfrm>
          <a:off x="4903088" y="3684750"/>
          <a:ext cx="885825" cy="1905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sz="1100"/>
        </a:p>
      </xdr:txBody>
    </xdr:sp>
    <xdr:clientData fLocksWithSheet="0"/>
  </xdr:oneCellAnchor>
  <xdr:oneCellAnchor>
    <xdr:from>
      <xdr:col>3</xdr:col>
      <xdr:colOff>2238375</xdr:colOff>
      <xdr:row>24</xdr:row>
      <xdr:rowOff>171450</xdr:rowOff>
    </xdr:from>
    <xdr:ext cx="771525" cy="209550"/>
    <xdr:sp>
      <xdr:nvSpPr>
        <xdr:cNvPr id="9" name="Shape 9"/>
        <xdr:cNvSpPr/>
      </xdr:nvSpPr>
      <xdr:spPr>
        <a:xfrm>
          <a:off x="4965000" y="3679988"/>
          <a:ext cx="762000" cy="2000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sz="1100"/>
        </a:p>
      </xdr:txBody>
    </xdr:sp>
    <xdr:clientData fLocksWithSheet="0"/>
  </xdr:oneCellAnchor>
  <xdr:oneCellAnchor>
    <xdr:from>
      <xdr:col>3</xdr:col>
      <xdr:colOff>571500</xdr:colOff>
      <xdr:row>25</xdr:row>
      <xdr:rowOff>142875</xdr:rowOff>
    </xdr:from>
    <xdr:ext cx="1123950" cy="847725"/>
    <xdr:grpSp>
      <xdr:nvGrpSpPr>
        <xdr:cNvPr id="2" name="Shape 2"/>
        <xdr:cNvGrpSpPr/>
      </xdr:nvGrpSpPr>
      <xdr:grpSpPr>
        <a:xfrm>
          <a:off x="4803075" y="3375188"/>
          <a:ext cx="1085850" cy="809625"/>
          <a:chOff x="4803075" y="3375188"/>
          <a:chExt cx="1085850" cy="809625"/>
        </a:xfrm>
      </xdr:grpSpPr>
      <xdr:cxnSp>
        <xdr:nvCxnSpPr>
          <xdr:cNvPr id="10" name="Shape 10"/>
          <xdr:cNvCxnSpPr/>
        </xdr:nvCxnSpPr>
        <xdr:spPr>
          <a:xfrm flipH="1" rot="10800000">
            <a:off x="4803075" y="3375188"/>
            <a:ext cx="1085850" cy="809625"/>
          </a:xfrm>
          <a:prstGeom prst="straightConnector1">
            <a:avLst/>
          </a:prstGeom>
          <a:noFill/>
          <a:ln cap="flat" cmpd="sng" w="38100">
            <a:solidFill>
              <a:schemeClr val="accent1"/>
            </a:solidFill>
            <a:prstDash val="solid"/>
            <a:miter lim="800000"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0</xdr:col>
      <xdr:colOff>1838325</xdr:colOff>
      <xdr:row>43</xdr:row>
      <xdr:rowOff>0</xdr:rowOff>
    </xdr:from>
    <xdr:ext cx="419100" cy="323850"/>
    <xdr:sp>
      <xdr:nvSpPr>
        <xdr:cNvPr id="11" name="Shape 11"/>
        <xdr:cNvSpPr txBox="1"/>
      </xdr:nvSpPr>
      <xdr:spPr>
        <a:xfrm>
          <a:off x="5141213" y="3622838"/>
          <a:ext cx="409575" cy="314325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38100</xdr:colOff>
      <xdr:row>45</xdr:row>
      <xdr:rowOff>38100</xdr:rowOff>
    </xdr:from>
    <xdr:ext cx="495300" cy="390525"/>
    <xdr:sp>
      <xdr:nvSpPr>
        <xdr:cNvPr id="12" name="Shape 12"/>
        <xdr:cNvSpPr txBox="1"/>
      </xdr:nvSpPr>
      <xdr:spPr>
        <a:xfrm>
          <a:off x="5103113" y="3589500"/>
          <a:ext cx="485775" cy="381000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16</xdr:col>
      <xdr:colOff>247650</xdr:colOff>
      <xdr:row>46</xdr:row>
      <xdr:rowOff>9525</xdr:rowOff>
    </xdr:from>
    <xdr:ext cx="847725" cy="381000"/>
    <xdr:sp>
      <xdr:nvSpPr>
        <xdr:cNvPr id="13" name="Shape 13"/>
        <xdr:cNvSpPr/>
      </xdr:nvSpPr>
      <xdr:spPr>
        <a:xfrm>
          <a:off x="4941188" y="3608550"/>
          <a:ext cx="809625" cy="342900"/>
        </a:xfrm>
        <a:prstGeom prst="rect">
          <a:avLst/>
        </a:prstGeom>
        <a:noFill/>
        <a:ln cap="flat" cmpd="sng" w="381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13</xdr:col>
      <xdr:colOff>561975</xdr:colOff>
      <xdr:row>51</xdr:row>
      <xdr:rowOff>142875</xdr:rowOff>
    </xdr:from>
    <xdr:ext cx="1600200" cy="200025"/>
    <xdr:sp>
      <xdr:nvSpPr>
        <xdr:cNvPr id="14" name="Shape 14"/>
        <xdr:cNvSpPr/>
      </xdr:nvSpPr>
      <xdr:spPr>
        <a:xfrm>
          <a:off x="4564950" y="3694275"/>
          <a:ext cx="1562100" cy="171450"/>
        </a:xfrm>
        <a:prstGeom prst="rect">
          <a:avLst/>
        </a:prstGeom>
        <a:noFill/>
        <a:ln cap="flat" cmpd="sng" w="381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19050</xdr:colOff>
      <xdr:row>61</xdr:row>
      <xdr:rowOff>95250</xdr:rowOff>
    </xdr:from>
    <xdr:ext cx="2114550" cy="781050"/>
    <xdr:sp>
      <xdr:nvSpPr>
        <xdr:cNvPr id="15" name="Shape 15"/>
        <xdr:cNvSpPr/>
      </xdr:nvSpPr>
      <xdr:spPr>
        <a:xfrm>
          <a:off x="4307775" y="3403763"/>
          <a:ext cx="2076450" cy="752475"/>
        </a:xfrm>
        <a:prstGeom prst="rect">
          <a:avLst/>
        </a:prstGeom>
        <a:noFill/>
        <a:ln cap="flat" cmpd="sng" w="381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23</xdr:col>
      <xdr:colOff>276225</xdr:colOff>
      <xdr:row>63</xdr:row>
      <xdr:rowOff>142875</xdr:rowOff>
    </xdr:from>
    <xdr:ext cx="2000250" cy="1143000"/>
    <xdr:sp>
      <xdr:nvSpPr>
        <xdr:cNvPr id="16" name="Shape 16"/>
        <xdr:cNvSpPr/>
      </xdr:nvSpPr>
      <xdr:spPr>
        <a:xfrm>
          <a:off x="4355400" y="3222788"/>
          <a:ext cx="1981200" cy="1114425"/>
        </a:xfrm>
        <a:prstGeom prst="rect">
          <a:avLst/>
        </a:prstGeom>
        <a:noFill/>
        <a:ln cap="flat" cmpd="sng" w="28575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1590675</xdr:colOff>
      <xdr:row>53</xdr:row>
      <xdr:rowOff>0</xdr:rowOff>
    </xdr:from>
    <xdr:ext cx="190500" cy="323850"/>
    <xdr:sp>
      <xdr:nvSpPr>
        <xdr:cNvPr id="4" name="Shape 4"/>
        <xdr:cNvSpPr txBox="1"/>
      </xdr:nvSpPr>
      <xdr:spPr>
        <a:xfrm>
          <a:off x="5255513" y="3622838"/>
          <a:ext cx="180975" cy="314325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85725</xdr:colOff>
      <xdr:row>83</xdr:row>
      <xdr:rowOff>9525</xdr:rowOff>
    </xdr:from>
    <xdr:ext cx="609600" cy="323850"/>
    <xdr:sp>
      <xdr:nvSpPr>
        <xdr:cNvPr id="17" name="Shape 17"/>
        <xdr:cNvSpPr txBox="1"/>
      </xdr:nvSpPr>
      <xdr:spPr>
        <a:xfrm>
          <a:off x="5044026" y="3619251"/>
          <a:ext cx="603948" cy="321498"/>
        </a:xfrm>
        <a:prstGeom prst="rect">
          <a:avLst/>
        </a:prstGeom>
        <a:noFill/>
        <a:ln>
          <a:noFill/>
        </a:ln>
      </xdr:spPr>
      <xdr:txBody>
        <a:bodyPr anchorCtr="0" anchor="ctr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85725</xdr:colOff>
      <xdr:row>84</xdr:row>
      <xdr:rowOff>9525</xdr:rowOff>
    </xdr:from>
    <xdr:ext cx="581025" cy="323850"/>
    <xdr:sp>
      <xdr:nvSpPr>
        <xdr:cNvPr id="18" name="Shape 18"/>
        <xdr:cNvSpPr txBox="1"/>
      </xdr:nvSpPr>
      <xdr:spPr>
        <a:xfrm>
          <a:off x="5058486" y="3619251"/>
          <a:ext cx="575029" cy="321498"/>
        </a:xfrm>
        <a:prstGeom prst="rect">
          <a:avLst/>
        </a:prstGeom>
        <a:noFill/>
        <a:ln>
          <a:noFill/>
        </a:ln>
      </xdr:spPr>
      <xdr:txBody>
        <a:bodyPr anchorCtr="0" anchor="ctr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18</xdr:col>
      <xdr:colOff>171450</xdr:colOff>
      <xdr:row>82</xdr:row>
      <xdr:rowOff>0</xdr:rowOff>
    </xdr:from>
    <xdr:ext cx="1809750" cy="1952625"/>
    <xdr:sp>
      <xdr:nvSpPr>
        <xdr:cNvPr id="19" name="Shape 19"/>
        <xdr:cNvSpPr/>
      </xdr:nvSpPr>
      <xdr:spPr>
        <a:xfrm>
          <a:off x="4455413" y="2817975"/>
          <a:ext cx="1781175" cy="1924050"/>
        </a:xfrm>
        <a:prstGeom prst="rect">
          <a:avLst/>
        </a:prstGeom>
        <a:noFill/>
        <a:ln cap="flat" cmpd="sng" w="28575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514350</xdr:colOff>
      <xdr:row>1</xdr:row>
      <xdr:rowOff>0</xdr:rowOff>
    </xdr:from>
    <xdr:ext cx="4371975" cy="37814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419100</xdr:colOff>
      <xdr:row>24</xdr:row>
      <xdr:rowOff>19050</xdr:rowOff>
    </xdr:from>
    <xdr:ext cx="4572000" cy="2438400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247650</xdr:colOff>
      <xdr:row>67</xdr:row>
      <xdr:rowOff>171450</xdr:rowOff>
    </xdr:from>
    <xdr:ext cx="2333625" cy="27813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314325</xdr:colOff>
      <xdr:row>83</xdr:row>
      <xdr:rowOff>333375</xdr:rowOff>
    </xdr:from>
    <xdr:ext cx="3295650" cy="2343150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238125</xdr:colOff>
      <xdr:row>21</xdr:row>
      <xdr:rowOff>95250</xdr:rowOff>
    </xdr:from>
    <xdr:ext cx="2667000" cy="15716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44</xdr:row>
      <xdr:rowOff>19050</xdr:rowOff>
    </xdr:from>
    <xdr:ext cx="4962525" cy="7172325"/>
    <xdr:pic>
      <xdr:nvPicPr>
        <xdr:cNvPr id="0" name="image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333375</xdr:colOff>
      <xdr:row>40</xdr:row>
      <xdr:rowOff>104775</xdr:rowOff>
    </xdr:from>
    <xdr:ext cx="5124450" cy="737235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314325</xdr:colOff>
      <xdr:row>77</xdr:row>
      <xdr:rowOff>152400</xdr:rowOff>
    </xdr:from>
    <xdr:ext cx="4400550" cy="6105525"/>
    <xdr:pic>
      <xdr:nvPicPr>
        <xdr:cNvPr id="0" name="image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57"/>
    <col customWidth="1" min="2" max="2" width="13.14"/>
    <col customWidth="1" min="3" max="3" width="9.14"/>
    <col customWidth="1" min="4" max="4" width="32.29"/>
    <col customWidth="1" min="5" max="5" width="12.43"/>
    <col customWidth="1" min="6" max="31" width="9.14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2" t="s">
        <v>1</v>
      </c>
      <c r="L1" s="2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ht="14.25" customHeight="1">
      <c r="A2" s="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>
      <c r="A3" s="4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>
      <c r="A4" s="1"/>
      <c r="B4" s="4"/>
      <c r="C4" s="4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>
      <c r="A5" s="5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>
      <c r="A6" s="5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ht="30.0" customHeight="1">
      <c r="A7" s="6"/>
      <c r="B7" s="7">
        <v>12.0</v>
      </c>
      <c r="C7" s="1" t="s">
        <v>4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>
      <c r="A8" s="6" t="s">
        <v>5</v>
      </c>
      <c r="B8" s="8">
        <v>5945.0</v>
      </c>
      <c r="C8" s="1" t="s">
        <v>6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>
      <c r="A9" s="6" t="s">
        <v>7</v>
      </c>
      <c r="B9" s="9" t="str">
        <f>CONCATENATE(,B8,"/",B7,)</f>
        <v>5945/12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>
      <c r="A10" s="6" t="s">
        <v>8</v>
      </c>
      <c r="B10" s="10">
        <f>B8/B7</f>
        <v>495.4166667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>
      <c r="A11" s="6" t="s">
        <v>9</v>
      </c>
      <c r="B11" s="11">
        <f>CEILING(B10,10)</f>
        <v>500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ht="27.0" customHeight="1">
      <c r="A12" s="6"/>
      <c r="B12" s="7">
        <v>1.5</v>
      </c>
      <c r="C12" s="1" t="s">
        <v>10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>
      <c r="A13" s="6" t="s">
        <v>11</v>
      </c>
      <c r="B13" s="1" t="str">
        <f>CONCATENATE(,ROUND(B10,2),"/",B12,)</f>
        <v>495.42/1.5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>
      <c r="A14" s="6" t="s">
        <v>8</v>
      </c>
      <c r="B14" s="10">
        <f>(B10/B12)</f>
        <v>330.2777778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>
      <c r="A15" s="6" t="s">
        <v>9</v>
      </c>
      <c r="B15" s="12">
        <f>CEILING(B14,10)</f>
        <v>340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>
      <c r="A16" s="4" t="str">
        <f>CONCATENATE("Provide beam of size ",B15,"mm X ", B11,"mm.")</f>
        <v>Provide beam of size 340mm X 500mm.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>
      <c r="A17" s="4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>
      <c r="A18" s="5" t="s">
        <v>12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>
      <c r="A19" s="5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>
      <c r="A20" s="6" t="s">
        <v>13</v>
      </c>
      <c r="B20" s="13">
        <v>4.0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>
      <c r="A21" s="6" t="s">
        <v>14</v>
      </c>
      <c r="B21" s="14">
        <v>1.2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>
      <c r="A22" s="6" t="s">
        <v>15</v>
      </c>
      <c r="B22" s="15">
        <v>0.15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>
      <c r="A23" s="6" t="s">
        <v>16</v>
      </c>
      <c r="B23" s="15">
        <f>8*12*0.0254</f>
        <v>2.4384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>
      <c r="A24" s="6" t="s">
        <v>17</v>
      </c>
      <c r="B24" s="15">
        <v>0.23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>
      <c r="A25" s="6" t="s">
        <v>18</v>
      </c>
      <c r="B25" s="16">
        <f>+B8/1000</f>
        <v>5.945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>
      <c r="A26" s="6" t="s">
        <v>19</v>
      </c>
      <c r="B26" s="16">
        <f>+B15/1000</f>
        <v>0.34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>
      <c r="A27" s="6" t="s">
        <v>20</v>
      </c>
      <c r="B27" s="16">
        <f>+B11/1000</f>
        <v>0.5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>
      <c r="A28" s="6" t="s">
        <v>21</v>
      </c>
      <c r="B28" s="17">
        <v>4585.0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>
      <c r="A29" s="6" t="s">
        <v>22</v>
      </c>
      <c r="B29" s="17">
        <v>5180.0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>
      <c r="A30" s="6" t="s">
        <v>23</v>
      </c>
      <c r="B30" s="16">
        <f>((((B8/2)/TAN(PI()/180*45)-(B28/2))*TAN(PI()/180*45))/1000)*2</f>
        <v>1.36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>
      <c r="A31" s="6" t="s">
        <v>24</v>
      </c>
      <c r="B31" s="16">
        <f>+B25</f>
        <v>5.945</v>
      </c>
      <c r="C31" s="1"/>
      <c r="D31" s="1" t="str">
        <f>CONCATENATE("B1=B2=",B31,"m")</f>
        <v>B1=B2=5.945m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>
      <c r="A32" s="6" t="s">
        <v>25</v>
      </c>
      <c r="B32" s="18">
        <f>((((B8/2)/TAN(PI()/180*45)-(B29/2))*TAN(PI()/180*45))/1000)*2</f>
        <v>0.765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>
      <c r="A33" s="6" t="s">
        <v>26</v>
      </c>
      <c r="B33" s="16">
        <f>+B31</f>
        <v>5.945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>
      <c r="A34" s="6" t="s">
        <v>27</v>
      </c>
      <c r="B34" s="16">
        <f t="shared" ref="B34:B35" si="1">B28/2/1000</f>
        <v>2.2925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>
      <c r="A35" s="6" t="s">
        <v>28</v>
      </c>
      <c r="B35" s="16">
        <f t="shared" si="1"/>
        <v>2.59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ht="32.25" customHeight="1">
      <c r="A36" s="19" t="s">
        <v>29</v>
      </c>
      <c r="B36" s="16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>
      <c r="A37" s="6" t="s">
        <v>8</v>
      </c>
      <c r="B37" s="9" t="str">
        <f>CONCATENATE("[{(",B30,"+",B31,")/2*}",ROUND(B34,3),"]+","[{(",ROUND(B32,3),"+",B33,")/2*}",B35,"]")</f>
        <v>[{(1.36+5.945)/2*}2.293]+[{(0.765+5.945)/2*}2.59]</v>
      </c>
      <c r="C37" s="1"/>
      <c r="D37" s="20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>
      <c r="A38" s="6" t="s">
        <v>8</v>
      </c>
      <c r="B38" s="21">
        <f>ROUND((((B30+B31)/2)*B34)+(((B32+B33)/2)*B35),2)</f>
        <v>17.06</v>
      </c>
      <c r="C38" s="1"/>
      <c r="D38" s="20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>
      <c r="A39" s="6" t="s">
        <v>30</v>
      </c>
      <c r="B39" s="22" t="s">
        <v>31</v>
      </c>
      <c r="C39" s="1"/>
      <c r="D39" s="20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>
      <c r="A40" s="6" t="s">
        <v>8</v>
      </c>
      <c r="B40" s="9" t="str">
        <f>CONCATENATE("(",B20,"*",B38,")+(",B21,"*",B38,")+(25*",B38,"*",B22,")+(19.2*",ROUND(B23,3),"*",B24,"*",B25,")+(25*",B25,"*",B26,"*",B27,")")</f>
        <v>(4*17.06)+(1.2*17.06)+(25*17.06*0.15)+(19.2*2.438*0.23*5.945)+(25*5.945*0.34*0.5)</v>
      </c>
      <c r="C40" s="1"/>
      <c r="D40" s="20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>
      <c r="A41" s="6" t="s">
        <v>8</v>
      </c>
      <c r="B41" s="23">
        <f>(B20*B38)+(B21*B38)+(25*B38*B22)+(19.2*B23*B24*B25)+(25*B25*B26*B27)</f>
        <v>241.9688578</v>
      </c>
      <c r="C41" s="1"/>
      <c r="D41" s="20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>
      <c r="A42" s="1"/>
      <c r="B42" s="24"/>
      <c r="C42" s="1"/>
      <c r="D42" s="20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>
      <c r="A43" s="20"/>
      <c r="B43" s="1"/>
      <c r="C43" s="1"/>
      <c r="D43" s="20"/>
      <c r="E43" s="1"/>
      <c r="F43" s="1"/>
      <c r="G43" s="1"/>
      <c r="H43" s="1"/>
      <c r="I43" s="1"/>
      <c r="J43" s="25" t="s">
        <v>32</v>
      </c>
      <c r="K43" s="25" t="s">
        <v>33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ht="30.0" customHeight="1">
      <c r="A44" s="19" t="s">
        <v>34</v>
      </c>
      <c r="B44" s="1"/>
      <c r="C44" s="1"/>
      <c r="D44" s="20"/>
      <c r="E44" s="1"/>
      <c r="F44" s="1"/>
      <c r="G44" s="1"/>
      <c r="H44" s="1"/>
      <c r="I44" s="1"/>
      <c r="J44" s="25">
        <v>250.0</v>
      </c>
      <c r="K44" s="25">
        <v>0.53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>
      <c r="A45" s="6" t="s">
        <v>8</v>
      </c>
      <c r="B45" s="26">
        <f>(B41*1.5)/B25</f>
        <v>61.05185647</v>
      </c>
      <c r="C45" s="1"/>
      <c r="D45" s="1"/>
      <c r="E45" s="24"/>
      <c r="F45" s="1"/>
      <c r="G45" s="1"/>
      <c r="H45" s="1"/>
      <c r="I45" s="1"/>
      <c r="J45" s="25">
        <v>415.0</v>
      </c>
      <c r="K45" s="25">
        <v>0.48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ht="32.25" customHeight="1">
      <c r="A46" s="19" t="s">
        <v>35</v>
      </c>
      <c r="B46" s="27"/>
      <c r="C46" s="1"/>
      <c r="D46" s="1"/>
      <c r="E46" s="24"/>
      <c r="F46" s="1"/>
      <c r="G46" s="1"/>
      <c r="H46" s="1"/>
      <c r="I46" s="1"/>
      <c r="J46" s="25">
        <v>500.0</v>
      </c>
      <c r="K46" s="25">
        <v>0.46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>
      <c r="A47" s="6" t="s">
        <v>8</v>
      </c>
      <c r="B47" s="28">
        <f>(B45*B25^2)/10</f>
        <v>215.775729</v>
      </c>
      <c r="C47" s="1"/>
      <c r="D47" s="1"/>
      <c r="E47" s="24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>
      <c r="A48" s="6" t="s">
        <v>36</v>
      </c>
      <c r="B48" s="29">
        <v>20.0</v>
      </c>
      <c r="C48" s="1"/>
      <c r="D48" s="1"/>
      <c r="E48" s="24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>
      <c r="A49" s="6" t="s">
        <v>37</v>
      </c>
      <c r="B49" s="30">
        <v>500.0</v>
      </c>
      <c r="C49" s="1"/>
      <c r="D49" s="1"/>
      <c r="E49" s="24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>
      <c r="A50" s="6" t="s">
        <v>38</v>
      </c>
      <c r="B50" s="9" t="str">
        <f>CONCATENATE(ROUND(0.36*VLOOKUP(B49,J44:K46,2,FALSE)*(1-(0.42*VLOOKUP(B49,J44:K46,2,FALSE))),4)," fck*b*dreq^2")</f>
        <v>0.1336 fck*b*dreq^2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>
      <c r="A51" s="31" t="str">
        <f>CONCATENATE(ROUND(+B47,3),"*10^6=")</f>
        <v>215.776*10^6=</v>
      </c>
      <c r="B51" s="9" t="str">
        <f>CONCATENATE(ROUND(0.36*VLOOKUP(B49,J44:K46,2,FALSE)*(1-(0.42*VLOOKUP(B49,J44:K46,2,FALSE))),4),"*",B48,"*",(B26*1000),"*dreq^2")</f>
        <v>0.1336*20*340*dreq^2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>
      <c r="A52" s="6" t="s">
        <v>39</v>
      </c>
      <c r="B52" s="32">
        <f>SQRT((B47*10^6)/(B48*B26*1000*ROUND(0.36*VLOOKUP(B49,J44:K46,2,FALSE)*(1-(0.42*VLOOKUP(B49,J44:K46,2,FALSE))),4)))</f>
        <v>487.352963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>
      <c r="A53" s="6" t="s">
        <v>9</v>
      </c>
      <c r="B53" s="33">
        <f>CEILING(B52,10)</f>
        <v>490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ht="27.0" customHeight="1">
      <c r="A54" s="6"/>
      <c r="B54" s="34">
        <v>1.5</v>
      </c>
      <c r="C54" s="1" t="s">
        <v>10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>
      <c r="A55" s="6" t="s">
        <v>40</v>
      </c>
      <c r="B55" s="32" t="str">
        <f>CONCATENATE(ROUND(B52,3),"/",B54)</f>
        <v>487.353/1.5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>
      <c r="A56" s="6" t="s">
        <v>8</v>
      </c>
      <c r="B56" s="32">
        <f>B52/B54</f>
        <v>324.9019753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>
      <c r="A57" s="6" t="s">
        <v>9</v>
      </c>
      <c r="B57" s="33">
        <f>CEILING(B56,10)</f>
        <v>330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>
      <c r="A58" s="35" t="str">
        <f>CONCATENATE("Hence, Providing larger dimension of Beam of Size ",MAX(B57,B15),"mmX",MAX(B53,B11),"mm.")</f>
        <v>Hence, Providing larger dimension of Beam of Size 340mmX500mm.</v>
      </c>
      <c r="B58" s="24"/>
      <c r="C58" s="1"/>
      <c r="D58" s="36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>
      <c r="A60" s="20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>
      <c r="A61" s="1"/>
      <c r="B61" s="24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>
      <c r="A62" s="1"/>
      <c r="B62" s="24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>
      <c r="A69" s="4" t="s">
        <v>41</v>
      </c>
      <c r="B69" s="4"/>
      <c r="C69" s="4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>
      <c r="A71" s="6" t="s">
        <v>42</v>
      </c>
      <c r="B71" s="37">
        <f>ROUND((2972.5+2285)*(2590+2292.5)/(10^6),3)</f>
        <v>25.67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>
      <c r="A72" s="6" t="s">
        <v>43</v>
      </c>
      <c r="B72" s="38">
        <v>7.0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>
      <c r="A73" s="6" t="s">
        <v>44</v>
      </c>
      <c r="B73" s="39">
        <f>(2973+2285+2590+2293)/1000</f>
        <v>10.141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>
      <c r="A74" s="6" t="s">
        <v>45</v>
      </c>
      <c r="B74" s="39">
        <v>0.5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>
      <c r="A75" s="6" t="s">
        <v>46</v>
      </c>
      <c r="B75" s="39">
        <v>0.34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>
      <c r="A76" s="6" t="s">
        <v>47</v>
      </c>
      <c r="B76" s="39">
        <v>2.438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>
      <c r="A77" s="6" t="s">
        <v>48</v>
      </c>
      <c r="B77" s="39">
        <v>0.23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>
      <c r="A78" s="6" t="s">
        <v>49</v>
      </c>
      <c r="B78" s="1" t="s">
        <v>50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>
      <c r="A79" s="6" t="s">
        <v>8</v>
      </c>
      <c r="B79" s="40">
        <f>((B20*B71)+(B21*B71)+(25*B71*B22)+(25*B73*B74*B75)+(19.2*B73*B76*B77))*B72</f>
        <v>2674.181057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>
      <c r="A80" s="6" t="s">
        <v>51</v>
      </c>
      <c r="B80" s="40">
        <f>B79*1.5</f>
        <v>4011.271586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>
      <c r="A81" s="6" t="s">
        <v>52</v>
      </c>
      <c r="B81" s="38">
        <v>1.2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>
      <c r="A82" s="6" t="s">
        <v>53</v>
      </c>
      <c r="B82" s="29">
        <v>500.0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>
      <c r="A83" s="6" t="s">
        <v>54</v>
      </c>
      <c r="B83" s="29">
        <v>25.0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ht="33.0" customHeight="1">
      <c r="A84" s="19" t="s">
        <v>55</v>
      </c>
      <c r="B84" s="4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ht="33.0" customHeight="1">
      <c r="A85" s="19" t="s">
        <v>56</v>
      </c>
      <c r="B85" s="4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>
      <c r="A86" s="6" t="s">
        <v>49</v>
      </c>
      <c r="B86" s="1" t="s">
        <v>57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>
      <c r="A87" s="6" t="str">
        <f>CONCATENATE(ROUND(B80,2),"*10^3")</f>
        <v>4011.27*10^3</v>
      </c>
      <c r="B87" s="1" t="str">
        <f>CONCATENATE("[{0.4*",B83,"*((100-",B81,")/100)*Ag}+{0.67*",B82,"*(",B81,"/100)*As}]")</f>
        <v>[{0.4*25*((100-1.2)/100)*Ag}+{0.67*500*(1.2/100)*As}]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>
      <c r="A88" s="6" t="s">
        <v>58</v>
      </c>
      <c r="B88" s="42">
        <f>(B80*1000)/((0.4*B83*((100-B81)/100))+(0.67*B82*(B81/100)))</f>
        <v>288580.6896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>
      <c r="A89" s="6" t="s">
        <v>59</v>
      </c>
      <c r="B89" s="43">
        <f>SQRT(B88)</f>
        <v>537.1970678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>
      <c r="A90" s="6" t="s">
        <v>9</v>
      </c>
      <c r="B90" s="33">
        <f>CEILING(B89,10)</f>
        <v>540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>
      <c r="A91" s="4" t="str">
        <f>CONCATENATE("Hence, provide column of size ",B90,"mmX",B90,"mm.")</f>
        <v>Hence, provide column of size 540mmX540mm.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</sheetData>
  <dataValidations>
    <dataValidation type="list" allowBlank="1" showErrorMessage="1" sqref="B49">
      <formula1>"250,415,500"</formula1>
    </dataValidation>
  </dataValidations>
  <printOptions/>
  <pageMargins bottom="0.75" footer="0.0" header="0.0" left="0.7" right="0.7" top="0.75"/>
  <pageSetup paperSize="9" scale="7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2019-04-25T06:28:29Z</dcterms:created>
  <dc:creator>SUMAN</dc:creator>
</cp:coreProperties>
</file>