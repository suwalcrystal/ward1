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82_083\ward1\drg\menaka dd\excel for calculation\from menaka dd\"/>
    </mc:Choice>
  </mc:AlternateContent>
  <xr:revisionPtr revIDLastSave="0" documentId="13_ncr:1_{2013A0B5-958A-427D-8C6D-F54781A5DE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ME PERIOD" sheetId="13" r:id="rId1"/>
    <sheet name="COEFFICIENT" sheetId="23" r:id="rId2"/>
    <sheet name="WALL LOAD AND STAIR" sheetId="1" r:id="rId3"/>
    <sheet name="SCALE FACTOR" sheetId="14" r:id="rId4"/>
    <sheet name="ECCENTRICITY" sheetId="28" r:id="rId5"/>
    <sheet name="ISOLATED" sheetId="15" r:id="rId6"/>
    <sheet name="rectangular isolated" sheetId="29" state="hidden" r:id="rId7"/>
    <sheet name="joint reaction" sheetId="17" r:id="rId8"/>
    <sheet name="strapc2-B2" sheetId="20" r:id="rId9"/>
    <sheet name="strap b3c3" sheetId="31" r:id="rId10"/>
    <sheet name="strrap a2a4" sheetId="32" r:id="rId11"/>
    <sheet name="torsion" sheetId="30" r:id="rId12"/>
    <sheet name="rayleigh" sheetId="19" r:id="rId13"/>
    <sheet name="COMBINEDB3B33" sheetId="22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1" l="1"/>
  <c r="J18" i="31"/>
  <c r="J19" i="20"/>
  <c r="J18" i="20"/>
  <c r="K12" i="17"/>
  <c r="E2" i="22"/>
  <c r="E4" i="22"/>
  <c r="B3" i="22"/>
  <c r="B2" i="22"/>
  <c r="E10" i="15"/>
  <c r="H18" i="17"/>
  <c r="L5" i="1" l="1"/>
  <c r="E6" i="1"/>
  <c r="E11" i="15"/>
  <c r="J9" i="17"/>
  <c r="J10" i="17"/>
  <c r="J11" i="17"/>
  <c r="J12" i="17"/>
  <c r="J13" i="17"/>
  <c r="J14" i="17"/>
  <c r="J15" i="17"/>
  <c r="C20" i="13"/>
  <c r="C15" i="13"/>
  <c r="C18" i="13" s="1"/>
  <c r="H20" i="13" s="1"/>
  <c r="E7" i="1"/>
  <c r="I186" i="32"/>
  <c r="I185" i="32"/>
  <c r="I184" i="32"/>
  <c r="I183" i="32"/>
  <c r="I182" i="32"/>
  <c r="I181" i="32"/>
  <c r="I180" i="32"/>
  <c r="I179" i="32"/>
  <c r="I177" i="32"/>
  <c r="I175" i="32"/>
  <c r="I174" i="32"/>
  <c r="L160" i="32"/>
  <c r="I157" i="32"/>
  <c r="I152" i="32"/>
  <c r="I143" i="32"/>
  <c r="I138" i="32"/>
  <c r="F107" i="32"/>
  <c r="E107" i="32"/>
  <c r="C100" i="32"/>
  <c r="I93" i="32"/>
  <c r="I89" i="32"/>
  <c r="I85" i="32"/>
  <c r="I81" i="32"/>
  <c r="I58" i="32" s="1"/>
  <c r="I62" i="32"/>
  <c r="I51" i="32"/>
  <c r="I167" i="32" s="1"/>
  <c r="I168" i="32" s="1"/>
  <c r="I50" i="32"/>
  <c r="M38" i="32"/>
  <c r="M37" i="32"/>
  <c r="I34" i="32"/>
  <c r="E31" i="32"/>
  <c r="E30" i="32"/>
  <c r="E29" i="32"/>
  <c r="E28" i="32"/>
  <c r="E27" i="32"/>
  <c r="E26" i="32"/>
  <c r="L24" i="32"/>
  <c r="R20" i="32"/>
  <c r="Q20" i="32"/>
  <c r="S20" i="32" s="1"/>
  <c r="P20" i="32"/>
  <c r="O20" i="32"/>
  <c r="I14" i="32"/>
  <c r="P11" i="32"/>
  <c r="C8" i="32"/>
  <c r="A8" i="32"/>
  <c r="L2" i="32"/>
  <c r="I75" i="32" s="1"/>
  <c r="F2" i="32"/>
  <c r="I2" i="32" s="1"/>
  <c r="I186" i="31"/>
  <c r="I185" i="31"/>
  <c r="I184" i="31"/>
  <c r="I183" i="31"/>
  <c r="I182" i="31"/>
  <c r="I181" i="31"/>
  <c r="I180" i="31"/>
  <c r="I179" i="31"/>
  <c r="I174" i="31"/>
  <c r="L160" i="31"/>
  <c r="I157" i="31"/>
  <c r="I152" i="31"/>
  <c r="I143" i="31"/>
  <c r="I138" i="31"/>
  <c r="E107" i="31"/>
  <c r="C100" i="31"/>
  <c r="I93" i="31"/>
  <c r="I89" i="31"/>
  <c r="I85" i="31"/>
  <c r="I62" i="31"/>
  <c r="I51" i="31"/>
  <c r="I167" i="31" s="1"/>
  <c r="I168" i="31" s="1"/>
  <c r="I50" i="31"/>
  <c r="I81" i="31" s="1"/>
  <c r="M38" i="31"/>
  <c r="M37" i="31"/>
  <c r="I34" i="31"/>
  <c r="E31" i="31"/>
  <c r="E30" i="31"/>
  <c r="E29" i="31"/>
  <c r="E28" i="31"/>
  <c r="E27" i="31"/>
  <c r="E26" i="31"/>
  <c r="L24" i="31"/>
  <c r="S20" i="31"/>
  <c r="R20" i="31"/>
  <c r="Q20" i="31"/>
  <c r="P20" i="31"/>
  <c r="O20" i="31"/>
  <c r="I14" i="31"/>
  <c r="P11" i="31"/>
  <c r="C8" i="31"/>
  <c r="A8" i="31"/>
  <c r="C5" i="31" s="1"/>
  <c r="C10" i="31" s="1"/>
  <c r="L2" i="31"/>
  <c r="M14" i="31" s="1"/>
  <c r="F2" i="31"/>
  <c r="I57" i="31" s="1"/>
  <c r="D28" i="22"/>
  <c r="D31" i="22"/>
  <c r="D34" i="22" s="1"/>
  <c r="D44" i="22" s="1"/>
  <c r="Q6" i="28"/>
  <c r="Q7" i="28"/>
  <c r="Q5" i="28"/>
  <c r="D21" i="30"/>
  <c r="D16" i="30"/>
  <c r="D11" i="30"/>
  <c r="D6" i="30"/>
  <c r="G24" i="13"/>
  <c r="F24" i="13"/>
  <c r="E17" i="1"/>
  <c r="I136" i="32" l="1"/>
  <c r="I150" i="32" s="1"/>
  <c r="K150" i="32" s="1"/>
  <c r="M107" i="32"/>
  <c r="K107" i="32" s="1"/>
  <c r="C5" i="32"/>
  <c r="C10" i="32" s="1"/>
  <c r="H16" i="32"/>
  <c r="I176" i="32"/>
  <c r="I70" i="32"/>
  <c r="I178" i="32"/>
  <c r="I71" i="32"/>
  <c r="I57" i="32"/>
  <c r="M14" i="32"/>
  <c r="F107" i="31"/>
  <c r="I58" i="31"/>
  <c r="I71" i="31"/>
  <c r="I136" i="31"/>
  <c r="M107" i="31"/>
  <c r="K107" i="31" s="1"/>
  <c r="I175" i="31"/>
  <c r="I176" i="31"/>
  <c r="I2" i="31"/>
  <c r="H16" i="31" s="1"/>
  <c r="I177" i="31"/>
  <c r="I70" i="31"/>
  <c r="I178" i="31"/>
  <c r="I75" i="31"/>
  <c r="D76" i="29"/>
  <c r="E77" i="29" s="1"/>
  <c r="F72" i="29"/>
  <c r="G71" i="29"/>
  <c r="E61" i="29"/>
  <c r="E62" i="29" s="1"/>
  <c r="E63" i="29" s="1"/>
  <c r="E64" i="29" s="1"/>
  <c r="C58" i="29"/>
  <c r="E54" i="29"/>
  <c r="E37" i="29"/>
  <c r="E23" i="29"/>
  <c r="G22" i="29"/>
  <c r="G21" i="29"/>
  <c r="E10" i="29"/>
  <c r="E24" i="29" s="1"/>
  <c r="G9" i="29"/>
  <c r="G45" i="29" s="1"/>
  <c r="N8" i="28"/>
  <c r="P8" i="28" s="1"/>
  <c r="M8" i="28"/>
  <c r="O8" i="28" s="1"/>
  <c r="N7" i="28"/>
  <c r="P7" i="28" s="1"/>
  <c r="M7" i="28"/>
  <c r="O7" i="28" s="1"/>
  <c r="N6" i="28"/>
  <c r="P6" i="28" s="1"/>
  <c r="M6" i="28"/>
  <c r="O6" i="28" s="1"/>
  <c r="N5" i="28"/>
  <c r="P5" i="28" s="1"/>
  <c r="M5" i="28"/>
  <c r="O5" i="28" s="1"/>
  <c r="I139" i="32" l="1"/>
  <c r="I153" i="32"/>
  <c r="I150" i="31"/>
  <c r="I139" i="31"/>
  <c r="E13" i="15"/>
  <c r="E15" i="15"/>
  <c r="D41" i="29"/>
  <c r="F43" i="29" s="1"/>
  <c r="E47" i="29" s="1"/>
  <c r="F25" i="29"/>
  <c r="D42" i="29"/>
  <c r="F26" i="29"/>
  <c r="E52" i="29"/>
  <c r="E56" i="29" s="1"/>
  <c r="E65" i="29" s="1"/>
  <c r="E11" i="29"/>
  <c r="I153" i="31" l="1"/>
  <c r="K150" i="31"/>
  <c r="D70" i="29"/>
  <c r="D71" i="29" s="1"/>
  <c r="E32" i="29"/>
  <c r="E13" i="29"/>
  <c r="E14" i="29" s="1"/>
  <c r="E15" i="29"/>
  <c r="E16" i="29" l="1"/>
  <c r="E17" i="29" s="1"/>
  <c r="E73" i="29"/>
  <c r="B46" i="29" s="1"/>
  <c r="E72" i="29"/>
  <c r="F74" i="29" l="1"/>
  <c r="F78" i="29"/>
  <c r="E18" i="29"/>
  <c r="G18" i="29" s="1"/>
  <c r="I23" i="29"/>
  <c r="D13" i="13" l="1"/>
  <c r="L26" i="1" l="1"/>
  <c r="L16" i="1"/>
  <c r="K16" i="1"/>
  <c r="L7" i="1"/>
  <c r="K24" i="1" s="1"/>
  <c r="F6" i="1"/>
  <c r="C7" i="1"/>
  <c r="E11" i="1"/>
  <c r="E12" i="1" s="1"/>
  <c r="S11" i="1"/>
  <c r="C12" i="1"/>
  <c r="E18" i="1"/>
  <c r="F17" i="1"/>
  <c r="C18" i="1"/>
  <c r="F18" i="1" s="1"/>
  <c r="K10" i="1" l="1"/>
  <c r="K11" i="1"/>
  <c r="L24" i="1"/>
  <c r="L25" i="1" s="1"/>
  <c r="L27" i="1" s="1"/>
  <c r="F7" i="1"/>
  <c r="F8" i="1" s="1"/>
  <c r="F12" i="1"/>
  <c r="G12" i="1" s="1"/>
  <c r="F11" i="1"/>
  <c r="G11" i="1" s="1"/>
  <c r="G6" i="1"/>
  <c r="L11" i="1"/>
  <c r="L10" i="1"/>
  <c r="L17" i="1" s="1"/>
  <c r="L18" i="1" s="1"/>
  <c r="L20" i="1" s="1"/>
  <c r="F19" i="1"/>
  <c r="G7" i="1" l="1"/>
  <c r="G8" i="1" s="1"/>
  <c r="G13" i="1"/>
  <c r="F13" i="1"/>
  <c r="L160" i="20" l="1"/>
  <c r="C16" i="14"/>
  <c r="I11" i="22"/>
  <c r="L18" i="22" s="1"/>
  <c r="H14" i="17"/>
  <c r="E23" i="15"/>
  <c r="E24" i="15" s="1"/>
  <c r="D40" i="15" l="1"/>
  <c r="F25" i="15"/>
  <c r="E31" i="15" s="1"/>
  <c r="E14" i="15" l="1"/>
  <c r="E16" i="15" s="1"/>
  <c r="E17" i="15" s="1"/>
  <c r="E18" i="15" s="1"/>
  <c r="D11" i="23"/>
  <c r="E22" i="15" l="1"/>
  <c r="F41" i="15" s="1"/>
  <c r="K8" i="17"/>
  <c r="K9" i="17"/>
  <c r="K10" i="17"/>
  <c r="K11" i="17"/>
  <c r="K13" i="17"/>
  <c r="P13" i="17" s="1"/>
  <c r="K14" i="17"/>
  <c r="K15" i="17"/>
  <c r="K16" i="17"/>
  <c r="P16" i="17" s="1"/>
  <c r="K7" i="17"/>
  <c r="J19" i="32" l="1"/>
  <c r="L92" i="32" s="1"/>
  <c r="P9" i="17"/>
  <c r="L92" i="31"/>
  <c r="P10" i="17"/>
  <c r="L92" i="20"/>
  <c r="P14" i="17"/>
  <c r="J18" i="32"/>
  <c r="P15" i="17"/>
  <c r="P7" i="17"/>
  <c r="P8" i="17"/>
  <c r="P12" i="17"/>
  <c r="P11" i="17"/>
  <c r="G4" i="22"/>
  <c r="L17" i="22" l="1"/>
  <c r="J23" i="32"/>
  <c r="J21" i="32"/>
  <c r="J22" i="32" s="1"/>
  <c r="I40" i="32"/>
  <c r="E92" i="32"/>
  <c r="J23" i="31"/>
  <c r="E92" i="31"/>
  <c r="J21" i="31"/>
  <c r="J22" i="31" s="1"/>
  <c r="I35" i="31" s="1"/>
  <c r="I37" i="31" s="1"/>
  <c r="I38" i="31" s="1"/>
  <c r="I40" i="31"/>
  <c r="E92" i="20"/>
  <c r="I40" i="20"/>
  <c r="B20" i="22"/>
  <c r="D16" i="22"/>
  <c r="E7" i="22"/>
  <c r="G5" i="22"/>
  <c r="I35" i="32" l="1"/>
  <c r="I37" i="32" s="1"/>
  <c r="I38" i="32" s="1"/>
  <c r="F105" i="32"/>
  <c r="I67" i="32"/>
  <c r="I72" i="32" s="1"/>
  <c r="I74" i="32" s="1"/>
  <c r="I86" i="32"/>
  <c r="I87" i="32" s="1"/>
  <c r="K89" i="32" s="1"/>
  <c r="I82" i="32"/>
  <c r="I83" i="32" s="1"/>
  <c r="K85" i="32" s="1"/>
  <c r="I54" i="32"/>
  <c r="I54" i="31"/>
  <c r="I86" i="31"/>
  <c r="I87" i="31" s="1"/>
  <c r="K89" i="31" s="1"/>
  <c r="I67" i="31"/>
  <c r="I72" i="31" s="1"/>
  <c r="I74" i="31" s="1"/>
  <c r="I82" i="31"/>
  <c r="I83" i="31" s="1"/>
  <c r="K85" i="31" s="1"/>
  <c r="F105" i="31"/>
  <c r="D20" i="22"/>
  <c r="O7" i="17"/>
  <c r="Q7" i="17" s="1"/>
  <c r="H122" i="31" l="1"/>
  <c r="I134" i="31" s="1"/>
  <c r="I135" i="31" s="1"/>
  <c r="K136" i="31" s="1"/>
  <c r="I164" i="31"/>
  <c r="H113" i="32"/>
  <c r="E113" i="32"/>
  <c r="E119" i="32" s="1"/>
  <c r="F117" i="32" s="1"/>
  <c r="G121" i="32" s="1"/>
  <c r="E128" i="32"/>
  <c r="L105" i="32"/>
  <c r="I76" i="32"/>
  <c r="I77" i="32" s="1"/>
  <c r="K78" i="32" s="1"/>
  <c r="K75" i="32"/>
  <c r="I68" i="32"/>
  <c r="I55" i="32"/>
  <c r="I59" i="32"/>
  <c r="I61" i="32" s="1"/>
  <c r="I55" i="31"/>
  <c r="I59" i="31"/>
  <c r="I61" i="31" s="1"/>
  <c r="I68" i="31"/>
  <c r="K75" i="31"/>
  <c r="I76" i="31"/>
  <c r="I77" i="31" s="1"/>
  <c r="K78" i="31" s="1"/>
  <c r="E113" i="31"/>
  <c r="E119" i="31" s="1"/>
  <c r="H113" i="31"/>
  <c r="L105" i="31"/>
  <c r="E128" i="31"/>
  <c r="I164" i="32"/>
  <c r="H122" i="32"/>
  <c r="I134" i="32" s="1"/>
  <c r="D16" i="14"/>
  <c r="C17" i="14"/>
  <c r="D17" i="14"/>
  <c r="C18" i="14"/>
  <c r="D18" i="14"/>
  <c r="C19" i="14"/>
  <c r="D19" i="14"/>
  <c r="I140" i="31" l="1"/>
  <c r="I142" i="31" s="1"/>
  <c r="K143" i="31" s="1"/>
  <c r="J124" i="32"/>
  <c r="J113" i="32"/>
  <c r="I163" i="32"/>
  <c r="L118" i="32"/>
  <c r="L110" i="32" s="1"/>
  <c r="L130" i="32"/>
  <c r="I63" i="32"/>
  <c r="I64" i="32" s="1"/>
  <c r="K65" i="32" s="1"/>
  <c r="K62" i="32"/>
  <c r="I63" i="31"/>
  <c r="I64" i="31" s="1"/>
  <c r="K65" i="31" s="1"/>
  <c r="K62" i="31"/>
  <c r="J124" i="31"/>
  <c r="J113" i="31"/>
  <c r="I163" i="31"/>
  <c r="L118" i="31"/>
  <c r="L110" i="31" s="1"/>
  <c r="L130" i="31"/>
  <c r="I135" i="32"/>
  <c r="K136" i="32" s="1"/>
  <c r="I140" i="32"/>
  <c r="I142" i="32" s="1"/>
  <c r="F117" i="31"/>
  <c r="G121" i="31" s="1"/>
  <c r="J7" i="17"/>
  <c r="H8" i="17"/>
  <c r="J8" i="17"/>
  <c r="H11" i="17"/>
  <c r="J16" i="17"/>
  <c r="I144" i="31" l="1"/>
  <c r="I145" i="31" s="1"/>
  <c r="K146" i="31" s="1"/>
  <c r="I169" i="32"/>
  <c r="I170" i="32" s="1"/>
  <c r="K171" i="32" s="1"/>
  <c r="I166" i="32"/>
  <c r="I149" i="32"/>
  <c r="K149" i="32" s="1"/>
  <c r="I148" i="32"/>
  <c r="I154" i="32" s="1"/>
  <c r="I156" i="32" s="1"/>
  <c r="I166" i="31"/>
  <c r="I169" i="31"/>
  <c r="I170" i="31" s="1"/>
  <c r="K171" i="31" s="1"/>
  <c r="I148" i="31"/>
  <c r="I154" i="31" s="1"/>
  <c r="I156" i="31" s="1"/>
  <c r="I149" i="31"/>
  <c r="K149" i="31" s="1"/>
  <c r="I144" i="32"/>
  <c r="I145" i="32" s="1"/>
  <c r="K146" i="32" s="1"/>
  <c r="K143" i="32"/>
  <c r="P11" i="20"/>
  <c r="I158" i="32" l="1"/>
  <c r="I159" i="32" s="1"/>
  <c r="K160" i="32" s="1"/>
  <c r="K157" i="32"/>
  <c r="I158" i="31"/>
  <c r="I159" i="31" s="1"/>
  <c r="K160" i="31" s="1"/>
  <c r="K157" i="31"/>
  <c r="R20" i="20"/>
  <c r="Q20" i="20"/>
  <c r="P20" i="20"/>
  <c r="O20" i="20"/>
  <c r="S20" i="20" l="1"/>
  <c r="I51" i="20"/>
  <c r="I136" i="20" s="1"/>
  <c r="I50" i="20"/>
  <c r="D19" i="23" l="1"/>
  <c r="D12" i="23" l="1"/>
  <c r="D25" i="23"/>
  <c r="G9" i="15" l="1"/>
  <c r="J23" i="20" l="1"/>
  <c r="D45" i="22"/>
  <c r="B45" i="22"/>
  <c r="B41" i="22"/>
  <c r="D40" i="22"/>
  <c r="A40" i="22"/>
  <c r="D38" i="22"/>
  <c r="A38" i="22"/>
  <c r="D37" i="22"/>
  <c r="A37" i="22"/>
  <c r="B35" i="22"/>
  <c r="E33" i="22"/>
  <c r="A33" i="22"/>
  <c r="B32" i="22"/>
  <c r="E30" i="22"/>
  <c r="A30" i="22"/>
  <c r="B29" i="22"/>
  <c r="E28" i="22"/>
  <c r="A27" i="22"/>
  <c r="D25" i="22"/>
  <c r="O24" i="22"/>
  <c r="I19" i="22"/>
  <c r="G16" i="22"/>
  <c r="A13" i="22"/>
  <c r="G12" i="22"/>
  <c r="A12" i="22"/>
  <c r="I10" i="22"/>
  <c r="I9" i="22" s="1"/>
  <c r="G11" i="22"/>
  <c r="A11" i="22"/>
  <c r="O10" i="22"/>
  <c r="A10" i="22"/>
  <c r="K9" i="22"/>
  <c r="A6" i="22"/>
  <c r="A5" i="22"/>
  <c r="F4" i="22"/>
  <c r="M9" i="22"/>
  <c r="B38" i="22"/>
  <c r="B39" i="22" s="1"/>
  <c r="G13" i="22" l="1"/>
  <c r="B22" i="22"/>
  <c r="D22" i="22" s="1"/>
  <c r="D23" i="22" s="1"/>
  <c r="G14" i="22"/>
  <c r="G15" i="22" s="1"/>
  <c r="G17" i="22" s="1"/>
  <c r="O14" i="22"/>
  <c r="D26" i="22"/>
  <c r="J9" i="22"/>
  <c r="E38" i="22"/>
  <c r="E39" i="22" s="1"/>
  <c r="B40" i="22"/>
  <c r="F27" i="22"/>
  <c r="G6" i="22"/>
  <c r="B43" i="22" l="1"/>
  <c r="G10" i="22"/>
  <c r="G18" i="22" s="1"/>
  <c r="E19" i="22" s="1"/>
  <c r="D10" i="22"/>
  <c r="B27" i="22"/>
  <c r="D27" i="22" s="1"/>
  <c r="C29" i="22" s="1"/>
  <c r="C10" i="22"/>
  <c r="B42" i="22"/>
  <c r="C42" i="22" s="1"/>
  <c r="H4" i="22"/>
  <c r="H5" i="22" s="1"/>
  <c r="H6" i="22" s="1"/>
  <c r="O6" i="22"/>
  <c r="J4" i="22"/>
  <c r="L2" i="22" s="1"/>
  <c r="B33" i="22"/>
  <c r="D33" i="22" s="1"/>
  <c r="D17" i="22" s="1"/>
  <c r="D18" i="22" s="1"/>
  <c r="P12" i="22"/>
  <c r="P13" i="22" s="1"/>
  <c r="P14" i="22" s="1"/>
  <c r="I5" i="22"/>
  <c r="I6" i="22" s="1"/>
  <c r="I7" i="22" s="1"/>
  <c r="D12" i="22" l="1"/>
  <c r="O19" i="22" s="1"/>
  <c r="C13" i="22"/>
  <c r="C12" i="22" s="1"/>
  <c r="C35" i="22"/>
  <c r="N2" i="22"/>
  <c r="O2" i="22" s="1"/>
  <c r="N3" i="22"/>
  <c r="O3" i="22" s="1"/>
  <c r="N11" i="22"/>
  <c r="N10" i="22" s="1"/>
  <c r="E40" i="22"/>
  <c r="E43" i="22" s="1"/>
  <c r="C45" i="22" s="1"/>
  <c r="C11" i="22"/>
  <c r="C14" i="22" l="1"/>
  <c r="D14" i="22" s="1"/>
  <c r="B30" i="22" s="1"/>
  <c r="D21" i="22"/>
  <c r="B23" i="22" s="1"/>
  <c r="E22" i="22" s="1"/>
  <c r="D30" i="22" l="1"/>
  <c r="C32" i="22" s="1"/>
  <c r="D15" i="22"/>
  <c r="AK14" i="19" l="1"/>
  <c r="B4" i="19" s="1"/>
  <c r="D6" i="19"/>
  <c r="D5" i="19"/>
  <c r="D4" i="19"/>
  <c r="I186" i="20" l="1"/>
  <c r="I185" i="20"/>
  <c r="I184" i="20"/>
  <c r="I183" i="20"/>
  <c r="I182" i="20"/>
  <c r="I181" i="20"/>
  <c r="I180" i="20"/>
  <c r="I179" i="20"/>
  <c r="I174" i="20"/>
  <c r="I157" i="20"/>
  <c r="I152" i="20"/>
  <c r="I143" i="20"/>
  <c r="I138" i="20"/>
  <c r="E107" i="20"/>
  <c r="C100" i="20"/>
  <c r="I93" i="20"/>
  <c r="I89" i="20"/>
  <c r="I85" i="20"/>
  <c r="I81" i="20"/>
  <c r="M38" i="20"/>
  <c r="M37" i="20"/>
  <c r="I34" i="20"/>
  <c r="E31" i="20"/>
  <c r="E30" i="20"/>
  <c r="E29" i="20"/>
  <c r="E28" i="20"/>
  <c r="E27" i="20"/>
  <c r="E26" i="20"/>
  <c r="L24" i="20"/>
  <c r="I14" i="20"/>
  <c r="C8" i="20"/>
  <c r="A8" i="20"/>
  <c r="I177" i="20" s="1"/>
  <c r="L2" i="20"/>
  <c r="I178" i="20" s="1"/>
  <c r="F2" i="20"/>
  <c r="I176" i="20" s="1"/>
  <c r="M14" i="20" l="1"/>
  <c r="C5" i="20"/>
  <c r="C10" i="20" s="1"/>
  <c r="I167" i="20"/>
  <c r="I168" i="20" s="1"/>
  <c r="I150" i="20"/>
  <c r="I139" i="20"/>
  <c r="I58" i="20"/>
  <c r="I71" i="20"/>
  <c r="I70" i="20"/>
  <c r="I62" i="20"/>
  <c r="F107" i="20"/>
  <c r="M107" i="20"/>
  <c r="K107" i="20" s="1"/>
  <c r="I75" i="20"/>
  <c r="I175" i="20"/>
  <c r="I2" i="20"/>
  <c r="H16" i="20" s="1"/>
  <c r="I57" i="20"/>
  <c r="J21" i="20" l="1"/>
  <c r="J22" i="20" s="1"/>
  <c r="I67" i="20"/>
  <c r="I72" i="20" s="1"/>
  <c r="I74" i="20" s="1"/>
  <c r="I153" i="20"/>
  <c r="K150" i="20"/>
  <c r="I86" i="20" l="1"/>
  <c r="I87" i="20" s="1"/>
  <c r="K89" i="20" s="1"/>
  <c r="I35" i="20"/>
  <c r="I82" i="20"/>
  <c r="I83" i="20" s="1"/>
  <c r="K85" i="20" s="1"/>
  <c r="F105" i="20"/>
  <c r="L105" i="20" s="1"/>
  <c r="I54" i="20"/>
  <c r="I59" i="20" s="1"/>
  <c r="I61" i="20" s="1"/>
  <c r="I76" i="20"/>
  <c r="I77" i="20" s="1"/>
  <c r="K78" i="20" s="1"/>
  <c r="K75" i="20"/>
  <c r="I164" i="20" l="1"/>
  <c r="H122" i="20"/>
  <c r="I134" i="20" s="1"/>
  <c r="I37" i="20"/>
  <c r="I38" i="20" s="1"/>
  <c r="E113" i="20"/>
  <c r="E119" i="20" s="1"/>
  <c r="E128" i="20"/>
  <c r="H113" i="20"/>
  <c r="I55" i="20"/>
  <c r="I68" i="20"/>
  <c r="I63" i="20"/>
  <c r="I64" i="20" s="1"/>
  <c r="K65" i="20" s="1"/>
  <c r="K62" i="20"/>
  <c r="L130" i="20"/>
  <c r="L118" i="20"/>
  <c r="L110" i="20" s="1"/>
  <c r="J113" i="20"/>
  <c r="I163" i="20"/>
  <c r="J124" i="20"/>
  <c r="I135" i="20" l="1"/>
  <c r="K136" i="20" s="1"/>
  <c r="I148" i="20"/>
  <c r="I154" i="20" s="1"/>
  <c r="I156" i="20" s="1"/>
  <c r="I149" i="20"/>
  <c r="K149" i="20" s="1"/>
  <c r="F117" i="20"/>
  <c r="G121" i="20" s="1"/>
  <c r="I166" i="20"/>
  <c r="I169" i="20"/>
  <c r="I170" i="20" l="1"/>
  <c r="K171" i="20" s="1"/>
  <c r="I140" i="20"/>
  <c r="I158" i="20"/>
  <c r="I159" i="20" s="1"/>
  <c r="K160" i="20" s="1"/>
  <c r="K157" i="20"/>
  <c r="I142" i="20" l="1"/>
  <c r="I144" i="20" s="1"/>
  <c r="I145" i="20" s="1"/>
  <c r="K146" i="20" s="1"/>
  <c r="C6" i="19"/>
  <c r="C5" i="19"/>
  <c r="C4" i="19"/>
  <c r="F4" i="19" s="1"/>
  <c r="AK16" i="19"/>
  <c r="B6" i="19" s="1"/>
  <c r="AK15" i="19"/>
  <c r="B5" i="19" s="1"/>
  <c r="E5" i="19" s="1"/>
  <c r="L9" i="19"/>
  <c r="M8" i="19"/>
  <c r="L8" i="19"/>
  <c r="M7" i="19"/>
  <c r="L7" i="19"/>
  <c r="M6" i="19"/>
  <c r="L6" i="19"/>
  <c r="M5" i="19"/>
  <c r="L5" i="19"/>
  <c r="M4" i="19"/>
  <c r="L4" i="19"/>
  <c r="K143" i="20" l="1"/>
  <c r="E4" i="19"/>
  <c r="F6" i="19"/>
  <c r="F5" i="19"/>
  <c r="I16" i="19"/>
  <c r="E6" i="19"/>
  <c r="E9" i="19" l="1"/>
  <c r="F9" i="19"/>
  <c r="C14" i="19" l="1"/>
  <c r="D74" i="15" l="1"/>
  <c r="E75" i="15" s="1"/>
  <c r="G69" i="15"/>
  <c r="E52" i="15"/>
  <c r="E50" i="15"/>
  <c r="D5" i="23" l="1"/>
  <c r="F70" i="15" l="1"/>
  <c r="E59" i="15"/>
  <c r="E60" i="15" s="1"/>
  <c r="E61" i="15" s="1"/>
  <c r="C56" i="15"/>
  <c r="E36" i="15"/>
  <c r="G21" i="15"/>
  <c r="G43" i="15"/>
  <c r="E62" i="15" l="1"/>
  <c r="D68" i="15"/>
  <c r="D69" i="15" s="1"/>
  <c r="E54" i="15"/>
  <c r="E70" i="15" l="1"/>
  <c r="E71" i="15"/>
  <c r="E45" i="15"/>
  <c r="G18" i="15"/>
  <c r="E63" i="15"/>
  <c r="I23" i="15"/>
  <c r="F72" i="15" l="1"/>
  <c r="F76" i="15"/>
  <c r="O12" i="17" l="1"/>
  <c r="Q12" i="17" s="1"/>
  <c r="O11" i="17"/>
  <c r="Q11" i="17" s="1"/>
  <c r="O15" i="17"/>
  <c r="Q15" i="17" s="1"/>
  <c r="O8" i="17"/>
  <c r="Q8" i="17" s="1"/>
  <c r="O16" i="17"/>
  <c r="Q16" i="17" s="1"/>
  <c r="O9" i="17"/>
  <c r="Q9" i="17" s="1"/>
  <c r="O13" i="17" l="1"/>
  <c r="Q13" i="17" s="1"/>
  <c r="O14" i="17"/>
  <c r="Q14" i="17" s="1"/>
  <c r="O10" i="17"/>
  <c r="Q10" i="17" s="1"/>
</calcChain>
</file>

<file path=xl/sharedStrings.xml><?xml version="1.0" encoding="utf-8"?>
<sst xmlns="http://schemas.openxmlformats.org/spreadsheetml/2006/main" count="2586" uniqueCount="480">
  <si>
    <t>Wall load calculation</t>
  </si>
  <si>
    <t>9" wall(on grid)</t>
  </si>
  <si>
    <t>B`</t>
  </si>
  <si>
    <t>Density</t>
  </si>
  <si>
    <t>H</t>
  </si>
  <si>
    <t>Without opening</t>
  </si>
  <si>
    <t>With opening</t>
  </si>
  <si>
    <t>Unit</t>
  </si>
  <si>
    <t>Adopted value</t>
  </si>
  <si>
    <t>4" wall (on grid)</t>
  </si>
  <si>
    <t>KN/m</t>
  </si>
  <si>
    <t>Parapet wall</t>
  </si>
  <si>
    <t>Wall Load</t>
  </si>
  <si>
    <t>(Assuming 30 % opening)</t>
  </si>
  <si>
    <t>Staircase Load Calculation:</t>
  </si>
  <si>
    <t xml:space="preserve">Total staircase area (A) </t>
  </si>
  <si>
    <t xml:space="preserve"> m2 </t>
  </si>
  <si>
    <t xml:space="preserve">Increase 20% for sloped area. </t>
  </si>
  <si>
    <t>Hence, A’</t>
  </si>
  <si>
    <t>Overall Depth of waist slab (D) =</t>
  </si>
  <si>
    <t xml:space="preserve">Dead Load: </t>
  </si>
  <si>
    <t xml:space="preserve">•Total Dead Load </t>
  </si>
  <si>
    <t xml:space="preserve">•Taking half load for staircase </t>
  </si>
  <si>
    <t>•Beam Length</t>
  </si>
  <si>
    <t xml:space="preserve">•UDL = </t>
  </si>
  <si>
    <t xml:space="preserve">Live Load: </t>
  </si>
  <si>
    <t>mm</t>
  </si>
  <si>
    <t>N/mm2</t>
  </si>
  <si>
    <t>KN/m2</t>
  </si>
  <si>
    <t>KN</t>
  </si>
  <si>
    <t>mm2</t>
  </si>
  <si>
    <t>m</t>
  </si>
  <si>
    <t>B1</t>
  </si>
  <si>
    <t>kN</t>
  </si>
  <si>
    <t>B</t>
  </si>
  <si>
    <t>B2</t>
  </si>
  <si>
    <t>L</t>
  </si>
  <si>
    <t>a</t>
  </si>
  <si>
    <t>b</t>
  </si>
  <si>
    <t>=</t>
  </si>
  <si>
    <t>T1</t>
  </si>
  <si>
    <t>seconds</t>
  </si>
  <si>
    <t>m2</t>
  </si>
  <si>
    <t>SCALE FACTOR</t>
  </si>
  <si>
    <t>mm/s2</t>
  </si>
  <si>
    <t>BASE SHEAR STATIC</t>
  </si>
  <si>
    <t>X</t>
  </si>
  <si>
    <t>Y</t>
  </si>
  <si>
    <t>BASE SHEAR DYNAMIC</t>
  </si>
  <si>
    <t>Axial Load =</t>
  </si>
  <si>
    <t>A</t>
  </si>
  <si>
    <t>d=</t>
  </si>
  <si>
    <t>D=</t>
  </si>
  <si>
    <t>Bc=</t>
  </si>
  <si>
    <t>L1 =</t>
  </si>
  <si>
    <t>L2 =</t>
  </si>
  <si>
    <t>c/c distance =</t>
  </si>
  <si>
    <t>B =</t>
  </si>
  <si>
    <t>PA</t>
  </si>
  <si>
    <t>PB</t>
  </si>
  <si>
    <t>SAFE BEARING CAPACITY, SBC</t>
  </si>
  <si>
    <t>Areqd, A</t>
  </si>
  <si>
    <t>i.e,</t>
  </si>
  <si>
    <t>BL1+BL2</t>
  </si>
  <si>
    <t>cg of Forces from B, X</t>
  </si>
  <si>
    <t>Let, B</t>
  </si>
  <si>
    <t>c</t>
  </si>
  <si>
    <t>L1</t>
  </si>
  <si>
    <t>say, L1 =</t>
  </si>
  <si>
    <t>L2</t>
  </si>
  <si>
    <t>say, L2 =</t>
  </si>
  <si>
    <t>NET SOIL PRESSURE UNDER THE FOOTING</t>
  </si>
  <si>
    <t>ASSUMED DEPTH OF PAD</t>
  </si>
  <si>
    <t>ASSUMED DEPTH OF STRAP BEAM</t>
  </si>
  <si>
    <t>ASSUMED WIDTH OF STRAP BEAM</t>
  </si>
  <si>
    <t>CLEAR COVER TO MAIN REINF</t>
  </si>
  <si>
    <t>GRADE OF CONCRETE</t>
  </si>
  <si>
    <t>GRADE OF REINF</t>
  </si>
  <si>
    <t>DIA OF STRAP BEAM MAIN REINF</t>
  </si>
  <si>
    <t>DIA OF STRAP BEAM SHEAR REINF</t>
  </si>
  <si>
    <t>DIA OF PAD REINF</t>
  </si>
  <si>
    <t>EFFECTIVE DEPTH OF PAD</t>
  </si>
  <si>
    <t>EFFECTIVE DEPTH OF STRAP BEAM</t>
  </si>
  <si>
    <t>BENDING MOMENT AT BASE PAD</t>
  </si>
  <si>
    <t>AT EXTERIOR FOOTING A, Mu</t>
  </si>
  <si>
    <t>KN-m</t>
  </si>
  <si>
    <t>dreqd</t>
  </si>
  <si>
    <t>Mu = 0.87fy Ast(d-fy Ast/fck B)</t>
  </si>
  <si>
    <t>a =</t>
  </si>
  <si>
    <r>
      <t>0.87fy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Times New Roman"/>
        <family val="2"/>
      </rPr>
      <t>/fckB =</t>
    </r>
  </si>
  <si>
    <t>b =</t>
  </si>
  <si>
    <t>-0.87fyd =</t>
  </si>
  <si>
    <t>c =</t>
  </si>
  <si>
    <t>Mu =</t>
  </si>
  <si>
    <t>Ast,reqd</t>
  </si>
  <si>
    <t>Ast,min</t>
  </si>
  <si>
    <t>Ast</t>
  </si>
  <si>
    <t>Spacing,required</t>
  </si>
  <si>
    <t>Spacing,provided</t>
  </si>
  <si>
    <t>AT EXTERIOR FOOTING B, Mu</t>
  </si>
  <si>
    <t>PAD SHEAR (ONE WAY SHEAR)</t>
  </si>
  <si>
    <t>EFFECTIVE DEPTH, d</t>
  </si>
  <si>
    <t>AT EXTERIOR FOOTING A, Vu</t>
  </si>
  <si>
    <r>
      <t xml:space="preserve">NOMINAL SHEAR STRESS,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v</t>
    </r>
  </si>
  <si>
    <t>ks</t>
  </si>
  <si>
    <r>
      <t>ks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</si>
  <si>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AT EXTERIOR FOOTING B, Vu</t>
  </si>
  <si>
    <t>STRAP BEAM</t>
  </si>
  <si>
    <t>SFD (KN)</t>
  </si>
  <si>
    <t>BMD (KNm)</t>
  </si>
  <si>
    <t>DESIGN OF STRAP BEAM FOR BM</t>
  </si>
  <si>
    <t>FOR TOP REINFORCEMENT, Mu</t>
  </si>
  <si>
    <t>dprovided</t>
  </si>
  <si>
    <t>NO OF TOP BARS REQUIRED</t>
  </si>
  <si>
    <t>NO OF TOP BARS PROVIDED</t>
  </si>
  <si>
    <t>FOR BOTTOM REINFORCEMENT, Mu</t>
  </si>
  <si>
    <t>DESIGN OF STRAP BEAM FOR SHEAR</t>
  </si>
  <si>
    <t>SF AT d FROM COLUMN FACE B TOWARDS A</t>
  </si>
  <si>
    <t>SF AT d FROM COLUMN FACE A TOWARDS B</t>
  </si>
  <si>
    <t>%p</t>
  </si>
  <si>
    <t>%</t>
  </si>
  <si>
    <r>
      <t xml:space="preserve">SHEAR STRENGTH OF CONCRETE,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</si>
  <si>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Vus</t>
  </si>
  <si>
    <t>SPACING OF STIRRUPS REQUIRED</t>
  </si>
  <si>
    <t>SPACING OF STIRRUPS PROVIDED</t>
  </si>
  <si>
    <t>SUMMARY OF FOUDNATION</t>
  </si>
  <si>
    <t>THICKNESS OF PAD</t>
  </si>
  <si>
    <t>WIDTH OF EXTERIOR ACROSS STRAP</t>
  </si>
  <si>
    <t>LENGTH OF EXTERIOR ALONG STRAP</t>
  </si>
  <si>
    <t>WIDTH OF INTERIOR ACROSS STRAP</t>
  </si>
  <si>
    <t>LENGTH OF INTERIOR ALONG STRAP</t>
  </si>
  <si>
    <t>PAD REBAR</t>
  </si>
  <si>
    <t>DEPTH OF STRAP BEAM</t>
  </si>
  <si>
    <t>WIDTH OF STRAP BEAM</t>
  </si>
  <si>
    <t>TOP BAR OF STRAP BEAM</t>
  </si>
  <si>
    <t>BOTTOM BAR OF STRAP BEAM</t>
  </si>
  <si>
    <t>STIRRUPS OF STRAP BEAM</t>
  </si>
  <si>
    <t>CLEAR COVER TO REINF</t>
  </si>
  <si>
    <t>Story</t>
  </si>
  <si>
    <t>Label</t>
  </si>
  <si>
    <t>Unique Name</t>
  </si>
  <si>
    <t>Output Case</t>
  </si>
  <si>
    <t>FZ</t>
  </si>
  <si>
    <t>Base</t>
  </si>
  <si>
    <t>kt</t>
  </si>
  <si>
    <t>The approximate fundamental time period as per</t>
  </si>
  <si>
    <t>Ta</t>
  </si>
  <si>
    <t>K</t>
  </si>
  <si>
    <t>ULS EQX</t>
  </si>
  <si>
    <t>LinStatic</t>
  </si>
  <si>
    <t>ULS EQY</t>
  </si>
  <si>
    <t>SLS EQY</t>
  </si>
  <si>
    <t>SLS EQX</t>
  </si>
  <si>
    <t>uls rsx</t>
  </si>
  <si>
    <t>LinRespSpec</t>
  </si>
  <si>
    <t>Max</t>
  </si>
  <si>
    <t>uls rsy</t>
  </si>
  <si>
    <t>sls rsx</t>
  </si>
  <si>
    <t>sls rsy</t>
  </si>
  <si>
    <t>for RSx ULS=</t>
  </si>
  <si>
    <t>for RSy ULS=</t>
  </si>
  <si>
    <t>for RSx SLS=</t>
  </si>
  <si>
    <t>for RSy SLS=</t>
  </si>
  <si>
    <t>SCALED BASE SHEAR</t>
  </si>
  <si>
    <t>RSx ULS</t>
  </si>
  <si>
    <t>RSy ULS</t>
  </si>
  <si>
    <t>RSx SLS</t>
  </si>
  <si>
    <t>RSy SLS</t>
  </si>
  <si>
    <t>Joint level</t>
  </si>
  <si>
    <t>Unfactored load</t>
  </si>
  <si>
    <t>Footing size(ft)</t>
  </si>
  <si>
    <t>Depth of footing pad</t>
  </si>
  <si>
    <t>Reinforecement bar</t>
  </si>
  <si>
    <t>Provided</t>
  </si>
  <si>
    <t>footing size in feet</t>
  </si>
  <si>
    <t>6X6</t>
  </si>
  <si>
    <t>A2</t>
  </si>
  <si>
    <t>1.2DL+1.5LL</t>
  </si>
  <si>
    <t>Isolated Footing Design</t>
  </si>
  <si>
    <t>Foundation Type :</t>
  </si>
  <si>
    <t>F1</t>
  </si>
  <si>
    <t>Required Data</t>
  </si>
  <si>
    <t xml:space="preserve"> size of colunm=</t>
  </si>
  <si>
    <t>l =</t>
  </si>
  <si>
    <t>Bearing Capacity of Soil=</t>
  </si>
  <si>
    <t>KN/m²</t>
  </si>
  <si>
    <t>Strength of Steel (fy)=</t>
  </si>
  <si>
    <t>N/mm²</t>
  </si>
  <si>
    <t>Strength of Concrete (fck)=</t>
  </si>
  <si>
    <t>Factor Load=</t>
  </si>
  <si>
    <t>Approximate area of footing=</t>
  </si>
  <si>
    <t>m²</t>
  </si>
  <si>
    <t>Weight of footing including earth=</t>
  </si>
  <si>
    <t>Total weight on soil=</t>
  </si>
  <si>
    <t>Actual Area=</t>
  </si>
  <si>
    <t>Size of Square Footing =</t>
  </si>
  <si>
    <t>Adopted size=</t>
  </si>
  <si>
    <t>L =</t>
  </si>
  <si>
    <t>Actual area of footing =</t>
  </si>
  <si>
    <t>Net Pressure acting upwads =</t>
  </si>
  <si>
    <t>B. M. at the face of column about an axis  =</t>
  </si>
  <si>
    <t>The effective depth required is given by</t>
  </si>
  <si>
    <t xml:space="preserve">   </t>
  </si>
  <si>
    <t>BM= 0.138 fck*bd^2</t>
  </si>
  <si>
    <t>Adopt d = 2 to 3 Times of calculated value of d for Shear considerations.</t>
  </si>
  <si>
    <t>Adop. d=</t>
  </si>
  <si>
    <t>Check for one-way Shear action</t>
  </si>
  <si>
    <t>The critical section is taken at distance d away from the face of column</t>
  </si>
  <si>
    <t>Shear force Vu=</t>
  </si>
  <si>
    <t>Nominal shear stress (Tv) =</t>
  </si>
  <si>
    <t>Vu/b*d =</t>
  </si>
  <si>
    <t>Allowable Shear Stress of Concrete for pt% of Steel &lt; = 0.15 &amp;</t>
  </si>
  <si>
    <t>For 0.165%</t>
  </si>
  <si>
    <t>Tc =</t>
  </si>
  <si>
    <t>N/sq.mm</t>
  </si>
  <si>
    <t>(From IS 456: 2000, table 19)</t>
  </si>
  <si>
    <t>Hence,</t>
  </si>
  <si>
    <t>Tc should be equal to or greater than Tv</t>
  </si>
  <si>
    <t>Check for two-way Shear action</t>
  </si>
  <si>
    <t>The critical section is taken at a distance of  0.5d away from the face  of column ,</t>
  </si>
  <si>
    <t>Nominal Shear Stress(Tv) = Vu/b'd  (Where b' is the periphery of critical section )</t>
  </si>
  <si>
    <t xml:space="preserve">and </t>
  </si>
  <si>
    <t>b' =</t>
  </si>
  <si>
    <t>So, Nominal Shear Stress(Tv) =</t>
  </si>
  <si>
    <t>Shear Strength of concrete is</t>
  </si>
  <si>
    <t>T'c =</t>
  </si>
  <si>
    <t>Ks*Tc</t>
  </si>
  <si>
    <t>Where Ks=(0.5+Bc)</t>
  </si>
  <si>
    <t>Bc=length of shorter side of column/length  of longer side of column</t>
  </si>
  <si>
    <t>Ks=</t>
  </si>
  <si>
    <t>should not be greater than 1</t>
  </si>
  <si>
    <t>Take(Ks)=</t>
  </si>
  <si>
    <t>T'c=</t>
  </si>
  <si>
    <t>T'c should be greater than Tv</t>
  </si>
  <si>
    <t>Area of Steel Calculation,</t>
  </si>
  <si>
    <t>Area of Steel is given by formula,  BM = 0.87* fy* At*{d-fy*At/(fck*b)}</t>
  </si>
  <si>
    <t>Then,</t>
  </si>
  <si>
    <t>Ast =</t>
  </si>
  <si>
    <t>sq.mm</t>
  </si>
  <si>
    <t>&gt; Ast min</t>
  </si>
  <si>
    <t>= 0.12% of b * d</t>
  </si>
  <si>
    <t>Ast per m =</t>
  </si>
  <si>
    <t>mm²</t>
  </si>
  <si>
    <t>Req. Area of steel =</t>
  </si>
  <si>
    <t>% of steel=</t>
  </si>
  <si>
    <t xml:space="preserve"> Steel requied as</t>
  </si>
  <si>
    <t>mm bar @</t>
  </si>
  <si>
    <t>mm c/c distance.</t>
  </si>
  <si>
    <t>Provide Steel as =</t>
  </si>
  <si>
    <t>Provided steel =</t>
  </si>
  <si>
    <t/>
  </si>
  <si>
    <t>25</t>
  </si>
  <si>
    <t>D1</t>
  </si>
  <si>
    <t>D2</t>
  </si>
  <si>
    <t>D3</t>
  </si>
  <si>
    <t xml:space="preserve"> </t>
  </si>
  <si>
    <t>Rayleigh method</t>
  </si>
  <si>
    <t>W</t>
  </si>
  <si>
    <t>TABLE:  Diaphragm Center Of Mass Displacements</t>
  </si>
  <si>
    <t>TABLE:  Story Response</t>
  </si>
  <si>
    <t>Weight of floor(KN)</t>
  </si>
  <si>
    <t>Lateral load</t>
  </si>
  <si>
    <t>Deflection</t>
  </si>
  <si>
    <t>Wi*d^2</t>
  </si>
  <si>
    <t>L*d</t>
  </si>
  <si>
    <t>UY</t>
  </si>
  <si>
    <t>UZ</t>
  </si>
  <si>
    <t>D</t>
  </si>
  <si>
    <t>Diaphragm</t>
  </si>
  <si>
    <t>Case Type</t>
  </si>
  <si>
    <t>Step Type</t>
  </si>
  <si>
    <t>Step Number</t>
  </si>
  <si>
    <t>UX</t>
  </si>
  <si>
    <t>RZ</t>
  </si>
  <si>
    <t>Point</t>
  </si>
  <si>
    <t>Z</t>
  </si>
  <si>
    <t>Elevation</t>
  </si>
  <si>
    <t>Location</t>
  </si>
  <si>
    <t>X-Dir</t>
  </si>
  <si>
    <t>Y-Dir</t>
  </si>
  <si>
    <t>kg</t>
  </si>
  <si>
    <t>rad</t>
  </si>
  <si>
    <t>Top</t>
  </si>
  <si>
    <t>Story3</t>
  </si>
  <si>
    <t>Story2</t>
  </si>
  <si>
    <t>Story1</t>
  </si>
  <si>
    <t>TABLE:  Mass Summary by Diaphragm</t>
  </si>
  <si>
    <t>Mass X</t>
  </si>
  <si>
    <t>Mass Y</t>
  </si>
  <si>
    <t>Mass Moment of Inertia</t>
  </si>
  <si>
    <t>X Mass Center</t>
  </si>
  <si>
    <t>Y Mass Center</t>
  </si>
  <si>
    <t>ton-m²</t>
  </si>
  <si>
    <t>T=</t>
  </si>
  <si>
    <t>Modal</t>
  </si>
  <si>
    <t>LinModEigen</t>
  </si>
  <si>
    <t>Mode</t>
  </si>
  <si>
    <t>Dead</t>
  </si>
  <si>
    <t>Live</t>
  </si>
  <si>
    <t>WALL</t>
  </si>
  <si>
    <t>ROOF LIVE</t>
  </si>
  <si>
    <t>FF</t>
  </si>
  <si>
    <t>DL</t>
  </si>
  <si>
    <t>Combination</t>
  </si>
  <si>
    <t>LL</t>
  </si>
  <si>
    <t>DL+.3LL-ULSEQX</t>
  </si>
  <si>
    <t>DL+.3LL+SLSEQX</t>
  </si>
  <si>
    <t>DL+.3LL+uls rsx</t>
  </si>
  <si>
    <t>Min</t>
  </si>
  <si>
    <t>DL+.3LL+uls rsy</t>
  </si>
  <si>
    <t>DL+.3LL+slsrsx</t>
  </si>
  <si>
    <t>DL+.3LL+sls rsy</t>
  </si>
  <si>
    <t>DL+.3LL+SLSEQY</t>
  </si>
  <si>
    <t>DL+.3LL-SLSEQX</t>
  </si>
  <si>
    <t>DL+.3LL-SLSEQY</t>
  </si>
  <si>
    <t>DL+.3LL+ULSEQX</t>
  </si>
  <si>
    <t>DL+.3LL+ULSEQY</t>
  </si>
  <si>
    <t>DL+.3LL-ULSEQY</t>
  </si>
  <si>
    <t>55</t>
  </si>
  <si>
    <t>81</t>
  </si>
  <si>
    <t>Step By Step</t>
  </si>
  <si>
    <t>step Dead</t>
  </si>
  <si>
    <t>Tr</t>
  </si>
  <si>
    <t>DIMENISON OF COMBINED FLAT FOOTING</t>
  </si>
  <si>
    <t>EQ checking</t>
  </si>
  <si>
    <t>FAC.</t>
  </si>
  <si>
    <t>SBC</t>
  </si>
  <si>
    <t>Area Required</t>
  </si>
  <si>
    <t>LEFT PROJ.</t>
  </si>
  <si>
    <t>e</t>
  </si>
  <si>
    <t>PMAX</t>
  </si>
  <si>
    <t>PROJECT LEFT</t>
  </si>
  <si>
    <t>Width Provied</t>
  </si>
  <si>
    <t>RIGHT PROJ.</t>
  </si>
  <si>
    <t>PMIN</t>
  </si>
  <si>
    <r>
      <t>kN/m</t>
    </r>
    <r>
      <rPr>
        <vertAlign val="superscript"/>
        <sz val="10"/>
        <rFont val="Century Gothic"/>
        <family val="2"/>
      </rPr>
      <t>2</t>
    </r>
  </si>
  <si>
    <t>Total Length</t>
  </si>
  <si>
    <t>CG FROM END</t>
  </si>
  <si>
    <t>Fck</t>
  </si>
  <si>
    <t>TOTAL LENGTH</t>
  </si>
  <si>
    <t>Fy</t>
  </si>
  <si>
    <t>FAC. PRESSURE</t>
  </si>
  <si>
    <t>c/c Distance</t>
  </si>
  <si>
    <t>Transverse Projection</t>
  </si>
  <si>
    <t>kN/m2</t>
  </si>
  <si>
    <t>DEPTH CACULATION</t>
  </si>
  <si>
    <t>ONE WAY SHEAR</t>
  </si>
  <si>
    <t>SHEAR FORCE</t>
  </si>
  <si>
    <t>BM</t>
  </si>
  <si>
    <t>TWO WAY SHEAR</t>
  </si>
  <si>
    <t>Design Punching shear</t>
  </si>
  <si>
    <t>Critical col size_l</t>
  </si>
  <si>
    <t>Critical col size_b</t>
  </si>
  <si>
    <t>Perimetre</t>
  </si>
  <si>
    <t>Point of zero distance</t>
  </si>
  <si>
    <t>bc</t>
  </si>
  <si>
    <t>d eff required ( from BM)</t>
  </si>
  <si>
    <t>Ks</t>
  </si>
  <si>
    <t>D provided</t>
  </si>
  <si>
    <t>d eff provided</t>
  </si>
  <si>
    <t>τc</t>
  </si>
  <si>
    <t>Area Req. from Max BM</t>
  </si>
  <si>
    <t>τc'=ksTc (Strength of Concrete)</t>
  </si>
  <si>
    <t>Tv(Due to Load)</t>
  </si>
  <si>
    <t>Rebar</t>
  </si>
  <si>
    <t>C/C spacing mm</t>
  </si>
  <si>
    <t>Ast prov</t>
  </si>
  <si>
    <t>Pt</t>
  </si>
  <si>
    <t>Critical shear</t>
  </si>
  <si>
    <t>B Value</t>
  </si>
  <si>
    <t>Actual B</t>
  </si>
  <si>
    <t>Tv (Due to Load)</t>
  </si>
  <si>
    <t>τc'</t>
  </si>
  <si>
    <t>REBARS CALCULATION AS PER BENDING MOMENT</t>
  </si>
  <si>
    <t>Ast  Required             (per Width)</t>
  </si>
  <si>
    <t>Ast Min</t>
  </si>
  <si>
    <r>
      <t>mm</t>
    </r>
    <r>
      <rPr>
        <vertAlign val="superscript"/>
        <sz val="10"/>
        <rFont val="Century Gothic"/>
        <family val="2"/>
      </rPr>
      <t>2</t>
    </r>
  </si>
  <si>
    <t>Re-bar To be Provided</t>
  </si>
  <si>
    <t xml:space="preserve">C/C </t>
  </si>
  <si>
    <t>Ast  Provided       (per Width)</t>
  </si>
  <si>
    <t>BENDING MOMENT IN TRANSVERSE DIRECTION</t>
  </si>
  <si>
    <t>Design BM (per 1000)</t>
  </si>
  <si>
    <t>kN.m</t>
  </si>
  <si>
    <t>Ast  Required             (per 1000)</t>
  </si>
  <si>
    <t>Area of Steel Provided for Transverse Direction</t>
  </si>
  <si>
    <t>BASE SHEAR COEFFICIENT AS PER NBC 105: 2020</t>
  </si>
  <si>
    <t>Table 4-5</t>
  </si>
  <si>
    <t>I</t>
  </si>
  <si>
    <t>Table 4-6</t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</si>
  <si>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</t>
    </r>
  </si>
  <si>
    <t>Clause: 4.1.2</t>
  </si>
  <si>
    <t>T</t>
  </si>
  <si>
    <t>Sec</t>
  </si>
  <si>
    <t>(Ta&lt;T&lt;Tc)</t>
  </si>
  <si>
    <t>Soil Type</t>
  </si>
  <si>
    <t>Table 4-4</t>
  </si>
  <si>
    <t>Table 4-1</t>
  </si>
  <si>
    <t>Tc</t>
  </si>
  <si>
    <t>For Ultimate Limit State</t>
  </si>
  <si>
    <r>
      <t>C(T) = 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 Z I</t>
    </r>
  </si>
  <si>
    <t>Clause: 4.1.1</t>
  </si>
  <si>
    <t>For Serviceability Limit State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</si>
  <si>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Times New Roman"/>
        <family val="2"/>
      </rPr>
      <t>(T) = 0.2 C(T)</t>
    </r>
  </si>
  <si>
    <t>Clause: 4.2</t>
  </si>
  <si>
    <t>Horizontal Base Shear Coefficient for Ultimate Limit State (Clause: 6.1.1)</t>
  </si>
  <si>
    <r>
      <t>R</t>
    </r>
    <r>
      <rPr>
        <sz val="11"/>
        <color theme="1"/>
        <rFont val="Symbol"/>
        <family val="1"/>
        <charset val="2"/>
      </rPr>
      <t>m</t>
    </r>
  </si>
  <si>
    <r>
      <t>W</t>
    </r>
    <r>
      <rPr>
        <sz val="11"/>
        <color theme="1"/>
        <rFont val="Times New Roman"/>
        <family val="2"/>
      </rPr>
      <t>u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</si>
  <si>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)</t>
    </r>
  </si>
  <si>
    <t>Horizontal Base Shear Coefficient for Serviceability Limit State (Clause: 6.1.2)</t>
  </si>
  <si>
    <r>
      <t>W</t>
    </r>
    <r>
      <rPr>
        <sz val="11"/>
        <color theme="1"/>
        <rFont val="Times New Roman"/>
        <family val="2"/>
      </rPr>
      <t>s</t>
    </r>
  </si>
  <si>
    <t>TABLE:  Joint Design Reactions</t>
  </si>
  <si>
    <t>C1</t>
  </si>
  <si>
    <t>A1</t>
  </si>
  <si>
    <t>B3</t>
  </si>
  <si>
    <t>D4</t>
  </si>
  <si>
    <t>C2</t>
  </si>
  <si>
    <t>C3</t>
  </si>
  <si>
    <t>moment resisting concrete frame</t>
  </si>
  <si>
    <t>Kathmandu</t>
  </si>
  <si>
    <t>Residential</t>
  </si>
  <si>
    <t>soil type D</t>
  </si>
  <si>
    <t>check table 4.1</t>
  </si>
  <si>
    <t>Plaster 12.5mm</t>
  </si>
  <si>
    <t xml:space="preserve">Total </t>
  </si>
  <si>
    <t>Riser</t>
  </si>
  <si>
    <t>Tread</t>
  </si>
  <si>
    <t>Stair Width</t>
  </si>
  <si>
    <t>No. of Steps in a flight</t>
  </si>
  <si>
    <t>no</t>
  </si>
  <si>
    <t>taken</t>
  </si>
  <si>
    <t>moment resisting steel frame</t>
  </si>
  <si>
    <t>eccentrically braced structural steel frame</t>
  </si>
  <si>
    <t>for all other structures</t>
  </si>
  <si>
    <t>value</t>
  </si>
  <si>
    <t>type of frame</t>
  </si>
  <si>
    <t>XCM</t>
  </si>
  <si>
    <t>YCM</t>
  </si>
  <si>
    <t>Cum Mass X</t>
  </si>
  <si>
    <t>Cum Mass Y</t>
  </si>
  <si>
    <t>XCCM</t>
  </si>
  <si>
    <t>YCCM</t>
  </si>
  <si>
    <t>XCR</t>
  </si>
  <si>
    <t>YCR</t>
  </si>
  <si>
    <t>ex</t>
  </si>
  <si>
    <t>ey</t>
  </si>
  <si>
    <t>%x</t>
  </si>
  <si>
    <t>%y</t>
  </si>
  <si>
    <t>Story4</t>
  </si>
  <si>
    <t>eccentricity check</t>
  </si>
  <si>
    <t>M1</t>
  </si>
  <si>
    <t>B. M. at the face of column about an axis X-X =</t>
  </si>
  <si>
    <t>M2</t>
  </si>
  <si>
    <t>B. M. at the face of column about an axis Y-Y=</t>
  </si>
  <si>
    <t>M1&gt;M2</t>
  </si>
  <si>
    <t>Shear force VuX=</t>
  </si>
  <si>
    <t>Shear force VuY=</t>
  </si>
  <si>
    <t>M20</t>
  </si>
  <si>
    <t>M25</t>
  </si>
  <si>
    <t>ULSEQX</t>
  </si>
  <si>
    <t>Displacement at upper end(A)</t>
  </si>
  <si>
    <t>Displacement at upper end(B)</t>
  </si>
  <si>
    <t>A/B</t>
  </si>
  <si>
    <t>&lt;1.5(OK)</t>
  </si>
  <si>
    <t>SLSEQX</t>
  </si>
  <si>
    <t>ULSEQY</t>
  </si>
  <si>
    <t>SLSEQY</t>
  </si>
  <si>
    <t>The structure pass in torsion</t>
  </si>
  <si>
    <t>Torsional Irregularity Check</t>
  </si>
  <si>
    <t>12 mm 5" c/c Both ways</t>
  </si>
  <si>
    <t>450mm</t>
  </si>
  <si>
    <t>1.5dl+1.5ll</t>
  </si>
  <si>
    <t>5.5X5.5</t>
  </si>
  <si>
    <t>A3</t>
  </si>
  <si>
    <t>B3'</t>
  </si>
  <si>
    <t>8.8X8.5</t>
  </si>
  <si>
    <t>7X7</t>
  </si>
  <si>
    <t>8.5X8.5</t>
  </si>
  <si>
    <t>FUNDAMENTAL TIME PERIOD AS PER NBC 105: 2025</t>
  </si>
  <si>
    <t>NBC 105: 2025 CL: 5.1.2 (Page 28)</t>
  </si>
  <si>
    <t>NBC 105: 2025 CL: 5.1.3 (Page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</si>
</sst>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0.0"/>
    <numFmt numFmtId="167" formatCode="0.0000"/>
    <numFmt numFmtId="168" formatCode="0.00000"/>
    <numFmt numFmtId="169" formatCode="0.0000000"/>
  </numFmts>
  <fonts count="6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name val="Times New Roman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u/>
      <sz val="12"/>
      <name val="Times New Roman"/>
      <family val="1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53"/>
      <name val="Century Gothic"/>
      <family val="2"/>
    </font>
    <font>
      <b/>
      <sz val="14"/>
      <color indexed="12"/>
      <name val="Century Gothic"/>
      <family val="2"/>
    </font>
    <font>
      <sz val="10"/>
      <color rgb="FFFF0000"/>
      <name val="Century Gothic"/>
      <family val="2"/>
    </font>
    <font>
      <vertAlign val="superscript"/>
      <sz val="10"/>
      <name val="Century Gothic"/>
      <family val="2"/>
    </font>
    <font>
      <sz val="12"/>
      <name val="Century Gothic"/>
      <family val="2"/>
    </font>
    <font>
      <sz val="10"/>
      <color indexed="10"/>
      <name val="Century Gothic"/>
      <family val="2"/>
    </font>
    <font>
      <b/>
      <sz val="22"/>
      <color rgb="FFFF0000"/>
      <name val="Century Gothic"/>
      <family val="2"/>
    </font>
    <font>
      <sz val="16"/>
      <color rgb="FF0070C0"/>
      <name val="Century Gothic"/>
      <family val="2"/>
    </font>
    <font>
      <b/>
      <sz val="12"/>
      <color indexed="12"/>
      <name val="Century Gothic"/>
      <family val="2"/>
    </font>
    <font>
      <sz val="9"/>
      <name val="Century Gothic"/>
      <family val="2"/>
    </font>
    <font>
      <b/>
      <sz val="24"/>
      <color indexed="12"/>
      <name val="Century Gothic"/>
      <family val="2"/>
    </font>
    <font>
      <b/>
      <sz val="18"/>
      <color indexed="12"/>
      <name val="Century Gothic"/>
      <family val="2"/>
    </font>
    <font>
      <b/>
      <sz val="14"/>
      <color rgb="FFFF0000"/>
      <name val="Century Gothic"/>
      <family val="2"/>
    </font>
    <font>
      <b/>
      <sz val="18"/>
      <color rgb="FF0070C0"/>
      <name val="Century Gothic"/>
      <family val="2"/>
    </font>
    <font>
      <b/>
      <sz val="11"/>
      <name val="Century Gothic"/>
      <family val="2"/>
    </font>
    <font>
      <b/>
      <sz val="14"/>
      <color rgb="FF00B050"/>
      <name val="Century Gothic"/>
      <family val="2"/>
    </font>
    <font>
      <b/>
      <sz val="36"/>
      <color indexed="12"/>
      <name val="Century Gothic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2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indexed="64"/>
      </left>
      <right/>
      <top style="medium">
        <color indexed="64"/>
      </top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">
        <color indexed="64"/>
      </bottom>
      <diagonal/>
    </border>
    <border>
      <left/>
      <right style="mediumDashDotDot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4">
    <xf numFmtId="0" fontId="0" fillId="0" borderId="0" xfId="0"/>
    <xf numFmtId="0" fontId="13" fillId="0" borderId="0" xfId="0" applyFont="1"/>
    <xf numFmtId="0" fontId="13" fillId="2" borderId="0" xfId="0" applyFont="1" applyFill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164" fontId="13" fillId="2" borderId="1" xfId="1" applyFont="1" applyFill="1" applyBorder="1"/>
    <xf numFmtId="164" fontId="13" fillId="0" borderId="1" xfId="1" applyFont="1" applyBorder="1"/>
    <xf numFmtId="164" fontId="13" fillId="0" borderId="1" xfId="0" applyNumberFormat="1" applyFont="1" applyBorder="1"/>
    <xf numFmtId="0" fontId="13" fillId="0" borderId="6" xfId="0" applyFont="1" applyBorder="1"/>
    <xf numFmtId="0" fontId="13" fillId="0" borderId="0" xfId="0" applyFont="1" applyAlignment="1">
      <alignment vertical="center"/>
    </xf>
    <xf numFmtId="0" fontId="13" fillId="0" borderId="7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0" borderId="9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164" fontId="13" fillId="0" borderId="3" xfId="1" applyFont="1" applyBorder="1"/>
    <xf numFmtId="164" fontId="13" fillId="0" borderId="3" xfId="0" applyNumberFormat="1" applyFont="1" applyBorder="1"/>
    <xf numFmtId="0" fontId="13" fillId="0" borderId="4" xfId="0" applyFont="1" applyBorder="1"/>
    <xf numFmtId="0" fontId="16" fillId="0" borderId="0" xfId="0" applyFont="1"/>
    <xf numFmtId="164" fontId="13" fillId="0" borderId="0" xfId="1" applyFont="1"/>
    <xf numFmtId="0" fontId="13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textRotation="9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0" xfId="0" applyBorder="1"/>
    <xf numFmtId="0" fontId="0" fillId="0" borderId="18" xfId="0" applyBorder="1"/>
    <xf numFmtId="0" fontId="0" fillId="0" borderId="20" xfId="0" applyBorder="1"/>
    <xf numFmtId="0" fontId="0" fillId="0" borderId="31" xfId="0" applyBorder="1"/>
    <xf numFmtId="0" fontId="0" fillId="0" borderId="19" xfId="0" applyBorder="1"/>
    <xf numFmtId="0" fontId="0" fillId="0" borderId="32" xfId="0" applyBorder="1"/>
    <xf numFmtId="0" fontId="0" fillId="0" borderId="34" xfId="0" applyBorder="1"/>
    <xf numFmtId="0" fontId="0" fillId="0" borderId="0" xfId="0" applyAlignment="1">
      <alignment horizontal="center" textRotation="90"/>
    </xf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2" borderId="0" xfId="0" applyFill="1"/>
    <xf numFmtId="165" fontId="0" fillId="0" borderId="0" xfId="0" applyNumberFormat="1"/>
    <xf numFmtId="2" fontId="0" fillId="0" borderId="0" xfId="0" applyNumberFormat="1"/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7" fillId="0" borderId="0" xfId="0" applyFont="1"/>
    <xf numFmtId="0" fontId="0" fillId="0" borderId="0" xfId="0" applyAlignment="1">
      <alignment vertical="center" textRotation="90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vertical="center"/>
    </xf>
    <xf numFmtId="0" fontId="0" fillId="0" borderId="3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 applyAlignment="1">
      <alignment horizontal="center"/>
    </xf>
    <xf numFmtId="0" fontId="0" fillId="0" borderId="48" xfId="0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167" fontId="0" fillId="0" borderId="0" xfId="0" applyNumberFormat="1"/>
    <xf numFmtId="167" fontId="17" fillId="0" borderId="0" xfId="0" applyNumberFormat="1" applyFont="1"/>
    <xf numFmtId="49" fontId="0" fillId="0" borderId="0" xfId="0" applyNumberFormat="1"/>
    <xf numFmtId="0" fontId="1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5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1" fillId="0" borderId="0" xfId="3"/>
    <xf numFmtId="164" fontId="16" fillId="0" borderId="8" xfId="0" applyNumberFormat="1" applyFont="1" applyBorder="1"/>
    <xf numFmtId="49" fontId="8" fillId="0" borderId="0" xfId="5" applyNumberFormat="1"/>
    <xf numFmtId="0" fontId="21" fillId="5" borderId="0" xfId="0" applyFont="1" applyFill="1"/>
    <xf numFmtId="49" fontId="17" fillId="3" borderId="0" xfId="6" applyNumberFormat="1" applyFont="1" applyFill="1"/>
    <xf numFmtId="0" fontId="7" fillId="3" borderId="0" xfId="6" applyFill="1"/>
    <xf numFmtId="49" fontId="17" fillId="4" borderId="50" xfId="6" applyNumberFormat="1" applyFont="1" applyFill="1" applyBorder="1" applyAlignment="1">
      <alignment horizontal="center" wrapText="1"/>
    </xf>
    <xf numFmtId="0" fontId="17" fillId="4" borderId="50" xfId="6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7" fillId="4" borderId="51" xfId="6" applyFont="1" applyFill="1" applyBorder="1" applyAlignment="1">
      <alignment horizontal="center" wrapText="1"/>
    </xf>
    <xf numFmtId="49" fontId="7" fillId="4" borderId="49" xfId="6" applyNumberFormat="1" applyFill="1" applyBorder="1" applyAlignment="1">
      <alignment horizontal="center"/>
    </xf>
    <xf numFmtId="0" fontId="7" fillId="4" borderId="49" xfId="6" applyFill="1" applyBorder="1" applyAlignment="1">
      <alignment horizontal="center"/>
    </xf>
    <xf numFmtId="0" fontId="8" fillId="0" borderId="0" xfId="5"/>
    <xf numFmtId="0" fontId="22" fillId="0" borderId="0" xfId="0" applyFont="1" applyAlignment="1">
      <alignment vertical="center" wrapText="1"/>
    </xf>
    <xf numFmtId="49" fontId="7" fillId="0" borderId="0" xfId="6" applyNumberFormat="1"/>
    <xf numFmtId="0" fontId="0" fillId="0" borderId="0" xfId="0" applyAlignment="1">
      <alignment horizontal="center" vertical="center" textRotation="90"/>
    </xf>
    <xf numFmtId="0" fontId="23" fillId="2" borderId="0" xfId="0" applyFont="1" applyFill="1"/>
    <xf numFmtId="2" fontId="23" fillId="0" borderId="0" xfId="0" applyNumberFormat="1" applyFont="1"/>
    <xf numFmtId="2" fontId="23" fillId="2" borderId="0" xfId="0" applyNumberFormat="1" applyFont="1" applyFill="1"/>
    <xf numFmtId="2" fontId="23" fillId="2" borderId="0" xfId="0" applyNumberFormat="1" applyFont="1" applyFill="1" applyAlignment="1">
      <alignment vertical="center" wrapText="1"/>
    </xf>
    <xf numFmtId="0" fontId="26" fillId="0" borderId="0" xfId="3" applyFont="1"/>
    <xf numFmtId="0" fontId="27" fillId="0" borderId="0" xfId="3" applyFont="1"/>
    <xf numFmtId="0" fontId="25" fillId="0" borderId="0" xfId="3" applyFont="1"/>
    <xf numFmtId="0" fontId="28" fillId="0" borderId="0" xfId="3" applyFont="1"/>
    <xf numFmtId="0" fontId="14" fillId="0" borderId="0" xfId="0" applyFont="1" applyAlignment="1">
      <alignment vertical="center" wrapText="1"/>
    </xf>
    <xf numFmtId="2" fontId="26" fillId="0" borderId="0" xfId="3" applyNumberFormat="1" applyFont="1"/>
    <xf numFmtId="2" fontId="25" fillId="0" borderId="0" xfId="3" applyNumberFormat="1" applyFont="1"/>
    <xf numFmtId="165" fontId="26" fillId="0" borderId="0" xfId="3" applyNumberFormat="1" applyFont="1"/>
    <xf numFmtId="0" fontId="29" fillId="0" borderId="0" xfId="3" applyFont="1"/>
    <xf numFmtId="164" fontId="26" fillId="0" borderId="0" xfId="1" applyFont="1"/>
    <xf numFmtId="164" fontId="26" fillId="0" borderId="0" xfId="3" applyNumberFormat="1" applyFont="1"/>
    <xf numFmtId="1" fontId="26" fillId="0" borderId="0" xfId="3" applyNumberFormat="1" applyFont="1"/>
    <xf numFmtId="1" fontId="29" fillId="0" borderId="0" xfId="3" applyNumberFormat="1" applyFont="1"/>
    <xf numFmtId="1" fontId="28" fillId="0" borderId="0" xfId="3" applyNumberFormat="1" applyFont="1" applyAlignment="1">
      <alignment horizontal="center"/>
    </xf>
    <xf numFmtId="1" fontId="26" fillId="0" borderId="0" xfId="3" applyNumberFormat="1" applyFont="1" applyAlignment="1">
      <alignment horizontal="center"/>
    </xf>
    <xf numFmtId="0" fontId="30" fillId="0" borderId="0" xfId="3" applyFont="1"/>
    <xf numFmtId="2" fontId="26" fillId="0" borderId="0" xfId="3" applyNumberFormat="1" applyFont="1" applyAlignment="1">
      <alignment horizontal="center"/>
    </xf>
    <xf numFmtId="0" fontId="26" fillId="0" borderId="0" xfId="3" applyFont="1" applyAlignment="1">
      <alignment horizontal="right"/>
    </xf>
    <xf numFmtId="0" fontId="26" fillId="0" borderId="0" xfId="3" applyFont="1" applyAlignment="1">
      <alignment horizontal="center"/>
    </xf>
    <xf numFmtId="0" fontId="26" fillId="0" borderId="0" xfId="3" quotePrefix="1" applyFont="1"/>
    <xf numFmtId="0" fontId="28" fillId="0" borderId="0" xfId="3" applyFont="1" applyAlignment="1">
      <alignment horizontal="center"/>
    </xf>
    <xf numFmtId="0" fontId="5" fillId="0" borderId="0" xfId="8"/>
    <xf numFmtId="0" fontId="5" fillId="3" borderId="0" xfId="8" applyFill="1"/>
    <xf numFmtId="49" fontId="17" fillId="3" borderId="0" xfId="8" applyNumberFormat="1" applyFont="1" applyFill="1"/>
    <xf numFmtId="49" fontId="5" fillId="0" borderId="0" xfId="8" applyNumberFormat="1"/>
    <xf numFmtId="49" fontId="5" fillId="3" borderId="0" xfId="8" applyNumberFormat="1" applyFill="1"/>
    <xf numFmtId="49" fontId="17" fillId="4" borderId="50" xfId="8" applyNumberFormat="1" applyFont="1" applyFill="1" applyBorder="1" applyAlignment="1">
      <alignment horizontal="center"/>
    </xf>
    <xf numFmtId="49" fontId="5" fillId="4" borderId="49" xfId="8" applyNumberFormat="1" applyFill="1" applyBorder="1" applyAlignment="1">
      <alignment horizontal="center"/>
    </xf>
    <xf numFmtId="0" fontId="17" fillId="4" borderId="50" xfId="8" applyFont="1" applyFill="1" applyBorder="1" applyAlignment="1">
      <alignment horizontal="center"/>
    </xf>
    <xf numFmtId="0" fontId="5" fillId="4" borderId="49" xfId="8" applyFill="1" applyBorder="1" applyAlignment="1">
      <alignment horizontal="center"/>
    </xf>
    <xf numFmtId="0" fontId="17" fillId="6" borderId="0" xfId="8" applyFont="1" applyFill="1"/>
    <xf numFmtId="0" fontId="5" fillId="6" borderId="0" xfId="8" applyFill="1"/>
    <xf numFmtId="0" fontId="17" fillId="7" borderId="52" xfId="8" applyFont="1" applyFill="1" applyBorder="1" applyAlignment="1">
      <alignment horizontal="center"/>
    </xf>
    <xf numFmtId="0" fontId="17" fillId="7" borderId="50" xfId="8" applyFont="1" applyFill="1" applyBorder="1" applyAlignment="1">
      <alignment horizontal="center"/>
    </xf>
    <xf numFmtId="0" fontId="5" fillId="7" borderId="53" xfId="8" applyFill="1" applyBorder="1" applyAlignment="1">
      <alignment horizontal="center"/>
    </xf>
    <xf numFmtId="0" fontId="5" fillId="7" borderId="49" xfId="8" applyFill="1" applyBorder="1" applyAlignment="1">
      <alignment horizontal="center"/>
    </xf>
    <xf numFmtId="0" fontId="32" fillId="0" borderId="0" xfId="2" applyFont="1"/>
    <xf numFmtId="0" fontId="32" fillId="0" borderId="3" xfId="2" applyFont="1" applyBorder="1"/>
    <xf numFmtId="0" fontId="32" fillId="0" borderId="56" xfId="2" applyFont="1" applyBorder="1"/>
    <xf numFmtId="0" fontId="32" fillId="0" borderId="1" xfId="2" applyFont="1" applyBorder="1"/>
    <xf numFmtId="0" fontId="33" fillId="0" borderId="2" xfId="2" applyFont="1" applyBorder="1"/>
    <xf numFmtId="2" fontId="34" fillId="0" borderId="3" xfId="2" applyNumberFormat="1" applyFont="1" applyBorder="1"/>
    <xf numFmtId="0" fontId="32" fillId="0" borderId="4" xfId="2" applyFont="1" applyBorder="1"/>
    <xf numFmtId="2" fontId="32" fillId="0" borderId="4" xfId="2" applyNumberFormat="1" applyFont="1" applyBorder="1"/>
    <xf numFmtId="165" fontId="35" fillId="0" borderId="4" xfId="2" applyNumberFormat="1" applyFont="1" applyBorder="1"/>
    <xf numFmtId="0" fontId="33" fillId="0" borderId="5" xfId="2" applyFont="1" applyBorder="1"/>
    <xf numFmtId="0" fontId="36" fillId="0" borderId="1" xfId="2" applyFont="1" applyBorder="1"/>
    <xf numFmtId="168" fontId="32" fillId="0" borderId="1" xfId="2" applyNumberFormat="1" applyFont="1" applyBorder="1"/>
    <xf numFmtId="0" fontId="32" fillId="0" borderId="57" xfId="2" applyFont="1" applyBorder="1"/>
    <xf numFmtId="2" fontId="32" fillId="0" borderId="1" xfId="2" applyNumberFormat="1" applyFont="1" applyBorder="1"/>
    <xf numFmtId="2" fontId="34" fillId="0" borderId="1" xfId="2" applyNumberFormat="1" applyFont="1" applyBorder="1"/>
    <xf numFmtId="0" fontId="32" fillId="0" borderId="6" xfId="2" applyFont="1" applyBorder="1"/>
    <xf numFmtId="2" fontId="34" fillId="0" borderId="6" xfId="2" applyNumberFormat="1" applyFont="1" applyBorder="1"/>
    <xf numFmtId="2" fontId="35" fillId="0" borderId="6" xfId="2" applyNumberFormat="1" applyFont="1" applyBorder="1"/>
    <xf numFmtId="0" fontId="33" fillId="0" borderId="7" xfId="2" applyFont="1" applyBorder="1"/>
    <xf numFmtId="2" fontId="36" fillId="0" borderId="8" xfId="2" applyNumberFormat="1" applyFont="1" applyBorder="1"/>
    <xf numFmtId="0" fontId="32" fillId="0" borderId="8" xfId="2" applyFont="1" applyBorder="1"/>
    <xf numFmtId="0" fontId="32" fillId="0" borderId="58" xfId="2" applyFont="1" applyBorder="1"/>
    <xf numFmtId="0" fontId="34" fillId="0" borderId="1" xfId="2" applyFont="1" applyBorder="1"/>
    <xf numFmtId="2" fontId="32" fillId="0" borderId="6" xfId="2" applyNumberFormat="1" applyFont="1" applyBorder="1"/>
    <xf numFmtId="165" fontId="32" fillId="0" borderId="6" xfId="2" applyNumberFormat="1" applyFont="1" applyBorder="1"/>
    <xf numFmtId="0" fontId="33" fillId="0" borderId="0" xfId="2" applyFont="1"/>
    <xf numFmtId="165" fontId="32" fillId="0" borderId="0" xfId="2" applyNumberFormat="1" applyFont="1"/>
    <xf numFmtId="0" fontId="32" fillId="0" borderId="0" xfId="2" applyFont="1" applyAlignment="1">
      <alignment horizontal="center"/>
    </xf>
    <xf numFmtId="0" fontId="34" fillId="0" borderId="6" xfId="2" applyFont="1" applyBorder="1"/>
    <xf numFmtId="0" fontId="33" fillId="0" borderId="13" xfId="2" applyFont="1" applyBorder="1"/>
    <xf numFmtId="0" fontId="36" fillId="0" borderId="18" xfId="2" applyFont="1" applyBorder="1"/>
    <xf numFmtId="0" fontId="33" fillId="0" borderId="5" xfId="2" applyFont="1" applyBorder="1" applyAlignment="1">
      <alignment horizontal="left"/>
    </xf>
    <xf numFmtId="2" fontId="38" fillId="0" borderId="6" xfId="2" applyNumberFormat="1" applyFont="1" applyBorder="1"/>
    <xf numFmtId="2" fontId="32" fillId="0" borderId="0" xfId="2" applyNumberFormat="1" applyFont="1"/>
    <xf numFmtId="0" fontId="34" fillId="0" borderId="8" xfId="2" applyFont="1" applyBorder="1"/>
    <xf numFmtId="0" fontId="32" fillId="0" borderId="9" xfId="2" applyFont="1" applyBorder="1"/>
    <xf numFmtId="0" fontId="33" fillId="0" borderId="59" xfId="2" applyFont="1" applyBorder="1"/>
    <xf numFmtId="0" fontId="32" fillId="0" borderId="19" xfId="2" applyFont="1" applyBorder="1"/>
    <xf numFmtId="0" fontId="32" fillId="0" borderId="20" xfId="2" applyFont="1" applyBorder="1"/>
    <xf numFmtId="0" fontId="33" fillId="0" borderId="61" xfId="2" applyFont="1" applyBorder="1" applyAlignment="1">
      <alignment horizontal="center"/>
    </xf>
    <xf numFmtId="0" fontId="33" fillId="0" borderId="62" xfId="2" applyFont="1" applyBorder="1" applyAlignment="1">
      <alignment horizontal="center"/>
    </xf>
    <xf numFmtId="0" fontId="32" fillId="0" borderId="0" xfId="2" applyFont="1" applyAlignment="1">
      <alignment horizontal="left"/>
    </xf>
    <xf numFmtId="2" fontId="32" fillId="0" borderId="27" xfId="2" applyNumberFormat="1" applyFont="1" applyBorder="1"/>
    <xf numFmtId="2" fontId="32" fillId="0" borderId="65" xfId="2" applyNumberFormat="1" applyFont="1" applyBorder="1"/>
    <xf numFmtId="0" fontId="32" fillId="0" borderId="66" xfId="2" applyFont="1" applyBorder="1" applyAlignment="1">
      <alignment horizontal="left"/>
    </xf>
    <xf numFmtId="0" fontId="32" fillId="0" borderId="27" xfId="2" applyFont="1" applyBorder="1" applyAlignment="1">
      <alignment horizontal="left"/>
    </xf>
    <xf numFmtId="0" fontId="32" fillId="0" borderId="65" xfId="2" applyFont="1" applyBorder="1" applyAlignment="1">
      <alignment horizontal="left"/>
    </xf>
    <xf numFmtId="0" fontId="39" fillId="0" borderId="6" xfId="2" applyFont="1" applyBorder="1" applyAlignment="1">
      <alignment horizontal="left"/>
    </xf>
    <xf numFmtId="2" fontId="32" fillId="0" borderId="0" xfId="2" applyNumberFormat="1" applyFont="1" applyAlignment="1">
      <alignment horizontal="left"/>
    </xf>
    <xf numFmtId="2" fontId="32" fillId="0" borderId="0" xfId="2" applyNumberFormat="1" applyFont="1" applyAlignment="1">
      <alignment horizontal="center"/>
    </xf>
    <xf numFmtId="0" fontId="32" fillId="0" borderId="6" xfId="2" applyFont="1" applyBorder="1" applyAlignment="1">
      <alignment horizontal="left"/>
    </xf>
    <xf numFmtId="0" fontId="33" fillId="0" borderId="7" xfId="2" applyFont="1" applyBorder="1" applyAlignment="1">
      <alignment horizontal="left"/>
    </xf>
    <xf numFmtId="0" fontId="33" fillId="0" borderId="8" xfId="2" applyFont="1" applyBorder="1" applyAlignment="1">
      <alignment horizontal="left"/>
    </xf>
    <xf numFmtId="2" fontId="32" fillId="0" borderId="8" xfId="2" applyNumberFormat="1" applyFont="1" applyBorder="1"/>
    <xf numFmtId="2" fontId="32" fillId="0" borderId="9" xfId="2" applyNumberFormat="1" applyFont="1" applyBorder="1"/>
    <xf numFmtId="1" fontId="32" fillId="0" borderId="0" xfId="2" applyNumberFormat="1" applyFont="1"/>
    <xf numFmtId="2" fontId="32" fillId="0" borderId="4" xfId="2" applyNumberFormat="1" applyFont="1" applyBorder="1" applyAlignment="1">
      <alignment horizontal="right"/>
    </xf>
    <xf numFmtId="0" fontId="32" fillId="0" borderId="72" xfId="2" applyFont="1" applyBorder="1"/>
    <xf numFmtId="1" fontId="40" fillId="0" borderId="29" xfId="2" applyNumberFormat="1" applyFont="1" applyBorder="1"/>
    <xf numFmtId="0" fontId="32" fillId="0" borderId="29" xfId="2" applyFont="1" applyBorder="1" applyAlignment="1">
      <alignment horizontal="left"/>
    </xf>
    <xf numFmtId="2" fontId="41" fillId="0" borderId="73" xfId="2" applyNumberFormat="1" applyFont="1" applyBorder="1"/>
    <xf numFmtId="2" fontId="32" fillId="0" borderId="6" xfId="2" applyNumberFormat="1" applyFont="1" applyBorder="1" applyAlignment="1">
      <alignment horizontal="left"/>
    </xf>
    <xf numFmtId="1" fontId="35" fillId="0" borderId="4" xfId="2" applyNumberFormat="1" applyFont="1" applyBorder="1" applyAlignment="1">
      <alignment vertical="center"/>
    </xf>
    <xf numFmtId="1" fontId="44" fillId="0" borderId="9" xfId="2" applyNumberFormat="1" applyFont="1" applyBorder="1" applyAlignment="1">
      <alignment horizontal="center" vertical="center"/>
    </xf>
    <xf numFmtId="0" fontId="36" fillId="0" borderId="27" xfId="2" applyFont="1" applyBorder="1"/>
    <xf numFmtId="0" fontId="32" fillId="0" borderId="27" xfId="2" applyFont="1" applyBorder="1"/>
    <xf numFmtId="0" fontId="36" fillId="0" borderId="65" xfId="2" applyFont="1" applyBorder="1"/>
    <xf numFmtId="0" fontId="32" fillId="0" borderId="5" xfId="2" applyFont="1" applyBorder="1" applyAlignment="1">
      <alignment horizontal="left"/>
    </xf>
    <xf numFmtId="1" fontId="46" fillId="0" borderId="1" xfId="2" applyNumberFormat="1" applyFont="1" applyBorder="1"/>
    <xf numFmtId="0" fontId="32" fillId="0" borderId="1" xfId="2" applyFont="1" applyBorder="1" applyAlignment="1">
      <alignment horizontal="left"/>
    </xf>
    <xf numFmtId="2" fontId="47" fillId="0" borderId="6" xfId="2" applyNumberFormat="1" applyFont="1" applyBorder="1"/>
    <xf numFmtId="0" fontId="32" fillId="0" borderId="7" xfId="2" applyFont="1" applyBorder="1"/>
    <xf numFmtId="167" fontId="32" fillId="0" borderId="9" xfId="2" applyNumberFormat="1" applyFont="1" applyBorder="1"/>
    <xf numFmtId="2" fontId="32" fillId="0" borderId="0" xfId="2" applyNumberFormat="1" applyFont="1" applyAlignment="1">
      <alignment horizontal="right"/>
    </xf>
    <xf numFmtId="0" fontId="31" fillId="8" borderId="21" xfId="2" applyFont="1" applyFill="1" applyBorder="1" applyAlignment="1">
      <alignment horizontal="center" vertical="center"/>
    </xf>
    <xf numFmtId="0" fontId="31" fillId="8" borderId="22" xfId="2" applyFont="1" applyFill="1" applyBorder="1" applyAlignment="1">
      <alignment horizontal="center" vertical="center"/>
    </xf>
    <xf numFmtId="0" fontId="31" fillId="8" borderId="23" xfId="2" applyFont="1" applyFill="1" applyBorder="1" applyAlignment="1">
      <alignment horizontal="center" vertical="center"/>
    </xf>
    <xf numFmtId="0" fontId="48" fillId="0" borderId="77" xfId="2" applyFont="1" applyBorder="1" applyAlignment="1">
      <alignment wrapText="1"/>
    </xf>
    <xf numFmtId="169" fontId="32" fillId="0" borderId="77" xfId="2" applyNumberFormat="1" applyFont="1" applyBorder="1" applyAlignment="1">
      <alignment vertical="center"/>
    </xf>
    <xf numFmtId="0" fontId="33" fillId="0" borderId="71" xfId="2" applyFont="1" applyBorder="1" applyAlignment="1">
      <alignment horizontal="left" vertical="center" wrapText="1"/>
    </xf>
    <xf numFmtId="1" fontId="35" fillId="0" borderId="4" xfId="2" applyNumberFormat="1" applyFont="1" applyBorder="1"/>
    <xf numFmtId="0" fontId="33" fillId="0" borderId="10" xfId="2" applyFont="1" applyBorder="1"/>
    <xf numFmtId="1" fontId="32" fillId="0" borderId="11" xfId="2" applyNumberFormat="1" applyFont="1" applyBorder="1"/>
    <xf numFmtId="0" fontId="32" fillId="0" borderId="12" xfId="2" applyFont="1" applyBorder="1"/>
    <xf numFmtId="0" fontId="33" fillId="0" borderId="78" xfId="2" applyFont="1" applyBorder="1" applyAlignment="1">
      <alignment horizontal="left" wrapText="1"/>
    </xf>
    <xf numFmtId="0" fontId="36" fillId="0" borderId="78" xfId="2" applyFont="1" applyBorder="1" applyAlignment="1">
      <alignment horizontal="center" vertical="center"/>
    </xf>
    <xf numFmtId="0" fontId="32" fillId="0" borderId="55" xfId="2" applyFont="1" applyBorder="1" applyAlignment="1">
      <alignment horizontal="center" vertical="center"/>
    </xf>
    <xf numFmtId="0" fontId="36" fillId="0" borderId="73" xfId="2" applyFont="1" applyBorder="1" applyAlignment="1">
      <alignment horizontal="center" vertical="center"/>
    </xf>
    <xf numFmtId="1" fontId="35" fillId="0" borderId="79" xfId="2" applyNumberFormat="1" applyFont="1" applyBorder="1" applyAlignment="1">
      <alignment vertical="center"/>
    </xf>
    <xf numFmtId="1" fontId="35" fillId="0" borderId="0" xfId="2" applyNumberFormat="1" applyFont="1"/>
    <xf numFmtId="0" fontId="48" fillId="0" borderId="77" xfId="2" applyFont="1" applyBorder="1" applyAlignment="1">
      <alignment horizontal="left" vertical="center" wrapText="1"/>
    </xf>
    <xf numFmtId="2" fontId="32" fillId="0" borderId="77" xfId="2" applyNumberFormat="1" applyFont="1" applyBorder="1" applyAlignment="1">
      <alignment vertical="center"/>
    </xf>
    <xf numFmtId="0" fontId="33" fillId="0" borderId="80" xfId="2" applyFont="1" applyBorder="1" applyAlignment="1">
      <alignment horizontal="left" vertical="center" wrapText="1"/>
    </xf>
    <xf numFmtId="1" fontId="35" fillId="0" borderId="81" xfId="2" applyNumberFormat="1" applyFont="1" applyBorder="1" applyAlignment="1">
      <alignment vertical="center"/>
    </xf>
    <xf numFmtId="0" fontId="33" fillId="0" borderId="2" xfId="2" applyFont="1" applyBorder="1" applyAlignment="1">
      <alignment horizontal="left" vertical="center" wrapText="1"/>
    </xf>
    <xf numFmtId="0" fontId="32" fillId="0" borderId="72" xfId="2" applyFont="1" applyBorder="1" applyAlignment="1">
      <alignment horizontal="center" vertical="center"/>
    </xf>
    <xf numFmtId="0" fontId="33" fillId="0" borderId="82" xfId="2" applyFont="1" applyBorder="1" applyAlignment="1">
      <alignment horizontal="left" vertical="center" wrapText="1"/>
    </xf>
    <xf numFmtId="0" fontId="33" fillId="0" borderId="77" xfId="2" applyFont="1" applyBorder="1" applyAlignment="1">
      <alignment horizontal="left" vertical="center" wrapText="1"/>
    </xf>
    <xf numFmtId="1" fontId="32" fillId="0" borderId="2" xfId="2" applyNumberFormat="1" applyFont="1" applyBorder="1" applyAlignment="1">
      <alignment vertical="center"/>
    </xf>
    <xf numFmtId="0" fontId="33" fillId="0" borderId="77" xfId="2" applyFont="1" applyBorder="1" applyAlignment="1">
      <alignment horizontal="center" vertical="center" wrapText="1"/>
    </xf>
    <xf numFmtId="1" fontId="32" fillId="0" borderId="2" xfId="2" applyNumberFormat="1" applyFont="1" applyBorder="1" applyAlignment="1">
      <alignment horizontal="center"/>
    </xf>
    <xf numFmtId="0" fontId="33" fillId="0" borderId="78" xfId="2" applyFont="1" applyBorder="1" applyAlignment="1">
      <alignment horizontal="left"/>
    </xf>
    <xf numFmtId="1" fontId="32" fillId="0" borderId="5" xfId="2" applyNumberFormat="1" applyFont="1" applyBorder="1" applyAlignment="1">
      <alignment vertical="center"/>
    </xf>
    <xf numFmtId="0" fontId="33" fillId="0" borderId="78" xfId="2" applyFont="1" applyBorder="1"/>
    <xf numFmtId="1" fontId="32" fillId="0" borderId="5" xfId="2" applyNumberFormat="1" applyFont="1" applyBorder="1" applyAlignment="1">
      <alignment horizontal="center"/>
    </xf>
    <xf numFmtId="2" fontId="33" fillId="0" borderId="78" xfId="2" applyNumberFormat="1" applyFont="1" applyBorder="1"/>
    <xf numFmtId="165" fontId="32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horizontal="center"/>
    </xf>
    <xf numFmtId="0" fontId="33" fillId="0" borderId="79" xfId="2" applyFont="1" applyBorder="1" applyAlignment="1">
      <alignment horizontal="left" wrapText="1"/>
    </xf>
    <xf numFmtId="0" fontId="36" fillId="0" borderId="7" xfId="2" applyFont="1" applyBorder="1" applyAlignment="1">
      <alignment vertical="center"/>
    </xf>
    <xf numFmtId="0" fontId="32" fillId="0" borderId="9" xfId="2" applyFont="1" applyBorder="1" applyAlignment="1">
      <alignment horizontal="center" vertical="center"/>
    </xf>
    <xf numFmtId="0" fontId="36" fillId="0" borderId="81" xfId="2" applyFont="1" applyBorder="1" applyAlignment="1">
      <alignment vertical="center"/>
    </xf>
    <xf numFmtId="0" fontId="32" fillId="0" borderId="73" xfId="2" applyFont="1" applyBorder="1"/>
    <xf numFmtId="0" fontId="33" fillId="0" borderId="34" xfId="2" applyFont="1" applyBorder="1" applyAlignment="1">
      <alignment horizontal="left" wrapText="1"/>
    </xf>
    <xf numFmtId="1" fontId="35" fillId="0" borderId="7" xfId="2" applyNumberFormat="1" applyFont="1" applyBorder="1" applyAlignment="1">
      <alignment vertical="center"/>
    </xf>
    <xf numFmtId="1" fontId="50" fillId="0" borderId="19" xfId="2" applyNumberFormat="1" applyFont="1" applyBorder="1" applyAlignment="1">
      <alignment horizontal="center" vertical="center"/>
    </xf>
    <xf numFmtId="0" fontId="51" fillId="0" borderId="0" xfId="2" applyFont="1"/>
    <xf numFmtId="0" fontId="33" fillId="0" borderId="0" xfId="2" applyFont="1" applyAlignment="1">
      <alignment horizontal="left" wrapText="1"/>
    </xf>
    <xf numFmtId="1" fontId="46" fillId="0" borderId="0" xfId="2" applyNumberFormat="1" applyFont="1"/>
    <xf numFmtId="1" fontId="35" fillId="0" borderId="0" xfId="2" applyNumberFormat="1" applyFont="1" applyAlignment="1">
      <alignment horizontal="center" vertical="center"/>
    </xf>
    <xf numFmtId="164" fontId="13" fillId="0" borderId="0" xfId="0" applyNumberFormat="1" applyFont="1"/>
    <xf numFmtId="164" fontId="16" fillId="0" borderId="0" xfId="0" applyNumberFormat="1" applyFont="1"/>
    <xf numFmtId="0" fontId="52" fillId="9" borderId="0" xfId="0" applyFont="1" applyFill="1" applyAlignment="1">
      <alignment horizontal="center" vertical="center" wrapText="1"/>
    </xf>
    <xf numFmtId="0" fontId="53" fillId="9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vertical="center" wrapText="1"/>
    </xf>
    <xf numFmtId="0" fontId="54" fillId="9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/>
    </xf>
    <xf numFmtId="49" fontId="17" fillId="4" borderId="50" xfId="10" applyNumberFormat="1" applyFont="1" applyFill="1" applyBorder="1" applyAlignment="1">
      <alignment horizontal="center"/>
    </xf>
    <xf numFmtId="49" fontId="3" fillId="4" borderId="49" xfId="10" applyNumberFormat="1" applyFill="1" applyBorder="1" applyAlignment="1">
      <alignment horizontal="center"/>
    </xf>
    <xf numFmtId="0" fontId="17" fillId="4" borderId="50" xfId="10" applyFont="1" applyFill="1" applyBorder="1" applyAlignment="1">
      <alignment horizontal="center"/>
    </xf>
    <xf numFmtId="0" fontId="3" fillId="4" borderId="49" xfId="10" applyFill="1" applyBorder="1" applyAlignment="1">
      <alignment horizontal="center"/>
    </xf>
    <xf numFmtId="49" fontId="17" fillId="3" borderId="0" xfId="10" applyNumberFormat="1" applyFont="1" applyFill="1"/>
    <xf numFmtId="49" fontId="3" fillId="3" borderId="0" xfId="10" applyNumberFormat="1" applyFill="1"/>
    <xf numFmtId="0" fontId="0" fillId="0" borderId="1" xfId="0" applyBorder="1"/>
    <xf numFmtId="0" fontId="15" fillId="2" borderId="1" xfId="0" applyFont="1" applyFill="1" applyBorder="1"/>
    <xf numFmtId="0" fontId="14" fillId="2" borderId="1" xfId="0" applyFont="1" applyFill="1" applyBorder="1"/>
    <xf numFmtId="49" fontId="1" fillId="0" borderId="0" xfId="12" applyNumberFormat="1"/>
    <xf numFmtId="2" fontId="14" fillId="0" borderId="1" xfId="0" applyNumberFormat="1" applyFont="1" applyBorder="1"/>
    <xf numFmtId="0" fontId="14" fillId="0" borderId="1" xfId="0" applyFont="1" applyBorder="1"/>
    <xf numFmtId="0" fontId="0" fillId="0" borderId="14" xfId="0" applyBorder="1"/>
    <xf numFmtId="0" fontId="14" fillId="0" borderId="27" xfId="0" applyFont="1" applyBorder="1"/>
    <xf numFmtId="0" fontId="21" fillId="10" borderId="0" xfId="0" applyFont="1" applyFill="1"/>
    <xf numFmtId="165" fontId="13" fillId="0" borderId="1" xfId="0" applyNumberFormat="1" applyFont="1" applyBorder="1"/>
    <xf numFmtId="0" fontId="13" fillId="9" borderId="0" xfId="0" applyFont="1" applyFill="1"/>
    <xf numFmtId="164" fontId="13" fillId="9" borderId="0" xfId="1" applyFont="1" applyFill="1" applyBorder="1"/>
    <xf numFmtId="164" fontId="13" fillId="9" borderId="0" xfId="0" applyNumberFormat="1" applyFont="1" applyFill="1"/>
    <xf numFmtId="166" fontId="13" fillId="9" borderId="0" xfId="0" applyNumberFormat="1" applyFont="1" applyFill="1"/>
    <xf numFmtId="164" fontId="16" fillId="9" borderId="0" xfId="0" applyNumberFormat="1" applyFont="1" applyFill="1"/>
    <xf numFmtId="0" fontId="16" fillId="9" borderId="0" xfId="0" applyFont="1" applyFill="1"/>
    <xf numFmtId="165" fontId="13" fillId="9" borderId="0" xfId="0" applyNumberFormat="1" applyFont="1" applyFill="1"/>
    <xf numFmtId="0" fontId="13" fillId="9" borderId="0" xfId="0" applyFont="1" applyFill="1" applyAlignment="1">
      <alignment vertical="center"/>
    </xf>
    <xf numFmtId="0" fontId="59" fillId="9" borderId="0" xfId="0" applyFont="1" applyFill="1"/>
    <xf numFmtId="0" fontId="60" fillId="0" borderId="1" xfId="0" applyFont="1" applyBorder="1"/>
    <xf numFmtId="0" fontId="22" fillId="0" borderId="0" xfId="0" applyFont="1"/>
    <xf numFmtId="0" fontId="61" fillId="0" borderId="1" xfId="0" applyFont="1" applyBorder="1" applyAlignment="1">
      <alignment horizontal="center" vertical="center" wrapText="1"/>
    </xf>
    <xf numFmtId="164" fontId="26" fillId="2" borderId="0" xfId="1" applyFont="1" applyFill="1"/>
    <xf numFmtId="0" fontId="28" fillId="2" borderId="0" xfId="3" applyFont="1" applyFill="1"/>
    <xf numFmtId="0" fontId="63" fillId="0" borderId="0" xfId="0" applyFont="1" applyAlignment="1">
      <alignment vertical="center"/>
    </xf>
    <xf numFmtId="0" fontId="62" fillId="0" borderId="0" xfId="0" applyFont="1"/>
    <xf numFmtId="0" fontId="63" fillId="0" borderId="0" xfId="0" applyFont="1" applyAlignment="1">
      <alignment horizontal="right" vertical="center"/>
    </xf>
    <xf numFmtId="0" fontId="63" fillId="11" borderId="0" xfId="0" applyFont="1" applyFill="1" applyAlignment="1">
      <alignment vertical="center"/>
    </xf>
    <xf numFmtId="0" fontId="15" fillId="0" borderId="0" xfId="0" applyFont="1"/>
    <xf numFmtId="2" fontId="14" fillId="2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8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52" fillId="9" borderId="0" xfId="0" applyFont="1" applyFill="1" applyAlignment="1">
      <alignment horizontal="center" vertical="center" wrapText="1"/>
    </xf>
    <xf numFmtId="0" fontId="26" fillId="0" borderId="0" xfId="3" applyFont="1" applyAlignment="1">
      <alignment horizontal="right"/>
    </xf>
    <xf numFmtId="0" fontId="24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2" fillId="0" borderId="32" xfId="2" applyFont="1" applyBorder="1" applyAlignment="1">
      <alignment horizontal="center"/>
    </xf>
    <xf numFmtId="0" fontId="32" fillId="0" borderId="33" xfId="2" applyFont="1" applyBorder="1" applyAlignment="1">
      <alignment horizontal="center"/>
    </xf>
    <xf numFmtId="0" fontId="32" fillId="0" borderId="34" xfId="2" applyFont="1" applyBorder="1" applyAlignment="1">
      <alignment horizontal="center"/>
    </xf>
    <xf numFmtId="1" fontId="49" fillId="0" borderId="24" xfId="2" applyNumberFormat="1" applyFont="1" applyBorder="1" applyAlignment="1">
      <alignment horizontal="center" vertical="center" wrapText="1"/>
    </xf>
    <xf numFmtId="1" fontId="49" fillId="0" borderId="25" xfId="2" applyNumberFormat="1" applyFont="1" applyBorder="1" applyAlignment="1">
      <alignment horizontal="center" vertical="center" wrapText="1"/>
    </xf>
    <xf numFmtId="1" fontId="49" fillId="0" borderId="26" xfId="2" applyNumberFormat="1" applyFont="1" applyBorder="1" applyAlignment="1">
      <alignment horizontal="center" vertical="center" wrapText="1"/>
    </xf>
    <xf numFmtId="1" fontId="49" fillId="0" borderId="21" xfId="2" applyNumberFormat="1" applyFont="1" applyBorder="1" applyAlignment="1">
      <alignment horizontal="center" vertical="center" wrapText="1"/>
    </xf>
    <xf numFmtId="1" fontId="49" fillId="0" borderId="22" xfId="2" applyNumberFormat="1" applyFont="1" applyBorder="1" applyAlignment="1">
      <alignment horizontal="center" vertical="center" wrapText="1"/>
    </xf>
    <xf numFmtId="1" fontId="49" fillId="0" borderId="23" xfId="2" applyNumberFormat="1" applyFont="1" applyBorder="1" applyAlignment="1">
      <alignment horizontal="center" vertical="center" wrapText="1"/>
    </xf>
    <xf numFmtId="1" fontId="49" fillId="0" borderId="30" xfId="2" applyNumberFormat="1" applyFont="1" applyBorder="1" applyAlignment="1">
      <alignment horizontal="center" vertical="center" wrapText="1"/>
    </xf>
    <xf numFmtId="1" fontId="49" fillId="0" borderId="0" xfId="2" applyNumberFormat="1" applyFont="1" applyAlignment="1">
      <alignment horizontal="center" vertical="center" wrapText="1"/>
    </xf>
    <xf numFmtId="1" fontId="49" fillId="0" borderId="18" xfId="2" applyNumberFormat="1" applyFont="1" applyBorder="1" applyAlignment="1">
      <alignment horizontal="center" vertical="center" wrapText="1"/>
    </xf>
    <xf numFmtId="1" fontId="49" fillId="0" borderId="20" xfId="2" applyNumberFormat="1" applyFont="1" applyBorder="1" applyAlignment="1">
      <alignment horizontal="center" vertical="center" wrapText="1"/>
    </xf>
    <xf numFmtId="1" fontId="49" fillId="0" borderId="31" xfId="2" applyNumberFormat="1" applyFont="1" applyBorder="1" applyAlignment="1">
      <alignment horizontal="center" vertical="center" wrapText="1"/>
    </xf>
    <xf numFmtId="1" fontId="49" fillId="0" borderId="19" xfId="2" applyNumberFormat="1" applyFont="1" applyBorder="1" applyAlignment="1">
      <alignment horizontal="center" vertical="center" wrapText="1"/>
    </xf>
    <xf numFmtId="1" fontId="50" fillId="0" borderId="80" xfId="2" applyNumberFormat="1" applyFont="1" applyBorder="1" applyAlignment="1">
      <alignment horizontal="center" vertical="center"/>
    </xf>
    <xf numFmtId="1" fontId="50" fillId="0" borderId="12" xfId="2" applyNumberFormat="1" applyFont="1" applyBorder="1" applyAlignment="1">
      <alignment horizontal="center" vertical="center"/>
    </xf>
    <xf numFmtId="1" fontId="50" fillId="0" borderId="83" xfId="2" applyNumberFormat="1" applyFont="1" applyBorder="1" applyAlignment="1">
      <alignment horizontal="center" vertical="center"/>
    </xf>
    <xf numFmtId="1" fontId="50" fillId="0" borderId="62" xfId="2" applyNumberFormat="1" applyFont="1" applyBorder="1" applyAlignment="1">
      <alignment horizontal="center" vertical="center"/>
    </xf>
    <xf numFmtId="0" fontId="31" fillId="8" borderId="59" xfId="2" applyFont="1" applyFill="1" applyBorder="1" applyAlignment="1">
      <alignment horizontal="center" vertical="center"/>
    </xf>
    <xf numFmtId="0" fontId="31" fillId="8" borderId="84" xfId="2" applyFont="1" applyFill="1" applyBorder="1" applyAlignment="1">
      <alignment horizontal="center" vertical="center"/>
    </xf>
    <xf numFmtId="0" fontId="31" fillId="8" borderId="85" xfId="2" applyFont="1" applyFill="1" applyBorder="1" applyAlignment="1">
      <alignment horizontal="center" vertical="center"/>
    </xf>
    <xf numFmtId="0" fontId="33" fillId="0" borderId="21" xfId="2" applyFont="1" applyBorder="1" applyAlignment="1">
      <alignment horizontal="center"/>
    </xf>
    <xf numFmtId="0" fontId="33" fillId="0" borderId="22" xfId="2" applyFont="1" applyBorder="1" applyAlignment="1">
      <alignment horizontal="center"/>
    </xf>
    <xf numFmtId="0" fontId="33" fillId="0" borderId="23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 vertical="center"/>
    </xf>
    <xf numFmtId="1" fontId="45" fillId="0" borderId="17" xfId="2" applyNumberFormat="1" applyFont="1" applyBorder="1" applyAlignment="1">
      <alignment horizontal="center" vertical="center"/>
    </xf>
    <xf numFmtId="1" fontId="45" fillId="0" borderId="75" xfId="2" applyNumberFormat="1" applyFont="1" applyBorder="1" applyAlignment="1">
      <alignment horizontal="center" vertical="center"/>
    </xf>
    <xf numFmtId="1" fontId="45" fillId="0" borderId="30" xfId="2" applyNumberFormat="1" applyFont="1" applyBorder="1" applyAlignment="1">
      <alignment horizontal="center" vertical="center"/>
    </xf>
    <xf numFmtId="1" fontId="45" fillId="0" borderId="0" xfId="2" applyNumberFormat="1" applyFont="1" applyAlignment="1">
      <alignment horizontal="center" vertical="center"/>
    </xf>
    <xf numFmtId="1" fontId="45" fillId="0" borderId="18" xfId="2" applyNumberFormat="1" applyFont="1" applyBorder="1" applyAlignment="1">
      <alignment horizontal="center" vertical="center"/>
    </xf>
    <xf numFmtId="1" fontId="45" fillId="0" borderId="63" xfId="2" applyNumberFormat="1" applyFont="1" applyBorder="1" applyAlignment="1">
      <alignment horizontal="center" vertical="center"/>
    </xf>
    <xf numFmtId="1" fontId="45" fillId="0" borderId="16" xfId="2" applyNumberFormat="1" applyFont="1" applyBorder="1" applyAlignment="1">
      <alignment horizontal="center" vertical="center"/>
    </xf>
    <xf numFmtId="1" fontId="45" fillId="0" borderId="76" xfId="2" applyNumberFormat="1" applyFont="1" applyBorder="1" applyAlignment="1">
      <alignment horizontal="center" vertical="center"/>
    </xf>
    <xf numFmtId="0" fontId="32" fillId="0" borderId="67" xfId="2" applyFont="1" applyBorder="1" applyAlignment="1">
      <alignment horizontal="center"/>
    </xf>
    <xf numFmtId="0" fontId="32" fillId="0" borderId="28" xfId="2" applyFont="1" applyBorder="1" applyAlignment="1">
      <alignment horizontal="center"/>
    </xf>
    <xf numFmtId="0" fontId="32" fillId="0" borderId="68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/>
    </xf>
    <xf numFmtId="1" fontId="45" fillId="0" borderId="17" xfId="2" applyNumberFormat="1" applyFont="1" applyBorder="1" applyAlignment="1">
      <alignment horizontal="center"/>
    </xf>
    <xf numFmtId="1" fontId="45" fillId="0" borderId="75" xfId="2" applyNumberFormat="1" applyFont="1" applyBorder="1" applyAlignment="1">
      <alignment horizontal="center"/>
    </xf>
    <xf numFmtId="1" fontId="45" fillId="0" borderId="20" xfId="2" applyNumberFormat="1" applyFont="1" applyBorder="1" applyAlignment="1">
      <alignment horizontal="center"/>
    </xf>
    <xf numFmtId="1" fontId="45" fillId="0" borderId="31" xfId="2" applyNumberFormat="1" applyFont="1" applyBorder="1" applyAlignment="1">
      <alignment horizontal="center"/>
    </xf>
    <xf numFmtId="1" fontId="45" fillId="0" borderId="19" xfId="2" applyNumberFormat="1" applyFont="1" applyBorder="1" applyAlignment="1">
      <alignment horizontal="center"/>
    </xf>
    <xf numFmtId="0" fontId="31" fillId="8" borderId="24" xfId="2" applyFont="1" applyFill="1" applyBorder="1" applyAlignment="1">
      <alignment horizontal="center" vertical="center"/>
    </xf>
    <xf numFmtId="0" fontId="31" fillId="8" borderId="25" xfId="2" applyFont="1" applyFill="1" applyBorder="1" applyAlignment="1">
      <alignment horizontal="center" vertical="center"/>
    </xf>
    <xf numFmtId="0" fontId="31" fillId="8" borderId="26" xfId="2" applyFont="1" applyFill="1" applyBorder="1" applyAlignment="1">
      <alignment horizontal="center" vertical="center"/>
    </xf>
    <xf numFmtId="1" fontId="50" fillId="0" borderId="60" xfId="2" applyNumberFormat="1" applyFont="1" applyBorder="1" applyAlignment="1">
      <alignment horizontal="center" vertical="center"/>
    </xf>
    <xf numFmtId="0" fontId="32" fillId="0" borderId="5" xfId="2" applyFont="1" applyBorder="1" applyAlignment="1">
      <alignment horizontal="left"/>
    </xf>
    <xf numFmtId="0" fontId="32" fillId="0" borderId="1" xfId="2" applyFont="1" applyBorder="1" applyAlignment="1">
      <alignment horizontal="left"/>
    </xf>
    <xf numFmtId="0" fontId="32" fillId="0" borderId="69" xfId="2" applyFont="1" applyBorder="1" applyAlignment="1">
      <alignment horizontal="center" wrapText="1"/>
    </xf>
    <xf numFmtId="0" fontId="32" fillId="0" borderId="70" xfId="2" applyFont="1" applyBorder="1" applyAlignment="1">
      <alignment horizontal="center" wrapText="1"/>
    </xf>
    <xf numFmtId="0" fontId="32" fillId="0" borderId="71" xfId="2" applyFont="1" applyBorder="1" applyAlignment="1">
      <alignment horizontal="center" wrapText="1"/>
    </xf>
    <xf numFmtId="1" fontId="35" fillId="0" borderId="2" xfId="2" applyNumberFormat="1" applyFont="1" applyBorder="1" applyAlignment="1">
      <alignment horizontal="center" vertical="center" wrapText="1"/>
    </xf>
    <xf numFmtId="1" fontId="35" fillId="0" borderId="3" xfId="2" applyNumberFormat="1" applyFont="1" applyBorder="1" applyAlignment="1">
      <alignment horizontal="center" vertical="center" wrapText="1"/>
    </xf>
    <xf numFmtId="1" fontId="35" fillId="0" borderId="7" xfId="2" applyNumberFormat="1" applyFont="1" applyBorder="1" applyAlignment="1">
      <alignment horizontal="center" vertical="center" wrapText="1"/>
    </xf>
    <xf numFmtId="1" fontId="35" fillId="0" borderId="8" xfId="2" applyNumberFormat="1" applyFont="1" applyBorder="1" applyAlignment="1">
      <alignment horizontal="center" vertical="center" wrapText="1"/>
    </xf>
    <xf numFmtId="1" fontId="42" fillId="0" borderId="3" xfId="2" applyNumberFormat="1" applyFont="1" applyBorder="1" applyAlignment="1">
      <alignment horizontal="center" vertical="center" wrapText="1"/>
    </xf>
    <xf numFmtId="1" fontId="42" fillId="0" borderId="8" xfId="2" applyNumberFormat="1" applyFont="1" applyBorder="1" applyAlignment="1">
      <alignment horizontal="center" vertical="center" wrapText="1"/>
    </xf>
    <xf numFmtId="0" fontId="43" fillId="0" borderId="68" xfId="2" applyFont="1" applyBorder="1" applyAlignment="1">
      <alignment horizontal="left"/>
    </xf>
    <xf numFmtId="0" fontId="43" fillId="0" borderId="1" xfId="2" applyFont="1" applyBorder="1" applyAlignment="1">
      <alignment horizontal="left"/>
    </xf>
    <xf numFmtId="0" fontId="32" fillId="0" borderId="28" xfId="2" applyFont="1" applyBorder="1" applyAlignment="1">
      <alignment horizontal="left"/>
    </xf>
    <xf numFmtId="0" fontId="32" fillId="0" borderId="68" xfId="2" applyFont="1" applyBorder="1" applyAlignment="1">
      <alignment horizontal="left"/>
    </xf>
    <xf numFmtId="0" fontId="33" fillId="0" borderId="67" xfId="2" applyFont="1" applyBorder="1" applyAlignment="1">
      <alignment horizontal="left"/>
    </xf>
    <xf numFmtId="0" fontId="33" fillId="0" borderId="28" xfId="2" applyFont="1" applyBorder="1" applyAlignment="1">
      <alignment horizontal="left"/>
    </xf>
    <xf numFmtId="0" fontId="32" fillId="0" borderId="67" xfId="2" applyFont="1" applyBorder="1" applyAlignment="1">
      <alignment horizontal="left"/>
    </xf>
    <xf numFmtId="0" fontId="33" fillId="0" borderId="68" xfId="2" applyFont="1" applyBorder="1" applyAlignment="1">
      <alignment horizontal="left"/>
    </xf>
    <xf numFmtId="0" fontId="33" fillId="0" borderId="63" xfId="2" applyFont="1" applyBorder="1" applyAlignment="1">
      <alignment horizontal="left"/>
    </xf>
    <xf numFmtId="0" fontId="33" fillId="0" borderId="64" xfId="2" applyFont="1" applyBorder="1" applyAlignment="1">
      <alignment horizontal="left"/>
    </xf>
    <xf numFmtId="0" fontId="31" fillId="8" borderId="54" xfId="2" applyFont="1" applyFill="1" applyBorder="1" applyAlignment="1">
      <alignment horizontal="center"/>
    </xf>
    <xf numFmtId="0" fontId="31" fillId="8" borderId="17" xfId="2" applyFont="1" applyFill="1" applyBorder="1" applyAlignment="1">
      <alignment horizontal="center"/>
    </xf>
    <xf numFmtId="0" fontId="31" fillId="8" borderId="55" xfId="2" applyFont="1" applyFill="1" applyBorder="1" applyAlignment="1">
      <alignment horizontal="center"/>
    </xf>
    <xf numFmtId="0" fontId="32" fillId="0" borderId="2" xfId="2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31" fillId="8" borderId="21" xfId="2" applyFont="1" applyFill="1" applyBorder="1" applyAlignment="1">
      <alignment horizontal="center"/>
    </xf>
    <xf numFmtId="0" fontId="31" fillId="8" borderId="22" xfId="2" applyFont="1" applyFill="1" applyBorder="1" applyAlignment="1">
      <alignment horizontal="center"/>
    </xf>
    <xf numFmtId="0" fontId="31" fillId="8" borderId="23" xfId="2" applyFont="1" applyFill="1" applyBorder="1" applyAlignment="1">
      <alignment horizontal="center"/>
    </xf>
    <xf numFmtId="0" fontId="33" fillId="0" borderId="24" xfId="2" applyFont="1" applyBorder="1" applyAlignment="1">
      <alignment horizontal="center"/>
    </xf>
    <xf numFmtId="0" fontId="33" fillId="0" borderId="60" xfId="2" applyFont="1" applyBorder="1" applyAlignment="1">
      <alignment horizontal="center"/>
    </xf>
    <xf numFmtId="0" fontId="33" fillId="0" borderId="25" xfId="2" applyFont="1" applyBorder="1" applyAlignment="1">
      <alignment horizontal="center"/>
    </xf>
    <xf numFmtId="0" fontId="33" fillId="0" borderId="26" xfId="2" applyFont="1" applyBorder="1" applyAlignment="1">
      <alignment horizontal="center"/>
    </xf>
  </cellXfs>
  <cellStyles count="13">
    <cellStyle name="Comma" xfId="1" builtinId="3"/>
    <cellStyle name="Normal" xfId="0" builtinId="0"/>
    <cellStyle name="Normal 10" xfId="11" xr:uid="{00000000-0005-0000-0000-000002000000}"/>
    <cellStyle name="Normal 11" xfId="12" xr:uid="{00000000-0005-0000-0000-000003000000}"/>
    <cellStyle name="Normal 15" xfId="3" xr:uid="{00000000-0005-0000-0000-000004000000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7" xr:uid="{00000000-0005-0000-0000-000008000000}"/>
    <cellStyle name="Normal 6" xfId="6" xr:uid="{00000000-0005-0000-0000-000009000000}"/>
    <cellStyle name="Normal 7" xfId="8" xr:uid="{00000000-0005-0000-0000-00000A000000}"/>
    <cellStyle name="Normal 8" xfId="9" xr:uid="{00000000-0005-0000-0000-00000B000000}"/>
    <cellStyle name="Normal 9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9526</xdr:rowOff>
    </xdr:from>
    <xdr:to>
      <xdr:col>7</xdr:col>
      <xdr:colOff>28575</xdr:colOff>
      <xdr:row>11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902" t="32816" r="33885" b="43483"/>
        <a:stretch/>
      </xdr:blipFill>
      <xdr:spPr>
        <a:xfrm>
          <a:off x="28575" y="390526"/>
          <a:ext cx="3800475" cy="1733550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14</xdr:row>
      <xdr:rowOff>152400</xdr:rowOff>
    </xdr:from>
    <xdr:to>
      <xdr:col>11</xdr:col>
      <xdr:colOff>533946</xdr:colOff>
      <xdr:row>21</xdr:row>
      <xdr:rowOff>66849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819400"/>
          <a:ext cx="3915321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14</xdr:row>
      <xdr:rowOff>38099</xdr:rowOff>
    </xdr:from>
    <xdr:to>
      <xdr:col>3</xdr:col>
      <xdr:colOff>577453</xdr:colOff>
      <xdr:row>16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70" t="43755" r="53508" b="52077"/>
        <a:stretch/>
      </xdr:blipFill>
      <xdr:spPr>
        <a:xfrm>
          <a:off x="2305050" y="2819399"/>
          <a:ext cx="1101328" cy="352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581025</xdr:colOff>
      <xdr:row>21</xdr:row>
      <xdr:rowOff>38101</xdr:rowOff>
    </xdr:from>
    <xdr:to>
      <xdr:col>3</xdr:col>
      <xdr:colOff>523875</xdr:colOff>
      <xdr:row>22</xdr:row>
      <xdr:rowOff>168629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095" t="51645" r="54620" b="44732"/>
        <a:stretch/>
      </xdr:blipFill>
      <xdr:spPr>
        <a:xfrm>
          <a:off x="2362200" y="4191001"/>
          <a:ext cx="990600" cy="3210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19050</xdr:colOff>
      <xdr:row>0</xdr:row>
      <xdr:rowOff>0</xdr:rowOff>
    </xdr:from>
    <xdr:to>
      <xdr:col>13</xdr:col>
      <xdr:colOff>591364</xdr:colOff>
      <xdr:row>7</xdr:row>
      <xdr:rowOff>136864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3620314" cy="1508464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400051</xdr:colOff>
      <xdr:row>8</xdr:row>
      <xdr:rowOff>175109</xdr:rowOff>
    </xdr:from>
    <xdr:to>
      <xdr:col>12</xdr:col>
      <xdr:colOff>495301</xdr:colOff>
      <xdr:row>24</xdr:row>
      <xdr:rowOff>76817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1737209"/>
          <a:ext cx="3143250" cy="306400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24</xdr:row>
      <xdr:rowOff>209550</xdr:rowOff>
    </xdr:from>
    <xdr:to>
      <xdr:col>13</xdr:col>
      <xdr:colOff>133892</xdr:colOff>
      <xdr:row>34</xdr:row>
      <xdr:rowOff>28821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933950"/>
          <a:ext cx="3886742" cy="1762371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0</xdr:row>
      <xdr:rowOff>19050</xdr:rowOff>
    </xdr:from>
    <xdr:to>
      <xdr:col>21</xdr:col>
      <xdr:colOff>200652</xdr:colOff>
      <xdr:row>22</xdr:row>
      <xdr:rowOff>48235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9050"/>
          <a:ext cx="4496427" cy="4372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00000000-0008-0000-0600-000022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00000000-0008-0000-0600-000024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00000000-0008-0000-0600-000029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600-000054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00000000-0008-0000-0600-000056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00000000-0008-0000-0600-000057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00000000-0008-0000-0600-000059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00000000-0008-0000-0600-00005A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0000000-0008-0000-0600-00005B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0000000-0008-0000-0600-00005C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00000000-0008-0000-0600-00005D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00000000-0008-0000-0600-00006B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00000000-0008-0000-0600-000096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00000000-0008-0000-0600-000097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000000-0008-0000-0600-000098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00000000-0008-0000-0600-000099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00000000-0008-0000-0600-00009A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00000000-0008-0000-0600-00009B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00000000-0008-0000-0600-00009C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00000000-0008-0000-0600-00009D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0000000-0008-0000-0600-00009E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0000000-0008-0000-0600-00009F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00000000-0008-0000-0600-0000A0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00000000-0008-0000-0600-0000A2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00000000-0008-0000-0600-0000A4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00000000-0008-0000-0600-0000A5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0000000-0008-0000-0600-0000A6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00000000-0008-0000-0600-0000A7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00000000-0008-0000-0600-0000A9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00000000-0008-0000-0600-0000AA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00000000-0008-0000-0600-0000AB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00000000-0008-0000-0600-0000AC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00000000-0008-0000-0600-0000AD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00000000-0008-0000-0600-0000D7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00000000-0008-0000-0600-0000D8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00000000-0008-0000-0600-0000D9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00000000-0008-0000-0600-0000DA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00000000-0008-0000-0600-0000DB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00000000-0008-0000-0600-0000DC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00000000-0008-0000-0600-0000DD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00000000-0008-0000-0600-0000DE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00000000-0008-0000-0600-0000DF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00000000-0008-0000-0600-0000E0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0000000-0008-0000-0600-0000E1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00000000-0008-0000-0600-0000E2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0000000-0008-0000-0600-0000E4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00000000-0008-0000-0600-0000E5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00000000-0008-0000-0600-0000E6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00000000-0008-0000-0600-0000E7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0000000-0008-0000-0600-0000E8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00000000-0008-0000-0600-0000E9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00000000-0008-0000-0600-0000EA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00000000-0008-0000-0600-0000EB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00000000-0008-0000-0600-0000EC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00000000-0008-0000-0600-0000ED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00000000-0008-0000-0600-0000EE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00000000-0008-0000-0600-0000EF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14</xdr:row>
      <xdr:rowOff>28575</xdr:rowOff>
    </xdr:from>
    <xdr:to>
      <xdr:col>11</xdr:col>
      <xdr:colOff>381000</xdr:colOff>
      <xdr:row>14</xdr:row>
      <xdr:rowOff>28575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5438775" y="2886075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0000000-0008-0000-0600-00001A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00000000-0008-0000-0600-00001B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00000000-0008-0000-0600-00001C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00000000-0008-0000-0600-00001D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00000000-0008-0000-0600-00001E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00000000-0008-0000-0600-00001F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00000000-0008-0000-0600-000020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00000000-0008-0000-0600-000021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00000000-0008-0000-0600-000022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0000000-0008-0000-0600-000023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00000000-0008-0000-0600-000024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00000000-0008-0000-0600-000026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00000000-0008-0000-0600-000027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0000000-0008-0000-0600-000028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00000000-0008-0000-0600-000029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0000000-0008-0000-0600-00002A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00000000-0008-0000-0600-00002B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0000000-0008-0000-0600-00002C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0000000-0008-0000-0600-00002D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00000000-0008-0000-0600-00002E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00000000-0008-0000-0600-00002F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00000000-0008-0000-0600-000030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00000000-0008-0000-0600-000031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6287DF-EF0C-43DA-B1DC-6EBD1E7CD29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BF4E4F-65B5-4D8F-8FEB-E9029EEF4CA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2F2FDC-DC2B-4B83-9983-CDC06E634F8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B8CFB35-62A4-467A-9944-C602FCAFB86F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8553B09-90BE-4256-B509-32DB70CBE6D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DB14B39-2F70-448B-B7D0-D09FD4875A5C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D2D1087-1526-4DD5-AF53-90518090F49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7702E12-BF69-42F5-84C5-9B8E6CF9B939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CA654DD-E5E3-4430-AA1B-6CA95974630A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A1ABFDE-ADC2-48C1-B1DD-134DF9A230A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CCE66E0-8A78-4AD0-A1C8-CB6FA62248B0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23A998E-128B-4747-8C34-A79FBF3B8CC4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12E1D9-3CD9-4B81-8956-DDA5D62CD38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EEE764D-D810-4F10-830F-E32821F78256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E9853BF-ED48-4657-84CC-ABF2E41ADA0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FE988C5B-F5C1-9CED-BB75-31E7F6616626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FFCC2C5-E59D-8859-1CFE-5AAACB2753D7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8A873AD7-CABF-FCF1-7C18-E0785DDE6FE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EE350E1-A1D6-2172-BBEA-255DE60FAF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4EF0F2BF-E239-0AE3-9E03-A7978C1CF2AB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2FC43D1A-D064-2BF8-4C4C-88CDED8C825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0CDD8EE-960E-25C7-279B-39B0B4A1298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A1E1F58-3E13-163E-C167-468A1DD25FB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4AEB2F57-CFB6-46FA-962F-46BAC239D31D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2FC8174F-BDB9-FBE9-D037-4A2C4AA17E5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8B7D1EE4-1628-F028-91EB-D3B8BD91685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9E48FB77-6EB2-3F71-826C-780DF8F21D7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AB608F1-3FE1-4034-8463-32EC2456FFC9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5A79811A-7B5E-C0CE-B35B-B8066CD16F1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7F7DD62A-5F32-17F2-1CAF-57223C80091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4A6F4C2B-5AA9-3AF4-40A9-255C443A6E1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707F354C-F5EC-8971-5BD2-9EC694AF5F7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D285BE3-7C70-113E-4C79-9B02CDDD8AC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A4F2376D-230D-03A6-826E-042099B4036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6233EE8A-9488-3D7E-AB1D-2CB74E36293F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BC339FE-CCF6-F32F-B5EA-1F9EAB661B8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6B397D70-0F3C-6A0F-C6BF-F57B0D49BB8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ADA68BB5-A7B6-D43F-A834-7E7F2D6FB5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8CD73DC-513B-BD88-91F5-7BC167BBA08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263F1280-45BF-E9A9-A002-8B1977B62A02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04F03E9-3C1B-4C03-850D-E64156CBFB0B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8D3D06E-4E4C-44B3-85CB-03040E66A64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C722F20-2188-4F65-A98D-E6B08B508BC5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BAF2AC6-B436-4D99-AA57-99255BB8DDB1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E981310-D196-4077-AEAB-9570E82C0C9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2FA0897-D689-407F-B8F8-B8B11AC5814B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C9827D8-C7A5-4C1E-954A-59E58F63313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54DF4F6-16A8-4248-8A91-5961B1FEBB0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936932D-C31B-4EBF-AB29-6BD3D96C4AE4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0EAE2C7-C215-42CE-AF87-6F8AE86FC97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44DA5A3-75AB-429E-B833-D6119A9A37B1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E41A83F-3D24-4578-BEF6-31D170D1CA1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FD87D98-AF48-4CBA-A288-B360D3CFA74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2480844-BEC0-4B73-8EEE-30855DA730E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01277A-7ECC-453B-BD0A-7A6F5C3DD96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4DF97CA-3D9F-49D2-998A-6123638E70E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D8ABF57-95A3-4A31-8423-4158B337AD7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DF05EB1-CEE7-4C12-B098-441C8EC66CF7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7D0CB3C-229F-4F7B-991D-7C7084AAF038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75438D2-CB36-447E-BF37-49DE61C1C2D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AD1ACE1-4EDD-4AE5-82BF-ED4DCF82336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3B57994-0D01-424F-B00E-39B7810284D8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38EB3B6-6C13-4808-8B4C-398BC75410A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E4C7B9EA-5F1C-4587-8C70-D440DA0E9F99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3E48754E-EE5E-4707-BD1A-35F1A1DA8B3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E64B14CD-DBFB-4863-8996-4CA1BE22472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4664E4F-4393-4FB6-B0D0-8B601DBBB00C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64A9C21-18A5-4521-9F80-178F49E00F5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A1120AA-B677-48C7-8D93-541FDB29E1C9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D2801B9-5157-41FA-88FE-580343E0492A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ABA9ED9-3DD8-4D99-857D-D4BC69C040B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6EF7727-FFC4-46D6-B4B3-56AD24FFB7B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E64004-4573-405E-9CED-7997A1E10EA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65E1820-E660-4719-885B-1C56AC812D95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2E81ACE-45F1-4FDC-B242-D3F4FDD5909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48FF9354-86C9-49FC-ADD6-6A1EF5BE687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946D96C-CCCE-4270-8C5F-D57CAE7703A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2DB4CA0-196E-4067-910B-6F68D0A9836A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9CABC53-2F7A-43AB-BF5E-CB2BB1E8B9A5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888340F-EE57-4B1B-AC47-E221F190BA4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EE81877D-F459-47AE-91C2-6933B39EA84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7F3B86A-7489-1A9C-182A-E7BBA08582E5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7A13CF45-E6A9-312A-9853-41921E1B5F4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B19EB4D2-1151-3983-180C-4356E0BE3D3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84B2AA9C-EE6A-1559-23FD-6420D0BC429C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7B57794B-0E8B-7D4D-182D-FA9B0CEF41A1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B94C849B-2F5A-43B2-2E82-683DA8B6929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1BA6222-C824-89ED-67DD-3D1F8B6B6B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69339944-832B-9C1D-BAFE-8A9611A9E50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27CA5EC9-812E-F87D-6AAE-D9DE5F701D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5FF8707-C7E8-D679-C58A-5506CB650A89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1EC6B44A-E402-6078-7292-A71075AC888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4B7E293E-C719-4877-74F2-E46A7F729E9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5798CE3-EF94-4A64-BEBE-74BE9C15145F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305E4528-3577-5D62-455E-17EF96ECD92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7B184128-8E45-BFB8-8CB1-5A9406A2273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B3FD36AC-7962-6E32-7300-37F52480215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D63F7AE8-A007-2AE3-14C0-71BC0C37D9A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EFA762DC-970D-3A0E-8D25-6678BED7950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6C1FDCCC-46F5-4C66-6A93-0DAC3FBF56E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B84AF47B-6624-EC9A-EDAB-C39C5FD27BE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EDCFAA2B-D1B4-6662-60F0-2165724BDF5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674DC569-82B2-485B-BE25-F9778C3F67E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7CA8130D-112F-9D6F-9D99-C4C8628F58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80E0D36C-872F-88A4-7C7D-6E1B46C2510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EA8DBF33-5D5C-527C-4E6C-A831276A8F7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DE331DCC-2519-47CE-987B-C80C7AD6035F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76B14E47-4F2F-40C8-BA8D-2D43D60003A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6D47D7F9-CF11-4AB1-9D35-BFB2D46975B4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BC82F77-969C-462F-8151-1AD664F8B7CB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A2702E99-A34F-4573-BEBF-38BDD7FF3EF3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9A6F8315-B781-4BB6-8AD3-6C237C62736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98B7901-5B2B-4618-A62D-869998F443AB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175C04AB-D124-45AF-99F4-F0DD61404650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87577C91-886A-464E-AE4A-B08CD706CD20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92C1B899-D1E8-4091-B876-B7726BE293D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FA199B15-0A4A-4211-9184-A46AC9F082A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C4909DE5-06E9-4760-99A1-A086F8B25AF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EFB45BF-8AAD-469B-96F3-4DA600A96DE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BC63DD6-8763-44DB-8B43-17B457CEA67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D11037E4-31C6-424A-91E6-BA594F7BDBD9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0664E84-1714-4B35-82C7-30D0CF6004D7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638443C-6FF4-40C3-A7AF-33D7EA9EC7D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B7291A4-582B-4745-9BA0-41852041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815E08B4-34B8-473E-8E7C-270B131BEADA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FD75A710-8E00-4E77-B0AC-D6E49A0F381E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C99DC55-E0DA-4431-93D8-9116861AE40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53E1986-6D27-4DD5-95F7-19D3EAFD9FBF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FF38021-32E5-4A1C-AAC3-4A0D61357BD2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7FD61C8D-546A-493B-A420-AD74B37259C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5AD6B50F-7FF3-401D-920B-294F48907CB6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6060E982-833F-44C8-A03B-129CC66009C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AF5B5855-97A3-4FDF-9836-093207D63B61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525FC169-78EC-4504-A72B-41B42BFD34B6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382397A-69F4-4DE6-9BA6-AEDAEA57F7A6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D52AEC13-D030-41B7-8DC7-E74D424B4A3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5347181A-3BE6-4ED0-A61F-C9BB3212B48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9D9771BD-B965-4DA7-AF85-3BB633C71177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12AA4D2-AA61-4C7B-950C-29A6886098A7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F42A59C-4AA2-4881-9E14-2C25FF5859EE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440BD40-A9B8-426E-BD79-E8FE6596EDF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AAAD209-CAC9-43B8-BE42-B5B63A5E0422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A98F22B7-DD45-4105-969F-BC5FEC05195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C58CC5DD-E777-46A5-9A7E-9B7AEEB59C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9270879E-308D-4A79-ACFB-C4E543DC2C9A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92C43DB-2E49-4DD7-88AE-6CAE496CF017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98AF0E1B-F109-43E8-8994-934584CDFA0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6462CD15-A320-CC3A-3369-D1EB3F5CAA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1BD2A202-D575-1267-F14D-DB6A2B811D1A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4F798B44-EC09-FF8C-12BE-02F1B2E1FE89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37EF2C-4671-40C3-5DF9-EE09D6595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B3451AEA-A87E-B42E-0E76-DD02EBB885C3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C662156E-8E13-5473-4CC8-9EAFFF18E40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4EFA701C-EADE-EFC9-C451-A77CB1AC6F71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C2BD92B0-AA58-8D5D-FB76-B0B75CCFEFD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330F6F42-0BB2-0A6F-2081-B2A52A00B3A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F0E82994-26DA-8539-1859-8172518696E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74B8BCB2-4C85-D4CF-F42B-BD97120E376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7BADF7A-7EF5-1E54-1688-7990A536BB6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C7C9529-B59F-4506-8D6C-F45E0F28FA66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3F6FC58F-6C63-1D76-F2F2-2F99FA60C1D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A78FADA3-4FD7-3254-61A5-33F81ED4FF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66EE5F10-0707-CA4D-CC93-F3F3E5F5ED8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77FA382E-0E22-A077-23F5-2276E63A5FCD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8A708777-5D80-BF4C-6609-BCD12D63B5B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3A48C2AE-7498-7F57-1FB9-2515920173C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B15CE4C8-0777-765D-5B8A-5C462ECA583B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4C0C6DBC-6314-AAD5-8F00-9503E968170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D4E82DD1-52CA-00A8-86BF-8EE69CF3516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E593D25-D830-4FC3-9CD4-5295A310076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3EB094F8-6849-AB4C-AB7D-9D4BE53EAAC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762576C7-61AF-1A4B-627F-CD694CD6998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CAD45EAC-39AD-4948-99DA-400A59161407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A2F2361D-C6AC-468F-ADBC-9CB6517EFFC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AE232432-0B29-4AAB-99CC-1D8396E6319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D8A01F18-2CEB-46EF-81F0-B5B3BA055C4C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78771C5-FC3C-4625-90C0-39C69834BC0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48DF6524-AFD1-473B-84AB-BE436626954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C0909019-522E-45E1-B044-77DDD8DD036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E51951A7-127A-42A5-BA6E-4DE2BF2D0352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C6915A9A-E3C5-40E0-B88A-37932AD4CE6D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B039FC07-7BD0-4B62-91DD-BA9B879373EE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8F2CA7DC-9036-41A1-9666-5298716E7539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C3AE657D-06E2-4CE3-8AA7-0B03E0B5444C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2D6FE0B-48E2-4F3B-B6A5-25182E1A90C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81A56CB6-DF15-41B7-9914-18495D02F68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AEE0A63B-CECC-4C02-BE5D-71AA74A6B45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80BAD7E2-A341-4286-A517-7744CDF3477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89E34C9D-8CDC-420C-AA9E-443CC749509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EF4337CC-7F30-451B-BE59-048E89C55FE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5876F406-9AE2-4849-A7E8-B8D046FBE50B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3DF8257D-4D29-40E9-8FEC-699D9CCD2BD3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E1C115FB-044F-4C58-914A-0A5BCDFF3BB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DF16142D-8DDA-4F50-B95A-90977C0A7957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E3DDE2A8-CFAD-4622-B9B9-5AB39616CBF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3AA4B4FF-D2AD-4A27-9F64-E7530DD289E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604B3D6A-A150-45A0-9719-A78DD7DF32E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BEC3D51C-AF31-4219-8A11-B6237C721146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4F8C7769-00CD-4F28-AC1D-D1A017978EEA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928B0D35-1021-4CB0-A6A5-F1BDBB37F2C0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8756D150-C1F1-48E9-AC40-27AB18784FE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FC6ECF7-5080-4C2F-A3F1-E3B46B78C556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9A55FE41-B35D-4E54-A5E0-CDB13BE2FA1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B99CADF6-2C4F-4A8A-9EA6-41EE509AA97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6F45AD9A-A4AC-403B-8759-1DA9A2D86F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9ADDFA13-48FF-4958-9D15-4E11B3795BD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F1C47B81-707E-4E4F-81E3-B92AA90090C2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AA0B61FF-91C8-47A4-9076-2E4A7126C2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F123A79-5949-4A0B-B383-A98209DBC6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822BC433-B223-44C8-BF22-0263610B996C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A8F626DD-9D76-4C0A-BEAD-3EF12D05F882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D23BB005-85AD-41C2-A78B-4D2754BBF2E8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E58A473B-DC07-41AD-B520-03BF9D2B8FBC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8AEDE493-0E18-910B-BCD2-DB158C18869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E2400AEA-E91E-54AD-5129-26E2CF4700C6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3EF1F9F4-831B-BE14-B08F-B961217DEEF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AC0A1F6C-B308-D95E-4513-A5144588B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5A5CA45B-D426-4729-EE9B-BB6950DBAD1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5FBC07F9-C27E-D0B2-6155-054E47F9B90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86829A81-2FB6-1490-7DA2-DDBD77A44FD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6586188E-58BD-E2EE-322F-8E7F785334E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BEAE67CD-4B3A-6CF9-AA6F-9C34AD754EB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5FED78B1-8FB0-0682-9049-82B732EF013F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11231CA0-0B83-B78F-923D-9E6B7475BB7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EB657D46-794C-6EF5-EF1A-0A39401E243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DAA4987A-92F0-4D5A-8998-FF6208D80959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718A579D-D34B-7F76-74B5-91E089F50E3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85CC86A8-97C6-537F-5282-95BD452EA1D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283E154B-289D-E8D2-094B-EBC40BA148F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AFCF5F63-9E4A-DDBA-8A63-7371DDED684A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285AB529-D27B-4E34-7E01-6344B8CCDA3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A0F40EA1-FE3F-79B5-BC93-89A26A336BAA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B86D091C-CD12-78F6-B46F-2DCA5B0816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AF7CCA16-D116-ACE9-143D-0B968AF9A1D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70D093EB-3092-C3CC-E2B3-5E1B8E617F31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C25B3DDC-B089-6219-EE85-9E24F61BC00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4D0D857C-0DA2-3E42-F6CA-E7755AA0EBD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8521D04D-0E04-92E4-2D74-18BB1ADCE5B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8A3ABFAA-8C6C-4234-8B85-F595F10995B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751B0B82-7FAF-4AD1-A55A-5A738AB15B5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BE84CA39-53C8-42AA-982A-FAC8B99C4569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3DC505C-D7C7-4667-85DF-0B6206499864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522AF66B-F94A-4221-AB6F-B7EFB512EFC0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CC062FEE-FEC3-4E9F-876D-0D2AE046F7B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FE20CDF1-5F52-4A0F-B4FC-323313AD84E9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B11CF381-7CC3-416F-BEA6-9471A302141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AF41CBF3-8192-4387-B32F-96389291F882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8E9B1CA9-DB3D-47C8-9C53-A31CCBFB64A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7C053D92-FD78-4DAB-A0B8-DCE03B72ED6B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2BF7C4F6-73D6-40D5-8289-A19030D2C7B8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DF392DA7-417B-49FB-B8BC-23900220760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E1FF67-F97B-4E04-B3EF-F36737C04EC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533E640-5E49-4BF5-BE64-D22BFC17746A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5A5BDC83-777A-4C76-8D43-802689E966E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7133E192-B03D-4E66-B864-F0C4019BBE3D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4BA6A392-3ABD-4087-9124-754E1DA2BE0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B401EF77-B3DB-436B-BF68-7DE6D219BCB7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DBE813EB-AB1A-4755-8C9B-D4FD44E064B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83813D47-11E7-43F6-AF3C-60E1F0109E9D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5A26E392-4D28-4B91-9623-13B1395AB30E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32B353A7-4C20-4F0E-B8D8-7FBCF7AD2B66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8522CBBA-91A9-4964-9F06-93C5682282D2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88F85D94-3010-4CA7-9DC8-F41A41E69D2D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659770C0-38AF-435A-A807-A9A3D684A7C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AB63E1AF-DE22-4F31-98F0-173987F64FA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8231A13E-410E-4E33-BCB1-F8D129F64E5A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FD485AD0-2A9F-407C-A337-594AA85A505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AD73720-3F3E-4C8E-B9CA-1874320C7F05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31EE9E40-2831-45F0-BC14-5D0A7963AD96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AD99D154-3C5F-4400-A869-17A58C019F14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D8CCD362-C8C6-414C-A32B-3938E710A92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5983B49B-AE73-415B-BDE5-4A39622AED10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F68FFEF7-AAFD-4384-90C9-F0C806087BBD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B67714E9-A855-4650-9C39-F36AB0A805CE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6234268D-7418-4BCC-BA24-ECC7F22560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9D3CE137-9310-45B3-889B-EE32FA794AC5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2B25543-2C2C-4643-AAC3-AA18F89CE15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E6FA63D4-25C2-4221-A736-2583BC56515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577E7F78-CCD7-4244-8096-410E75AB445C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7BAD145B-A7ED-E660-49D6-5591AD793FA7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8AAE83DD-0823-E182-52AA-DDCE853DDBC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C704B5F7-7925-3299-A3C8-6188D151C7C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3A1F6FB1-D8B0-C8A3-E1E8-5DD0CDCBF1E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6D3BABAB-EF2B-5BD2-3BFA-5EA9C11F3BD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8D1BAE41-A9E3-467D-9631-EB0D0E2CFAB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534446A4-D29E-0F89-1039-A652C5E1185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4969CA0D-6BEB-4CC7-5B74-77212F1C3FA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8984E53E-36CB-BBBD-887B-5C36C263814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F97AB3EE-F282-EE29-F33B-0EAAD8A31B0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6F46822A-09A5-8AA4-AD7C-65635466FFD4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5ED27C49-1BA9-FCB4-BCA6-C7C2316187D8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C193D95B-2DEA-4B41-86D8-DCC9B5E86AC8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93A26071-3E8C-6638-03EE-CB569067CCE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52039F29-6D27-AB13-F665-B29E74E0E9B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FEAA2474-9417-7146-9A17-C17F707688C5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E7E0CFEE-2846-DAA3-89DE-D1B08F4D439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A85C2879-2A27-D63E-9584-E0A72697E62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31B117F1-7695-00A3-C631-1A07BEA2F16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379DD6B-DED5-11CA-B433-EE30B4BC6F9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DABA7099-C5CE-9B1E-DD44-15A67D102F5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A6BF25C9-0120-3903-3292-61E242088B3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627A9ECC-34C7-9197-2A1E-C6AB5849A1C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2DCAE4AD-4753-5166-1F49-21A2E30D995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E2551D74-1728-BE5E-ECE2-CBBFF7E4900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70A3ED0E-121D-4385-BA99-CB16CBC0118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7E974A23-3D68-4CFE-BA65-6F974214E48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D2CD30ED-9250-4F04-AC80-145C6CD20BE0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45DA7F64-C686-4262-B4E4-407DEEC5506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AA64C328-C9FE-4AF2-A015-799509FC0F38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918F7D78-094D-40AE-AA5E-05BF0A1380A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68D58DFF-850A-464D-BAD4-1F393BC4F08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64364C81-4F99-45DA-8F61-CBE1B0D206EF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4818AD-6807-4756-BA4F-6137CF17A4E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1FC96C3E-7D53-4474-8390-9CF9E1E8B9D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2F672D3-656F-4AB7-BC37-753EC3A4B6B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ED4E9139-54A4-4450-885F-C6D57E73BA2E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769FD3C5-7731-4284-A8E8-9C8AB343FD9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CFBD8D09-FE49-424F-BEC8-CF7A378F2882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87BC322A-63D8-4FBB-BBED-BCB5D710A5C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39C0C1F3-122E-4F7F-81E4-11937D93B5FD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80D6B750-CEB5-4DDA-8232-16612721592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DB49019E-4EC0-4284-98BF-82886BEC01CE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7C359007-AFC6-4988-BA47-D1FCDFF568E2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7B39EFEA-03FA-4C57-9751-010B18852066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9FC4DBCB-396E-4955-834D-53A3A88F0AC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8865E8B-FD4E-48A6-9751-572F66AEF57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669282C9-24FF-4E84-88AC-6623EDC0920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F2305DB5-F902-44F7-894D-E23C5AA9AE3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E94ABBB3-8ED4-4F95-A540-B0B0B9FDADCE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E8179067-D414-46A9-9B0D-5F1DAEADAC0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F2F52C3-E8CB-4219-A6D4-15ACE03D2FC8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16991D-07B5-4270-BA95-E236B807AF3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AB2D48-4C69-40DD-BA0A-DA2E7C7B6B0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4BB1A5B-663D-40AC-9CF9-7C056C157FA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5DF592-7E6C-40AA-884C-C1C7F4E5D7D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5DDE46B-0AE3-4CE2-AB39-0EC2F8E82C8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3C558E4-14CC-4C9D-B36D-8BBF47FDAB5A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982680-365D-4195-BA11-3E91CBEF33F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21A5DF3-A018-45D0-B782-72156A41BA57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AC8D127-EAD1-417D-A61A-0A207A9D5ED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B91D15-E36F-44EF-A72A-9C344CABD09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23BE7CD-7605-4869-A9C9-35E93D2912F1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D3F3D98-1118-4776-A3E8-F82263BF0054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27D0580-0698-4EEF-B2A2-F375DCB27E0B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076BA7A-2941-486C-8335-4DECD204EC23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E0E2DB35-140B-039C-2B70-3D932AC4332A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54345CE-B0A4-B599-2EF1-AFCFFD68577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B8EB29D-1979-3309-956F-F8E2EE96778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38EAC7-6FA9-3E42-9ECF-F2E882AAE6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67F987E-E93E-41DD-E83D-B4FAFBE3E6E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C8362D64-7FF2-3C29-D539-593D5F7D2AD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32B56DBE-9342-9A42-CB13-A669F5FC50F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CEE22CDA-4F31-A641-DBD6-BE375A8D8007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E4B604DA-A11D-EF13-AADC-5BEC754E1C2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DB5D6BF2-E23B-429B-135E-28F7C9076FF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BF66739-A505-D5AB-73EB-DA4C057F349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BDC1D21D-3B87-5AB6-A139-5730A9326B1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A1269F3-DC9F-421D-B3F0-4B79F6471E5B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6180AC26-5D05-0337-2806-420E15B3CB5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6E2B7FE0-2160-5B7F-647F-481F4607535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61D0916E-BEF5-C178-9E4D-EC0139313F68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314C3610-429B-1353-808C-DF45B01EE09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66937C6-AB8A-DAE0-A18E-2D6D44C12DE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45B10ABB-55EA-1EA7-D840-535910C73A8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4C62A4AA-0A9B-A550-129F-225CAB450944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90D63841-2481-3506-6490-1AEC070E9A3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D9D97EEC-DF9C-5033-8E24-FD483E165B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7B46F51D-142E-E7C1-EB50-72CFDD08953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A129CB9E-CA82-0411-8E55-E1AB9F70298F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527A2652-8C0E-4A43-1156-5AFC3EA0D69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DDB1ABE-B83C-4226-855E-F24E24A82E09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5605143-A193-43A5-8BD5-D1F1C218ACD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9592186-D386-42F2-ABD5-A6C3CCD155D2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5A3EB49-7828-4C07-888E-91FB56C0508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BC8023-DA04-4196-B00F-8F9B6DD657C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EBE8A1C-B63D-473F-8C0A-DD19C2C77390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E763C58-1A6F-4FFF-95DC-B37ADD4E184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5CA6C45-4A55-440B-AF6D-263A38C6B18D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0F0164-FC0D-4C62-A2BC-96B69CBAC1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B9A0A3B-0EC5-4D4F-8FC6-DCBA05A1B291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5EDECCF-77DA-4EAA-B156-793E4B8130C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20B7F16-5E54-4764-99E2-3B2F66B53F46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B98A2457-4D98-44E5-908D-AB7767CDDB8E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59FDFC6-5CBB-4264-BD11-B80EFA18B62E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2316D90-A1A1-4924-8FF4-52EE8471F98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F57CF73-F7EE-4A72-B735-F089F6FB4BE1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37DBC73-AE1C-4B60-BC35-776F766CC74C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B0D3F4-992B-42C0-9167-1DF78F78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6D7DAF2-38EA-4836-8626-63A5577CF36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B31FBDE-985F-4F23-93C9-816F9912F3F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FCC57416-813F-4B62-90ED-F764C4C8094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0A81883-5780-42A4-B813-A0C8AD420434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8EC5DDB-A754-43C0-AC96-03E16AC60B7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5DE78B56-7D94-4309-9877-24E2019FE77F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D91BC060-3213-4560-A5F9-134A07EFB28C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A2191007-2844-4679-B1F6-A2C40AD4ABDD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62F11C95-1342-4FC2-B047-307D56EDFB86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5EFD8406-837B-4591-9741-35F9FC3197CE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4949595D-A57C-4DF4-96EF-3164D4B2C3A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EEBA326-F9AC-4B76-993E-E6CDEF27BE1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43A97D7-65A0-46D4-9EA4-A457387F5CB5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C60F046-2624-483D-A717-1D206216339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CEB4945B-05A1-4387-9C86-47D261ECD8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6664E3E-CC6E-4F13-BA5E-64444A712C68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82CE80B-D0AD-46AB-9742-52ADE0011AE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43382DA-4F31-4351-AC94-99DA0BA16A10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AEE6605B-7415-408A-AAC2-044CEBFE4BAA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7454CFE-832E-4EC3-A3B9-3AF2F7D1C4F3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98188A3-E904-4486-868A-9D9C900DC16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6362C5C6-DB1F-4460-A270-934268FAA2E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DEA6A3B4-39CE-4C75-8E3D-14A136AAC831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61DD2972-139F-4560-EE73-8480C0273CF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3B4C7E82-471B-8168-7CB3-25F7A810FCE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71D9D479-D46C-94D6-AA77-CA56A02C420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4A74A979-4B64-C67F-B830-C18124282FBF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CB8EFFBA-CE68-500A-F726-3982EAF0F1D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93BB9396-4A0E-DC5D-621A-2AC8D2F54F6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0FB9F7E-7FF9-9054-5D02-3040BC9C2219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31719F22-F291-DF88-7C0A-E6618485F43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88943F2-C694-ABA6-115C-09AA6153FF6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1F09343E-1A66-BDF9-FEAA-78255030A94C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BCCF25ED-0D10-E963-FC30-B8EEFDCE6387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29795660-C1D1-5C5F-6755-4F0BDF40AB3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C54087F-4671-407D-88AB-536635A8AEFA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87AD714-4188-E1FE-AD27-4FC22182E1E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C4BCD8FA-5691-386C-4ADB-B9191E04B58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A7309A74-E1F8-4D7D-A776-4FBED76CD66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1083EB32-3DBF-AB17-E7EA-56FA20EFF78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A8080B7C-1833-E1AB-4E42-42C4149667C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B00CB2CC-BD6A-05C9-7B3E-1E56689D8C8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BCB956A-9DA9-E00A-0877-5619D624B6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11A306D3-B07F-B1FF-C573-C7F89F5EB21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F1F8E301-F90F-9070-BFBB-30587E992716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1E106DBA-2945-A9FC-FFA8-CD01E94E860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8190D13-67F5-A6EE-0393-9F18029E96C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70217D0C-16B9-6DEE-A7BF-D4D04834751C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B3B03AFE-4921-4845-BFD4-F02D69A9A30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C1D08840-6011-4A4D-801B-81530B05931F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6059EDE-143C-4768-83FF-3DFEB12F21F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E0561608-4AC6-45A0-B9BD-B332AF022EAA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8B5DA86C-10D8-423F-AB8C-847C1DE35B8A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6352E6A8-D017-4CFD-A36B-40DC07D69D2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DC18336-06B4-448E-8360-F165F88E95A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69D59706-E93D-4ECE-940B-F232C0EB181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1D5A79B6-1122-44D5-A37C-26BBAA156D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2307E922-B401-4FF9-B97C-2E2DE5394D2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91DD82BA-350F-4DCA-AB42-19269C84629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F5A9B6C-3E7D-45C7-8880-DE2D49DF43D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1E13069-1501-4F78-98DD-9CC4135ED65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DE93ED34-3A84-4D03-9A57-AE8D58080CD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3D8E6F4F-921F-4C85-80CC-DE530051026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DAF503B2-DD40-48A7-91F4-A13C2E1D5EBA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2E5EC63-615F-421B-8076-FCD766980C7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EB6EC86E-43AF-4CB9-B5DC-44B0BA0115F6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10F7994A-093C-49E5-8852-B42555564096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3086CBC2-A2FE-4DD4-92CA-80DD8596EACB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168FDE25-81DE-4FAD-A669-05CE448CDE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D3407084-968D-4E4C-A5C7-E3591640EF40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CF7CC9B-DD4F-418C-80BA-144DC639BD1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5B86AB49-F1FC-45F7-ADDB-74845947E71C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BAC4A70E-145E-4D3B-9101-CB02455459B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A532271B-E4AF-43F9-922C-C092599F8029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E64C6418-0CFC-4FDF-870D-521345AE5922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28FABA8A-EFF5-4C7A-BC7A-CD1FB840A965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4720F6BD-CABF-4D28-B68A-4460EC37113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5F0384E3-F678-4E85-B68C-3DFFCEA23AE4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A40E638-86E0-4AD0-9E74-FFE3280E4932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2023540-4A5A-461A-B33F-E6C7B23D84AB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CD2543E3-6616-4E67-86E0-DC51577EF26E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5157939-C262-4039-9768-0CF23B8ABAD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E7AA905-9280-409D-8B0A-1DF1EF900789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FEBFF02D-E1D1-4AD3-ABC0-E872E558805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FAB15E6-062E-441C-A038-39EF8CAFEBD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6EFD99C3-C53B-47B6-88C5-4556F75641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E3750068-65E8-49F6-AA6F-9F29E9E6123C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CDE2913-2B12-4628-91C5-BECF3A36D74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AD3D76E7-73AB-481F-B0B7-330182DB2D9E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530A62A1-A6BA-EECF-52F7-5871C203884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9023E631-1690-E057-0C5C-D6DC02654B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20FBB1CB-9CB1-E220-62E3-1CE26A2A885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91794074-5D2E-8C44-FDE9-5C5A3E18709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D6E4EE01-FEE3-285A-6A7F-73B99DBFC996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3B1DD108-52B1-D62F-8E63-BFD15E2AF65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165D0B7A-4A0F-F9F8-5338-B4891306433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8FC93A2E-AD51-BC5B-C39F-834363A0060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12ADB0DD-8E1B-1A61-112C-B208156336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7D3006B5-A53A-BEAB-0D87-7D87A17FF1A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15DEE896-DC98-5EFE-99AE-A6B1693C0A23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E811588C-6752-1155-513D-7CC568969F9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FF7E3D79-B334-41EC-80F3-8585ADEFEC53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77D9A0B7-FBBC-8BAE-23CD-AE2BC3F8364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C975036C-EE1E-CF64-AF8A-E278E86303F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4EBEC2AC-840A-A06E-8E68-21680E89F6C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FD51185F-DBA0-1B8C-F4D1-F15313C8512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2BF16DC-0526-CD4E-D689-86217C0FA73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DBDDB905-68C0-4794-272B-C252DBA80BB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E7701D1D-6952-EC1D-3BC5-5707A41F8DA6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A83804AC-76A5-1DD7-D89D-14886923F41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ECE0FB7A-1ED4-2DB1-2188-4BDFBE1322F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B026BE6-1959-A411-B9CB-E46DB0548B3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91AD8F68-414E-31D9-F36C-7C0630C78A52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D52616F0-9C79-50C8-5D5B-810BA0529F6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90434BA2-E983-4127-8D64-418E2D043EE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3A915A00-1AEB-4E31-B314-392E745C7C44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E4AB782A-F6EB-4665-9685-C78C297A132F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3B5169D8-AD82-40DC-A4C3-50A4A369AA0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EA86A7C-F431-4E38-A1DE-D08B3C8320F6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75882803-4E50-49AF-8F80-B526B6F5972A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43C6D540-336F-44D8-86F2-8C43BDCF7D25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31DD99BD-5E00-4ADC-9341-E31D27EC8DF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B873C3D4-EA10-4F57-8231-3BA7CAECF388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E3738448-20D8-4743-9D6E-7DA4E89E3400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4B82C141-FFFD-401E-BA2F-DC8C8356732A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66A6E0FB-4849-4E5A-ABBA-AC7B5CEB123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22B40AD5-1351-422E-AF7A-B31DA6DFA8D0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BD7882DF-0C75-4EEC-9499-75748552A9F9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8E7A573D-B7AB-4755-82F2-85E7C61053E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E0BF7C9D-CE25-43F9-83B3-C306799B311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93387713-95D4-4924-AC67-1F969E3699F9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4988BCB1-41FF-40A9-8EE3-D5E18081AD2C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FB241E26-C0AE-430F-A9F3-9365DD237A3D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CCC9B73-480E-4E65-83D9-A4489EF7EC0C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40D46C9-8020-4360-B6A2-E330054AFF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FA03882-CB62-4F7C-A5D7-FC60D4F10721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97705A7B-F956-4AD9-A690-C2F0AFBF43FB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1AEB38A5-21C8-4A1F-9AF7-75C3109AF60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EE8263D1-E4B2-4D7D-9BC4-BC42F4CEE18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A1FF30CD-F31E-49E7-9B04-5BECCDF31212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FD7B9DDA-E813-4595-983C-B1AE91DC052B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83005F4D-FE13-4F43-A79B-53A6A2A29EA2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C728BD4-C0E2-4F37-A94D-6F07E77E7AE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A72DDD97-099F-4327-8687-2274023738A8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F160B3DB-0621-48A2-8353-444F6C035497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9442B6A-7F5C-4358-98D0-384B54FB0731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41E8F96C-1CFF-45E5-B2EC-9AE374DE879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C819D958-7E01-4B6E-9A46-A5EC34D9BD6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496919C0-D58F-4B79-8564-B765E6E5C34D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E58F98B2-62BE-4969-A1FD-3E0C7EB495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B0DB041-0BD2-46EA-B2A1-227C61A7B06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E1BED08B-47FF-4A5A-9C14-46287E5F97BD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069B31E-B482-4DDA-80D4-5B63C368E0E3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4D959C4-08B5-4FA2-A8C2-96486087761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CC86724C-346C-49F0-8021-EF8AAA0B2D61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4791BA7D-C426-35E6-73E7-6F5B652F1EA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2D6F8674-45B0-4F35-95F1-CC6AC18110C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66813E79-78EB-928B-0B71-4B7816770D9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EF069709-15D3-AA1C-072F-561F34B91BF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4849FC94-C683-815E-0AFA-46E41476630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B6173C16-6AAB-9414-5969-61E6A198900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6FA6D091-504D-DE69-4947-3E8BC36A6067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BD2725E5-2DDD-C48A-8B43-D1EBB5789E2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C7294B5C-2C77-2FB9-D9B0-3C90959D0D2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888B7302-35D2-FC5E-5A72-9CC36284E8ED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ED8F8F0-85EF-A5B5-A1DC-D1B2EB3E6D9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6D470384-53A4-4062-3A24-84B3CC667C9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44737005-20E1-4A31-B56C-8A7D5EB20B45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43FA623-36C6-C95A-AE45-DFE983F9CEEF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64A4FB5A-D092-BC75-2A5D-558E5DD49F32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926B8A4E-8CB5-0597-3254-C7A402CDBA32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9EB27A85-08C3-27EE-2528-BF91DEFACB4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3F7F376-74D0-ACA7-BD36-ABB2446A1537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C5B9CB10-FEFD-6DD5-1CEC-9F46436F17F5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923D02A2-93E1-99D5-E4B8-D93C42EA718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E58BFA12-9BC2-9681-7D1A-D226BBE403B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9E2FB126-7D9A-5109-07CB-7EEE85A32BF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E42A1C7E-C4D1-8EE2-B3FC-535F33CCE04A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EC6CA56E-C28D-80F8-965B-9DB7569B01F9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75A6252C-7BB1-A746-9F3D-DAE88500963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F5463181-F78A-4F6B-82EF-2EB368E58C2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487A0F88-E6F4-4CA6-8085-FF21E5F8129B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A87169E6-2C2B-48AC-A77A-C9E411514E7B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73B689DB-D1A1-4F25-82FB-2D12C63C584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3D0B072C-EFD7-45C0-BE29-D1561E2E6AA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B412FD21-CF9A-4261-A860-C21C613A22B2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EE6FB622-594D-403D-A1D4-32D0FFFC6AAC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ADA6F348-680A-49D2-AFD6-D3BF27A1336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779D8468-D3C1-49F5-91B6-D819ED78499E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29C1F877-47DF-430E-A3D6-F9FD5505AC3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41262D1-9BBF-414E-BB68-E18B0B7A6C5C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628FDAC-7609-45AE-A7F7-14DEA152790F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4BE76E53-0688-4A9B-B4D2-D74A6D9BD13A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CAD9B402-BD4A-4D57-A8D3-AAC82B1FB0C6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A67A3D3-4D6C-4CED-BFEF-9FCF0AAB96A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816A970-9F82-4778-B24D-D682B19C5B9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6D986ED-81B7-483B-8264-19263608769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336571D7-D3F4-4651-BFCF-A086F62C8F6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80A8E4A7-E599-41D2-B99E-C3B3A07F8A60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BD648DF-91CB-40F9-969F-F7432780E88D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3B5903E5-C1DF-47AB-A7A4-78C8745AAA9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8AE79F26-46F1-4F31-9621-2F5F3BA29E46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124EADD2-D340-48ED-B902-478523E21D7F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77596CA-4983-4751-A43D-A82AD7C6F178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3660FA11-298C-4DC6-9910-FF27B3213C22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B9F24D16-6B4B-499F-930D-287A7620568A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915202EF-70A6-4A69-8B5B-7347D61889A4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723F1946-CCE5-439F-8EAE-6EAFF5C6243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96555F04-4BF8-4833-BFF5-AC65D0F699DE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5CE43BC2-DC30-4512-82AC-FD68A14AB43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CD953F71-2F49-4CFA-AD90-5585BF93B83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C7C1F222-003F-4014-AFBA-E8F105A6ED35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F2121752-6D9D-4928-9280-ACB6FB06B37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E176DDD8-D7D8-4049-BBB3-074076DCAAA2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930AC417-BBE9-4987-8508-4CBE5FE44FEE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708D3995-7981-454C-8587-4EC72B05F3A9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8342CB14-5491-4678-9A46-20ED03144D0F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47FF1237-2A51-4C0E-915A-AD723565A158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4E18857-E4EF-44F2-82BC-FA5DF1336B8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92C2F5BD-2DB1-40BB-A9D5-11A40CB94A3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D6EA6642-443F-4953-A896-B1F7D7022FFA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98F9E413-6CE3-EDA9-A2B7-4F40D9EABA2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4741A9C-5BE7-B97D-F2CA-E3F6E98B680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D5DB17FD-8E6D-B7A6-162C-6C31CD65E13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BA2FC2E6-7347-BA43-8E9A-9B7B0BD4080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E997E2FD-6152-1DAB-B954-0D002A113A9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998CDD52-344B-E389-E3A2-E7EE85D897F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FFA10507-FE91-B37C-EB9B-65E37E46738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65D708BB-954F-D79B-1909-B8770E0D035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A8D669A0-5D13-F1AD-14F9-90B07D552DD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361C9641-73B7-7A6E-9AF1-02E8B15033A5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D3374E9-70F8-4B48-0DF8-18AD1B99CA75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D3A0A9D1-49C4-8C1A-0935-92FEBE09553A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6AE1F445-EE53-46F2-B545-8AF6E284930D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892A37F7-709A-C71C-42A6-1AD07F5741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7BBFA871-44DD-CACD-AEC3-1FCDA52F421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820E8CA-D443-06B5-E30C-810C6C9584C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619C34EA-6FE9-DC0B-E8E4-E0BF5E4977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AE79ECA-3CD4-D660-ECDD-0A08B7A02C5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F1842D61-F9A5-393A-AA92-A30D7EFD378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F2A6FB53-E669-0754-0013-E1B4A0AF2A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500E335-7F98-AC0F-DFED-C1083659883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46AAB301-665D-FBD9-844C-F1F7416FC2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2EDBC245-B687-0FD1-7173-F09EF6CB1A4E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FF6FFB56-703B-BF24-3154-F5274F46DCB6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CF0F20AC-683B-CF46-93D2-F03847A3BA1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A92D01F8-FAAC-49BA-86C9-824D7E469BB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4319A5AF-28F2-4B21-9AD7-DFAE8B9B35A7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5A4DE1C4-648A-4481-9BCB-D6C10250B1A6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BA3EDDF6-6DA0-4C1B-B98C-16A5D32438B5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E6003114-9CB7-44D7-8552-19125DBE024C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22EF83D2-8FB7-45B2-BE1F-CA80857AD8C6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8EAE85F2-075E-49C4-BEF1-4F4C244EEC5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218323-8A51-408A-A415-A2ED4B1D3C2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52796092-795C-471F-9F3E-6CA083F72C1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B72EB1E5-82AA-45DF-8377-B4FE235B55D2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EFA1F2E8-922C-4E6A-8D99-C1EE8DEDA2A8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BBCEA525-F35C-47CA-933C-8A128A6A9EED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C15015B-7EAE-41BD-8352-59E8112648C6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4C8602D-2483-4E0B-8CAC-C2332C6A4EC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9414A84-0FDF-45B5-B522-B83C8F7D6438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1DE69566-0A85-4F7E-B18B-8A2A90F7875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A52A37F0-C51B-4E15-AAE5-B38D5710B3C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95DACF97-1FAD-44F6-95AB-8FBE71C66FD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3C0BDE19-AD9F-4CB4-9D67-DA8F514F08E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BC627866-08FF-4083-8A26-7E979CF42B6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747CC183-3C21-4653-AE7B-755C64A13119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CE0D11E3-A29C-4179-BE48-5E7528B4E8A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5FFD4957-A9E3-4685-9F1A-0D4705935239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82C47A2D-F070-49D7-90C1-AA9D25FE80F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6600D19D-408B-4E61-BF1E-9CFDD8073959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774C73FA-238A-49D0-9534-2FD8C12581AC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11</xdr:row>
      <xdr:rowOff>76200</xdr:rowOff>
    </xdr:from>
    <xdr:to>
      <xdr:col>14</xdr:col>
      <xdr:colOff>38100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410575" y="2343150"/>
          <a:ext cx="4076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371475</xdr:colOff>
      <xdr:row>4</xdr:row>
      <xdr:rowOff>142875</xdr:rowOff>
    </xdr:from>
    <xdr:to>
      <xdr:col>9</xdr:col>
      <xdr:colOff>38100</xdr:colOff>
      <xdr:row>11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877300" y="1047750"/>
          <a:ext cx="42862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247650</xdr:colOff>
      <xdr:row>5</xdr:row>
      <xdr:rowOff>104775</xdr:rowOff>
    </xdr:from>
    <xdr:to>
      <xdr:col>12</xdr:col>
      <xdr:colOff>485775</xdr:colOff>
      <xdr:row>11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1515725" y="1181100"/>
          <a:ext cx="238125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247650</xdr:colOff>
      <xdr:row>10</xdr:row>
      <xdr:rowOff>161925</xdr:rowOff>
    </xdr:from>
    <xdr:to>
      <xdr:col>8</xdr:col>
      <xdr:colOff>361950</xdr:colOff>
      <xdr:row>10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8401050" y="22574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514350</xdr:colOff>
      <xdr:row>10</xdr:row>
      <xdr:rowOff>161925</xdr:rowOff>
    </xdr:from>
    <xdr:to>
      <xdr:col>14</xdr:col>
      <xdr:colOff>9525</xdr:colOff>
      <xdr:row>10</xdr:row>
      <xdr:rowOff>161925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11782425" y="2257425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495300</xdr:colOff>
      <xdr:row>7</xdr:row>
      <xdr:rowOff>133350</xdr:rowOff>
    </xdr:from>
    <xdr:to>
      <xdr:col>8</xdr:col>
      <xdr:colOff>495300</xdr:colOff>
      <xdr:row>11</xdr:row>
      <xdr:rowOff>76200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9001125" y="1609725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361950</xdr:colOff>
      <xdr:row>7</xdr:row>
      <xdr:rowOff>123825</xdr:rowOff>
    </xdr:from>
    <xdr:to>
      <xdr:col>12</xdr:col>
      <xdr:colOff>361950</xdr:colOff>
      <xdr:row>11</xdr:row>
      <xdr:rowOff>76200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>
          <a:off x="11630025" y="16002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20</xdr:row>
      <xdr:rowOff>152400</xdr:rowOff>
    </xdr:from>
    <xdr:to>
      <xdr:col>14</xdr:col>
      <xdr:colOff>76200</xdr:colOff>
      <xdr:row>27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8382000" y="4419600"/>
          <a:ext cx="414337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180975</xdr:colOff>
      <xdr:row>20</xdr:row>
      <xdr:rowOff>219075</xdr:rowOff>
    </xdr:from>
    <xdr:to>
      <xdr:col>14</xdr:col>
      <xdr:colOff>180975</xdr:colOff>
      <xdr:row>27</xdr:row>
      <xdr:rowOff>285750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12630150" y="4486275"/>
          <a:ext cx="0" cy="1285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23</xdr:row>
      <xdr:rowOff>95250</xdr:rowOff>
    </xdr:from>
    <xdr:to>
      <xdr:col>9</xdr:col>
      <xdr:colOff>19050</xdr:colOff>
      <xdr:row>26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877300" y="4981575"/>
          <a:ext cx="4095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23</xdr:row>
      <xdr:rowOff>95250</xdr:rowOff>
    </xdr:from>
    <xdr:to>
      <xdr:col>12</xdr:col>
      <xdr:colOff>419100</xdr:colOff>
      <xdr:row>26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11477625" y="4981575"/>
          <a:ext cx="2095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485775</xdr:colOff>
      <xdr:row>4</xdr:row>
      <xdr:rowOff>0</xdr:rowOff>
    </xdr:from>
    <xdr:to>
      <xdr:col>12</xdr:col>
      <xdr:colOff>333375</xdr:colOff>
      <xdr:row>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8991600" y="9048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15</xdr:row>
      <xdr:rowOff>304800</xdr:rowOff>
    </xdr:from>
    <xdr:to>
      <xdr:col>14</xdr:col>
      <xdr:colOff>57150</xdr:colOff>
      <xdr:row>15</xdr:row>
      <xdr:rowOff>304800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 flipV="1">
          <a:off x="8401050" y="3267075"/>
          <a:ext cx="410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</xdr:row>
      <xdr:rowOff>66675</xdr:rowOff>
    </xdr:from>
    <xdr:to>
      <xdr:col>14</xdr:col>
      <xdr:colOff>219075</xdr:colOff>
      <xdr:row>14</xdr:row>
      <xdr:rowOff>142875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 flipV="1">
          <a:off x="12658725" y="2333625"/>
          <a:ext cx="95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ructure%20design%20and%20services\home\sherpa%20samaj\calculation%20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 PERIOD"/>
      <sheetName val="COEFFICIENT"/>
      <sheetName val="WALL LOAD AND STAIR"/>
      <sheetName val="eccentricity"/>
      <sheetName val="SCALE FACTOR"/>
      <sheetName val="ISOLATED"/>
      <sheetName val="REC ISOLATED"/>
      <sheetName val="joint reaction"/>
      <sheetName val="strapB5-C5"/>
      <sheetName val="trial"/>
      <sheetName val="rayleigh"/>
      <sheetName val="COMBINED B2-B2"/>
      <sheetName val="combined c"/>
      <sheetName val="COMBINED A4A5"/>
      <sheetName val="COM A2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F7">
            <v>919.05309999999997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selection activeCell="A18" sqref="A18"/>
    </sheetView>
  </sheetViews>
  <sheetFormatPr defaultRowHeight="13.8" x14ac:dyDescent="0.25"/>
  <cols>
    <col min="2" max="2" width="3.88671875" customWidth="1"/>
    <col min="11" max="11" width="37.109375" bestFit="1" customWidth="1"/>
  </cols>
  <sheetData>
    <row r="1" spans="1:11" ht="14.4" x14ac:dyDescent="0.3">
      <c r="A1" s="327" t="s">
        <v>477</v>
      </c>
      <c r="B1" s="327"/>
      <c r="C1" s="327"/>
      <c r="D1" s="327"/>
      <c r="E1" s="327"/>
      <c r="F1" s="327"/>
      <c r="G1" s="327"/>
    </row>
    <row r="2" spans="1:11" x14ac:dyDescent="0.25">
      <c r="A2" t="s">
        <v>478</v>
      </c>
    </row>
    <row r="5" spans="1:11" x14ac:dyDescent="0.25">
      <c r="J5" s="308" t="s">
        <v>433</v>
      </c>
      <c r="K5" s="308" t="s">
        <v>434</v>
      </c>
    </row>
    <row r="6" spans="1:11" x14ac:dyDescent="0.25">
      <c r="J6" s="308">
        <v>7.4999999999999997E-2</v>
      </c>
      <c r="K6" s="308" t="s">
        <v>417</v>
      </c>
    </row>
    <row r="7" spans="1:11" x14ac:dyDescent="0.25">
      <c r="J7" s="308">
        <v>8.5000000000000006E-2</v>
      </c>
      <c r="K7" s="308" t="s">
        <v>430</v>
      </c>
    </row>
    <row r="8" spans="1:11" x14ac:dyDescent="0.25">
      <c r="J8" s="308">
        <v>7.4999999999999997E-2</v>
      </c>
      <c r="K8" s="308" t="s">
        <v>431</v>
      </c>
    </row>
    <row r="9" spans="1:11" x14ac:dyDescent="0.25">
      <c r="J9" s="308">
        <v>0.05</v>
      </c>
      <c r="K9" s="308" t="s">
        <v>432</v>
      </c>
    </row>
    <row r="13" spans="1:11" x14ac:dyDescent="0.25">
      <c r="A13" s="33" t="s">
        <v>144</v>
      </c>
      <c r="B13" t="s">
        <v>39</v>
      </c>
      <c r="C13" s="56">
        <v>7.4999999999999997E-2</v>
      </c>
      <c r="D13" t="str">
        <f>VLOOKUP(C13,J6:K9,2,0)</f>
        <v>moment resisting concrete frame</v>
      </c>
    </row>
    <row r="14" spans="1:11" x14ac:dyDescent="0.25">
      <c r="A14" s="33" t="s">
        <v>4</v>
      </c>
      <c r="B14" t="s">
        <v>39</v>
      </c>
      <c r="C14" s="56">
        <v>15.0876</v>
      </c>
      <c r="D14" t="s">
        <v>31</v>
      </c>
    </row>
    <row r="15" spans="1:11" x14ac:dyDescent="0.25">
      <c r="A15" s="33" t="s">
        <v>40</v>
      </c>
      <c r="B15" t="s">
        <v>39</v>
      </c>
      <c r="C15" s="89">
        <f>+C13*C14^0.75</f>
        <v>0.57415134243193933</v>
      </c>
      <c r="D15" t="s">
        <v>41</v>
      </c>
    </row>
    <row r="16" spans="1:11" x14ac:dyDescent="0.25">
      <c r="A16" t="s">
        <v>145</v>
      </c>
    </row>
    <row r="17" spans="1:8" x14ac:dyDescent="0.25">
      <c r="A17" t="s">
        <v>479</v>
      </c>
    </row>
    <row r="18" spans="1:8" ht="14.4" x14ac:dyDescent="0.3">
      <c r="A18" s="59" t="s">
        <v>40</v>
      </c>
      <c r="B18" s="62" t="s">
        <v>39</v>
      </c>
      <c r="C18" s="90">
        <f>+C15*1.25</f>
        <v>0.71768917803992416</v>
      </c>
      <c r="D18" s="62" t="s">
        <v>41</v>
      </c>
    </row>
    <row r="19" spans="1:8" ht="14.4" x14ac:dyDescent="0.3">
      <c r="A19" t="s">
        <v>322</v>
      </c>
      <c r="B19" s="62"/>
      <c r="C19">
        <v>0.52</v>
      </c>
    </row>
    <row r="20" spans="1:8" ht="14.4" x14ac:dyDescent="0.3">
      <c r="A20" s="59" t="s">
        <v>146</v>
      </c>
      <c r="B20" s="62" t="s">
        <v>39</v>
      </c>
      <c r="C20">
        <f>COEFFICIENT!$D$8</f>
        <v>0.5</v>
      </c>
      <c r="D20" s="62"/>
      <c r="F20" t="s">
        <v>147</v>
      </c>
      <c r="G20" t="s">
        <v>39</v>
      </c>
      <c r="H20">
        <f>0.5*(C18-0.5)+1</f>
        <v>1.1088445890199621</v>
      </c>
    </row>
    <row r="23" spans="1:8" x14ac:dyDescent="0.25">
      <c r="F23">
        <v>6.2500000000000003E-3</v>
      </c>
      <c r="G23">
        <v>6.0000000000000001E-3</v>
      </c>
    </row>
    <row r="24" spans="1:8" x14ac:dyDescent="0.25">
      <c r="F24">
        <f>F23*C14*1000</f>
        <v>94.297499999999999</v>
      </c>
      <c r="G24">
        <f>C14*G23*1000</f>
        <v>90.525599999999997</v>
      </c>
    </row>
  </sheetData>
  <mergeCells count="1">
    <mergeCell ref="A1:G1"/>
  </mergeCells>
  <dataValidations count="1">
    <dataValidation type="list" allowBlank="1" showInputMessage="1" showErrorMessage="1" sqref="C13" xr:uid="{00000000-0002-0000-0000-000000000000}">
      <formula1>$J$6:$J$9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D2" sqref="D2"/>
    </sheetView>
  </sheetViews>
  <sheetFormatPr defaultColWidth="9.109375" defaultRowHeight="13.8" x14ac:dyDescent="0.25"/>
  <cols>
    <col min="1" max="1" width="26.6640625" bestFit="1" customWidth="1"/>
    <col min="2" max="2" width="13.6640625" bestFit="1" customWidth="1"/>
    <col min="3" max="3" width="2" bestFit="1" customWidth="1"/>
    <col min="5" max="5" width="13.88671875" bestFit="1" customWidth="1"/>
    <col min="6" max="6" width="12" bestFit="1" customWidth="1"/>
  </cols>
  <sheetData>
    <row r="1" spans="1:7" ht="14.4" x14ac:dyDescent="0.3">
      <c r="A1" s="327" t="s">
        <v>385</v>
      </c>
      <c r="B1" s="327"/>
      <c r="C1" s="327"/>
      <c r="D1" s="327"/>
      <c r="E1" s="327"/>
      <c r="F1" s="327"/>
    </row>
    <row r="2" spans="1:7" x14ac:dyDescent="0.25">
      <c r="B2" s="33" t="s">
        <v>275</v>
      </c>
      <c r="C2" t="s">
        <v>39</v>
      </c>
      <c r="D2" s="56">
        <v>0.35</v>
      </c>
      <c r="E2" t="s">
        <v>418</v>
      </c>
      <c r="F2" t="s">
        <v>386</v>
      </c>
    </row>
    <row r="3" spans="1:7" x14ac:dyDescent="0.25">
      <c r="B3" s="33" t="s">
        <v>387</v>
      </c>
      <c r="C3" t="s">
        <v>39</v>
      </c>
      <c r="D3" s="56">
        <v>1</v>
      </c>
      <c r="E3" t="s">
        <v>419</v>
      </c>
      <c r="F3" t="s">
        <v>388</v>
      </c>
    </row>
    <row r="4" spans="1:7" ht="15.6" x14ac:dyDescent="0.35">
      <c r="B4" s="33" t="s">
        <v>389</v>
      </c>
      <c r="C4" t="s">
        <v>39</v>
      </c>
      <c r="D4">
        <v>2.25</v>
      </c>
      <c r="F4" t="s">
        <v>390</v>
      </c>
    </row>
    <row r="5" spans="1:7" x14ac:dyDescent="0.25">
      <c r="B5" s="33" t="s">
        <v>391</v>
      </c>
      <c r="C5" t="s">
        <v>39</v>
      </c>
      <c r="D5" s="89">
        <f>'TIME PERIOD'!C18</f>
        <v>0.71768917803992416</v>
      </c>
      <c r="E5" t="s">
        <v>392</v>
      </c>
      <c r="F5" t="s">
        <v>393</v>
      </c>
    </row>
    <row r="6" spans="1:7" x14ac:dyDescent="0.25">
      <c r="B6" s="33" t="s">
        <v>394</v>
      </c>
      <c r="C6" t="s">
        <v>39</v>
      </c>
      <c r="D6" s="89" t="s">
        <v>267</v>
      </c>
      <c r="F6" t="s">
        <v>395</v>
      </c>
    </row>
    <row r="7" spans="1:7" x14ac:dyDescent="0.25">
      <c r="B7" s="282" t="s">
        <v>37</v>
      </c>
      <c r="C7" t="s">
        <v>39</v>
      </c>
      <c r="D7">
        <v>2.25</v>
      </c>
      <c r="E7" s="297" t="s">
        <v>421</v>
      </c>
      <c r="F7" t="s">
        <v>396</v>
      </c>
      <c r="G7" t="s">
        <v>420</v>
      </c>
    </row>
    <row r="8" spans="1:7" x14ac:dyDescent="0.25">
      <c r="B8" s="33" t="s">
        <v>146</v>
      </c>
      <c r="C8" t="s">
        <v>39</v>
      </c>
      <c r="D8">
        <v>0.5</v>
      </c>
      <c r="F8" t="s">
        <v>396</v>
      </c>
    </row>
    <row r="9" spans="1:7" x14ac:dyDescent="0.25">
      <c r="B9" s="33" t="s">
        <v>397</v>
      </c>
      <c r="C9" t="s">
        <v>39</v>
      </c>
      <c r="D9">
        <v>2</v>
      </c>
      <c r="F9" t="s">
        <v>396</v>
      </c>
    </row>
    <row r="10" spans="1:7" x14ac:dyDescent="0.25">
      <c r="B10" s="33" t="s">
        <v>147</v>
      </c>
      <c r="C10" t="s">
        <v>39</v>
      </c>
      <c r="D10">
        <v>0.8</v>
      </c>
      <c r="F10" t="s">
        <v>396</v>
      </c>
    </row>
    <row r="11" spans="1:7" ht="15.6" x14ac:dyDescent="0.35">
      <c r="A11" t="s">
        <v>398</v>
      </c>
      <c r="B11" s="33" t="s">
        <v>399</v>
      </c>
      <c r="C11" t="s">
        <v>39</v>
      </c>
      <c r="D11">
        <f>+D4*D2*D3</f>
        <v>0.78749999999999998</v>
      </c>
      <c r="F11" t="s">
        <v>400</v>
      </c>
    </row>
    <row r="12" spans="1:7" ht="15.6" x14ac:dyDescent="0.35">
      <c r="A12" t="s">
        <v>401</v>
      </c>
      <c r="B12" s="33" t="s">
        <v>402</v>
      </c>
      <c r="C12" t="s">
        <v>39</v>
      </c>
      <c r="D12">
        <f>0.2*D11</f>
        <v>0.1575</v>
      </c>
      <c r="F12" t="s">
        <v>403</v>
      </c>
    </row>
    <row r="13" spans="1:7" x14ac:dyDescent="0.25">
      <c r="B13" s="33"/>
    </row>
    <row r="14" spans="1:7" ht="14.4" x14ac:dyDescent="0.3">
      <c r="A14" s="328" t="s">
        <v>404</v>
      </c>
      <c r="B14" s="328"/>
      <c r="C14" s="328"/>
      <c r="D14" s="328"/>
      <c r="E14" s="328"/>
      <c r="F14" s="328"/>
    </row>
    <row r="17" spans="1:6" x14ac:dyDescent="0.25">
      <c r="B17" s="33" t="s">
        <v>405</v>
      </c>
      <c r="C17" t="s">
        <v>39</v>
      </c>
      <c r="D17">
        <v>4</v>
      </c>
    </row>
    <row r="18" spans="1:6" x14ac:dyDescent="0.25">
      <c r="B18" s="282" t="s">
        <v>406</v>
      </c>
      <c r="C18" t="s">
        <v>39</v>
      </c>
      <c r="D18">
        <v>1.5</v>
      </c>
    </row>
    <row r="19" spans="1:6" ht="15.6" x14ac:dyDescent="0.35">
      <c r="B19" s="59" t="s">
        <v>407</v>
      </c>
      <c r="C19" s="62" t="s">
        <v>39</v>
      </c>
      <c r="D19" s="90">
        <f>+D11/(D17*D18)</f>
        <v>0.13125000000000001</v>
      </c>
    </row>
    <row r="20" spans="1:6" x14ac:dyDescent="0.25">
      <c r="B20" s="33"/>
      <c r="D20" s="57"/>
    </row>
    <row r="21" spans="1:6" ht="14.4" x14ac:dyDescent="0.3">
      <c r="A21" s="328" t="s">
        <v>408</v>
      </c>
      <c r="B21" s="328"/>
      <c r="C21" s="328"/>
      <c r="D21" s="328"/>
      <c r="E21" s="328"/>
      <c r="F21" s="328"/>
    </row>
    <row r="22" spans="1:6" x14ac:dyDescent="0.25">
      <c r="B22" s="33"/>
      <c r="D22" s="57"/>
    </row>
    <row r="23" spans="1:6" x14ac:dyDescent="0.25">
      <c r="B23" s="33"/>
      <c r="D23" s="57"/>
    </row>
    <row r="24" spans="1:6" x14ac:dyDescent="0.25">
      <c r="B24" s="282" t="s">
        <v>409</v>
      </c>
      <c r="C24" t="s">
        <v>39</v>
      </c>
      <c r="D24">
        <v>1.25</v>
      </c>
    </row>
    <row r="25" spans="1:6" ht="15.6" x14ac:dyDescent="0.35">
      <c r="B25" s="59" t="s">
        <v>407</v>
      </c>
      <c r="C25" s="62" t="s">
        <v>39</v>
      </c>
      <c r="D25" s="90">
        <f>+D12/D24</f>
        <v>0.126</v>
      </c>
    </row>
  </sheetData>
  <mergeCells count="3">
    <mergeCell ref="A1:F1"/>
    <mergeCell ref="A14:F14"/>
    <mergeCell ref="A21:F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4"/>
  <sheetViews>
    <sheetView topLeftCell="A6" zoomScaleNormal="100" workbookViewId="0">
      <selection activeCell="K4" sqref="K4:M28"/>
    </sheetView>
  </sheetViews>
  <sheetFormatPr defaultColWidth="8.88671875" defaultRowHeight="15.6" x14ac:dyDescent="0.3"/>
  <cols>
    <col min="1" max="1" width="11.5546875" style="1" customWidth="1"/>
    <col min="2" max="2" width="29.6640625" style="1" customWidth="1"/>
    <col min="3" max="3" width="7.88671875" style="1" customWidth="1"/>
    <col min="4" max="4" width="8.5546875" style="1" customWidth="1"/>
    <col min="5" max="5" width="9.6640625" style="1" customWidth="1"/>
    <col min="6" max="6" width="10.33203125" style="1" customWidth="1"/>
    <col min="7" max="7" width="9.6640625" style="1" customWidth="1"/>
    <col min="8" max="8" width="11.5546875" style="1" customWidth="1"/>
    <col min="9" max="10" width="8.88671875" style="1"/>
    <col min="11" max="11" width="43.109375" style="1" bestFit="1" customWidth="1"/>
    <col min="12" max="12" width="14.88671875" style="1" customWidth="1"/>
    <col min="13" max="14" width="8.88671875" style="1"/>
    <col min="15" max="15" width="19.44140625" style="1" customWidth="1"/>
    <col min="16" max="16" width="37.44140625" style="1" bestFit="1" customWidth="1"/>
    <col min="17" max="16384" width="8.88671875" style="1"/>
  </cols>
  <sheetData>
    <row r="3" spans="1:19" ht="16.5" customHeight="1" thickBot="1" x14ac:dyDescent="0.35">
      <c r="Q3" s="307"/>
    </row>
    <row r="4" spans="1:19" ht="16.2" thickBot="1" x14ac:dyDescent="0.35">
      <c r="B4" s="3" t="s">
        <v>12</v>
      </c>
      <c r="C4" s="329" t="s">
        <v>13</v>
      </c>
      <c r="D4" s="330"/>
      <c r="E4" s="330"/>
      <c r="F4" s="331"/>
      <c r="G4" s="4"/>
      <c r="H4" s="5"/>
      <c r="K4" s="317" t="s">
        <v>14</v>
      </c>
      <c r="Q4" s="307"/>
    </row>
    <row r="5" spans="1:19" ht="31.2" x14ac:dyDescent="0.3">
      <c r="B5" s="6" t="s">
        <v>0</v>
      </c>
      <c r="C5" s="7" t="s">
        <v>2</v>
      </c>
      <c r="D5" s="7" t="s">
        <v>3</v>
      </c>
      <c r="E5" s="7" t="s">
        <v>4</v>
      </c>
      <c r="F5" s="8" t="s">
        <v>5</v>
      </c>
      <c r="G5" s="8" t="s">
        <v>6</v>
      </c>
      <c r="H5" s="9" t="s">
        <v>7</v>
      </c>
      <c r="K5" s="1" t="s">
        <v>15</v>
      </c>
      <c r="L5" s="2">
        <f>72.19/10.76/2</f>
        <v>3.354553903345725</v>
      </c>
      <c r="M5" s="1" t="s">
        <v>16</v>
      </c>
      <c r="Q5" s="307"/>
    </row>
    <row r="6" spans="1:19" x14ac:dyDescent="0.3">
      <c r="A6" s="16"/>
      <c r="B6" s="10" t="s">
        <v>1</v>
      </c>
      <c r="C6" s="11">
        <v>0.23</v>
      </c>
      <c r="D6" s="11">
        <v>19.2</v>
      </c>
      <c r="E6" s="12">
        <f>3.048-0.35</f>
        <v>2.698</v>
      </c>
      <c r="F6" s="13">
        <f>PRODUCT(C6:E6)</f>
        <v>11.914368000000001</v>
      </c>
      <c r="G6" s="14">
        <f>0.7*F6</f>
        <v>8.3400575999999997</v>
      </c>
      <c r="H6" s="15" t="s">
        <v>10</v>
      </c>
      <c r="K6" s="1" t="s">
        <v>17</v>
      </c>
      <c r="Q6" s="307"/>
    </row>
    <row r="7" spans="1:19" x14ac:dyDescent="0.3">
      <c r="B7" s="10" t="s">
        <v>422</v>
      </c>
      <c r="C7" s="298">
        <f>0.0125</f>
        <v>1.2500000000000001E-2</v>
      </c>
      <c r="D7" s="11">
        <v>20.399999999999999</v>
      </c>
      <c r="E7" s="13">
        <f>E6</f>
        <v>2.698</v>
      </c>
      <c r="F7" s="13">
        <f>PRODUCT(C7:E7)</f>
        <v>0.68798999999999999</v>
      </c>
      <c r="G7" s="14">
        <f>0.7*F7</f>
        <v>0.48159299999999994</v>
      </c>
      <c r="H7" s="15" t="s">
        <v>10</v>
      </c>
      <c r="K7" s="1" t="s">
        <v>18</v>
      </c>
      <c r="L7" s="1">
        <f>1.2*L5</f>
        <v>4.02546468401487</v>
      </c>
      <c r="M7" s="1" t="s">
        <v>16</v>
      </c>
      <c r="Q7" s="307"/>
    </row>
    <row r="8" spans="1:19" x14ac:dyDescent="0.3">
      <c r="B8" s="10" t="s">
        <v>423</v>
      </c>
      <c r="C8" s="11"/>
      <c r="D8" s="11"/>
      <c r="E8" s="11"/>
      <c r="F8" s="14">
        <f>SUM(F6:F7)</f>
        <v>12.602358000000001</v>
      </c>
      <c r="G8" s="14">
        <f>SUM(G6:G7)</f>
        <v>8.8216505999999999</v>
      </c>
      <c r="H8" s="15" t="s">
        <v>10</v>
      </c>
      <c r="K8" s="1" t="s">
        <v>19</v>
      </c>
      <c r="L8" s="1">
        <v>125</v>
      </c>
      <c r="Q8" s="307"/>
    </row>
    <row r="9" spans="1:19" ht="16.2" thickBot="1" x14ac:dyDescent="0.35">
      <c r="B9" s="17" t="s">
        <v>8</v>
      </c>
      <c r="C9" s="18"/>
      <c r="D9" s="18"/>
      <c r="E9" s="18"/>
      <c r="F9" s="100">
        <v>13</v>
      </c>
      <c r="G9" s="100">
        <v>9</v>
      </c>
      <c r="H9" s="20" t="s">
        <v>10</v>
      </c>
      <c r="K9" s="1" t="s">
        <v>20</v>
      </c>
      <c r="Q9" s="307"/>
    </row>
    <row r="10" spans="1:19" ht="16.2" thickBot="1" x14ac:dyDescent="0.35">
      <c r="B10" s="21"/>
      <c r="C10" s="22"/>
      <c r="D10" s="22"/>
      <c r="E10" s="22"/>
      <c r="F10" s="22"/>
      <c r="G10" s="22"/>
      <c r="H10" s="23"/>
      <c r="K10" s="1" t="str">
        <f>"•Self-weight = 25 kN/m3*0.125m*"&amp;L7&amp;" "</f>
        <v xml:space="preserve">•Self-weight = 25 kN/m3*0.125m*4.02546468401487 </v>
      </c>
      <c r="L10" s="1">
        <f>25*L8/1000*L7</f>
        <v>12.579577137546469</v>
      </c>
      <c r="Q10" s="307"/>
    </row>
    <row r="11" spans="1:19" x14ac:dyDescent="0.3">
      <c r="B11" s="24" t="s">
        <v>9</v>
      </c>
      <c r="C11" s="25">
        <v>0.115</v>
      </c>
      <c r="D11" s="25">
        <v>19.2</v>
      </c>
      <c r="E11" s="12">
        <f>E6</f>
        <v>2.698</v>
      </c>
      <c r="F11" s="26">
        <f>PRODUCT(C11:E11)</f>
        <v>5.9571840000000007</v>
      </c>
      <c r="G11" s="27">
        <f>0.75*F11</f>
        <v>4.4678880000000003</v>
      </c>
      <c r="H11" s="28" t="s">
        <v>10</v>
      </c>
      <c r="K11" s="1" t="str">
        <f>"•Floor-finish = 1.5 kN/m2*"&amp;L7&amp;" m2"</f>
        <v>•Floor-finish = 1.5 kN/m2*4.02546468401487 m2</v>
      </c>
      <c r="L11" s="1">
        <f>1.5*L7</f>
        <v>6.0381970260223046</v>
      </c>
      <c r="Q11" s="307"/>
      <c r="S11" s="1">
        <f>0.5*0.28*0.15*1*25*14</f>
        <v>7.3500000000000005</v>
      </c>
    </row>
    <row r="12" spans="1:19" x14ac:dyDescent="0.3">
      <c r="B12" s="10" t="s">
        <v>422</v>
      </c>
      <c r="C12" s="298">
        <f>0.0125</f>
        <v>1.2500000000000001E-2</v>
      </c>
      <c r="D12" s="11">
        <v>20.399999999999999</v>
      </c>
      <c r="E12" s="13">
        <f>E11</f>
        <v>2.698</v>
      </c>
      <c r="F12" s="13">
        <f>PRODUCT(C12:E12)</f>
        <v>0.68798999999999999</v>
      </c>
      <c r="G12" s="14">
        <f>0.7*F12</f>
        <v>0.48159299999999994</v>
      </c>
      <c r="H12" s="15" t="s">
        <v>10</v>
      </c>
      <c r="K12" s="1" t="s">
        <v>424</v>
      </c>
      <c r="L12" s="2">
        <v>0.18</v>
      </c>
      <c r="M12" s="1" t="s">
        <v>31</v>
      </c>
      <c r="Q12" s="307"/>
    </row>
    <row r="13" spans="1:19" x14ac:dyDescent="0.3">
      <c r="B13" s="10" t="s">
        <v>423</v>
      </c>
      <c r="C13" s="11"/>
      <c r="D13" s="11"/>
      <c r="E13" s="11"/>
      <c r="F13" s="14">
        <f>SUM(F11:F12)</f>
        <v>6.6451740000000008</v>
      </c>
      <c r="G13" s="14">
        <f>SUM(G11:G12)</f>
        <v>4.9494810000000005</v>
      </c>
      <c r="H13" s="15" t="s">
        <v>10</v>
      </c>
      <c r="K13" s="1" t="s">
        <v>425</v>
      </c>
      <c r="L13" s="2">
        <v>0.25</v>
      </c>
      <c r="M13" s="1" t="s">
        <v>31</v>
      </c>
      <c r="Q13" s="307"/>
    </row>
    <row r="14" spans="1:19" ht="16.2" thickBot="1" x14ac:dyDescent="0.35">
      <c r="B14" s="17" t="s">
        <v>8</v>
      </c>
      <c r="C14" s="18"/>
      <c r="D14" s="18"/>
      <c r="E14" s="18"/>
      <c r="F14" s="19">
        <v>7</v>
      </c>
      <c r="G14" s="19">
        <v>5.5</v>
      </c>
      <c r="H14" s="20" t="s">
        <v>10</v>
      </c>
      <c r="K14" s="1" t="s">
        <v>426</v>
      </c>
      <c r="L14" s="2">
        <v>1</v>
      </c>
      <c r="M14" s="1" t="s">
        <v>31</v>
      </c>
      <c r="Q14" s="307"/>
    </row>
    <row r="15" spans="1:19" ht="16.2" thickBot="1" x14ac:dyDescent="0.35">
      <c r="B15" s="21"/>
      <c r="C15" s="22"/>
      <c r="D15" s="22"/>
      <c r="E15" s="22"/>
      <c r="F15" s="22"/>
      <c r="G15" s="22"/>
      <c r="H15" s="23"/>
      <c r="K15" s="1" t="s">
        <v>427</v>
      </c>
      <c r="L15" s="2">
        <v>8</v>
      </c>
      <c r="M15" s="1" t="s">
        <v>428</v>
      </c>
      <c r="Q15" s="307"/>
    </row>
    <row r="16" spans="1:19" x14ac:dyDescent="0.3">
      <c r="B16" s="24" t="s">
        <v>11</v>
      </c>
      <c r="C16" s="25"/>
      <c r="D16" s="25"/>
      <c r="E16" s="25"/>
      <c r="F16" s="25"/>
      <c r="G16" s="25"/>
      <c r="H16" s="28"/>
      <c r="K16" s="1" t="str">
        <f>"•Step Dead =25* .5*"&amp;L12&amp;"*"&amp;L13&amp;"*"&amp;L14&amp;"*"&amp;L15&amp;" "</f>
        <v xml:space="preserve">•Step Dead =25* .5*0.18*0.25*1*8 </v>
      </c>
      <c r="L16" s="1">
        <f>25*0.5*L12*L13*L14*L15</f>
        <v>4.5</v>
      </c>
      <c r="Q16" s="307"/>
      <c r="S16" s="1">
        <v>4.5</v>
      </c>
    </row>
    <row r="17" spans="2:19" x14ac:dyDescent="0.3">
      <c r="B17" s="10" t="s">
        <v>9</v>
      </c>
      <c r="C17" s="11">
        <v>0.115</v>
      </c>
      <c r="D17" s="11">
        <v>19.2</v>
      </c>
      <c r="E17" s="13">
        <f>3/3.28</f>
        <v>0.91463414634146345</v>
      </c>
      <c r="F17" s="13">
        <f>PRODUCT(C17:E17)</f>
        <v>2.0195121951219517</v>
      </c>
      <c r="G17" s="14"/>
      <c r="H17" s="15" t="s">
        <v>10</v>
      </c>
      <c r="K17" s="1" t="s">
        <v>21</v>
      </c>
      <c r="L17" s="1">
        <f>L10+L16+L11</f>
        <v>23.117774163568775</v>
      </c>
      <c r="Q17" s="29"/>
    </row>
    <row r="18" spans="2:19" x14ac:dyDescent="0.3">
      <c r="B18" s="10" t="s">
        <v>422</v>
      </c>
      <c r="C18" s="298">
        <f>0.0125</f>
        <v>1.2500000000000001E-2</v>
      </c>
      <c r="D18" s="11">
        <v>20.399999999999999</v>
      </c>
      <c r="E18" s="13">
        <f>E17</f>
        <v>0.91463414634146345</v>
      </c>
      <c r="F18" s="13">
        <f>PRODUCT(C18:E18)</f>
        <v>0.23323170731707318</v>
      </c>
      <c r="G18" s="14"/>
      <c r="H18" s="15" t="s">
        <v>10</v>
      </c>
      <c r="K18" s="1" t="s">
        <v>22</v>
      </c>
      <c r="L18" s="1">
        <f>L17/2</f>
        <v>11.558887081784388</v>
      </c>
    </row>
    <row r="19" spans="2:19" x14ac:dyDescent="0.3">
      <c r="B19" s="10" t="s">
        <v>423</v>
      </c>
      <c r="C19" s="11"/>
      <c r="D19" s="11"/>
      <c r="E19" s="11"/>
      <c r="F19" s="14">
        <f>SUM(F17:F18)</f>
        <v>2.252743902439025</v>
      </c>
      <c r="G19" s="14"/>
      <c r="H19" s="15" t="s">
        <v>10</v>
      </c>
      <c r="K19" s="1" t="s">
        <v>23</v>
      </c>
      <c r="L19" s="2">
        <v>3.81</v>
      </c>
      <c r="M19" s="1" t="s">
        <v>31</v>
      </c>
    </row>
    <row r="20" spans="2:19" ht="16.2" thickBot="1" x14ac:dyDescent="0.35">
      <c r="B20" s="17" t="s">
        <v>8</v>
      </c>
      <c r="C20" s="18"/>
      <c r="D20" s="18"/>
      <c r="E20" s="18"/>
      <c r="F20" s="19">
        <v>2.5</v>
      </c>
      <c r="G20" s="18"/>
      <c r="H20" s="20" t="s">
        <v>10</v>
      </c>
      <c r="K20" s="1" t="s">
        <v>24</v>
      </c>
      <c r="L20" s="1">
        <f>L18/L19</f>
        <v>3.0338286303896029</v>
      </c>
    </row>
    <row r="21" spans="2:19" x14ac:dyDescent="0.3">
      <c r="K21" s="1" t="s">
        <v>8</v>
      </c>
      <c r="L21" s="29">
        <v>3.5</v>
      </c>
      <c r="M21" s="1" t="s">
        <v>429</v>
      </c>
    </row>
    <row r="23" spans="2:19" x14ac:dyDescent="0.3">
      <c r="K23" s="1" t="s">
        <v>25</v>
      </c>
      <c r="S23" s="1">
        <v>3</v>
      </c>
    </row>
    <row r="24" spans="2:19" x14ac:dyDescent="0.3">
      <c r="K24" s="1" t="str">
        <f>"•Live load for staircase=3 kN/m2*"&amp;L7&amp;" "</f>
        <v xml:space="preserve">•Live load for staircase=3 kN/m2*4.02546468401487 </v>
      </c>
      <c r="L24" s="1">
        <f>3*L7</f>
        <v>12.076394052044609</v>
      </c>
      <c r="Q24" s="29"/>
    </row>
    <row r="25" spans="2:19" x14ac:dyDescent="0.3">
      <c r="K25" s="1" t="s">
        <v>22</v>
      </c>
      <c r="L25" s="1">
        <f>L24/2</f>
        <v>6.0381970260223046</v>
      </c>
    </row>
    <row r="26" spans="2:19" x14ac:dyDescent="0.3">
      <c r="K26" s="1" t="s">
        <v>23</v>
      </c>
      <c r="L26" s="1">
        <f>L19</f>
        <v>3.81</v>
      </c>
      <c r="O26" s="299"/>
      <c r="P26" s="299"/>
      <c r="Q26" s="299"/>
    </row>
    <row r="27" spans="2:19" x14ac:dyDescent="0.3">
      <c r="K27" s="1" t="s">
        <v>24</v>
      </c>
      <c r="L27" s="1">
        <f>L25/L26</f>
        <v>1.5848286157538858</v>
      </c>
      <c r="N27" s="306"/>
      <c r="O27" s="299"/>
      <c r="P27" s="299"/>
      <c r="Q27" s="299"/>
    </row>
    <row r="28" spans="2:19" x14ac:dyDescent="0.3">
      <c r="K28" s="1" t="s">
        <v>8</v>
      </c>
      <c r="L28" s="29">
        <v>2</v>
      </c>
      <c r="M28" s="1" t="s">
        <v>429</v>
      </c>
      <c r="N28" s="300"/>
      <c r="O28" s="299"/>
      <c r="P28" s="300"/>
      <c r="Q28" s="301"/>
    </row>
    <row r="29" spans="2:19" x14ac:dyDescent="0.3">
      <c r="N29" s="300"/>
      <c r="O29" s="299"/>
      <c r="P29" s="300"/>
      <c r="Q29" s="301"/>
    </row>
    <row r="30" spans="2:19" x14ac:dyDescent="0.3">
      <c r="N30" s="300"/>
      <c r="O30" s="299"/>
      <c r="P30" s="300"/>
      <c r="Q30" s="299"/>
    </row>
    <row r="31" spans="2:19" x14ac:dyDescent="0.3">
      <c r="B31" s="299"/>
      <c r="C31" s="299"/>
      <c r="D31" s="299"/>
      <c r="E31" s="300"/>
      <c r="F31" s="299"/>
      <c r="G31" s="300"/>
      <c r="H31" s="299"/>
      <c r="I31" s="299"/>
      <c r="N31" s="299"/>
      <c r="O31" s="299"/>
      <c r="P31" s="299"/>
      <c r="Q31" s="299"/>
    </row>
    <row r="32" spans="2:19" x14ac:dyDescent="0.3">
      <c r="B32" s="299"/>
      <c r="C32" s="299"/>
      <c r="D32" s="299"/>
      <c r="E32" s="299"/>
      <c r="F32" s="299"/>
      <c r="G32" s="299"/>
      <c r="H32" s="299"/>
      <c r="I32" s="299"/>
      <c r="N32" s="299"/>
      <c r="O32" s="299"/>
      <c r="P32" s="301"/>
      <c r="Q32" s="301"/>
    </row>
    <row r="33" spans="1:17" x14ac:dyDescent="0.3">
      <c r="B33" s="299"/>
      <c r="C33" s="299"/>
      <c r="D33" s="299"/>
      <c r="E33" s="299"/>
      <c r="F33" s="299"/>
      <c r="G33" s="301"/>
      <c r="H33" s="301"/>
      <c r="I33" s="302"/>
      <c r="N33" s="299"/>
      <c r="O33" s="299"/>
      <c r="P33" s="299"/>
      <c r="Q33" s="299"/>
    </row>
    <row r="34" spans="1:17" x14ac:dyDescent="0.3">
      <c r="B34" s="299"/>
      <c r="C34" s="299"/>
      <c r="D34" s="299"/>
      <c r="E34" s="299"/>
      <c r="F34" s="299"/>
      <c r="G34" s="299"/>
      <c r="H34" s="299"/>
      <c r="I34" s="299"/>
      <c r="O34" s="299"/>
      <c r="P34" s="303"/>
      <c r="Q34" s="304"/>
    </row>
    <row r="35" spans="1:17" x14ac:dyDescent="0.3">
      <c r="B35" s="299"/>
      <c r="C35" s="299"/>
      <c r="D35" s="299"/>
      <c r="E35" s="299"/>
      <c r="F35" s="299"/>
      <c r="G35" s="303"/>
      <c r="H35" s="304"/>
      <c r="I35" s="299"/>
    </row>
    <row r="36" spans="1:17" ht="16.2" thickBot="1" x14ac:dyDescent="0.35">
      <c r="B36" s="299"/>
      <c r="C36" s="305"/>
      <c r="D36" s="299"/>
      <c r="E36" s="300"/>
      <c r="F36" s="300"/>
      <c r="G36" s="301"/>
      <c r="H36" s="299"/>
      <c r="I36" s="299"/>
    </row>
    <row r="37" spans="1:17" ht="16.2" thickBot="1" x14ac:dyDescent="0.35">
      <c r="A37" s="31"/>
      <c r="B37" s="299"/>
      <c r="C37" s="306"/>
      <c r="D37" s="306"/>
      <c r="E37" s="306"/>
      <c r="F37" s="299"/>
      <c r="G37" s="299"/>
      <c r="H37" s="299"/>
      <c r="I37" s="299"/>
      <c r="L37" s="7"/>
      <c r="M37" s="7"/>
      <c r="N37" s="7"/>
    </row>
    <row r="38" spans="1:17" ht="16.2" thickBot="1" x14ac:dyDescent="0.35">
      <c r="A38" s="30"/>
      <c r="B38" s="299"/>
      <c r="C38" s="306"/>
      <c r="D38" s="306"/>
      <c r="E38" s="306"/>
      <c r="F38" s="299"/>
      <c r="G38" s="299"/>
      <c r="H38" s="299"/>
      <c r="I38" s="299"/>
      <c r="L38" s="25"/>
      <c r="M38" s="25"/>
      <c r="N38" s="12"/>
      <c r="P38" s="26"/>
      <c r="Q38" s="27"/>
    </row>
    <row r="39" spans="1:17" ht="16.2" thickBot="1" x14ac:dyDescent="0.35">
      <c r="B39" s="299"/>
      <c r="C39" s="299"/>
      <c r="D39" s="299"/>
      <c r="E39" s="300"/>
      <c r="F39" s="299"/>
      <c r="G39" s="300"/>
      <c r="H39" s="301"/>
      <c r="I39" s="299"/>
      <c r="L39" s="25"/>
      <c r="M39" s="25"/>
      <c r="N39" s="12"/>
      <c r="P39" s="26"/>
      <c r="Q39" s="14"/>
    </row>
    <row r="40" spans="1:17" x14ac:dyDescent="0.3">
      <c r="B40" s="299"/>
      <c r="C40" s="299"/>
      <c r="D40" s="299"/>
      <c r="E40" s="300"/>
      <c r="F40" s="299"/>
      <c r="G40" s="300"/>
      <c r="H40" s="301"/>
      <c r="I40" s="299"/>
      <c r="L40" s="25"/>
      <c r="M40" s="25"/>
      <c r="N40" s="12"/>
      <c r="P40" s="26"/>
    </row>
    <row r="41" spans="1:17" x14ac:dyDescent="0.3">
      <c r="B41" s="299"/>
      <c r="C41" s="299"/>
      <c r="D41" s="299"/>
      <c r="E41" s="300"/>
      <c r="F41" s="299"/>
      <c r="G41" s="300"/>
      <c r="H41" s="299"/>
      <c r="I41" s="299"/>
    </row>
    <row r="42" spans="1:17" x14ac:dyDescent="0.3">
      <c r="A42" s="31"/>
      <c r="B42" s="299"/>
      <c r="C42" s="299"/>
      <c r="D42" s="299"/>
      <c r="E42" s="299"/>
      <c r="F42" s="299"/>
      <c r="G42" s="299"/>
      <c r="H42" s="299"/>
      <c r="I42" s="299"/>
      <c r="L42" s="11"/>
      <c r="M42" s="11"/>
      <c r="N42" s="11"/>
      <c r="P42" s="14"/>
      <c r="Q42" s="14"/>
    </row>
    <row r="43" spans="1:17" ht="16.2" thickBot="1" x14ac:dyDescent="0.35">
      <c r="A43" s="30"/>
      <c r="B43" s="299"/>
      <c r="C43" s="299"/>
      <c r="D43" s="299"/>
      <c r="E43" s="299"/>
      <c r="F43" s="299"/>
      <c r="G43" s="301"/>
      <c r="H43" s="301"/>
      <c r="I43" s="299"/>
      <c r="L43" s="18"/>
      <c r="M43" s="18"/>
      <c r="N43" s="18"/>
    </row>
    <row r="44" spans="1:17" ht="16.2" thickBot="1" x14ac:dyDescent="0.35">
      <c r="B44" s="299"/>
      <c r="C44" s="299"/>
      <c r="D44" s="299"/>
      <c r="E44" s="299"/>
      <c r="F44" s="299"/>
      <c r="G44" s="299"/>
      <c r="H44" s="299"/>
      <c r="I44" s="299"/>
      <c r="P44" s="100"/>
      <c r="Q44" s="19"/>
    </row>
    <row r="45" spans="1:17" x14ac:dyDescent="0.3">
      <c r="A45" s="30"/>
      <c r="B45" s="299"/>
      <c r="C45" s="299"/>
      <c r="D45" s="299"/>
      <c r="E45" s="299"/>
      <c r="F45" s="299"/>
      <c r="G45" s="303"/>
      <c r="H45" s="304"/>
      <c r="I45" s="299"/>
    </row>
    <row r="46" spans="1:17" ht="16.2" thickBot="1" x14ac:dyDescent="0.35">
      <c r="B46" s="299"/>
      <c r="C46" s="305"/>
      <c r="D46" s="299"/>
      <c r="E46" s="300"/>
      <c r="F46" s="300"/>
      <c r="G46" s="301"/>
      <c r="H46" s="299"/>
      <c r="I46" s="299"/>
    </row>
    <row r="47" spans="1:17" ht="16.2" thickBot="1" x14ac:dyDescent="0.35">
      <c r="B47" s="299"/>
      <c r="C47" s="299"/>
      <c r="D47" s="299"/>
      <c r="E47" s="300"/>
      <c r="F47" s="299"/>
      <c r="G47" s="300"/>
      <c r="H47" s="301"/>
      <c r="I47" s="299"/>
      <c r="L47" s="7"/>
      <c r="M47" s="7"/>
      <c r="N47" s="7"/>
    </row>
    <row r="48" spans="1:17" ht="16.2" thickBot="1" x14ac:dyDescent="0.35">
      <c r="B48" s="299"/>
      <c r="C48" s="299"/>
      <c r="D48" s="299"/>
      <c r="E48" s="300"/>
      <c r="F48" s="299"/>
      <c r="G48" s="300"/>
      <c r="H48" s="301"/>
      <c r="I48" s="299"/>
      <c r="L48" s="25"/>
      <c r="M48" s="25"/>
      <c r="N48" s="12"/>
      <c r="P48" s="26"/>
      <c r="Q48" s="27"/>
    </row>
    <row r="49" spans="2:17" ht="16.2" thickBot="1" x14ac:dyDescent="0.35">
      <c r="B49" s="299"/>
      <c r="C49" s="299"/>
      <c r="D49" s="299"/>
      <c r="E49" s="300"/>
      <c r="F49" s="299"/>
      <c r="G49" s="300"/>
      <c r="H49" s="299"/>
      <c r="I49" s="299"/>
      <c r="L49" s="25"/>
      <c r="M49" s="25"/>
      <c r="N49" s="12"/>
      <c r="P49" s="26"/>
      <c r="Q49" s="14"/>
    </row>
    <row r="50" spans="2:17" x14ac:dyDescent="0.3">
      <c r="L50" s="25"/>
      <c r="M50" s="25"/>
      <c r="N50" s="12"/>
      <c r="P50" s="26"/>
    </row>
    <row r="51" spans="2:17" x14ac:dyDescent="0.3">
      <c r="G51" s="276"/>
      <c r="H51" s="276"/>
    </row>
    <row r="52" spans="2:17" x14ac:dyDescent="0.3">
      <c r="L52" s="11"/>
      <c r="M52" s="11"/>
      <c r="N52" s="11"/>
      <c r="P52" s="14"/>
      <c r="Q52" s="14"/>
    </row>
    <row r="53" spans="2:17" ht="16.2" thickBot="1" x14ac:dyDescent="0.35">
      <c r="G53" s="277"/>
      <c r="H53" s="29"/>
      <c r="L53" s="18"/>
      <c r="M53" s="18"/>
      <c r="N53" s="18"/>
    </row>
    <row r="54" spans="2:17" ht="16.2" thickBot="1" x14ac:dyDescent="0.35">
      <c r="P54" s="100"/>
      <c r="Q54" s="19"/>
    </row>
  </sheetData>
  <mergeCells count="1">
    <mergeCell ref="C4:F4"/>
  </mergeCells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5"/>
  <sheetViews>
    <sheetView workbookViewId="0">
      <selection activeCell="C17" sqref="C17"/>
    </sheetView>
  </sheetViews>
  <sheetFormatPr defaultRowHeight="13.8" x14ac:dyDescent="0.25"/>
  <cols>
    <col min="2" max="2" width="23.44140625" bestFit="1" customWidth="1"/>
    <col min="3" max="3" width="12" bestFit="1" customWidth="1"/>
    <col min="4" max="4" width="11.33203125" customWidth="1"/>
    <col min="7" max="7" width="9.44140625" bestFit="1" customWidth="1"/>
    <col min="8" max="8" width="8.6640625" bestFit="1" customWidth="1"/>
  </cols>
  <sheetData>
    <row r="2" spans="2:12" x14ac:dyDescent="0.25">
      <c r="B2" t="s">
        <v>43</v>
      </c>
      <c r="C2" s="56">
        <v>9806.65</v>
      </c>
      <c r="D2" t="s">
        <v>44</v>
      </c>
    </row>
    <row r="4" spans="2:12" ht="14.4" x14ac:dyDescent="0.3">
      <c r="B4" s="86" t="s">
        <v>45</v>
      </c>
      <c r="C4" s="33" t="s">
        <v>46</v>
      </c>
      <c r="D4" s="33" t="s">
        <v>47</v>
      </c>
    </row>
    <row r="5" spans="2:12" x14ac:dyDescent="0.25">
      <c r="B5" s="91" t="s">
        <v>148</v>
      </c>
      <c r="C5" s="94">
        <v>-193.7311</v>
      </c>
      <c r="D5" s="94">
        <v>0</v>
      </c>
      <c r="G5" s="94"/>
      <c r="H5" s="94"/>
      <c r="K5" s="94"/>
      <c r="L5" s="94"/>
    </row>
    <row r="6" spans="2:12" x14ac:dyDescent="0.25">
      <c r="B6" s="91" t="s">
        <v>150</v>
      </c>
      <c r="C6" s="94">
        <v>0</v>
      </c>
      <c r="D6" s="94">
        <v>-193.7311</v>
      </c>
      <c r="G6" s="94"/>
      <c r="H6" s="94"/>
      <c r="K6" s="94"/>
      <c r="L6" s="94"/>
    </row>
    <row r="7" spans="2:12" x14ac:dyDescent="0.25">
      <c r="B7" s="91" t="s">
        <v>151</v>
      </c>
      <c r="C7" s="94">
        <v>0</v>
      </c>
      <c r="D7" s="94">
        <v>-744.31190000000004</v>
      </c>
      <c r="G7" s="94"/>
      <c r="H7" s="94"/>
      <c r="K7" s="94"/>
      <c r="L7" s="94"/>
    </row>
    <row r="8" spans="2:12" x14ac:dyDescent="0.25">
      <c r="B8" s="91" t="s">
        <v>152</v>
      </c>
      <c r="C8" s="94">
        <v>-744.31190000000004</v>
      </c>
      <c r="D8" s="94">
        <v>0</v>
      </c>
      <c r="G8" s="94"/>
      <c r="H8" s="94"/>
      <c r="K8" s="94"/>
      <c r="L8" s="94"/>
    </row>
    <row r="9" spans="2:12" ht="14.4" x14ac:dyDescent="0.3">
      <c r="B9" s="86" t="s">
        <v>48</v>
      </c>
      <c r="G9" s="94"/>
      <c r="H9" s="94"/>
      <c r="I9" s="91"/>
      <c r="K9" s="94"/>
      <c r="L9" s="94"/>
    </row>
    <row r="10" spans="2:12" x14ac:dyDescent="0.25">
      <c r="B10" s="91" t="s">
        <v>153</v>
      </c>
      <c r="C10" s="94">
        <v>3319.1066000000001</v>
      </c>
      <c r="D10" s="94">
        <v>0.42399999999999999</v>
      </c>
      <c r="G10" s="94"/>
      <c r="H10" s="94"/>
      <c r="I10" s="91"/>
      <c r="K10" s="94"/>
      <c r="L10" s="94"/>
    </row>
    <row r="11" spans="2:12" x14ac:dyDescent="0.25">
      <c r="B11" s="91" t="s">
        <v>156</v>
      </c>
      <c r="C11" s="94">
        <v>0.42399999999999999</v>
      </c>
      <c r="D11" s="94">
        <v>3312.2878999999998</v>
      </c>
      <c r="G11" s="94"/>
      <c r="H11" s="94"/>
      <c r="I11" s="91"/>
      <c r="K11" s="94"/>
      <c r="L11" s="94"/>
    </row>
    <row r="12" spans="2:12" x14ac:dyDescent="0.25">
      <c r="B12" s="91" t="s">
        <v>157</v>
      </c>
      <c r="C12" s="94">
        <v>4752.3364000000001</v>
      </c>
      <c r="D12" s="94">
        <v>161.0035</v>
      </c>
      <c r="G12" s="94"/>
      <c r="H12" s="94"/>
      <c r="I12" s="91"/>
      <c r="K12" s="94"/>
      <c r="L12" s="94"/>
    </row>
    <row r="13" spans="2:12" x14ac:dyDescent="0.25">
      <c r="B13" s="91" t="s">
        <v>158</v>
      </c>
      <c r="C13" s="94">
        <v>161.0035</v>
      </c>
      <c r="D13" s="94">
        <v>5905.4538000000002</v>
      </c>
      <c r="G13" s="91"/>
      <c r="H13" s="91"/>
      <c r="I13" s="91"/>
      <c r="K13" s="94"/>
      <c r="L13" s="94"/>
    </row>
    <row r="14" spans="2:12" x14ac:dyDescent="0.25">
      <c r="G14" s="91"/>
      <c r="H14" s="91"/>
      <c r="I14" s="91"/>
      <c r="K14" s="94"/>
      <c r="L14" s="94"/>
    </row>
    <row r="15" spans="2:12" ht="14.4" x14ac:dyDescent="0.25">
      <c r="B15" s="92" t="s">
        <v>43</v>
      </c>
      <c r="G15" s="91"/>
      <c r="H15" s="91"/>
      <c r="I15" s="91"/>
      <c r="K15" s="94"/>
      <c r="L15" s="94"/>
    </row>
    <row r="16" spans="2:12" x14ac:dyDescent="0.25">
      <c r="B16" s="93" t="s">
        <v>159</v>
      </c>
      <c r="C16" s="58">
        <f>ABS(C5/C10*C2)</f>
        <v>572.39893765840475</v>
      </c>
      <c r="D16">
        <f>ABS(C5/C10)</f>
        <v>5.8368447702161777E-2</v>
      </c>
      <c r="G16" s="91"/>
      <c r="H16" s="91"/>
      <c r="I16" s="91"/>
      <c r="K16" s="94"/>
      <c r="L16" s="94"/>
    </row>
    <row r="17" spans="2:12" x14ac:dyDescent="0.25">
      <c r="B17" s="93" t="s">
        <v>160</v>
      </c>
      <c r="C17" s="58">
        <f>ABS(D6/D11*C2)</f>
        <v>573.57728228122926</v>
      </c>
      <c r="D17">
        <f>ABS(D6/D11)</f>
        <v>5.8488605413798724E-2</v>
      </c>
      <c r="G17" s="91"/>
      <c r="H17" s="91"/>
      <c r="I17" s="91"/>
      <c r="K17" s="94"/>
      <c r="L17" s="94"/>
    </row>
    <row r="18" spans="2:12" x14ac:dyDescent="0.25">
      <c r="B18" s="93" t="s">
        <v>162</v>
      </c>
      <c r="C18" s="58">
        <f>ABS(D7/D13*C2)</f>
        <v>1236.0110740575094</v>
      </c>
      <c r="D18">
        <f>ABS(D7/D13)</f>
        <v>0.1260380531636705</v>
      </c>
      <c r="G18" s="91"/>
      <c r="H18" s="91"/>
      <c r="I18" s="91"/>
      <c r="K18" s="94"/>
      <c r="L18" s="94"/>
    </row>
    <row r="19" spans="2:12" x14ac:dyDescent="0.25">
      <c r="B19" s="93" t="s">
        <v>161</v>
      </c>
      <c r="C19" s="58">
        <f>ABS(C8/C12*C2)</f>
        <v>1535.9195308932676</v>
      </c>
      <c r="D19">
        <f>ABS(C8/C12)</f>
        <v>0.1566202047481319</v>
      </c>
      <c r="G19" s="91"/>
      <c r="H19" s="91"/>
      <c r="I19" s="91"/>
    </row>
    <row r="20" spans="2:12" x14ac:dyDescent="0.25">
      <c r="B20" s="93"/>
      <c r="G20" s="91"/>
      <c r="H20" s="91"/>
      <c r="I20" s="91"/>
    </row>
    <row r="21" spans="2:12" ht="14.4" x14ac:dyDescent="0.3">
      <c r="B21" s="62" t="s">
        <v>163</v>
      </c>
      <c r="C21" s="33" t="s">
        <v>46</v>
      </c>
      <c r="D21" s="33" t="s">
        <v>47</v>
      </c>
    </row>
    <row r="22" spans="2:12" x14ac:dyDescent="0.25">
      <c r="B22" s="94" t="s">
        <v>164</v>
      </c>
      <c r="C22" s="94">
        <v>504.05860000000001</v>
      </c>
      <c r="D22" s="94">
        <v>3.4786000000000001</v>
      </c>
    </row>
    <row r="23" spans="2:12" x14ac:dyDescent="0.25">
      <c r="B23" s="94" t="s">
        <v>165</v>
      </c>
      <c r="C23" s="94">
        <v>3.3567</v>
      </c>
      <c r="D23" s="94">
        <v>504.0557</v>
      </c>
    </row>
    <row r="24" spans="2:12" x14ac:dyDescent="0.25">
      <c r="B24" s="94" t="s">
        <v>166</v>
      </c>
      <c r="C24" s="94">
        <v>483.71319999999997</v>
      </c>
      <c r="D24" s="94">
        <v>3.3382000000000001</v>
      </c>
    </row>
    <row r="25" spans="2:12" x14ac:dyDescent="0.25">
      <c r="B25" s="94" t="s">
        <v>167</v>
      </c>
      <c r="C25" s="94">
        <v>3.2212000000000001</v>
      </c>
      <c r="D25" s="94">
        <v>483.71230000000003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topLeftCell="E1" workbookViewId="0">
      <selection activeCell="A5" sqref="A5:L8"/>
    </sheetView>
  </sheetViews>
  <sheetFormatPr defaultColWidth="9.109375" defaultRowHeight="13.8" x14ac:dyDescent="0.25"/>
  <sheetData>
    <row r="1" spans="1:17" x14ac:dyDescent="0.25">
      <c r="A1" s="309" t="s">
        <v>448</v>
      </c>
    </row>
    <row r="3" spans="1:17" ht="27.6" x14ac:dyDescent="0.25">
      <c r="A3" s="332" t="s">
        <v>138</v>
      </c>
      <c r="B3" s="332" t="s">
        <v>268</v>
      </c>
      <c r="C3" s="310" t="s">
        <v>287</v>
      </c>
      <c r="D3" s="310" t="s">
        <v>288</v>
      </c>
      <c r="E3" s="310" t="s">
        <v>435</v>
      </c>
      <c r="F3" s="310" t="s">
        <v>436</v>
      </c>
      <c r="G3" s="310" t="s">
        <v>437</v>
      </c>
      <c r="H3" s="310" t="s">
        <v>438</v>
      </c>
      <c r="I3" s="310" t="s">
        <v>439</v>
      </c>
      <c r="J3" s="310" t="s">
        <v>440</v>
      </c>
      <c r="K3" s="310" t="s">
        <v>441</v>
      </c>
      <c r="L3" s="310" t="s">
        <v>442</v>
      </c>
      <c r="M3" s="310" t="s">
        <v>443</v>
      </c>
      <c r="N3" s="310" t="s">
        <v>444</v>
      </c>
      <c r="O3" s="310" t="s">
        <v>445</v>
      </c>
      <c r="P3" s="310" t="s">
        <v>446</v>
      </c>
      <c r="Q3" s="289"/>
    </row>
    <row r="4" spans="1:17" x14ac:dyDescent="0.25">
      <c r="A4" s="332"/>
      <c r="B4" s="332"/>
      <c r="C4" s="310" t="s">
        <v>280</v>
      </c>
      <c r="D4" s="310" t="s">
        <v>280</v>
      </c>
      <c r="E4" s="310" t="s">
        <v>31</v>
      </c>
      <c r="F4" s="310" t="s">
        <v>31</v>
      </c>
      <c r="G4" s="310" t="s">
        <v>280</v>
      </c>
      <c r="H4" s="310" t="s">
        <v>280</v>
      </c>
      <c r="I4" s="310" t="s">
        <v>31</v>
      </c>
      <c r="J4" s="310" t="s">
        <v>31</v>
      </c>
      <c r="K4" s="310" t="s">
        <v>31</v>
      </c>
      <c r="L4" s="310" t="s">
        <v>31</v>
      </c>
      <c r="M4" s="289"/>
      <c r="N4" s="289"/>
      <c r="O4" s="289"/>
      <c r="P4" s="289"/>
      <c r="Q4" s="289"/>
    </row>
    <row r="5" spans="1:17" x14ac:dyDescent="0.25">
      <c r="A5" s="94" t="s">
        <v>285</v>
      </c>
      <c r="B5" s="94" t="s">
        <v>252</v>
      </c>
      <c r="C5" s="94">
        <v>70595.83</v>
      </c>
      <c r="D5" s="94">
        <v>70595.83</v>
      </c>
      <c r="E5" s="94">
        <v>4.5320999999999998</v>
      </c>
      <c r="F5" s="94">
        <v>3.7951999999999999</v>
      </c>
      <c r="G5" s="94">
        <v>70595.83</v>
      </c>
      <c r="H5" s="94">
        <v>70595.83</v>
      </c>
      <c r="I5" s="94">
        <v>4.5320999999999998</v>
      </c>
      <c r="J5" s="94">
        <v>3.7951999999999999</v>
      </c>
      <c r="K5" s="94">
        <v>4.3623000000000003</v>
      </c>
      <c r="L5" s="94">
        <v>3.6958000000000002</v>
      </c>
      <c r="M5" s="289">
        <f t="shared" ref="M5:N8" si="0">ABS(I5-K5)</f>
        <v>0.16979999999999951</v>
      </c>
      <c r="N5" s="289">
        <f t="shared" si="0"/>
        <v>9.9399999999999711E-2</v>
      </c>
      <c r="O5" s="289">
        <f>M5/8.89*100</f>
        <v>1.91001124859392</v>
      </c>
      <c r="P5" s="289">
        <f>N5/8.05*100</f>
        <v>1.2347826086956484</v>
      </c>
      <c r="Q5" s="289">
        <f>ABS(G5-G6)/G5*100</f>
        <v>0</v>
      </c>
    </row>
    <row r="6" spans="1:17" x14ac:dyDescent="0.25">
      <c r="A6" s="94" t="s">
        <v>284</v>
      </c>
      <c r="B6" s="94" t="s">
        <v>253</v>
      </c>
      <c r="C6" s="94">
        <v>70595.83</v>
      </c>
      <c r="D6" s="94">
        <v>70595.83</v>
      </c>
      <c r="E6" s="94">
        <v>4.5320999999999998</v>
      </c>
      <c r="F6" s="94">
        <v>3.7951999999999999</v>
      </c>
      <c r="G6" s="94">
        <v>70595.83</v>
      </c>
      <c r="H6" s="94">
        <v>70595.83</v>
      </c>
      <c r="I6" s="94">
        <v>4.5320999999999998</v>
      </c>
      <c r="J6" s="94">
        <v>3.7951999999999999</v>
      </c>
      <c r="K6" s="94">
        <v>4.3681999999999999</v>
      </c>
      <c r="L6" s="94">
        <v>3.6137999999999999</v>
      </c>
      <c r="M6" s="289">
        <f t="shared" si="0"/>
        <v>0.16389999999999993</v>
      </c>
      <c r="N6" s="289">
        <f t="shared" si="0"/>
        <v>0.18140000000000001</v>
      </c>
      <c r="O6" s="289">
        <f t="shared" ref="O6:O8" si="1">M6/8.89*100</f>
        <v>1.8436445444319451</v>
      </c>
      <c r="P6" s="289">
        <f t="shared" ref="P6:P8" si="2">N6/8.05*100</f>
        <v>2.2534161490683227</v>
      </c>
      <c r="Q6" s="289">
        <f>ABS(G6-G7)/G6*100</f>
        <v>8.6285691378655134</v>
      </c>
    </row>
    <row r="7" spans="1:17" x14ac:dyDescent="0.25">
      <c r="A7" s="94" t="s">
        <v>283</v>
      </c>
      <c r="B7" s="94" t="s">
        <v>254</v>
      </c>
      <c r="C7" s="94">
        <v>64504.42</v>
      </c>
      <c r="D7" s="94">
        <v>64504.42</v>
      </c>
      <c r="E7" s="94">
        <v>4.2286999999999999</v>
      </c>
      <c r="F7" s="94">
        <v>4.0860000000000003</v>
      </c>
      <c r="G7" s="94">
        <v>64504.42</v>
      </c>
      <c r="H7" s="94">
        <v>64504.42</v>
      </c>
      <c r="I7" s="94">
        <v>4.2286999999999999</v>
      </c>
      <c r="J7" s="94">
        <v>4.0860000000000003</v>
      </c>
      <c r="K7" s="94">
        <v>4.3701999999999996</v>
      </c>
      <c r="L7" s="94">
        <v>3.5861000000000001</v>
      </c>
      <c r="M7" s="289">
        <f t="shared" si="0"/>
        <v>0.14149999999999974</v>
      </c>
      <c r="N7" s="289">
        <f t="shared" si="0"/>
        <v>0.49990000000000023</v>
      </c>
      <c r="O7" s="289">
        <f t="shared" si="1"/>
        <v>1.5916760404949351</v>
      </c>
      <c r="P7" s="289">
        <f t="shared" si="2"/>
        <v>6.2099378881987599</v>
      </c>
      <c r="Q7" s="289">
        <f>ABS(G7-G8)/G7*100</f>
        <v>63.651157548583491</v>
      </c>
    </row>
    <row r="8" spans="1:17" x14ac:dyDescent="0.25">
      <c r="A8" s="94" t="s">
        <v>447</v>
      </c>
      <c r="B8" s="94" t="s">
        <v>414</v>
      </c>
      <c r="C8" s="94">
        <v>23446.61</v>
      </c>
      <c r="D8" s="94">
        <v>23446.61</v>
      </c>
      <c r="E8" s="94">
        <v>3.9121999999999999</v>
      </c>
      <c r="F8" s="94">
        <v>4.1536999999999997</v>
      </c>
      <c r="G8" s="94">
        <v>23446.61</v>
      </c>
      <c r="H8" s="94">
        <v>23446.61</v>
      </c>
      <c r="I8" s="94">
        <v>3.9121999999999999</v>
      </c>
      <c r="J8" s="94">
        <v>4.1536999999999997</v>
      </c>
      <c r="K8" s="94">
        <v>4.2853000000000003</v>
      </c>
      <c r="L8" s="94">
        <v>3.6528</v>
      </c>
      <c r="M8" s="289">
        <f t="shared" si="0"/>
        <v>0.37310000000000043</v>
      </c>
      <c r="N8" s="289">
        <f t="shared" si="0"/>
        <v>0.50089999999999968</v>
      </c>
      <c r="O8" s="289">
        <f t="shared" si="1"/>
        <v>4.1968503937007924</v>
      </c>
      <c r="P8" s="289">
        <f t="shared" si="2"/>
        <v>6.2223602484472007</v>
      </c>
      <c r="Q8" s="289"/>
    </row>
  </sheetData>
  <mergeCells count="2">
    <mergeCell ref="A3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VL83"/>
  <sheetViews>
    <sheetView topLeftCell="A30" workbookViewId="0">
      <selection activeCell="E36" sqref="E36"/>
    </sheetView>
  </sheetViews>
  <sheetFormatPr defaultRowHeight="15.6" x14ac:dyDescent="0.3"/>
  <cols>
    <col min="3" max="4" width="9" bestFit="1" customWidth="1"/>
    <col min="5" max="5" width="10.6640625" bestFit="1" customWidth="1"/>
    <col min="6" max="8" width="9" bestFit="1" customWidth="1"/>
    <col min="13" max="13" width="7.5546875" customWidth="1"/>
    <col min="14" max="14" width="10" bestFit="1" customWidth="1"/>
    <col min="17" max="17" width="6.109375" bestFit="1" customWidth="1"/>
    <col min="18" max="18" width="4.44140625" style="32" bestFit="1" customWidth="1"/>
    <col min="19" max="16132" width="8.88671875" style="32"/>
  </cols>
  <sheetData>
    <row r="1" spans="2:9" s="99" customFormat="1" ht="17.399999999999999" x14ac:dyDescent="0.3">
      <c r="B1" s="335" t="s">
        <v>178</v>
      </c>
      <c r="C1" s="335"/>
      <c r="D1" s="335"/>
      <c r="E1" s="335"/>
      <c r="F1" s="335"/>
      <c r="G1" s="119"/>
      <c r="H1" s="119"/>
      <c r="I1" s="119"/>
    </row>
    <row r="2" spans="2:9" s="99" customFormat="1" x14ac:dyDescent="0.3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3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3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3">
      <c r="B5" s="119"/>
      <c r="C5" s="119" t="s">
        <v>183</v>
      </c>
      <c r="D5" s="119"/>
      <c r="E5" s="312">
        <v>0.35</v>
      </c>
      <c r="F5" s="119" t="s">
        <v>31</v>
      </c>
      <c r="G5" s="119"/>
      <c r="H5" s="119"/>
      <c r="I5" s="121"/>
    </row>
    <row r="6" spans="2:9" s="99" customFormat="1" x14ac:dyDescent="0.3">
      <c r="B6" s="119"/>
      <c r="C6" s="119" t="s">
        <v>90</v>
      </c>
      <c r="D6" s="119"/>
      <c r="E6" s="312">
        <v>0.35</v>
      </c>
      <c r="F6" s="119" t="s">
        <v>31</v>
      </c>
      <c r="G6" s="119"/>
      <c r="H6" s="119"/>
      <c r="I6" s="121"/>
    </row>
    <row r="7" spans="2:9" s="99" customFormat="1" x14ac:dyDescent="0.3">
      <c r="B7" s="119" t="s">
        <v>184</v>
      </c>
      <c r="C7" s="119"/>
      <c r="D7" s="119"/>
      <c r="E7" s="312">
        <v>120</v>
      </c>
      <c r="F7" s="119" t="s">
        <v>185</v>
      </c>
      <c r="G7" s="119"/>
      <c r="H7" s="119"/>
      <c r="I7" s="121"/>
    </row>
    <row r="8" spans="2:9" s="99" customFormat="1" x14ac:dyDescent="0.3">
      <c r="B8" s="119" t="s">
        <v>186</v>
      </c>
      <c r="C8" s="119"/>
      <c r="D8" s="119"/>
      <c r="E8" s="312">
        <v>500</v>
      </c>
      <c r="F8" s="119" t="s">
        <v>187</v>
      </c>
      <c r="G8" s="119"/>
      <c r="H8" s="119"/>
      <c r="I8" s="121"/>
    </row>
    <row r="9" spans="2:9" s="99" customFormat="1" x14ac:dyDescent="0.3">
      <c r="B9" s="119" t="s">
        <v>188</v>
      </c>
      <c r="C9" s="119"/>
      <c r="D9" s="119"/>
      <c r="E9" s="312">
        <v>20</v>
      </c>
      <c r="F9" s="119" t="s">
        <v>187</v>
      </c>
      <c r="G9" s="119" t="str">
        <f>+IF(E9=20,"( M 20 )",IF(E9=25,"( M 25 )"," "))</f>
        <v>( M 20 )</v>
      </c>
      <c r="H9" s="119"/>
      <c r="I9" s="121"/>
    </row>
    <row r="10" spans="2:9" s="99" customFormat="1" x14ac:dyDescent="0.3">
      <c r="B10" s="119" t="s">
        <v>189</v>
      </c>
      <c r="C10" s="119"/>
      <c r="D10" s="119"/>
      <c r="E10" s="318">
        <f>'joint reaction'!F12</f>
        <v>963.88990000000001</v>
      </c>
      <c r="F10" s="119"/>
      <c r="G10" s="119"/>
      <c r="H10" s="119"/>
      <c r="I10" s="121"/>
    </row>
    <row r="11" spans="2:9" s="99" customFormat="1" x14ac:dyDescent="0.3">
      <c r="B11" s="119" t="s">
        <v>49</v>
      </c>
      <c r="C11" s="119"/>
      <c r="D11" s="119"/>
      <c r="E11" s="124">
        <f>E10/1.5</f>
        <v>642.59326666666664</v>
      </c>
      <c r="F11" s="119" t="s">
        <v>29</v>
      </c>
      <c r="G11" s="119"/>
      <c r="H11" s="119"/>
      <c r="I11" s="121"/>
    </row>
    <row r="12" spans="2:9" s="99" customFormat="1" x14ac:dyDescent="0.3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3">
      <c r="B13" s="119" t="s">
        <v>190</v>
      </c>
      <c r="C13" s="119"/>
      <c r="D13" s="119"/>
      <c r="E13" s="124">
        <f>E11/E7</f>
        <v>5.3549438888888883</v>
      </c>
      <c r="F13" s="119" t="s">
        <v>191</v>
      </c>
      <c r="G13" s="119"/>
      <c r="H13" s="119"/>
      <c r="I13" s="121"/>
    </row>
    <row r="14" spans="2:9" s="99" customFormat="1" x14ac:dyDescent="0.3">
      <c r="B14" s="119" t="s">
        <v>192</v>
      </c>
      <c r="C14" s="119"/>
      <c r="D14" s="119"/>
      <c r="E14" s="124">
        <f>20*1.5*E13</f>
        <v>160.64831666666666</v>
      </c>
      <c r="F14" s="119"/>
      <c r="G14" s="119"/>
      <c r="H14" s="119"/>
      <c r="I14" s="121"/>
    </row>
    <row r="15" spans="2:9" s="99" customFormat="1" x14ac:dyDescent="0.3">
      <c r="B15" s="119" t="s">
        <v>49</v>
      </c>
      <c r="C15" s="119"/>
      <c r="D15" s="119"/>
      <c r="E15" s="124">
        <f>E11</f>
        <v>642.59326666666664</v>
      </c>
      <c r="F15" s="119" t="s">
        <v>29</v>
      </c>
      <c r="G15" s="119"/>
      <c r="H15" s="119"/>
      <c r="I15" s="119"/>
    </row>
    <row r="16" spans="2:9" s="99" customFormat="1" x14ac:dyDescent="0.3">
      <c r="B16" s="119" t="s">
        <v>193</v>
      </c>
      <c r="C16" s="119"/>
      <c r="D16" s="119"/>
      <c r="E16" s="125">
        <f>SUM(E14:E15)</f>
        <v>803.24158333333332</v>
      </c>
      <c r="F16" s="119" t="s">
        <v>29</v>
      </c>
      <c r="G16" s="119"/>
      <c r="H16" s="119"/>
      <c r="I16" s="119"/>
    </row>
    <row r="17" spans="2:9" s="99" customFormat="1" x14ac:dyDescent="0.3">
      <c r="B17" s="119" t="s">
        <v>194</v>
      </c>
      <c r="C17" s="119"/>
      <c r="D17" s="119"/>
      <c r="E17" s="124">
        <f>E16/E7</f>
        <v>6.6936798611111108</v>
      </c>
      <c r="F17" s="119" t="s">
        <v>191</v>
      </c>
      <c r="G17" s="119"/>
      <c r="H17" s="119"/>
      <c r="I17" s="119"/>
    </row>
    <row r="18" spans="2:9" s="99" customFormat="1" x14ac:dyDescent="0.3">
      <c r="B18" s="119" t="s">
        <v>195</v>
      </c>
      <c r="C18" s="119"/>
      <c r="D18" s="119"/>
      <c r="E18" s="126">
        <f>SQRT(E17)</f>
        <v>2.5872146917314596</v>
      </c>
      <c r="F18" s="119"/>
      <c r="G18" s="119">
        <f>E18*3.28</f>
        <v>8.4860641888791868</v>
      </c>
      <c r="H18" s="119"/>
      <c r="I18" s="119"/>
    </row>
    <row r="19" spans="2:9" s="99" customFormat="1" x14ac:dyDescent="0.3">
      <c r="B19" s="119"/>
      <c r="C19" s="119"/>
      <c r="D19" s="119"/>
      <c r="E19" s="119"/>
      <c r="F19" s="119"/>
      <c r="G19" s="119"/>
      <c r="H19" s="119"/>
      <c r="I19" s="119"/>
    </row>
    <row r="20" spans="2:9" s="99" customFormat="1" x14ac:dyDescent="0.3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2:9" s="99" customFormat="1" x14ac:dyDescent="0.3">
      <c r="B21" s="119"/>
      <c r="C21" s="119" t="s">
        <v>197</v>
      </c>
      <c r="D21" s="127"/>
      <c r="E21" s="311">
        <v>2.59</v>
      </c>
      <c r="F21" s="119" t="s">
        <v>31</v>
      </c>
      <c r="G21" s="129">
        <f>E21*3.28</f>
        <v>8.4951999999999988</v>
      </c>
      <c r="H21" s="119"/>
      <c r="I21" s="119"/>
    </row>
    <row r="22" spans="2:9" s="99" customFormat="1" x14ac:dyDescent="0.3">
      <c r="B22" s="119"/>
      <c r="C22" s="119" t="s">
        <v>57</v>
      </c>
      <c r="D22" s="127"/>
      <c r="E22" s="311">
        <f>E21</f>
        <v>2.59</v>
      </c>
      <c r="F22" s="119" t="s">
        <v>31</v>
      </c>
      <c r="G22" s="119"/>
      <c r="H22" s="119"/>
      <c r="I22" s="119"/>
    </row>
    <row r="23" spans="2:9" s="99" customFormat="1" x14ac:dyDescent="0.3">
      <c r="B23" s="119" t="s">
        <v>198</v>
      </c>
      <c r="C23" s="119"/>
      <c r="D23" s="119"/>
      <c r="E23" s="119">
        <f>E21*E21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2:9" s="99" customFormat="1" x14ac:dyDescent="0.3">
      <c r="B24" s="119" t="s">
        <v>199</v>
      </c>
      <c r="C24" s="119"/>
      <c r="D24" s="119"/>
      <c r="E24" s="124">
        <f>E10/E23</f>
        <v>143.69044886033305</v>
      </c>
      <c r="F24" s="119" t="s">
        <v>185</v>
      </c>
      <c r="G24" s="119"/>
      <c r="H24" s="119"/>
      <c r="I24" s="119"/>
    </row>
    <row r="25" spans="2:9" s="99" customFormat="1" x14ac:dyDescent="0.3">
      <c r="B25" s="119" t="s">
        <v>200</v>
      </c>
      <c r="C25" s="119"/>
      <c r="D25" s="119"/>
      <c r="E25" s="119"/>
      <c r="F25" s="124">
        <f>E24*E21*((E21-E5)/2)*(E21-E5)/2*0.5</f>
        <v>233.41766227027026</v>
      </c>
      <c r="G25" s="119" t="s">
        <v>85</v>
      </c>
      <c r="H25" s="119"/>
      <c r="I25" s="119"/>
    </row>
    <row r="26" spans="2:9" s="99" customFormat="1" x14ac:dyDescent="0.3">
      <c r="B26" s="336"/>
      <c r="C26" s="336"/>
      <c r="D26" s="336"/>
      <c r="E26" s="119"/>
      <c r="F26" s="130"/>
      <c r="G26" s="119"/>
      <c r="H26" s="119"/>
      <c r="I26" s="119"/>
    </row>
    <row r="27" spans="2:9" s="99" customFormat="1" x14ac:dyDescent="0.3">
      <c r="B27" s="119"/>
      <c r="C27" s="119"/>
      <c r="D27" s="119"/>
      <c r="E27" s="119"/>
      <c r="F27" s="119"/>
      <c r="G27" s="119"/>
      <c r="H27" s="119"/>
      <c r="I27" s="119"/>
    </row>
    <row r="28" spans="2:9" s="99" customFormat="1" x14ac:dyDescent="0.3">
      <c r="B28" s="119" t="s">
        <v>201</v>
      </c>
      <c r="C28" s="119"/>
      <c r="D28" s="119"/>
      <c r="E28" s="119"/>
      <c r="F28" s="119"/>
      <c r="G28" s="119"/>
      <c r="H28" s="119"/>
      <c r="I28" s="119"/>
    </row>
    <row r="29" spans="2:9" s="99" customFormat="1" x14ac:dyDescent="0.3">
      <c r="B29" s="119" t="s">
        <v>202</v>
      </c>
      <c r="C29" s="119"/>
      <c r="D29" s="119"/>
      <c r="E29" s="119" t="s">
        <v>203</v>
      </c>
      <c r="F29" s="119"/>
      <c r="G29" s="119"/>
      <c r="H29" s="119"/>
      <c r="I29" s="119"/>
    </row>
    <row r="30" spans="2:9" s="99" customFormat="1" x14ac:dyDescent="0.3">
      <c r="B30" s="119"/>
      <c r="C30" s="119"/>
      <c r="D30" s="119"/>
      <c r="E30" s="119"/>
      <c r="F30" s="119"/>
      <c r="G30" s="119"/>
      <c r="H30" s="119"/>
      <c r="I30" s="119"/>
    </row>
    <row r="31" spans="2:9" s="99" customFormat="1" x14ac:dyDescent="0.3">
      <c r="B31" s="119"/>
      <c r="C31" s="119"/>
      <c r="D31" s="119" t="s">
        <v>51</v>
      </c>
      <c r="E31" s="124">
        <f>SQRT((F25*10^6)/(0.138*E9*E21*1000))</f>
        <v>180.70178163466551</v>
      </c>
      <c r="F31" s="130" t="s">
        <v>26</v>
      </c>
      <c r="G31" s="119"/>
      <c r="H31" s="119"/>
      <c r="I31" s="119"/>
    </row>
    <row r="32" spans="2:9" s="99" customFormat="1" x14ac:dyDescent="0.3">
      <c r="B32" s="119"/>
      <c r="C32" s="119"/>
      <c r="D32" s="119"/>
      <c r="E32" s="131"/>
      <c r="F32" s="130"/>
      <c r="G32" s="119"/>
      <c r="H32" s="119"/>
      <c r="I32" s="119"/>
    </row>
    <row r="33" spans="2:9" s="99" customFormat="1" x14ac:dyDescent="0.3">
      <c r="B33" s="119" t="s">
        <v>204</v>
      </c>
      <c r="C33" s="119"/>
      <c r="D33" s="119"/>
      <c r="E33" s="119"/>
      <c r="F33" s="119"/>
      <c r="G33" s="119"/>
      <c r="H33" s="119"/>
      <c r="I33" s="119"/>
    </row>
    <row r="34" spans="2:9" s="99" customFormat="1" x14ac:dyDescent="0.3">
      <c r="B34" s="119"/>
      <c r="C34" s="119"/>
      <c r="D34" s="119"/>
      <c r="E34" s="119"/>
      <c r="F34" s="119"/>
      <c r="G34" s="119"/>
      <c r="H34" s="119"/>
      <c r="I34" s="119"/>
    </row>
    <row r="35" spans="2:9" s="99" customFormat="1" x14ac:dyDescent="0.3">
      <c r="B35" s="119"/>
      <c r="C35" s="119"/>
      <c r="D35" s="119" t="s">
        <v>205</v>
      </c>
      <c r="E35" s="132">
        <v>375</v>
      </c>
      <c r="F35" s="119" t="s">
        <v>26</v>
      </c>
      <c r="G35" s="119"/>
      <c r="H35" s="119"/>
      <c r="I35" s="119"/>
    </row>
    <row r="36" spans="2:9" s="99" customFormat="1" x14ac:dyDescent="0.3">
      <c r="B36" s="119"/>
      <c r="C36" s="119"/>
      <c r="D36" s="119" t="s">
        <v>52</v>
      </c>
      <c r="E36" s="133">
        <f>E35+50</f>
        <v>425</v>
      </c>
      <c r="F36" s="119" t="s">
        <v>26</v>
      </c>
      <c r="G36" s="119"/>
      <c r="H36" s="119"/>
      <c r="I36" s="119"/>
    </row>
    <row r="37" spans="2:9" s="99" customFormat="1" x14ac:dyDescent="0.3">
      <c r="B37" s="134" t="s">
        <v>206</v>
      </c>
      <c r="C37" s="120"/>
      <c r="D37" s="120"/>
      <c r="E37" s="119"/>
      <c r="F37" s="119"/>
      <c r="G37" s="119"/>
      <c r="H37" s="119"/>
      <c r="I37" s="119"/>
    </row>
    <row r="38" spans="2:9" s="99" customFormat="1" x14ac:dyDescent="0.3">
      <c r="B38" s="119" t="s">
        <v>207</v>
      </c>
      <c r="C38" s="119"/>
      <c r="D38" s="119"/>
      <c r="E38" s="119"/>
      <c r="F38" s="119"/>
      <c r="G38" s="119"/>
      <c r="H38" s="119"/>
      <c r="I38" s="119"/>
    </row>
    <row r="39" spans="2:9" s="99" customFormat="1" x14ac:dyDescent="0.3">
      <c r="B39" s="119"/>
      <c r="C39" s="119"/>
      <c r="D39" s="119"/>
      <c r="E39" s="119"/>
      <c r="F39" s="119"/>
      <c r="G39" s="119"/>
      <c r="H39" s="119"/>
      <c r="I39" s="119"/>
    </row>
    <row r="40" spans="2:9" s="99" customFormat="1" x14ac:dyDescent="0.3">
      <c r="B40" s="119" t="s">
        <v>208</v>
      </c>
      <c r="C40" s="119"/>
      <c r="D40" s="124">
        <f>E24*(E21*((E21/2-E5/2)-E35/1000))</f>
        <v>277.25790559845558</v>
      </c>
      <c r="E40" s="119" t="s">
        <v>29</v>
      </c>
      <c r="F40" s="119"/>
      <c r="G40" s="119"/>
      <c r="H40" s="119"/>
      <c r="I40" s="119"/>
    </row>
    <row r="41" spans="2:9" s="99" customFormat="1" x14ac:dyDescent="0.3">
      <c r="B41" s="119" t="s">
        <v>209</v>
      </c>
      <c r="C41" s="119"/>
      <c r="D41" s="119"/>
      <c r="E41" s="119" t="s">
        <v>210</v>
      </c>
      <c r="F41" s="135">
        <f>D40*1000/(E22*1000*E35)</f>
        <v>0.28546502506919491</v>
      </c>
      <c r="G41" s="119" t="s">
        <v>187</v>
      </c>
      <c r="H41" s="119"/>
      <c r="I41" s="119"/>
    </row>
    <row r="42" spans="2:9" s="99" customFormat="1" x14ac:dyDescent="0.3">
      <c r="B42" s="119"/>
      <c r="C42" s="119"/>
      <c r="D42" s="119"/>
      <c r="E42" s="119"/>
      <c r="F42" s="119"/>
      <c r="G42" s="119"/>
      <c r="H42" s="119"/>
      <c r="I42" s="119"/>
    </row>
    <row r="43" spans="2:9" s="99" customFormat="1" x14ac:dyDescent="0.3">
      <c r="B43" s="119" t="s">
        <v>211</v>
      </c>
      <c r="C43" s="127"/>
      <c r="D43" s="127"/>
      <c r="E43" s="127"/>
      <c r="F43" s="127"/>
      <c r="G43" s="119" t="str">
        <f>+G9</f>
        <v>( M 20 )</v>
      </c>
      <c r="H43" s="119">
        <v>0.28000000000000003</v>
      </c>
      <c r="I43" s="119"/>
    </row>
    <row r="44" spans="2:9" s="99" customFormat="1" x14ac:dyDescent="0.3">
      <c r="B44" s="119" t="s">
        <v>212</v>
      </c>
      <c r="C44" s="136" t="s">
        <v>213</v>
      </c>
      <c r="D44" s="122">
        <v>0.29199999999999998</v>
      </c>
      <c r="E44" s="119" t="s">
        <v>214</v>
      </c>
      <c r="F44" s="119" t="s">
        <v>215</v>
      </c>
      <c r="G44" s="119"/>
      <c r="H44" s="127"/>
      <c r="I44" s="119"/>
    </row>
    <row r="45" spans="2:9" s="99" customFormat="1" x14ac:dyDescent="0.3">
      <c r="B45" s="119"/>
      <c r="C45" s="119"/>
      <c r="D45" s="119" t="s">
        <v>216</v>
      </c>
      <c r="E45" s="120" t="str">
        <f>IF(D44&gt;=F41,"OK"," Revised the Depth")</f>
        <v>OK</v>
      </c>
      <c r="F45" s="119"/>
      <c r="G45" s="119"/>
      <c r="H45" s="119"/>
      <c r="I45" s="119"/>
    </row>
    <row r="46" spans="2:9" s="99" customFormat="1" x14ac:dyDescent="0.3">
      <c r="B46" s="119"/>
      <c r="C46" s="119" t="s">
        <v>217</v>
      </c>
      <c r="D46" s="119"/>
      <c r="E46" s="119"/>
      <c r="F46" s="119"/>
      <c r="G46" s="119"/>
      <c r="H46" s="119"/>
      <c r="I46" s="119"/>
    </row>
    <row r="47" spans="2:9" s="99" customFormat="1" x14ac:dyDescent="0.3">
      <c r="B47" s="119"/>
      <c r="C47" s="119"/>
      <c r="D47" s="121"/>
      <c r="E47" s="119"/>
      <c r="F47" s="119"/>
      <c r="G47" s="119"/>
      <c r="H47" s="119"/>
      <c r="I47" s="119"/>
    </row>
    <row r="48" spans="2:9" s="99" customFormat="1" x14ac:dyDescent="0.3">
      <c r="B48" s="134" t="s">
        <v>218</v>
      </c>
      <c r="C48" s="120"/>
      <c r="D48" s="120"/>
      <c r="E48" s="119"/>
      <c r="F48" s="119"/>
      <c r="G48" s="119"/>
      <c r="H48" s="119"/>
      <c r="I48" s="119"/>
    </row>
    <row r="49" spans="2:9" s="99" customFormat="1" x14ac:dyDescent="0.3">
      <c r="B49" s="119" t="s">
        <v>219</v>
      </c>
      <c r="C49" s="119"/>
      <c r="D49" s="119"/>
      <c r="E49" s="119"/>
      <c r="F49" s="119"/>
      <c r="G49" s="119"/>
      <c r="H49" s="119"/>
      <c r="I49" s="119"/>
    </row>
    <row r="50" spans="2:9" s="99" customFormat="1" x14ac:dyDescent="0.3">
      <c r="B50" s="119"/>
      <c r="C50" s="119" t="s">
        <v>208</v>
      </c>
      <c r="D50" s="119"/>
      <c r="E50" s="135">
        <f>E24*(E23-(E5+E35/1000)*(E6+E35/1000))</f>
        <v>888.36260781778742</v>
      </c>
      <c r="F50" s="119" t="s">
        <v>29</v>
      </c>
      <c r="G50" s="119"/>
      <c r="H50" s="119"/>
      <c r="I50" s="119"/>
    </row>
    <row r="51" spans="2:9" s="99" customFormat="1" x14ac:dyDescent="0.3">
      <c r="B51" s="119" t="s">
        <v>220</v>
      </c>
      <c r="C51" s="119"/>
      <c r="D51" s="119"/>
      <c r="E51" s="137"/>
      <c r="F51" s="119"/>
      <c r="G51" s="119"/>
      <c r="H51" s="119"/>
      <c r="I51" s="119"/>
    </row>
    <row r="52" spans="2:9" s="99" customFormat="1" x14ac:dyDescent="0.3">
      <c r="B52" s="119"/>
      <c r="C52" s="119" t="s">
        <v>221</v>
      </c>
      <c r="D52" s="136" t="s">
        <v>222</v>
      </c>
      <c r="E52" s="137">
        <f>2*(E5*1000+E35+E6*1000+E35)</f>
        <v>2900</v>
      </c>
      <c r="F52" s="119" t="s">
        <v>26</v>
      </c>
      <c r="G52" s="119"/>
      <c r="H52" s="119"/>
      <c r="I52" s="119"/>
    </row>
    <row r="53" spans="2:9" s="99" customFormat="1" x14ac:dyDescent="0.3">
      <c r="B53" s="119"/>
      <c r="C53" s="119"/>
      <c r="D53" s="119"/>
      <c r="E53" s="119"/>
      <c r="F53" s="119"/>
      <c r="G53" s="119"/>
      <c r="H53" s="119"/>
      <c r="I53" s="119"/>
    </row>
    <row r="54" spans="2:9" s="99" customFormat="1" x14ac:dyDescent="0.3">
      <c r="B54" s="119" t="s">
        <v>223</v>
      </c>
      <c r="C54" s="119"/>
      <c r="D54" s="119"/>
      <c r="E54" s="124">
        <f>E50*1000/(E52*E35)</f>
        <v>0.81688515661405747</v>
      </c>
      <c r="F54" s="119" t="s">
        <v>187</v>
      </c>
      <c r="G54" s="119"/>
      <c r="H54" s="119"/>
      <c r="I54" s="119"/>
    </row>
    <row r="55" spans="2:9" s="99" customFormat="1" x14ac:dyDescent="0.3">
      <c r="B55" s="119" t="s">
        <v>224</v>
      </c>
      <c r="C55" s="119"/>
      <c r="D55" s="119"/>
      <c r="E55" s="119"/>
      <c r="F55" s="119"/>
      <c r="G55" s="119"/>
      <c r="H55" s="119"/>
      <c r="I55" s="119"/>
    </row>
    <row r="56" spans="2:9" s="99" customFormat="1" x14ac:dyDescent="0.3">
      <c r="B56" s="136" t="s">
        <v>213</v>
      </c>
      <c r="C56" s="124">
        <f>0.25*SQRT(E9)</f>
        <v>1.1180339887498949</v>
      </c>
      <c r="D56" s="119" t="s">
        <v>214</v>
      </c>
      <c r="E56" s="119"/>
      <c r="F56" s="119"/>
      <c r="G56" s="119"/>
      <c r="H56" s="119"/>
      <c r="I56" s="119"/>
    </row>
    <row r="57" spans="2:9" s="99" customFormat="1" x14ac:dyDescent="0.3">
      <c r="B57" s="136" t="s">
        <v>225</v>
      </c>
      <c r="C57" s="119" t="s">
        <v>226</v>
      </c>
      <c r="D57" s="119" t="s">
        <v>227</v>
      </c>
      <c r="E57" s="119"/>
      <c r="F57" s="119"/>
      <c r="G57" s="119"/>
      <c r="H57" s="119"/>
      <c r="I57" s="119"/>
    </row>
    <row r="58" spans="2:9" s="99" customFormat="1" x14ac:dyDescent="0.3">
      <c r="B58" s="119"/>
      <c r="C58" s="119"/>
      <c r="D58" s="119" t="s">
        <v>228</v>
      </c>
      <c r="E58" s="119"/>
      <c r="F58" s="119"/>
      <c r="G58" s="119"/>
      <c r="H58" s="119"/>
      <c r="I58" s="119"/>
    </row>
    <row r="59" spans="2:9" s="99" customFormat="1" x14ac:dyDescent="0.3">
      <c r="B59" s="119"/>
      <c r="C59" s="119"/>
      <c r="D59" s="119" t="s">
        <v>53</v>
      </c>
      <c r="E59" s="119">
        <f>E6/E5</f>
        <v>1</v>
      </c>
      <c r="F59" s="119"/>
      <c r="G59" s="119"/>
      <c r="H59" s="119"/>
      <c r="I59" s="119"/>
    </row>
    <row r="60" spans="2:9" s="99" customFormat="1" x14ac:dyDescent="0.3">
      <c r="B60" s="119"/>
      <c r="C60" s="119"/>
      <c r="D60" s="119" t="s">
        <v>229</v>
      </c>
      <c r="E60" s="119">
        <f>0.5+E59</f>
        <v>1.5</v>
      </c>
      <c r="F60" s="119" t="s">
        <v>230</v>
      </c>
      <c r="G60" s="119"/>
      <c r="H60" s="119"/>
      <c r="I60" s="119"/>
    </row>
    <row r="61" spans="2:9" s="99" customFormat="1" x14ac:dyDescent="0.3">
      <c r="B61" s="119"/>
      <c r="C61" s="119"/>
      <c r="D61" s="119" t="s">
        <v>231</v>
      </c>
      <c r="E61" s="119" t="str">
        <f>IF(E60&gt;1,"1",E60)</f>
        <v>1</v>
      </c>
      <c r="F61" s="119"/>
      <c r="G61" s="119"/>
      <c r="H61" s="119"/>
      <c r="I61" s="119"/>
    </row>
    <row r="62" spans="2:9" s="99" customFormat="1" x14ac:dyDescent="0.3">
      <c r="B62" s="119"/>
      <c r="C62" s="119"/>
      <c r="D62" s="119" t="s">
        <v>232</v>
      </c>
      <c r="E62" s="124">
        <f>E61*C56</f>
        <v>1.1180339887498949</v>
      </c>
      <c r="F62" s="119" t="s">
        <v>187</v>
      </c>
      <c r="G62" s="119"/>
      <c r="H62" s="119"/>
      <c r="I62" s="119"/>
    </row>
    <row r="63" spans="2:9" s="99" customFormat="1" x14ac:dyDescent="0.3">
      <c r="B63" s="119"/>
      <c r="C63" s="336" t="s">
        <v>216</v>
      </c>
      <c r="D63" s="336"/>
      <c r="E63" s="120" t="str">
        <f>IF(E62&gt;E54,"OK","Revised")</f>
        <v>OK</v>
      </c>
      <c r="F63" s="119" t="s">
        <v>233</v>
      </c>
      <c r="G63" s="119"/>
      <c r="H63" s="119"/>
      <c r="I63" s="119"/>
    </row>
    <row r="64" spans="2:9" s="99" customFormat="1" x14ac:dyDescent="0.3">
      <c r="B64" s="119"/>
      <c r="C64" s="119"/>
      <c r="D64" s="119"/>
      <c r="E64" s="119"/>
      <c r="F64" s="119"/>
      <c r="G64" s="119"/>
      <c r="H64" s="119"/>
      <c r="I64" s="119"/>
    </row>
    <row r="65" spans="2:20" s="99" customFormat="1" x14ac:dyDescent="0.3">
      <c r="B65" s="337" t="s">
        <v>234</v>
      </c>
      <c r="C65" s="337"/>
      <c r="D65" s="337"/>
      <c r="E65" s="337"/>
      <c r="F65" s="119"/>
      <c r="G65" s="119"/>
      <c r="H65" s="119"/>
      <c r="I65" s="119"/>
    </row>
    <row r="66" spans="2:20" s="99" customFormat="1" x14ac:dyDescent="0.3">
      <c r="B66" s="119" t="s">
        <v>235</v>
      </c>
      <c r="C66" s="119"/>
      <c r="D66" s="119"/>
      <c r="E66" s="119"/>
      <c r="F66" s="119"/>
      <c r="G66" s="119"/>
      <c r="H66" s="119"/>
      <c r="I66" s="119"/>
    </row>
    <row r="67" spans="2:20" s="99" customFormat="1" x14ac:dyDescent="0.3">
      <c r="B67" s="136" t="s">
        <v>236</v>
      </c>
      <c r="C67" s="119"/>
      <c r="D67" s="119"/>
      <c r="E67" s="119"/>
      <c r="F67" s="119"/>
      <c r="G67" s="119"/>
      <c r="H67" s="119"/>
      <c r="I67" s="119"/>
    </row>
    <row r="68" spans="2:20" s="99" customFormat="1" x14ac:dyDescent="0.3">
      <c r="B68" s="119"/>
      <c r="C68" s="119" t="s">
        <v>237</v>
      </c>
      <c r="D68" s="124">
        <f>((0.87*E8*E9*E22*1000*E35)-SQRT((0.87*E8*E9*E22*1000*E35)^2-4*(0.87*E8*E8)*(F25*10^6*E9*E22*1000)))/(2*0.87*E8*E8)</f>
        <v>1487.8971147294362</v>
      </c>
      <c r="E68" s="119" t="s">
        <v>238</v>
      </c>
      <c r="F68" s="119" t="s">
        <v>239</v>
      </c>
      <c r="G68" s="138" t="s">
        <v>240</v>
      </c>
      <c r="H68" s="119"/>
      <c r="I68" s="119"/>
    </row>
    <row r="69" spans="2:20" s="99" customFormat="1" x14ac:dyDescent="0.3">
      <c r="B69" s="119"/>
      <c r="C69" s="119" t="s">
        <v>241</v>
      </c>
      <c r="D69" s="124">
        <f>D68/E21</f>
        <v>574.47765047468579</v>
      </c>
      <c r="E69" s="119"/>
      <c r="F69" s="119"/>
      <c r="G69" s="119">
        <f>0.0012*1000*E35</f>
        <v>450</v>
      </c>
      <c r="H69" s="119" t="s">
        <v>242</v>
      </c>
      <c r="I69" s="119"/>
      <c r="L69" s="333"/>
      <c r="M69" s="333"/>
      <c r="N69" s="333"/>
      <c r="O69" s="333"/>
      <c r="P69" s="333"/>
      <c r="Q69" s="333"/>
      <c r="R69" s="333"/>
      <c r="S69" s="333"/>
      <c r="T69" s="333"/>
    </row>
    <row r="70" spans="2:20" s="99" customFormat="1" x14ac:dyDescent="0.3">
      <c r="B70" s="119"/>
      <c r="C70" s="336" t="s">
        <v>243</v>
      </c>
      <c r="D70" s="336"/>
      <c r="E70" s="124">
        <f>+IF(D69&gt;G69,D69,G69)</f>
        <v>574.47765047468579</v>
      </c>
      <c r="F70" s="119" t="str">
        <f>+H69</f>
        <v>mm²</v>
      </c>
      <c r="G70" s="119"/>
      <c r="H70" s="119"/>
      <c r="I70" s="119"/>
      <c r="L70" s="278"/>
      <c r="M70" s="278"/>
      <c r="N70" s="278"/>
      <c r="O70" s="278"/>
      <c r="P70" s="278"/>
      <c r="Q70" s="278"/>
      <c r="R70" s="278"/>
      <c r="S70" s="278"/>
      <c r="T70" s="278"/>
    </row>
    <row r="71" spans="2:20" s="99" customFormat="1" x14ac:dyDescent="0.3">
      <c r="B71" s="119"/>
      <c r="C71" s="119" t="s">
        <v>244</v>
      </c>
      <c r="D71" s="119"/>
      <c r="E71" s="126">
        <f>D69*100/(1000*E35)</f>
        <v>0.15319404012658289</v>
      </c>
      <c r="F71" s="119"/>
      <c r="G71" s="119"/>
      <c r="H71" s="119"/>
      <c r="I71" s="119"/>
      <c r="L71" s="279"/>
      <c r="M71" s="279"/>
      <c r="N71" s="279"/>
      <c r="O71" s="279"/>
      <c r="P71" s="279"/>
      <c r="Q71" s="279"/>
      <c r="R71" s="279"/>
      <c r="S71" s="279"/>
      <c r="T71" s="279"/>
    </row>
    <row r="72" spans="2:20" s="99" customFormat="1" x14ac:dyDescent="0.3">
      <c r="B72" s="119" t="s">
        <v>245</v>
      </c>
      <c r="C72" s="119"/>
      <c r="D72" s="122">
        <v>12</v>
      </c>
      <c r="E72" s="137" t="s">
        <v>246</v>
      </c>
      <c r="F72" s="124">
        <f>+(PI()/4*D72^2)*1000/E70</f>
        <v>196.86986157909055</v>
      </c>
      <c r="G72" s="119" t="s">
        <v>247</v>
      </c>
      <c r="H72" s="119"/>
      <c r="I72" s="119"/>
      <c r="L72" s="280"/>
      <c r="M72" s="280"/>
      <c r="N72" s="281"/>
      <c r="O72" s="280"/>
      <c r="P72" s="280"/>
      <c r="Q72" s="281"/>
      <c r="R72" s="281"/>
      <c r="S72" s="280"/>
      <c r="T72" s="280"/>
    </row>
    <row r="73" spans="2:20" s="99" customFormat="1" x14ac:dyDescent="0.3">
      <c r="B73" s="119"/>
      <c r="C73" s="119"/>
      <c r="D73" s="119"/>
      <c r="E73" s="119"/>
      <c r="F73" s="119"/>
      <c r="G73" s="119"/>
      <c r="H73" s="119"/>
      <c r="I73" s="119"/>
      <c r="L73" s="280"/>
      <c r="M73" s="280"/>
      <c r="N73" s="281"/>
      <c r="O73" s="280"/>
      <c r="P73" s="280"/>
      <c r="Q73" s="281"/>
      <c r="R73" s="281"/>
      <c r="S73" s="281"/>
      <c r="T73" s="281"/>
    </row>
    <row r="74" spans="2:20" s="99" customFormat="1" x14ac:dyDescent="0.3">
      <c r="B74" s="119" t="s">
        <v>248</v>
      </c>
      <c r="C74" s="119"/>
      <c r="D74" s="119">
        <f>+D72</f>
        <v>12</v>
      </c>
      <c r="E74" s="137" t="s">
        <v>246</v>
      </c>
      <c r="F74" s="139">
        <v>150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1"/>
      <c r="T74" s="281"/>
    </row>
    <row r="75" spans="2:20" s="99" customFormat="1" x14ac:dyDescent="0.3">
      <c r="B75" s="119"/>
      <c r="C75" s="334" t="s">
        <v>249</v>
      </c>
      <c r="D75" s="334"/>
      <c r="E75" s="124">
        <f>+PI()*D74^2/4*1000/F74</f>
        <v>753.9822368615504</v>
      </c>
      <c r="F75" s="119" t="s">
        <v>242</v>
      </c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0"/>
      <c r="T75" s="280"/>
    </row>
    <row r="76" spans="2:20" s="99" customFormat="1" x14ac:dyDescent="0.3">
      <c r="B76" s="119"/>
      <c r="C76" s="119"/>
      <c r="D76" s="119"/>
      <c r="E76" s="119"/>
      <c r="F76" s="137" t="str">
        <f>+IF(E75&gt;E70,"Hence Ok.","Incr. Ast.")</f>
        <v>Hence Ok.</v>
      </c>
      <c r="G76" s="137"/>
      <c r="H76" s="137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x14ac:dyDescent="0.3">
      <c r="L77" s="280"/>
      <c r="M77" s="280"/>
      <c r="N77" s="281"/>
      <c r="O77" s="280"/>
      <c r="P77" s="280"/>
      <c r="Q77" s="281"/>
      <c r="R77" s="281"/>
      <c r="S77" s="281"/>
      <c r="T77" s="281"/>
    </row>
    <row r="78" spans="2:20" x14ac:dyDescent="0.3">
      <c r="L78" s="280"/>
      <c r="M78" s="280"/>
      <c r="N78" s="281"/>
      <c r="O78" s="280"/>
      <c r="P78" s="280"/>
      <c r="Q78" s="281"/>
      <c r="R78" s="281"/>
      <c r="S78" s="280"/>
      <c r="T78" s="280"/>
    </row>
    <row r="79" spans="2:20" x14ac:dyDescent="0.3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3">
      <c r="L80" s="280"/>
      <c r="M80" s="280"/>
      <c r="N80" s="281"/>
      <c r="O80" s="280"/>
      <c r="P80" s="280"/>
      <c r="Q80" s="281"/>
      <c r="R80" s="281"/>
      <c r="S80" s="281"/>
      <c r="T80" s="281"/>
    </row>
    <row r="81" spans="12:20" x14ac:dyDescent="0.3">
      <c r="L81" s="280"/>
      <c r="M81" s="280"/>
      <c r="N81" s="281"/>
      <c r="O81" s="280"/>
      <c r="P81" s="280"/>
      <c r="Q81" s="281"/>
      <c r="R81" s="281"/>
      <c r="S81" s="280"/>
      <c r="T81" s="280"/>
    </row>
    <row r="82" spans="12:20" x14ac:dyDescent="0.3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3">
      <c r="L83" s="280"/>
      <c r="M83" s="280"/>
      <c r="N83" s="281"/>
      <c r="O83" s="280"/>
      <c r="P83" s="280"/>
      <c r="Q83" s="281"/>
      <c r="R83" s="281"/>
      <c r="S83" s="281"/>
      <c r="T83" s="281"/>
    </row>
  </sheetData>
  <mergeCells count="7">
    <mergeCell ref="L69:T69"/>
    <mergeCell ref="C75:D75"/>
    <mergeCell ref="B1:F1"/>
    <mergeCell ref="B26:D26"/>
    <mergeCell ref="C63:D63"/>
    <mergeCell ref="B65:E65"/>
    <mergeCell ref="C70:D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L85"/>
  <sheetViews>
    <sheetView workbookViewId="0">
      <selection activeCell="G16" sqref="G16"/>
    </sheetView>
  </sheetViews>
  <sheetFormatPr defaultRowHeight="15.6" x14ac:dyDescent="0.3"/>
  <cols>
    <col min="2" max="2" width="12.44140625" customWidth="1"/>
    <col min="3" max="4" width="9" bestFit="1" customWidth="1"/>
    <col min="5" max="5" width="10.6640625" bestFit="1" customWidth="1"/>
    <col min="6" max="8" width="9" bestFit="1" customWidth="1"/>
    <col min="13" max="13" width="7.5546875" customWidth="1"/>
    <col min="14" max="14" width="10" bestFit="1" customWidth="1"/>
    <col min="17" max="17" width="6.109375" bestFit="1" customWidth="1"/>
    <col min="18" max="18" width="4.44140625" style="32" bestFit="1" customWidth="1"/>
    <col min="19" max="16132" width="9.109375" style="32"/>
  </cols>
  <sheetData>
    <row r="1" spans="2:9" s="99" customFormat="1" ht="17.399999999999999" x14ac:dyDescent="0.3">
      <c r="B1" s="335" t="s">
        <v>178</v>
      </c>
      <c r="C1" s="335"/>
      <c r="D1" s="335"/>
      <c r="E1" s="335"/>
      <c r="F1" s="335"/>
      <c r="G1" s="119"/>
      <c r="H1" s="119"/>
      <c r="I1" s="119"/>
    </row>
    <row r="2" spans="2:9" s="99" customFormat="1" x14ac:dyDescent="0.3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3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3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3">
      <c r="B5" s="119"/>
      <c r="C5" s="119" t="s">
        <v>183</v>
      </c>
      <c r="D5" s="119"/>
      <c r="E5" s="122">
        <v>0.5</v>
      </c>
      <c r="F5" s="119" t="s">
        <v>31</v>
      </c>
      <c r="G5" s="119"/>
      <c r="H5" s="119"/>
      <c r="I5" s="121"/>
    </row>
    <row r="6" spans="2:9" s="99" customFormat="1" x14ac:dyDescent="0.3">
      <c r="B6" s="119"/>
      <c r="C6" s="119" t="s">
        <v>90</v>
      </c>
      <c r="D6" s="119"/>
      <c r="E6" s="122">
        <v>0.35</v>
      </c>
      <c r="F6" s="119" t="s">
        <v>31</v>
      </c>
      <c r="G6" s="119"/>
      <c r="H6" s="119"/>
      <c r="I6" s="121"/>
    </row>
    <row r="7" spans="2:9" s="99" customFormat="1" x14ac:dyDescent="0.3">
      <c r="B7" s="119" t="s">
        <v>184</v>
      </c>
      <c r="C7" s="119"/>
      <c r="D7" s="119"/>
      <c r="E7" s="122">
        <v>120</v>
      </c>
      <c r="F7" s="119" t="s">
        <v>185</v>
      </c>
      <c r="G7" s="119"/>
      <c r="H7" s="119"/>
      <c r="I7" s="121"/>
    </row>
    <row r="8" spans="2:9" s="99" customFormat="1" x14ac:dyDescent="0.3">
      <c r="B8" s="119" t="s">
        <v>186</v>
      </c>
      <c r="C8" s="119"/>
      <c r="D8" s="119"/>
      <c r="E8" s="122">
        <v>500</v>
      </c>
      <c r="F8" s="119" t="s">
        <v>187</v>
      </c>
      <c r="G8" s="119"/>
      <c r="H8" s="119"/>
      <c r="I8" s="121"/>
    </row>
    <row r="9" spans="2:9" s="99" customFormat="1" x14ac:dyDescent="0.3">
      <c r="B9" s="119" t="s">
        <v>188</v>
      </c>
      <c r="C9" s="119"/>
      <c r="D9" s="119"/>
      <c r="E9" s="122">
        <v>25</v>
      </c>
      <c r="F9" s="119" t="s">
        <v>187</v>
      </c>
      <c r="G9" s="119" t="str">
        <f>+IF(E9=20,"( M 20 )",IF(E9=25,"( M 25 )"," "))</f>
        <v>( M 25 )</v>
      </c>
      <c r="H9" s="119"/>
      <c r="I9" s="121"/>
    </row>
    <row r="10" spans="2:9" s="99" customFormat="1" x14ac:dyDescent="0.3">
      <c r="B10" s="119" t="s">
        <v>189</v>
      </c>
      <c r="C10" s="119"/>
      <c r="D10" s="119"/>
      <c r="E10" s="123">
        <f>'[1]joint reaction'!F7</f>
        <v>919.05309999999997</v>
      </c>
      <c r="F10" s="119"/>
      <c r="G10" s="119"/>
      <c r="H10" s="119"/>
      <c r="I10" s="121"/>
    </row>
    <row r="11" spans="2:9" s="99" customFormat="1" x14ac:dyDescent="0.3">
      <c r="B11" s="119" t="s">
        <v>49</v>
      </c>
      <c r="C11" s="119"/>
      <c r="D11" s="119"/>
      <c r="E11" s="124">
        <f>E10/1.5</f>
        <v>612.70206666666661</v>
      </c>
      <c r="F11" s="119" t="s">
        <v>29</v>
      </c>
      <c r="G11" s="119"/>
      <c r="H11" s="119"/>
      <c r="I11" s="121"/>
    </row>
    <row r="12" spans="2:9" s="99" customFormat="1" x14ac:dyDescent="0.3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3">
      <c r="B13" s="119" t="s">
        <v>190</v>
      </c>
      <c r="C13" s="119"/>
      <c r="D13" s="119"/>
      <c r="E13" s="124">
        <f>E11/E7</f>
        <v>5.1058505555555547</v>
      </c>
      <c r="F13" s="119" t="s">
        <v>191</v>
      </c>
      <c r="G13" s="119"/>
      <c r="H13" s="119"/>
      <c r="I13" s="121"/>
    </row>
    <row r="14" spans="2:9" s="99" customFormat="1" x14ac:dyDescent="0.3">
      <c r="B14" s="119" t="s">
        <v>192</v>
      </c>
      <c r="C14" s="119"/>
      <c r="D14" s="119"/>
      <c r="E14" s="124">
        <f>20*1.5*E13</f>
        <v>153.17551666666665</v>
      </c>
      <c r="F14" s="119"/>
      <c r="G14" s="119"/>
      <c r="H14" s="119"/>
      <c r="I14" s="121"/>
    </row>
    <row r="15" spans="2:9" s="99" customFormat="1" x14ac:dyDescent="0.3">
      <c r="B15" s="119" t="s">
        <v>49</v>
      </c>
      <c r="C15" s="119"/>
      <c r="D15" s="119"/>
      <c r="E15" s="124">
        <f>E11</f>
        <v>612.70206666666661</v>
      </c>
      <c r="F15" s="119" t="s">
        <v>29</v>
      </c>
      <c r="G15" s="119"/>
      <c r="H15" s="119"/>
      <c r="I15" s="119"/>
    </row>
    <row r="16" spans="2:9" s="99" customFormat="1" x14ac:dyDescent="0.3">
      <c r="B16" s="119" t="s">
        <v>193</v>
      </c>
      <c r="C16" s="119"/>
      <c r="D16" s="119"/>
      <c r="E16" s="125">
        <f>SUM(E14:E15)</f>
        <v>765.87758333333329</v>
      </c>
      <c r="F16" s="119" t="s">
        <v>29</v>
      </c>
      <c r="G16" s="119"/>
      <c r="H16" s="119"/>
      <c r="I16" s="119"/>
    </row>
    <row r="17" spans="1:9" s="99" customFormat="1" x14ac:dyDescent="0.3">
      <c r="B17" s="119" t="s">
        <v>194</v>
      </c>
      <c r="C17" s="119"/>
      <c r="D17" s="119"/>
      <c r="E17" s="124">
        <f>E16/E7</f>
        <v>6.3823131944444444</v>
      </c>
      <c r="F17" s="119" t="s">
        <v>191</v>
      </c>
      <c r="G17" s="119"/>
      <c r="H17" s="119"/>
      <c r="I17" s="119"/>
    </row>
    <row r="18" spans="1:9" s="99" customFormat="1" x14ac:dyDescent="0.3">
      <c r="B18" s="119" t="s">
        <v>195</v>
      </c>
      <c r="C18" s="119"/>
      <c r="D18" s="119"/>
      <c r="E18" s="126">
        <f>SQRT(E17)</f>
        <v>2.526324047790474</v>
      </c>
      <c r="F18" s="119"/>
      <c r="G18" s="119">
        <f>E18*3.28</f>
        <v>8.2863428767527552</v>
      </c>
      <c r="H18" s="119"/>
      <c r="I18" s="119"/>
    </row>
    <row r="19" spans="1:9" s="99" customFormat="1" x14ac:dyDescent="0.3">
      <c r="B19" s="119"/>
      <c r="C19" s="119"/>
      <c r="D19" s="119"/>
      <c r="E19" s="119"/>
      <c r="F19" s="119"/>
      <c r="G19" s="119"/>
      <c r="H19" s="119"/>
      <c r="I19" s="119"/>
    </row>
    <row r="20" spans="1:9" s="99" customFormat="1" x14ac:dyDescent="0.3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1:9" s="99" customFormat="1" x14ac:dyDescent="0.3">
      <c r="B21" s="119"/>
      <c r="C21" s="119" t="s">
        <v>197</v>
      </c>
      <c r="D21" s="127"/>
      <c r="E21" s="128">
        <v>2.59</v>
      </c>
      <c r="F21" s="119" t="s">
        <v>31</v>
      </c>
      <c r="G21" s="129">
        <f>E21*3.28</f>
        <v>8.4951999999999988</v>
      </c>
      <c r="H21" s="119"/>
      <c r="I21" s="119"/>
    </row>
    <row r="22" spans="1:9" s="99" customFormat="1" x14ac:dyDescent="0.3">
      <c r="B22" s="119"/>
      <c r="C22" s="119" t="s">
        <v>57</v>
      </c>
      <c r="D22" s="127"/>
      <c r="E22" s="128">
        <v>2.59</v>
      </c>
      <c r="F22" s="119" t="s">
        <v>31</v>
      </c>
      <c r="G22" s="129">
        <f>E22*3.28</f>
        <v>8.4951999999999988</v>
      </c>
      <c r="H22" s="119"/>
      <c r="I22" s="119"/>
    </row>
    <row r="23" spans="1:9" s="99" customFormat="1" x14ac:dyDescent="0.3">
      <c r="B23" s="119" t="s">
        <v>198</v>
      </c>
      <c r="C23" s="119"/>
      <c r="D23" s="119"/>
      <c r="E23" s="119">
        <f>E21*E22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1:9" s="99" customFormat="1" x14ac:dyDescent="0.3">
      <c r="B24" s="119" t="s">
        <v>199</v>
      </c>
      <c r="C24" s="119"/>
      <c r="D24" s="119"/>
      <c r="E24" s="124">
        <f>E10/E23</f>
        <v>137.00646979025359</v>
      </c>
      <c r="F24" s="119" t="s">
        <v>185</v>
      </c>
      <c r="G24" s="119"/>
      <c r="H24" s="119"/>
      <c r="I24" s="119"/>
    </row>
    <row r="25" spans="1:9" s="99" customFormat="1" x14ac:dyDescent="0.3">
      <c r="A25" s="99" t="s">
        <v>449</v>
      </c>
      <c r="B25" s="119" t="s">
        <v>450</v>
      </c>
      <c r="C25" s="119"/>
      <c r="D25" s="119"/>
      <c r="E25" s="119"/>
      <c r="F25" s="124">
        <f>E24*E22*((E21-E5)/2)*(E21-E5)/2*0.5</f>
        <v>193.75076477364865</v>
      </c>
      <c r="G25" s="119" t="s">
        <v>85</v>
      </c>
      <c r="H25" s="119"/>
      <c r="I25" s="119"/>
    </row>
    <row r="26" spans="1:9" s="99" customFormat="1" x14ac:dyDescent="0.3">
      <c r="A26" s="99" t="s">
        <v>451</v>
      </c>
      <c r="B26" s="119" t="s">
        <v>452</v>
      </c>
      <c r="C26" s="119"/>
      <c r="D26" s="119"/>
      <c r="E26" s="119"/>
      <c r="F26" s="124">
        <f>E24*E21*((E22-E6)/2)*(E22-E6)/2*0.5</f>
        <v>222.55988583783784</v>
      </c>
      <c r="G26" s="119" t="s">
        <v>85</v>
      </c>
      <c r="H26" s="119"/>
      <c r="I26" s="119"/>
    </row>
    <row r="27" spans="1:9" s="99" customFormat="1" x14ac:dyDescent="0.3">
      <c r="B27" s="119" t="s">
        <v>453</v>
      </c>
      <c r="C27" s="119"/>
      <c r="D27" s="119"/>
      <c r="E27" s="119"/>
      <c r="F27" s="119"/>
      <c r="G27" s="119"/>
      <c r="H27" s="119"/>
      <c r="I27" s="119"/>
    </row>
    <row r="28" spans="1:9" s="99" customFormat="1" x14ac:dyDescent="0.3">
      <c r="B28" s="119"/>
      <c r="C28" s="119"/>
      <c r="D28" s="119"/>
      <c r="E28" s="119"/>
      <c r="F28" s="119"/>
      <c r="G28" s="119"/>
      <c r="H28" s="119"/>
      <c r="I28" s="119"/>
    </row>
    <row r="29" spans="1:9" s="99" customFormat="1" x14ac:dyDescent="0.3">
      <c r="B29" s="119" t="s">
        <v>201</v>
      </c>
      <c r="C29" s="119"/>
      <c r="D29" s="119"/>
      <c r="E29" s="119"/>
      <c r="F29" s="119"/>
      <c r="G29" s="119"/>
      <c r="H29" s="119"/>
      <c r="I29" s="119"/>
    </row>
    <row r="30" spans="1:9" s="99" customFormat="1" x14ac:dyDescent="0.3">
      <c r="B30" s="119" t="s">
        <v>202</v>
      </c>
      <c r="C30" s="119"/>
      <c r="D30" s="119"/>
      <c r="E30" s="119" t="s">
        <v>203</v>
      </c>
      <c r="F30" s="119"/>
      <c r="G30" s="119"/>
      <c r="H30" s="119"/>
      <c r="I30" s="119"/>
    </row>
    <row r="31" spans="1:9" s="99" customFormat="1" x14ac:dyDescent="0.3">
      <c r="B31" s="119"/>
      <c r="C31" s="119"/>
      <c r="D31" s="119"/>
      <c r="E31" s="119"/>
      <c r="F31" s="119"/>
      <c r="G31" s="119"/>
      <c r="H31" s="119"/>
      <c r="I31" s="119"/>
    </row>
    <row r="32" spans="1:9" s="99" customFormat="1" x14ac:dyDescent="0.3">
      <c r="B32" s="119"/>
      <c r="C32" s="119"/>
      <c r="D32" s="119" t="s">
        <v>51</v>
      </c>
      <c r="E32" s="124">
        <f>SQRT((F25*10^6)/(0.138*E9*E22*1000))</f>
        <v>147.25236651856935</v>
      </c>
      <c r="F32" s="130" t="s">
        <v>26</v>
      </c>
      <c r="G32" s="119"/>
      <c r="H32" s="119"/>
      <c r="I32" s="119"/>
    </row>
    <row r="33" spans="2:14" s="99" customFormat="1" x14ac:dyDescent="0.3">
      <c r="B33" s="119"/>
      <c r="C33" s="119"/>
      <c r="D33" s="119"/>
      <c r="E33" s="131"/>
      <c r="F33" s="130"/>
      <c r="G33" s="119"/>
      <c r="H33" s="119"/>
      <c r="I33" s="119"/>
    </row>
    <row r="34" spans="2:14" s="99" customFormat="1" x14ac:dyDescent="0.3">
      <c r="B34" s="119" t="s">
        <v>204</v>
      </c>
      <c r="C34" s="119"/>
      <c r="D34" s="119"/>
      <c r="E34" s="119"/>
      <c r="F34" s="119"/>
      <c r="G34" s="119"/>
      <c r="H34" s="119"/>
      <c r="I34" s="119"/>
    </row>
    <row r="35" spans="2:14" s="99" customFormat="1" x14ac:dyDescent="0.3">
      <c r="B35" s="119"/>
      <c r="C35" s="119"/>
      <c r="D35" s="119"/>
      <c r="E35" s="119"/>
      <c r="F35" s="119"/>
      <c r="G35" s="119"/>
      <c r="H35" s="119"/>
      <c r="I35" s="119"/>
    </row>
    <row r="36" spans="2:14" s="99" customFormat="1" x14ac:dyDescent="0.3">
      <c r="B36" s="119"/>
      <c r="C36" s="119"/>
      <c r="D36" s="119" t="s">
        <v>205</v>
      </c>
      <c r="E36" s="132">
        <v>350</v>
      </c>
      <c r="F36" s="119" t="s">
        <v>26</v>
      </c>
      <c r="G36" s="119"/>
      <c r="H36" s="119"/>
      <c r="I36" s="119"/>
    </row>
    <row r="37" spans="2:14" s="99" customFormat="1" x14ac:dyDescent="0.3">
      <c r="B37" s="119"/>
      <c r="C37" s="119"/>
      <c r="D37" s="119" t="s">
        <v>52</v>
      </c>
      <c r="E37" s="133">
        <f>E36+50</f>
        <v>400</v>
      </c>
      <c r="F37" s="119" t="s">
        <v>26</v>
      </c>
      <c r="G37" s="119"/>
      <c r="H37" s="119"/>
      <c r="I37" s="119"/>
    </row>
    <row r="38" spans="2:14" s="99" customFormat="1" x14ac:dyDescent="0.3">
      <c r="B38" s="134" t="s">
        <v>206</v>
      </c>
      <c r="C38" s="120"/>
      <c r="D38" s="120"/>
      <c r="E38" s="119"/>
      <c r="F38" s="119"/>
      <c r="G38" s="119"/>
      <c r="H38" s="119"/>
      <c r="I38" s="119"/>
    </row>
    <row r="39" spans="2:14" s="99" customFormat="1" x14ac:dyDescent="0.3">
      <c r="B39" s="119" t="s">
        <v>207</v>
      </c>
      <c r="C39" s="119"/>
      <c r="D39" s="119"/>
      <c r="E39" s="119"/>
      <c r="F39" s="119"/>
      <c r="G39" s="119"/>
      <c r="H39" s="119"/>
      <c r="I39" s="119"/>
    </row>
    <row r="40" spans="2:14" s="99" customFormat="1" x14ac:dyDescent="0.3">
      <c r="B40" s="119"/>
      <c r="C40" s="119"/>
      <c r="D40" s="119"/>
      <c r="E40" s="119"/>
      <c r="F40" s="119"/>
      <c r="G40" s="119"/>
      <c r="H40" s="119"/>
      <c r="I40" s="119"/>
    </row>
    <row r="41" spans="2:14" s="99" customFormat="1" x14ac:dyDescent="0.3">
      <c r="B41" s="119" t="s">
        <v>454</v>
      </c>
      <c r="C41" s="119"/>
      <c r="D41" s="124">
        <f>E24*E22*((E21/2-E5/2)-E36/1000)</f>
        <v>246.61849594594597</v>
      </c>
      <c r="E41" s="119" t="s">
        <v>29</v>
      </c>
      <c r="F41" s="119"/>
      <c r="G41" s="119"/>
      <c r="H41" s="119"/>
      <c r="I41" s="119"/>
    </row>
    <row r="42" spans="2:14" s="99" customFormat="1" x14ac:dyDescent="0.3">
      <c r="B42" s="119" t="s">
        <v>455</v>
      </c>
      <c r="C42" s="119"/>
      <c r="D42" s="124">
        <f>E24*E21*((E22/2-E6/2)-E36/1000)</f>
        <v>273.23200270270269</v>
      </c>
      <c r="E42" s="119" t="s">
        <v>29</v>
      </c>
      <c r="F42" s="119"/>
      <c r="G42" s="119"/>
      <c r="H42" s="119"/>
      <c r="I42" s="119"/>
    </row>
    <row r="43" spans="2:14" s="99" customFormat="1" x14ac:dyDescent="0.3">
      <c r="B43" s="119" t="s">
        <v>209</v>
      </c>
      <c r="C43" s="119"/>
      <c r="D43" s="119"/>
      <c r="E43" s="119" t="s">
        <v>210</v>
      </c>
      <c r="F43" s="135">
        <f>D41*1000/(E22*1000*E36)</f>
        <v>0.27205570429778925</v>
      </c>
      <c r="G43" s="119" t="s">
        <v>187</v>
      </c>
      <c r="H43" s="119"/>
      <c r="I43" s="119"/>
    </row>
    <row r="44" spans="2:14" s="99" customFormat="1" x14ac:dyDescent="0.3">
      <c r="B44" s="119"/>
      <c r="C44" s="119"/>
      <c r="D44" s="119"/>
      <c r="E44" s="119"/>
      <c r="F44" s="119" t="s">
        <v>255</v>
      </c>
      <c r="G44" s="119"/>
      <c r="H44" s="119"/>
      <c r="I44" s="119"/>
      <c r="M44" s="99" t="s">
        <v>456</v>
      </c>
      <c r="N44" s="99" t="s">
        <v>457</v>
      </c>
    </row>
    <row r="45" spans="2:14" s="99" customFormat="1" x14ac:dyDescent="0.3">
      <c r="B45" s="119" t="s">
        <v>211</v>
      </c>
      <c r="C45" s="127"/>
      <c r="D45" s="127"/>
      <c r="E45" s="127"/>
      <c r="F45" s="127"/>
      <c r="G45" s="119" t="str">
        <f>+G9</f>
        <v>( M 25 )</v>
      </c>
      <c r="H45" s="119">
        <v>0.31</v>
      </c>
      <c r="I45" s="119"/>
      <c r="L45" s="99">
        <v>0.15</v>
      </c>
      <c r="M45" s="99">
        <v>0.28000000000000003</v>
      </c>
      <c r="N45" s="99">
        <v>0.28999999999999998</v>
      </c>
    </row>
    <row r="46" spans="2:14" s="99" customFormat="1" x14ac:dyDescent="0.3">
      <c r="B46" s="119" t="str">
        <f>"For "&amp;E73&amp;"%"</f>
        <v>For 0.144563975855198%</v>
      </c>
      <c r="C46" s="136" t="s">
        <v>213</v>
      </c>
      <c r="D46" s="122">
        <v>0.28999999999999998</v>
      </c>
      <c r="E46" s="119" t="s">
        <v>214</v>
      </c>
      <c r="F46" s="119" t="s">
        <v>215</v>
      </c>
      <c r="G46" s="119"/>
      <c r="H46" s="127"/>
      <c r="I46" s="119"/>
      <c r="L46" s="99">
        <v>0.25</v>
      </c>
      <c r="M46" s="99">
        <v>0.36</v>
      </c>
      <c r="N46" s="99">
        <v>0.36</v>
      </c>
    </row>
    <row r="47" spans="2:14" s="99" customFormat="1" x14ac:dyDescent="0.3">
      <c r="B47" s="119"/>
      <c r="C47" s="119"/>
      <c r="D47" s="119" t="s">
        <v>216</v>
      </c>
      <c r="E47" s="120" t="str">
        <f>IF(D46&gt;=F43,"OK"," Revised the Depth")</f>
        <v>OK</v>
      </c>
      <c r="F47" s="119"/>
      <c r="G47" s="119"/>
      <c r="H47" s="119"/>
      <c r="I47" s="119"/>
    </row>
    <row r="48" spans="2:14" s="99" customFormat="1" x14ac:dyDescent="0.3">
      <c r="B48" s="119"/>
      <c r="C48" s="119" t="s">
        <v>217</v>
      </c>
      <c r="D48" s="119"/>
      <c r="E48" s="119"/>
      <c r="F48" s="119"/>
      <c r="G48" s="119"/>
      <c r="H48" s="119"/>
      <c r="I48" s="119"/>
    </row>
    <row r="49" spans="2:9" s="99" customFormat="1" x14ac:dyDescent="0.3">
      <c r="B49" s="119"/>
      <c r="C49" s="119"/>
      <c r="D49" s="121"/>
      <c r="E49" s="119"/>
      <c r="F49" s="119"/>
      <c r="G49" s="119"/>
      <c r="H49" s="119"/>
      <c r="I49" s="119"/>
    </row>
    <row r="50" spans="2:9" s="99" customFormat="1" x14ac:dyDescent="0.3">
      <c r="B50" s="134" t="s">
        <v>218</v>
      </c>
      <c r="C50" s="120"/>
      <c r="D50" s="120"/>
      <c r="E50" s="119"/>
      <c r="F50" s="119"/>
      <c r="G50" s="119"/>
      <c r="H50" s="119"/>
      <c r="I50" s="119"/>
    </row>
    <row r="51" spans="2:9" s="99" customFormat="1" x14ac:dyDescent="0.3">
      <c r="B51" s="119" t="s">
        <v>219</v>
      </c>
      <c r="C51" s="119"/>
      <c r="D51" s="119"/>
      <c r="E51" s="119"/>
      <c r="F51" s="119"/>
      <c r="G51" s="119"/>
      <c r="H51" s="119"/>
      <c r="I51" s="119"/>
    </row>
    <row r="52" spans="2:9" s="99" customFormat="1" x14ac:dyDescent="0.3">
      <c r="B52" s="119"/>
      <c r="C52" s="119" t="s">
        <v>208</v>
      </c>
      <c r="D52" s="119"/>
      <c r="E52" s="135">
        <f>E24*(E23-(E5+E36/1000)*(E6+E36/1000))</f>
        <v>837.53425047479914</v>
      </c>
      <c r="F52" s="119" t="s">
        <v>29</v>
      </c>
      <c r="G52" s="119"/>
      <c r="H52" s="119"/>
      <c r="I52" s="119"/>
    </row>
    <row r="53" spans="2:9" s="99" customFormat="1" x14ac:dyDescent="0.3">
      <c r="B53" s="119" t="s">
        <v>220</v>
      </c>
      <c r="C53" s="119"/>
      <c r="D53" s="119"/>
      <c r="E53" s="137"/>
      <c r="F53" s="119"/>
      <c r="G53" s="119"/>
      <c r="H53" s="119"/>
      <c r="I53" s="119"/>
    </row>
    <row r="54" spans="2:9" s="99" customFormat="1" x14ac:dyDescent="0.3">
      <c r="B54" s="119"/>
      <c r="C54" s="119" t="s">
        <v>221</v>
      </c>
      <c r="D54" s="136" t="s">
        <v>222</v>
      </c>
      <c r="E54" s="137">
        <f>2*(E5*1000+E36+E6*1000+E36)</f>
        <v>3100</v>
      </c>
      <c r="F54" s="119" t="s">
        <v>26</v>
      </c>
      <c r="G54" s="119"/>
      <c r="H54" s="119"/>
      <c r="I54" s="119"/>
    </row>
    <row r="55" spans="2:9" s="99" customFormat="1" x14ac:dyDescent="0.3">
      <c r="B55" s="119"/>
      <c r="C55" s="119"/>
      <c r="D55" s="119"/>
      <c r="E55" s="119"/>
      <c r="F55" s="119"/>
      <c r="G55" s="119"/>
      <c r="H55" s="119"/>
      <c r="I55" s="119"/>
    </row>
    <row r="56" spans="2:9" s="99" customFormat="1" x14ac:dyDescent="0.3">
      <c r="B56" s="119" t="s">
        <v>223</v>
      </c>
      <c r="C56" s="119"/>
      <c r="D56" s="119"/>
      <c r="E56" s="124">
        <f>E52*1000/(E54*E36)</f>
        <v>0.77192096817953848</v>
      </c>
      <c r="F56" s="119" t="s">
        <v>187</v>
      </c>
      <c r="G56" s="119"/>
      <c r="H56" s="119"/>
      <c r="I56" s="119"/>
    </row>
    <row r="57" spans="2:9" s="99" customFormat="1" x14ac:dyDescent="0.3">
      <c r="B57" s="119" t="s">
        <v>224</v>
      </c>
      <c r="C57" s="119"/>
      <c r="D57" s="119"/>
      <c r="E57" s="119"/>
      <c r="F57" s="119"/>
      <c r="G57" s="119"/>
      <c r="H57" s="119"/>
      <c r="I57" s="119"/>
    </row>
    <row r="58" spans="2:9" s="99" customFormat="1" x14ac:dyDescent="0.3">
      <c r="B58" s="136" t="s">
        <v>213</v>
      </c>
      <c r="C58" s="124">
        <f>0.25*SQRT(E9)</f>
        <v>1.25</v>
      </c>
      <c r="D58" s="119" t="s">
        <v>214</v>
      </c>
      <c r="E58" s="119"/>
      <c r="F58" s="119"/>
      <c r="G58" s="119"/>
      <c r="H58" s="119"/>
      <c r="I58" s="119"/>
    </row>
    <row r="59" spans="2:9" s="99" customFormat="1" x14ac:dyDescent="0.3">
      <c r="B59" s="136" t="s">
        <v>225</v>
      </c>
      <c r="C59" s="119" t="s">
        <v>226</v>
      </c>
      <c r="D59" s="119" t="s">
        <v>227</v>
      </c>
      <c r="E59" s="119"/>
      <c r="F59" s="119"/>
      <c r="G59" s="119"/>
      <c r="H59" s="119"/>
      <c r="I59" s="119"/>
    </row>
    <row r="60" spans="2:9" s="99" customFormat="1" x14ac:dyDescent="0.3">
      <c r="B60" s="119"/>
      <c r="C60" s="119"/>
      <c r="D60" s="119" t="s">
        <v>228</v>
      </c>
      <c r="E60" s="119"/>
      <c r="F60" s="119"/>
      <c r="G60" s="119"/>
      <c r="H60" s="119"/>
      <c r="I60" s="119"/>
    </row>
    <row r="61" spans="2:9" s="99" customFormat="1" x14ac:dyDescent="0.3">
      <c r="B61" s="119"/>
      <c r="C61" s="119"/>
      <c r="D61" s="119" t="s">
        <v>53</v>
      </c>
      <c r="E61" s="119">
        <f>E6/E5</f>
        <v>0.7</v>
      </c>
      <c r="F61" s="119"/>
      <c r="G61" s="119"/>
      <c r="H61" s="119"/>
      <c r="I61" s="119"/>
    </row>
    <row r="62" spans="2:9" s="99" customFormat="1" x14ac:dyDescent="0.3">
      <c r="B62" s="119"/>
      <c r="C62" s="119"/>
      <c r="D62" s="119" t="s">
        <v>229</v>
      </c>
      <c r="E62" s="119">
        <f>0.5+E61</f>
        <v>1.2</v>
      </c>
      <c r="F62" s="119" t="s">
        <v>230</v>
      </c>
      <c r="G62" s="119"/>
      <c r="H62" s="119"/>
      <c r="I62" s="119"/>
    </row>
    <row r="63" spans="2:9" s="99" customFormat="1" x14ac:dyDescent="0.3">
      <c r="B63" s="119"/>
      <c r="C63" s="119"/>
      <c r="D63" s="119" t="s">
        <v>231</v>
      </c>
      <c r="E63" s="119" t="str">
        <f>IF(E62&gt;1,"1",E62)</f>
        <v>1</v>
      </c>
      <c r="F63" s="119"/>
      <c r="G63" s="119"/>
      <c r="H63" s="119"/>
      <c r="I63" s="119"/>
    </row>
    <row r="64" spans="2:9" s="99" customFormat="1" x14ac:dyDescent="0.3">
      <c r="B64" s="119"/>
      <c r="C64" s="119"/>
      <c r="D64" s="119" t="s">
        <v>232</v>
      </c>
      <c r="E64" s="124">
        <f>E63*C58</f>
        <v>1.25</v>
      </c>
      <c r="F64" s="119" t="s">
        <v>187</v>
      </c>
      <c r="G64" s="119"/>
      <c r="H64" s="119"/>
      <c r="I64" s="119"/>
    </row>
    <row r="65" spans="2:20" s="99" customFormat="1" x14ac:dyDescent="0.3">
      <c r="B65" s="119"/>
      <c r="C65" s="336" t="s">
        <v>216</v>
      </c>
      <c r="D65" s="336"/>
      <c r="E65" s="120" t="str">
        <f>IF(E64&gt;E56,"OK","Revised")</f>
        <v>OK</v>
      </c>
      <c r="F65" s="119" t="s">
        <v>233</v>
      </c>
      <c r="G65" s="119"/>
      <c r="H65" s="119"/>
      <c r="I65" s="119"/>
    </row>
    <row r="66" spans="2:20" s="99" customFormat="1" x14ac:dyDescent="0.3">
      <c r="B66" s="119"/>
      <c r="C66" s="119"/>
      <c r="D66" s="119"/>
      <c r="E66" s="119"/>
      <c r="F66" s="119"/>
      <c r="G66" s="119"/>
      <c r="H66" s="119"/>
      <c r="I66" s="119"/>
    </row>
    <row r="67" spans="2:20" s="99" customFormat="1" x14ac:dyDescent="0.3">
      <c r="B67" s="337" t="s">
        <v>234</v>
      </c>
      <c r="C67" s="337"/>
      <c r="D67" s="337"/>
      <c r="E67" s="337"/>
      <c r="F67" s="119"/>
      <c r="G67" s="119"/>
      <c r="H67" s="119"/>
      <c r="I67" s="119"/>
    </row>
    <row r="68" spans="2:20" s="99" customFormat="1" x14ac:dyDescent="0.3">
      <c r="B68" s="119" t="s">
        <v>235</v>
      </c>
      <c r="C68" s="119"/>
      <c r="D68" s="119"/>
      <c r="E68" s="119"/>
      <c r="F68" s="119"/>
      <c r="G68" s="119"/>
      <c r="H68" s="119"/>
      <c r="I68" s="119"/>
    </row>
    <row r="69" spans="2:20" s="99" customFormat="1" x14ac:dyDescent="0.3">
      <c r="B69" s="136" t="s">
        <v>236</v>
      </c>
      <c r="C69" s="119"/>
      <c r="D69" s="119"/>
      <c r="E69" s="119"/>
      <c r="F69" s="119"/>
      <c r="G69" s="119"/>
      <c r="H69" s="119"/>
      <c r="I69" s="119"/>
    </row>
    <row r="70" spans="2:20" s="99" customFormat="1" x14ac:dyDescent="0.3">
      <c r="B70" s="119"/>
      <c r="C70" s="119" t="s">
        <v>237</v>
      </c>
      <c r="D70" s="124">
        <f>((0.87*E8*E9*E22*1000*E36)-SQRT((0.87*E8*E9*E22*1000*E36)^2-4*(0.87*E8*E8)*(F25*10^6*E9*E22*1000)))/(2*0.87*E8*E8)</f>
        <v>1310.4724411273694</v>
      </c>
      <c r="E70" s="119" t="s">
        <v>238</v>
      </c>
      <c r="F70" s="119" t="s">
        <v>239</v>
      </c>
      <c r="G70" s="138" t="s">
        <v>240</v>
      </c>
      <c r="H70" s="119"/>
      <c r="I70" s="119"/>
    </row>
    <row r="71" spans="2:20" s="99" customFormat="1" x14ac:dyDescent="0.3">
      <c r="B71" s="119"/>
      <c r="C71" s="119" t="s">
        <v>241</v>
      </c>
      <c r="D71" s="124">
        <f>D70/E21</f>
        <v>505.97391549319286</v>
      </c>
      <c r="E71" s="119"/>
      <c r="F71" s="119"/>
      <c r="G71" s="119">
        <f>0.0012*1000*E36</f>
        <v>420</v>
      </c>
      <c r="H71" s="119" t="s">
        <v>242</v>
      </c>
      <c r="I71" s="119"/>
      <c r="L71" s="333"/>
      <c r="M71" s="333"/>
      <c r="N71" s="333"/>
      <c r="O71" s="333"/>
      <c r="P71" s="333"/>
      <c r="Q71" s="333"/>
      <c r="R71" s="333"/>
      <c r="S71" s="333"/>
      <c r="T71" s="333"/>
    </row>
    <row r="72" spans="2:20" s="99" customFormat="1" x14ac:dyDescent="0.3">
      <c r="B72" s="119"/>
      <c r="C72" s="336" t="s">
        <v>243</v>
      </c>
      <c r="D72" s="336"/>
      <c r="E72" s="124">
        <f>+IF(D71&gt;G71,D71,G71)</f>
        <v>505.97391549319286</v>
      </c>
      <c r="F72" s="119" t="str">
        <f>+H71</f>
        <v>mm²</v>
      </c>
      <c r="G72" s="119"/>
      <c r="H72" s="119"/>
      <c r="I72" s="119"/>
      <c r="L72" s="278"/>
      <c r="M72" s="278"/>
      <c r="N72" s="278"/>
      <c r="O72" s="278"/>
      <c r="P72" s="278"/>
      <c r="Q72" s="278"/>
      <c r="R72" s="278"/>
      <c r="S72" s="278"/>
      <c r="T72" s="278"/>
    </row>
    <row r="73" spans="2:20" s="99" customFormat="1" x14ac:dyDescent="0.3">
      <c r="B73" s="119"/>
      <c r="C73" s="119" t="s">
        <v>244</v>
      </c>
      <c r="D73" s="119"/>
      <c r="E73" s="126">
        <f>D71*100/(1000*E36)</f>
        <v>0.14456397585519795</v>
      </c>
      <c r="F73" s="119"/>
      <c r="G73" s="119"/>
      <c r="H73" s="119"/>
      <c r="I73" s="119"/>
      <c r="L73" s="279"/>
      <c r="M73" s="279"/>
      <c r="N73" s="279"/>
      <c r="O73" s="279"/>
      <c r="P73" s="279"/>
      <c r="Q73" s="279"/>
      <c r="R73" s="279"/>
      <c r="S73" s="279"/>
      <c r="T73" s="279"/>
    </row>
    <row r="74" spans="2:20" s="99" customFormat="1" x14ac:dyDescent="0.3">
      <c r="B74" s="119" t="s">
        <v>245</v>
      </c>
      <c r="C74" s="119"/>
      <c r="D74" s="122">
        <v>12</v>
      </c>
      <c r="E74" s="137" t="s">
        <v>246</v>
      </c>
      <c r="F74" s="124">
        <f>+(PI()/4*D74^2)*1000/E72</f>
        <v>223.52404356456222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0"/>
      <c r="T74" s="280"/>
    </row>
    <row r="75" spans="2:20" s="99" customFormat="1" x14ac:dyDescent="0.3">
      <c r="B75" s="119"/>
      <c r="C75" s="119"/>
      <c r="D75" s="119"/>
      <c r="E75" s="119"/>
      <c r="F75" s="119"/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1"/>
      <c r="T75" s="281"/>
    </row>
    <row r="76" spans="2:20" s="99" customFormat="1" x14ac:dyDescent="0.3">
      <c r="B76" s="119" t="s">
        <v>248</v>
      </c>
      <c r="C76" s="119"/>
      <c r="D76" s="119">
        <f>+D74</f>
        <v>12</v>
      </c>
      <c r="E76" s="137" t="s">
        <v>246</v>
      </c>
      <c r="F76" s="139">
        <v>150</v>
      </c>
      <c r="G76" s="119" t="s">
        <v>247</v>
      </c>
      <c r="H76" s="119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s="99" customFormat="1" x14ac:dyDescent="0.3">
      <c r="B77" s="119"/>
      <c r="C77" s="334" t="s">
        <v>249</v>
      </c>
      <c r="D77" s="334"/>
      <c r="E77" s="124">
        <f>+PI()*D76^2/4*1000/F76</f>
        <v>753.9822368615504</v>
      </c>
      <c r="F77" s="119" t="s">
        <v>242</v>
      </c>
      <c r="G77" s="119"/>
      <c r="H77" s="119"/>
      <c r="I77" s="119"/>
      <c r="L77" s="280"/>
      <c r="M77" s="280"/>
      <c r="N77" s="281"/>
      <c r="O77" s="280"/>
      <c r="P77" s="280"/>
      <c r="Q77" s="281"/>
      <c r="R77" s="281"/>
      <c r="S77" s="280"/>
      <c r="T77" s="280"/>
    </row>
    <row r="78" spans="2:20" s="99" customFormat="1" x14ac:dyDescent="0.3">
      <c r="B78" s="119"/>
      <c r="C78" s="119"/>
      <c r="D78" s="119"/>
      <c r="E78" s="119"/>
      <c r="F78" s="137" t="str">
        <f>+IF(E77&gt;E72,"Hence Ok.","Incr. Ast.")</f>
        <v>Hence Ok.</v>
      </c>
      <c r="G78" s="137"/>
      <c r="H78" s="137"/>
      <c r="I78" s="119"/>
      <c r="L78" s="280"/>
      <c r="M78" s="280"/>
      <c r="N78" s="281"/>
      <c r="O78" s="280"/>
      <c r="P78" s="280"/>
      <c r="Q78" s="281"/>
      <c r="R78" s="281"/>
      <c r="S78" s="281"/>
      <c r="T78" s="281"/>
    </row>
    <row r="79" spans="2:20" x14ac:dyDescent="0.3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3">
      <c r="L80" s="280"/>
      <c r="M80" s="280"/>
      <c r="N80" s="281"/>
      <c r="O80" s="280"/>
      <c r="P80" s="280"/>
      <c r="Q80" s="281"/>
      <c r="R80" s="281"/>
      <c r="S80" s="280"/>
      <c r="T80" s="280"/>
    </row>
    <row r="81" spans="12:20" x14ac:dyDescent="0.3">
      <c r="L81" s="280"/>
      <c r="M81" s="280"/>
      <c r="N81" s="281"/>
      <c r="O81" s="280"/>
      <c r="P81" s="280"/>
      <c r="Q81" s="281"/>
      <c r="R81" s="281"/>
      <c r="S81" s="281"/>
      <c r="T81" s="281"/>
    </row>
    <row r="82" spans="12:20" x14ac:dyDescent="0.3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3">
      <c r="L83" s="280"/>
      <c r="M83" s="280"/>
      <c r="N83" s="281"/>
      <c r="O83" s="280"/>
      <c r="P83" s="280"/>
      <c r="Q83" s="281"/>
      <c r="R83" s="281"/>
      <c r="S83" s="280"/>
      <c r="T83" s="280"/>
    </row>
    <row r="84" spans="12:20" x14ac:dyDescent="0.3">
      <c r="L84" s="280"/>
      <c r="M84" s="280"/>
      <c r="N84" s="281"/>
      <c r="O84" s="280"/>
      <c r="P84" s="280"/>
      <c r="Q84" s="281"/>
      <c r="R84" s="281"/>
      <c r="S84" s="281"/>
      <c r="T84" s="281"/>
    </row>
    <row r="85" spans="12:20" x14ac:dyDescent="0.3">
      <c r="L85" s="280"/>
      <c r="M85" s="280"/>
      <c r="N85" s="281"/>
      <c r="O85" s="280"/>
      <c r="P85" s="280"/>
      <c r="Q85" s="281"/>
      <c r="R85" s="281"/>
      <c r="S85" s="281"/>
      <c r="T85" s="281"/>
    </row>
  </sheetData>
  <mergeCells count="6">
    <mergeCell ref="C77:D77"/>
    <mergeCell ref="B1:F1"/>
    <mergeCell ref="C65:D65"/>
    <mergeCell ref="B67:E67"/>
    <mergeCell ref="L71:T71"/>
    <mergeCell ref="C72:D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Q26"/>
  <sheetViews>
    <sheetView topLeftCell="H1" zoomScale="85" zoomScaleNormal="85" workbookViewId="0">
      <selection activeCell="N7" sqref="N7:N18"/>
    </sheetView>
  </sheetViews>
  <sheetFormatPr defaultColWidth="9.109375" defaultRowHeight="13.8" x14ac:dyDescent="0.25"/>
  <cols>
    <col min="2" max="2" width="6.6640625" customWidth="1"/>
    <col min="3" max="3" width="5.6640625" bestFit="1" customWidth="1"/>
    <col min="4" max="4" width="13.44140625" bestFit="1" customWidth="1"/>
    <col min="5" max="5" width="11.88671875" bestFit="1" customWidth="1"/>
    <col min="10" max="10" width="11.88671875" bestFit="1" customWidth="1"/>
    <col min="11" max="11" width="17.5546875" bestFit="1" customWidth="1"/>
    <col min="12" max="12" width="17" bestFit="1" customWidth="1"/>
    <col min="15" max="15" width="9.5546875" bestFit="1" customWidth="1"/>
  </cols>
  <sheetData>
    <row r="4" spans="2:17" ht="14.4" x14ac:dyDescent="0.3">
      <c r="B4" s="287" t="s">
        <v>410</v>
      </c>
      <c r="C4" s="288"/>
      <c r="D4" s="288"/>
      <c r="E4" s="288"/>
      <c r="F4" s="288"/>
    </row>
    <row r="5" spans="2:17" ht="14.4" x14ac:dyDescent="0.3">
      <c r="B5" s="283" t="s">
        <v>138</v>
      </c>
      <c r="C5" s="283" t="s">
        <v>139</v>
      </c>
      <c r="D5" s="283" t="s">
        <v>140</v>
      </c>
      <c r="E5" s="283" t="s">
        <v>141</v>
      </c>
      <c r="F5" s="285" t="s">
        <v>142</v>
      </c>
      <c r="G5" s="289"/>
    </row>
    <row r="6" spans="2:17" ht="16.2" customHeight="1" x14ac:dyDescent="0.3">
      <c r="B6" s="284" t="s">
        <v>250</v>
      </c>
      <c r="C6" s="284" t="s">
        <v>250</v>
      </c>
      <c r="D6" s="284" t="s">
        <v>250</v>
      </c>
      <c r="E6" s="284" t="s">
        <v>250</v>
      </c>
      <c r="F6" s="286" t="s">
        <v>33</v>
      </c>
      <c r="G6" s="289"/>
      <c r="J6" s="95" t="s">
        <v>168</v>
      </c>
      <c r="K6" s="95" t="s">
        <v>169</v>
      </c>
      <c r="L6" s="290" t="s">
        <v>170</v>
      </c>
      <c r="M6" s="290" t="s">
        <v>171</v>
      </c>
      <c r="N6" s="290" t="s">
        <v>172</v>
      </c>
      <c r="O6" s="291" t="s">
        <v>173</v>
      </c>
      <c r="P6" s="291" t="s">
        <v>174</v>
      </c>
      <c r="Q6" s="32"/>
    </row>
    <row r="7" spans="2:17" ht="17.399999999999999" customHeight="1" x14ac:dyDescent="0.3">
      <c r="B7" s="94" t="s">
        <v>143</v>
      </c>
      <c r="C7" s="94">
        <v>1</v>
      </c>
      <c r="D7" s="94">
        <v>2</v>
      </c>
      <c r="E7" s="94" t="s">
        <v>470</v>
      </c>
      <c r="F7" s="94">
        <v>390.12849999999997</v>
      </c>
      <c r="G7" s="289" t="s">
        <v>412</v>
      </c>
      <c r="J7" s="289" t="str">
        <f t="shared" ref="J7:J16" si="0">G7</f>
        <v>A1</v>
      </c>
      <c r="K7" s="293">
        <f t="shared" ref="K7:K16" si="1">F7/1.5</f>
        <v>260.08566666666667</v>
      </c>
      <c r="L7" s="293" t="s">
        <v>471</v>
      </c>
      <c r="M7" s="341" t="s">
        <v>469</v>
      </c>
      <c r="N7" s="338" t="s">
        <v>468</v>
      </c>
      <c r="O7" s="294">
        <f>ROUNDUP(P7,1)</f>
        <v>5.5</v>
      </c>
      <c r="P7" s="294">
        <f>SQRT((K7+0.1*F7+2*18)/120)*3.28</f>
        <v>5.4811220579569486</v>
      </c>
      <c r="Q7" s="32">
        <f>O7*O7</f>
        <v>30.25</v>
      </c>
    </row>
    <row r="8" spans="2:17" ht="15.6" x14ac:dyDescent="0.3">
      <c r="B8" s="94" t="s">
        <v>143</v>
      </c>
      <c r="C8" s="94">
        <v>2</v>
      </c>
      <c r="D8" s="94">
        <v>4</v>
      </c>
      <c r="E8" s="94" t="s">
        <v>470</v>
      </c>
      <c r="F8" s="94">
        <v>920.36680000000001</v>
      </c>
      <c r="G8" s="289" t="s">
        <v>176</v>
      </c>
      <c r="H8">
        <f>F9+F7</f>
        <v>1032.1557</v>
      </c>
      <c r="J8" s="289" t="str">
        <f t="shared" si="0"/>
        <v>A2</v>
      </c>
      <c r="K8" s="293">
        <f t="shared" si="1"/>
        <v>613.57786666666664</v>
      </c>
      <c r="L8" s="293" t="s">
        <v>474</v>
      </c>
      <c r="M8" s="342"/>
      <c r="N8" s="339"/>
      <c r="O8" s="294">
        <f t="shared" ref="O8:O16" si="2">ROUNDUP(P8,1)</f>
        <v>8.1999999999999993</v>
      </c>
      <c r="P8" s="294">
        <f t="shared" ref="P8:P16" si="3">SQRT((K8+0.1*F8+2*18)/120)*3.28</f>
        <v>8.1540306693779101</v>
      </c>
      <c r="Q8" s="32">
        <f>O8*O8</f>
        <v>67.239999999999995</v>
      </c>
    </row>
    <row r="9" spans="2:17" ht="15.6" x14ac:dyDescent="0.3">
      <c r="B9" s="94" t="s">
        <v>143</v>
      </c>
      <c r="C9" s="94">
        <v>3</v>
      </c>
      <c r="D9" s="94">
        <v>6</v>
      </c>
      <c r="E9" s="94" t="s">
        <v>470</v>
      </c>
      <c r="F9" s="94">
        <v>642.02719999999999</v>
      </c>
      <c r="G9" s="289" t="s">
        <v>472</v>
      </c>
      <c r="J9" s="289" t="str">
        <f t="shared" si="0"/>
        <v>A3</v>
      </c>
      <c r="K9" s="293">
        <f t="shared" si="1"/>
        <v>428.01813333333331</v>
      </c>
      <c r="L9" s="293" t="s">
        <v>475</v>
      </c>
      <c r="M9" s="342"/>
      <c r="N9" s="339"/>
      <c r="O9" s="294">
        <f t="shared" si="2"/>
        <v>6.8999999999999995</v>
      </c>
      <c r="P9" s="294">
        <f t="shared" si="3"/>
        <v>6.8816248253963312</v>
      </c>
      <c r="Q9" s="32">
        <f t="shared" ref="Q9:Q16" si="4">O9*O9</f>
        <v>47.609999999999992</v>
      </c>
    </row>
    <row r="10" spans="2:17" ht="15.6" x14ac:dyDescent="0.3">
      <c r="B10" s="94" t="s">
        <v>143</v>
      </c>
      <c r="C10" s="94">
        <v>4</v>
      </c>
      <c r="D10" s="94">
        <v>8</v>
      </c>
      <c r="E10" s="94" t="s">
        <v>470</v>
      </c>
      <c r="F10" s="94">
        <v>481.79309999999998</v>
      </c>
      <c r="G10" s="289" t="s">
        <v>413</v>
      </c>
      <c r="J10" s="289" t="str">
        <f t="shared" si="0"/>
        <v>B3</v>
      </c>
      <c r="K10" s="293">
        <f t="shared" si="1"/>
        <v>321.19540000000001</v>
      </c>
      <c r="L10" s="293" t="s">
        <v>175</v>
      </c>
      <c r="M10" s="342"/>
      <c r="N10" s="339"/>
      <c r="O10" s="294">
        <f t="shared" si="2"/>
        <v>6.1</v>
      </c>
      <c r="P10" s="294">
        <f t="shared" si="3"/>
        <v>6.02853166206609</v>
      </c>
      <c r="Q10" s="32">
        <f t="shared" si="4"/>
        <v>37.209999999999994</v>
      </c>
    </row>
    <row r="11" spans="2:17" ht="15.6" x14ac:dyDescent="0.3">
      <c r="B11" s="94" t="s">
        <v>143</v>
      </c>
      <c r="C11" s="94">
        <v>5</v>
      </c>
      <c r="D11" s="94">
        <v>10</v>
      </c>
      <c r="E11" s="94" t="s">
        <v>470</v>
      </c>
      <c r="F11" s="94">
        <v>468.42790000000002</v>
      </c>
      <c r="G11" s="289" t="s">
        <v>473</v>
      </c>
      <c r="H11">
        <f>F11+F12</f>
        <v>1432.3178</v>
      </c>
      <c r="J11" s="289" t="str">
        <f t="shared" si="0"/>
        <v>B3'</v>
      </c>
      <c r="K11" s="293">
        <f t="shared" si="1"/>
        <v>312.2852666666667</v>
      </c>
      <c r="L11" s="293" t="s">
        <v>175</v>
      </c>
      <c r="M11" s="342"/>
      <c r="N11" s="339"/>
      <c r="O11" s="294">
        <f t="shared" si="2"/>
        <v>6</v>
      </c>
      <c r="P11" s="294">
        <f t="shared" si="3"/>
        <v>5.951852432116314</v>
      </c>
      <c r="Q11" s="32">
        <f t="shared" si="4"/>
        <v>36</v>
      </c>
    </row>
    <row r="12" spans="2:17" ht="15.6" x14ac:dyDescent="0.3">
      <c r="B12" s="94" t="s">
        <v>143</v>
      </c>
      <c r="C12" s="94">
        <v>6</v>
      </c>
      <c r="D12" s="94">
        <v>12</v>
      </c>
      <c r="E12" s="94" t="s">
        <v>470</v>
      </c>
      <c r="F12" s="94">
        <v>963.88990000000001</v>
      </c>
      <c r="G12" s="289" t="s">
        <v>35</v>
      </c>
      <c r="J12" s="289" t="str">
        <f t="shared" si="0"/>
        <v>B2</v>
      </c>
      <c r="K12" s="293">
        <f>F12/1.5</f>
        <v>642.59326666666664</v>
      </c>
      <c r="L12" s="293" t="s">
        <v>476</v>
      </c>
      <c r="M12" s="342"/>
      <c r="N12" s="339"/>
      <c r="O12" s="294">
        <f t="shared" si="2"/>
        <v>8.4</v>
      </c>
      <c r="P12" s="294">
        <f t="shared" si="3"/>
        <v>8.3354509526692997</v>
      </c>
      <c r="Q12" s="32">
        <f t="shared" si="4"/>
        <v>70.56</v>
      </c>
    </row>
    <row r="13" spans="2:17" ht="15.6" x14ac:dyDescent="0.3">
      <c r="B13" s="94" t="s">
        <v>143</v>
      </c>
      <c r="C13" s="94">
        <v>7</v>
      </c>
      <c r="D13" s="94">
        <v>14</v>
      </c>
      <c r="E13" s="94" t="s">
        <v>470</v>
      </c>
      <c r="F13" s="94">
        <v>637.80899999999997</v>
      </c>
      <c r="G13" s="289" t="s">
        <v>32</v>
      </c>
      <c r="J13" s="289" t="str">
        <f t="shared" si="0"/>
        <v>B1</v>
      </c>
      <c r="K13" s="293">
        <f t="shared" si="1"/>
        <v>425.20599999999996</v>
      </c>
      <c r="L13" s="293" t="s">
        <v>475</v>
      </c>
      <c r="M13" s="342"/>
      <c r="N13" s="339"/>
      <c r="O13" s="294">
        <f t="shared" si="2"/>
        <v>6.8999999999999995</v>
      </c>
      <c r="P13" s="294">
        <f t="shared" si="3"/>
        <v>6.8605266227406574</v>
      </c>
      <c r="Q13" s="32">
        <f t="shared" si="4"/>
        <v>47.609999999999992</v>
      </c>
    </row>
    <row r="14" spans="2:17" ht="15.6" x14ac:dyDescent="0.3">
      <c r="B14" s="94" t="s">
        <v>143</v>
      </c>
      <c r="C14" s="94">
        <v>8</v>
      </c>
      <c r="D14" s="94">
        <v>16</v>
      </c>
      <c r="E14" s="94" t="s">
        <v>470</v>
      </c>
      <c r="F14" s="94">
        <v>406.97430000000003</v>
      </c>
      <c r="G14" s="289" t="s">
        <v>411</v>
      </c>
      <c r="H14">
        <f>F14+F23</f>
        <v>406.97430000000003</v>
      </c>
      <c r="J14" s="289" t="str">
        <f t="shared" si="0"/>
        <v>C1</v>
      </c>
      <c r="K14" s="293">
        <f t="shared" si="1"/>
        <v>271.31620000000004</v>
      </c>
      <c r="L14" s="293" t="s">
        <v>471</v>
      </c>
      <c r="M14" s="342"/>
      <c r="N14" s="339"/>
      <c r="O14" s="294">
        <f t="shared" si="2"/>
        <v>5.6</v>
      </c>
      <c r="P14" s="294">
        <f t="shared" si="3"/>
        <v>5.5857481123779049</v>
      </c>
      <c r="Q14" s="32">
        <f t="shared" si="4"/>
        <v>31.359999999999996</v>
      </c>
    </row>
    <row r="15" spans="2:17" ht="15.6" x14ac:dyDescent="0.3">
      <c r="B15" s="94" t="s">
        <v>143</v>
      </c>
      <c r="C15" s="94">
        <v>9</v>
      </c>
      <c r="D15" s="94">
        <v>18</v>
      </c>
      <c r="E15" s="94" t="s">
        <v>470</v>
      </c>
      <c r="F15" s="94">
        <v>511.09</v>
      </c>
      <c r="G15" s="289" t="s">
        <v>415</v>
      </c>
      <c r="J15" s="289" t="str">
        <f t="shared" si="0"/>
        <v>C2</v>
      </c>
      <c r="K15" s="293">
        <f t="shared" si="1"/>
        <v>340.72666666666663</v>
      </c>
      <c r="L15" s="293" t="s">
        <v>175</v>
      </c>
      <c r="M15" s="342"/>
      <c r="N15" s="339"/>
      <c r="O15" s="294">
        <f t="shared" si="2"/>
        <v>6.1999999999999993</v>
      </c>
      <c r="P15" s="294">
        <f t="shared" si="3"/>
        <v>6.1932942474547055</v>
      </c>
      <c r="Q15" s="32">
        <f t="shared" si="4"/>
        <v>38.439999999999991</v>
      </c>
    </row>
    <row r="16" spans="2:17" ht="15.6" x14ac:dyDescent="0.3">
      <c r="B16" s="94" t="s">
        <v>143</v>
      </c>
      <c r="C16" s="94">
        <v>10</v>
      </c>
      <c r="D16" s="94">
        <v>20</v>
      </c>
      <c r="E16" s="94" t="s">
        <v>470</v>
      </c>
      <c r="F16" s="94">
        <v>409.01029999999997</v>
      </c>
      <c r="G16" s="289" t="s">
        <v>416</v>
      </c>
      <c r="J16" s="289" t="str">
        <f t="shared" si="0"/>
        <v>C3</v>
      </c>
      <c r="K16" s="293">
        <f t="shared" si="1"/>
        <v>272.6735333333333</v>
      </c>
      <c r="L16" s="293" t="s">
        <v>471</v>
      </c>
      <c r="M16" s="342"/>
      <c r="N16" s="339"/>
      <c r="O16" s="294">
        <f t="shared" si="2"/>
        <v>5.6</v>
      </c>
      <c r="P16" s="294">
        <f t="shared" si="3"/>
        <v>5.5982608773955658</v>
      </c>
      <c r="Q16" s="32">
        <f t="shared" si="4"/>
        <v>31.359999999999996</v>
      </c>
    </row>
    <row r="17" spans="2:17" ht="15.6" x14ac:dyDescent="0.3">
      <c r="B17" s="94"/>
      <c r="C17" s="94"/>
      <c r="D17" s="94"/>
      <c r="E17" s="94"/>
      <c r="F17" s="94"/>
      <c r="G17" s="289"/>
      <c r="J17" s="289"/>
      <c r="K17" s="293"/>
      <c r="L17" s="293"/>
      <c r="M17" s="342"/>
      <c r="N17" s="339"/>
      <c r="O17" s="294"/>
      <c r="P17" s="294"/>
      <c r="Q17" s="32"/>
    </row>
    <row r="18" spans="2:17" ht="15.6" x14ac:dyDescent="0.3">
      <c r="B18" s="94"/>
      <c r="C18" s="94"/>
      <c r="D18" s="94"/>
      <c r="E18" s="94"/>
      <c r="F18" s="94"/>
      <c r="G18" s="289"/>
      <c r="H18">
        <f>MAX(F7:F16)</f>
        <v>963.88990000000001</v>
      </c>
      <c r="J18" s="289"/>
      <c r="K18" s="293"/>
      <c r="L18" s="293"/>
      <c r="M18" s="343"/>
      <c r="N18" s="340"/>
      <c r="O18" s="294"/>
      <c r="P18" s="294"/>
      <c r="Q18" s="32"/>
    </row>
    <row r="19" spans="2:17" ht="15.6" x14ac:dyDescent="0.3">
      <c r="B19" s="94"/>
      <c r="C19" s="94"/>
      <c r="D19" s="94"/>
      <c r="E19" s="94"/>
      <c r="F19" s="94"/>
      <c r="G19" s="295"/>
      <c r="J19" s="289"/>
      <c r="K19" s="293"/>
      <c r="L19" s="293"/>
      <c r="M19" s="96"/>
      <c r="N19" s="96"/>
      <c r="O19" s="294"/>
      <c r="P19" s="294"/>
      <c r="Q19" s="32"/>
    </row>
    <row r="20" spans="2:17" ht="15.6" x14ac:dyDescent="0.3">
      <c r="B20" s="71"/>
      <c r="C20" s="71"/>
      <c r="D20" s="71"/>
      <c r="E20" s="292"/>
      <c r="F20" s="71"/>
      <c r="G20" s="295"/>
      <c r="J20" s="295"/>
      <c r="K20" s="293"/>
      <c r="L20" s="293"/>
      <c r="M20" s="96"/>
      <c r="N20" s="96"/>
      <c r="O20" s="294"/>
      <c r="P20" s="294"/>
      <c r="Q20" s="32"/>
    </row>
    <row r="21" spans="2:17" ht="15.6" x14ac:dyDescent="0.3">
      <c r="B21" s="71"/>
      <c r="C21" s="71"/>
      <c r="D21" s="71"/>
      <c r="E21" s="292"/>
      <c r="F21" s="71"/>
      <c r="G21" s="295"/>
      <c r="J21" s="296"/>
      <c r="K21" s="293"/>
      <c r="L21" s="296"/>
      <c r="M21" s="97"/>
      <c r="N21" s="97"/>
      <c r="O21" s="294"/>
      <c r="P21" s="294"/>
      <c r="Q21" s="32"/>
    </row>
    <row r="22" spans="2:17" ht="15.6" x14ac:dyDescent="0.3">
      <c r="B22" s="71"/>
      <c r="C22" s="71"/>
      <c r="D22" s="71"/>
      <c r="E22" s="292"/>
      <c r="F22" s="71"/>
      <c r="G22" s="295"/>
      <c r="J22" s="296"/>
      <c r="K22" s="293"/>
      <c r="L22" s="296"/>
      <c r="M22" s="98"/>
      <c r="N22" s="97"/>
      <c r="O22" s="294"/>
      <c r="P22" s="294"/>
      <c r="Q22" s="32"/>
    </row>
    <row r="23" spans="2:17" ht="15.6" x14ac:dyDescent="0.3">
      <c r="B23" s="71"/>
      <c r="C23" s="71"/>
      <c r="D23" s="71"/>
      <c r="E23" s="292"/>
      <c r="F23" s="71"/>
      <c r="G23" s="295"/>
      <c r="J23" s="296"/>
      <c r="K23" s="293"/>
      <c r="L23" s="293"/>
      <c r="M23" s="98"/>
      <c r="N23" s="96"/>
      <c r="O23" s="294"/>
      <c r="P23" s="294"/>
      <c r="Q23" s="32"/>
    </row>
    <row r="24" spans="2:17" ht="15.6" x14ac:dyDescent="0.3">
      <c r="B24" s="71"/>
      <c r="C24" s="71"/>
      <c r="D24" s="71"/>
      <c r="E24" s="292"/>
      <c r="F24" s="71"/>
      <c r="G24" s="295"/>
      <c r="J24" s="296"/>
      <c r="K24" s="293"/>
      <c r="L24" s="294"/>
      <c r="M24" s="98"/>
      <c r="N24" s="88"/>
      <c r="O24" s="294"/>
      <c r="P24" s="294"/>
      <c r="Q24" s="32"/>
    </row>
    <row r="25" spans="2:17" ht="15.6" x14ac:dyDescent="0.3">
      <c r="J25" s="294"/>
      <c r="K25" s="293"/>
      <c r="L25" s="294"/>
      <c r="M25" s="98"/>
      <c r="N25" s="88"/>
      <c r="O25" s="294"/>
      <c r="P25" s="294"/>
      <c r="Q25" s="32"/>
    </row>
    <row r="26" spans="2:17" ht="15.6" x14ac:dyDescent="0.3">
      <c r="J26" s="294"/>
      <c r="K26" s="293"/>
      <c r="L26" s="294"/>
      <c r="M26" s="97"/>
      <c r="N26" s="88"/>
      <c r="O26" s="294"/>
      <c r="P26" s="294"/>
      <c r="Q26" s="32"/>
    </row>
  </sheetData>
  <mergeCells count="2">
    <mergeCell ref="N7:N18"/>
    <mergeCell ref="M7:M18"/>
  </mergeCells>
  <phoneticPr fontId="1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86"/>
  <sheetViews>
    <sheetView workbookViewId="0">
      <selection activeCell="O37" sqref="O37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4.4" thickBot="1" x14ac:dyDescent="0.3"/>
    <row r="5" spans="1:16" x14ac:dyDescent="0.25">
      <c r="A5" s="37"/>
      <c r="C5" s="320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20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20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21">
        <f>+J24*1000</f>
        <v>1830</v>
      </c>
      <c r="B8" s="114"/>
      <c r="C8" s="320">
        <f>+E14</f>
        <v>350</v>
      </c>
      <c r="D8" s="38"/>
      <c r="E8" s="322" t="s">
        <v>50</v>
      </c>
      <c r="F8" s="39"/>
      <c r="G8" s="40"/>
      <c r="H8" s="40"/>
      <c r="I8" s="40"/>
      <c r="J8" s="40"/>
      <c r="K8" s="41"/>
      <c r="L8" s="322" t="s">
        <v>34</v>
      </c>
      <c r="M8" s="47"/>
      <c r="N8" s="42"/>
    </row>
    <row r="9" spans="1:16" ht="18" customHeight="1" thickBot="1" x14ac:dyDescent="0.3">
      <c r="A9" s="321"/>
      <c r="B9" s="114"/>
      <c r="C9" s="320"/>
      <c r="D9" s="38"/>
      <c r="E9" s="323"/>
      <c r="F9" s="44"/>
      <c r="G9" s="45"/>
      <c r="H9" s="45"/>
      <c r="I9" s="45"/>
      <c r="J9" s="45"/>
      <c r="K9" s="46"/>
      <c r="L9" s="323"/>
      <c r="M9" s="48"/>
      <c r="N9" s="42"/>
    </row>
    <row r="10" spans="1:16" ht="21.6" x14ac:dyDescent="0.25">
      <c r="A10" s="49" t="s">
        <v>57</v>
      </c>
      <c r="C10" s="320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20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20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reaction'!K15</f>
        <v>340.72666666666663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reaction'!K12</f>
        <v>642.59326666666664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9.0137660555555552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9.0137660555555552</v>
      </c>
    </row>
    <row r="23" spans="5:19" x14ac:dyDescent="0.25">
      <c r="H23" s="33" t="s">
        <v>64</v>
      </c>
      <c r="I23" s="33" t="s">
        <v>39</v>
      </c>
      <c r="J23" s="57">
        <f>J18*I3/(J18+J19)/1000</f>
        <v>1.3995394174524005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24" t="s">
        <v>255</v>
      </c>
      <c r="F25" s="324"/>
      <c r="G25" s="324"/>
      <c r="H25" s="324"/>
      <c r="I25" s="324"/>
      <c r="J25" s="324"/>
      <c r="K25" s="324"/>
      <c r="L25" s="324"/>
      <c r="M25" s="324"/>
    </row>
    <row r="26" spans="5:19" x14ac:dyDescent="0.25">
      <c r="E26" s="319" t="str">
        <f>"A1("&amp;I3/1000&amp;"+"&amp;E14/2/1000&amp;"-L1/2) = (A1+A2)X"</f>
        <v>A1(4.039+0.175-L1/2) = (A1+A2)X</v>
      </c>
      <c r="F26" s="319"/>
      <c r="G26" s="319"/>
      <c r="H26" s="319"/>
      <c r="I26" s="319"/>
      <c r="J26" s="319"/>
      <c r="K26" s="319"/>
      <c r="L26" s="319"/>
      <c r="M26" s="319"/>
    </row>
    <row r="27" spans="5:19" x14ac:dyDescent="0.25">
      <c r="E27" s="319" t="str">
        <f>"BL1("&amp;I3/1000+E14/2/1000&amp;"-L1/2) = (BL1+BL2)X"</f>
        <v>BL1(4.214-L1/2) = (BL1+BL2)X</v>
      </c>
      <c r="F27" s="319"/>
      <c r="G27" s="319"/>
      <c r="H27" s="319"/>
      <c r="I27" s="319"/>
      <c r="J27" s="319"/>
      <c r="K27" s="319"/>
      <c r="L27" s="319"/>
      <c r="M27" s="319"/>
    </row>
    <row r="28" spans="5:19" x14ac:dyDescent="0.25">
      <c r="E28" s="319" t="str">
        <f>"X="&amp;"BL1("&amp;I3/1000+E14/2/1000&amp;"-L1/2) / (BL1+BL2)"</f>
        <v>X=BL1(4.214-L1/2) / (BL1+BL2)</v>
      </c>
      <c r="F28" s="319"/>
      <c r="G28" s="319"/>
      <c r="H28" s="319"/>
      <c r="I28" s="319"/>
      <c r="J28" s="319"/>
      <c r="K28" s="319"/>
      <c r="L28" s="319"/>
      <c r="M28" s="319"/>
    </row>
    <row r="29" spans="5:19" x14ac:dyDescent="0.25">
      <c r="E29" s="319" t="str">
        <f>"X="&amp;"BL1("&amp;I3/1000+E14/2/1000&amp;"-L1/2) / A"</f>
        <v>X=BL1(4.214-L1/2) / A</v>
      </c>
      <c r="F29" s="319"/>
      <c r="G29" s="319"/>
      <c r="H29" s="319"/>
      <c r="I29" s="319"/>
      <c r="J29" s="319"/>
      <c r="K29" s="319"/>
      <c r="L29" s="319"/>
      <c r="M29" s="319"/>
    </row>
    <row r="30" spans="5:19" x14ac:dyDescent="0.25">
      <c r="E30" s="319" t="str">
        <f>"2*A*X/B="&amp;2*(I3/1000+E14/2/1000)&amp;"*L1-L1^2"</f>
        <v>2*A*X/B=8.428*L1-L1^2</v>
      </c>
      <c r="F30" s="319"/>
      <c r="G30" s="319"/>
      <c r="H30" s="319"/>
      <c r="I30" s="319"/>
      <c r="J30" s="319"/>
      <c r="K30" s="319"/>
      <c r="L30" s="319"/>
      <c r="M30" s="319"/>
    </row>
    <row r="31" spans="5:19" x14ac:dyDescent="0.25">
      <c r="E31" s="319" t="str">
        <f>"L1^2"&amp;"-"&amp;2*(I3/1000+E14/2/1000)&amp;"*L1+2*A*X/B = 0"</f>
        <v>L1^2-8.428*L1+2*A*X/B = 0</v>
      </c>
      <c r="F31" s="319"/>
      <c r="G31" s="319"/>
      <c r="H31" s="319"/>
      <c r="I31" s="319"/>
      <c r="J31" s="319"/>
      <c r="K31" s="319"/>
      <c r="L31" s="319"/>
      <c r="M31" s="319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13.787017370977534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2.2213187337101639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2.7042364879048932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220.218564304697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16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542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110.34139251912565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147.80500632152177</v>
      </c>
      <c r="J55" t="s">
        <v>26</v>
      </c>
    </row>
    <row r="56" spans="5:13" x14ac:dyDescent="0.25">
      <c r="E56" s="319" t="s">
        <v>87</v>
      </c>
      <c r="F56" s="319"/>
      <c r="G56" s="319"/>
      <c r="H56" s="319"/>
      <c r="I56" s="319"/>
      <c r="J56" s="319"/>
      <c r="K56" s="319"/>
      <c r="L56" s="319"/>
      <c r="M56" s="319"/>
    </row>
    <row r="57" spans="5:13" ht="16.2" x14ac:dyDescent="0.3">
      <c r="E57" s="34"/>
      <c r="F57" s="33" t="s">
        <v>88</v>
      </c>
      <c r="G57" s="326" t="s">
        <v>89</v>
      </c>
      <c r="H57" s="326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25" t="s">
        <v>91</v>
      </c>
      <c r="H58" s="326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25" t="s">
        <v>93</v>
      </c>
      <c r="H59" s="326"/>
      <c r="I59" s="33">
        <f>+I54*1000000</f>
        <v>110341392.51912566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900.46008071276185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900.46008071276185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229.84708423128467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110.34139251912565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147.80500632152177</v>
      </c>
      <c r="J68" t="s">
        <v>26</v>
      </c>
    </row>
    <row r="69" spans="5:13" x14ac:dyDescent="0.25">
      <c r="E69" s="319" t="s">
        <v>87</v>
      </c>
      <c r="F69" s="319"/>
      <c r="G69" s="319"/>
      <c r="H69" s="319"/>
      <c r="I69" s="319"/>
      <c r="J69" s="319"/>
      <c r="K69" s="319"/>
      <c r="L69" s="319"/>
      <c r="M69" s="319"/>
    </row>
    <row r="70" spans="5:13" ht="16.2" x14ac:dyDescent="0.3">
      <c r="E70" s="34"/>
      <c r="F70" s="33" t="s">
        <v>88</v>
      </c>
      <c r="G70" s="326" t="s">
        <v>89</v>
      </c>
      <c r="H70" s="326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25" t="s">
        <v>91</v>
      </c>
      <c r="H71" s="326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25" t="s">
        <v>93</v>
      </c>
      <c r="H72" s="326"/>
      <c r="I72" s="33">
        <f>+I67*1000000</f>
        <v>110341392.51912566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900.46008071276185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900.46008071276185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229.84708423128467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179.7379878142076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0.33407306013569682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179.7379878142076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0.33407306013569682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511.08999999999992</v>
      </c>
      <c r="G92" s="35"/>
      <c r="K92" s="33"/>
      <c r="L92" s="34">
        <f>+J19*1.5</f>
        <v>963.8898999999999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402.99997267759551</v>
      </c>
      <c r="G105" t="s">
        <v>10</v>
      </c>
      <c r="L105">
        <f>+F105</f>
        <v>402.99997267759551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595.14492500000006</v>
      </c>
    </row>
    <row r="113" spans="5:13" x14ac:dyDescent="0.25">
      <c r="E113" s="84">
        <f>F105*E107</f>
        <v>70.524995218579207</v>
      </c>
      <c r="H113" s="35">
        <f>F105*(E107+F107)-E92</f>
        <v>226.39994999999988</v>
      </c>
      <c r="J113">
        <f>L92-L105*(K107+M107)</f>
        <v>226.3999500000001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1.0932134854854634</v>
      </c>
    </row>
    <row r="118" spans="5:13" ht="14.4" x14ac:dyDescent="0.3">
      <c r="I118" s="86" t="s">
        <v>108</v>
      </c>
      <c r="L118" s="34">
        <f>L105*M107</f>
        <v>368.7449749999999</v>
      </c>
    </row>
    <row r="119" spans="5:13" x14ac:dyDescent="0.25">
      <c r="E119" s="84">
        <f>+E92-E113</f>
        <v>440.56500478142073</v>
      </c>
    </row>
    <row r="121" spans="5:13" x14ac:dyDescent="0.25">
      <c r="G121" s="84">
        <f>+E92*F117-F105*(E107+F117)^2/2</f>
        <v>234.64486514838262</v>
      </c>
    </row>
    <row r="122" spans="5:13" x14ac:dyDescent="0.25">
      <c r="H122" s="35">
        <f>E92*F107-F105*(E107+F107)^2/2</f>
        <v>171.05064574999994</v>
      </c>
    </row>
    <row r="124" spans="5:13" x14ac:dyDescent="0.25">
      <c r="J124">
        <f>+L92*K107-L105*(K107+M107)^2/2</f>
        <v>207.15595425000004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6.1709370816256808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168.70082606249997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171.05064574999994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400.95122534216478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542</v>
      </c>
      <c r="J136" t="s">
        <v>26</v>
      </c>
      <c r="K136" t="str">
        <f>IF(I136&gt;I135,"ok")</f>
        <v>ok</v>
      </c>
    </row>
    <row r="137" spans="5:13" x14ac:dyDescent="0.25">
      <c r="E137" s="319" t="s">
        <v>87</v>
      </c>
      <c r="F137" s="319"/>
      <c r="G137" s="319"/>
      <c r="H137" s="319"/>
      <c r="I137" s="319"/>
      <c r="J137" s="319"/>
      <c r="K137" s="319"/>
      <c r="L137" s="319"/>
      <c r="M137" s="319"/>
    </row>
    <row r="138" spans="5:13" ht="16.2" x14ac:dyDescent="0.3">
      <c r="E138" s="34"/>
      <c r="F138" s="33" t="s">
        <v>88</v>
      </c>
      <c r="G138" s="326" t="s">
        <v>89</v>
      </c>
      <c r="H138" s="326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25" t="s">
        <v>91</v>
      </c>
      <c r="H139" s="326"/>
      <c r="I139" s="61">
        <f>-0.87*I46*I136</f>
        <v>-235770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25" t="s">
        <v>93</v>
      </c>
      <c r="H140" s="326"/>
      <c r="I140" s="33">
        <f>+I134*1000000</f>
        <v>171050645.74999994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799.14009389652244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799.14009389652244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3.9745967552047792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168.70082606249997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390.90755845789272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542</v>
      </c>
      <c r="J150" t="s">
        <v>26</v>
      </c>
      <c r="K150" t="str">
        <f>IF(I150&gt;I52,"ok")</f>
        <v>ok</v>
      </c>
    </row>
    <row r="151" spans="5:13" x14ac:dyDescent="0.25">
      <c r="E151" s="319" t="s">
        <v>87</v>
      </c>
      <c r="F151" s="319"/>
      <c r="G151" s="319"/>
      <c r="H151" s="319"/>
      <c r="I151" s="319"/>
      <c r="J151" s="319"/>
      <c r="K151" s="319"/>
      <c r="L151" s="319"/>
      <c r="M151" s="319"/>
    </row>
    <row r="152" spans="5:13" ht="16.2" x14ac:dyDescent="0.3">
      <c r="E152" s="34"/>
      <c r="F152" s="33" t="s">
        <v>88</v>
      </c>
      <c r="G152" s="326" t="s">
        <v>89</v>
      </c>
      <c r="H152" s="326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25" t="s">
        <v>91</v>
      </c>
      <c r="H153" s="326"/>
      <c r="I153" s="61">
        <f>-0.87*I46*I150</f>
        <v>-235770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25" t="s">
        <v>93</v>
      </c>
      <c r="H154" s="326"/>
      <c r="I154" s="33">
        <f>+I148*1000000</f>
        <v>168700826.06249997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786.94263996373456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786.94263996373456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3.9139315962504395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306.19394459016394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151.61402437158472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1.4123336927590588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0.46370371270698052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0.49128889104967544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199.68251301059431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118.69935549500102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b">
        <f>IF(I171&lt;I170,"ok")</f>
        <v>0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TMT-16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TMT-16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9DE5-2EFE-4E08-8840-7CB39DD18DD6}">
  <dimension ref="A2:S186"/>
  <sheetViews>
    <sheetView topLeftCell="A169" workbookViewId="0">
      <selection activeCell="L143" sqref="L143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4.4" thickBot="1" x14ac:dyDescent="0.3"/>
    <row r="5" spans="1:16" x14ac:dyDescent="0.25">
      <c r="A5" s="37"/>
      <c r="C5" s="320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20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20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21">
        <f>+J24*1000</f>
        <v>1830</v>
      </c>
      <c r="B8" s="114"/>
      <c r="C8" s="320">
        <f>+E14</f>
        <v>350</v>
      </c>
      <c r="D8" s="38"/>
      <c r="E8" s="322" t="s">
        <v>50</v>
      </c>
      <c r="F8" s="39"/>
      <c r="G8" s="40"/>
      <c r="H8" s="40"/>
      <c r="I8" s="40"/>
      <c r="J8" s="40"/>
      <c r="K8" s="41"/>
      <c r="L8" s="322" t="s">
        <v>34</v>
      </c>
      <c r="M8" s="47"/>
      <c r="N8" s="42"/>
    </row>
    <row r="9" spans="1:16" ht="18" customHeight="1" thickBot="1" x14ac:dyDescent="0.3">
      <c r="A9" s="321"/>
      <c r="B9" s="114"/>
      <c r="C9" s="320"/>
      <c r="D9" s="38"/>
      <c r="E9" s="323"/>
      <c r="F9" s="44"/>
      <c r="G9" s="45"/>
      <c r="H9" s="45"/>
      <c r="I9" s="45"/>
      <c r="J9" s="45"/>
      <c r="K9" s="46"/>
      <c r="L9" s="323"/>
      <c r="M9" s="48"/>
      <c r="N9" s="42"/>
    </row>
    <row r="10" spans="1:16" ht="21.6" x14ac:dyDescent="0.25">
      <c r="A10" s="49" t="s">
        <v>57</v>
      </c>
      <c r="C10" s="320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20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20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reaction'!K16</f>
        <v>272.6735333333333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reaction'!K11</f>
        <v>312.2852666666667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5.3621223333333337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5.3621223333333337</v>
      </c>
    </row>
    <row r="23" spans="5:19" x14ac:dyDescent="0.25">
      <c r="H23" s="33" t="s">
        <v>64</v>
      </c>
      <c r="I23" s="33" t="s">
        <v>39</v>
      </c>
      <c r="J23" s="57">
        <f>J18*I3/(J18+J19)/1000</f>
        <v>1.8827452482693363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24" t="s">
        <v>255</v>
      </c>
      <c r="F25" s="324"/>
      <c r="G25" s="324"/>
      <c r="H25" s="324"/>
      <c r="I25" s="324"/>
      <c r="J25" s="324"/>
      <c r="K25" s="324"/>
      <c r="L25" s="324"/>
      <c r="M25" s="324"/>
    </row>
    <row r="26" spans="5:19" x14ac:dyDescent="0.25">
      <c r="E26" s="319" t="str">
        <f>"A1("&amp;I3/1000&amp;"+"&amp;E14/2/1000&amp;"-L1/2) = (A1+A2)X"</f>
        <v>A1(4.039+0.175-L1/2) = (A1+A2)X</v>
      </c>
      <c r="F26" s="319"/>
      <c r="G26" s="319"/>
      <c r="H26" s="319"/>
      <c r="I26" s="319"/>
      <c r="J26" s="319"/>
      <c r="K26" s="319"/>
      <c r="L26" s="319"/>
      <c r="M26" s="319"/>
    </row>
    <row r="27" spans="5:19" x14ac:dyDescent="0.25">
      <c r="E27" s="319" t="str">
        <f>"BL1("&amp;I3/1000+E14/2/1000&amp;"-L1/2) = (BL1+BL2)X"</f>
        <v>BL1(4.214-L1/2) = (BL1+BL2)X</v>
      </c>
      <c r="F27" s="319"/>
      <c r="G27" s="319"/>
      <c r="H27" s="319"/>
      <c r="I27" s="319"/>
      <c r="J27" s="319"/>
      <c r="K27" s="319"/>
      <c r="L27" s="319"/>
      <c r="M27" s="319"/>
    </row>
    <row r="28" spans="5:19" x14ac:dyDescent="0.25">
      <c r="E28" s="319" t="str">
        <f>"X="&amp;"BL1("&amp;I3/1000+E14/2/1000&amp;"-L1/2) / (BL1+BL2)"</f>
        <v>X=BL1(4.214-L1/2) / (BL1+BL2)</v>
      </c>
      <c r="F28" s="319"/>
      <c r="G28" s="319"/>
      <c r="H28" s="319"/>
      <c r="I28" s="319"/>
      <c r="J28" s="319"/>
      <c r="K28" s="319"/>
      <c r="L28" s="319"/>
      <c r="M28" s="319"/>
    </row>
    <row r="29" spans="5:19" x14ac:dyDescent="0.25">
      <c r="E29" s="319" t="str">
        <f>"X="&amp;"BL1("&amp;I3/1000+E14/2/1000&amp;"-L1/2) / A"</f>
        <v>X=BL1(4.214-L1/2) / A</v>
      </c>
      <c r="F29" s="319"/>
      <c r="G29" s="319"/>
      <c r="H29" s="319"/>
      <c r="I29" s="319"/>
      <c r="J29" s="319"/>
      <c r="K29" s="319"/>
      <c r="L29" s="319"/>
      <c r="M29" s="319"/>
    </row>
    <row r="30" spans="5:19" x14ac:dyDescent="0.25">
      <c r="E30" s="319" t="str">
        <f>"2*A*X/B="&amp;2*(I3/1000+E14/2/1000)&amp;"*L1-L1^2"</f>
        <v>2*A*X/B=8.428*L1-L1^2</v>
      </c>
      <c r="F30" s="319"/>
      <c r="G30" s="319"/>
      <c r="H30" s="319"/>
      <c r="I30" s="319"/>
      <c r="J30" s="319"/>
      <c r="K30" s="319"/>
      <c r="L30" s="319"/>
      <c r="M30" s="319"/>
    </row>
    <row r="31" spans="5:19" x14ac:dyDescent="0.25">
      <c r="E31" s="319" t="str">
        <f>"L1^2"&amp;"-"&amp;2*(I3/1000+E14/2/1000)&amp;"*L1+2*A*X/B = 0"</f>
        <v>L1^2-8.428*L1+2*A*X/B = 0</v>
      </c>
      <c r="F31" s="319"/>
      <c r="G31" s="319"/>
      <c r="H31" s="319"/>
      <c r="I31" s="319"/>
      <c r="J31" s="319"/>
      <c r="K31" s="319"/>
      <c r="L31" s="319"/>
      <c r="M31" s="319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11.033344637947781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1.6208452876752193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1.3092762059495531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131.00394159276181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540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65.640048950819676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113.99987161208475</v>
      </c>
      <c r="J55" t="s">
        <v>26</v>
      </c>
    </row>
    <row r="56" spans="5:13" x14ac:dyDescent="0.25">
      <c r="E56" s="319" t="s">
        <v>87</v>
      </c>
      <c r="F56" s="319"/>
      <c r="G56" s="319"/>
      <c r="H56" s="319"/>
      <c r="I56" s="319"/>
      <c r="J56" s="319"/>
      <c r="K56" s="319"/>
      <c r="L56" s="319"/>
      <c r="M56" s="319"/>
    </row>
    <row r="57" spans="5:13" ht="16.2" x14ac:dyDescent="0.3">
      <c r="E57" s="34"/>
      <c r="F57" s="33" t="s">
        <v>88</v>
      </c>
      <c r="G57" s="326" t="s">
        <v>89</v>
      </c>
      <c r="H57" s="326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25" t="s">
        <v>91</v>
      </c>
      <c r="H58" s="326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25" t="s">
        <v>93</v>
      </c>
      <c r="H59" s="326"/>
      <c r="I59" s="33">
        <f>+I54*1000000</f>
        <v>65640048.950819679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526.11583663265105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provide Ast,min</v>
      </c>
    </row>
    <row r="63" spans="5:13" x14ac:dyDescent="0.25">
      <c r="G63" s="33" t="s">
        <v>96</v>
      </c>
      <c r="H63" s="33" t="s">
        <v>39</v>
      </c>
      <c r="I63" s="58">
        <f>MAX(I61:I62)</f>
        <v>768.6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269.27937030769652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65.640048950819676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113.99987161208475</v>
      </c>
      <c r="J68" t="s">
        <v>26</v>
      </c>
    </row>
    <row r="69" spans="5:13" x14ac:dyDescent="0.25">
      <c r="E69" s="319" t="s">
        <v>87</v>
      </c>
      <c r="F69" s="319"/>
      <c r="G69" s="319"/>
      <c r="H69" s="319"/>
      <c r="I69" s="319"/>
      <c r="J69" s="319"/>
      <c r="K69" s="319"/>
      <c r="L69" s="319"/>
      <c r="M69" s="319"/>
    </row>
    <row r="70" spans="5:13" ht="16.2" x14ac:dyDescent="0.3">
      <c r="E70" s="34"/>
      <c r="F70" s="33" t="s">
        <v>88</v>
      </c>
      <c r="G70" s="326" t="s">
        <v>89</v>
      </c>
      <c r="H70" s="326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25" t="s">
        <v>91</v>
      </c>
      <c r="H71" s="326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25" t="s">
        <v>93</v>
      </c>
      <c r="H72" s="326"/>
      <c r="I72" s="33">
        <f>+I67*1000000</f>
        <v>65640048.950819679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526.11583663265105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provide Ast,min</v>
      </c>
    </row>
    <row r="76" spans="5:13" x14ac:dyDescent="0.25">
      <c r="G76" s="33" t="s">
        <v>96</v>
      </c>
      <c r="H76" s="33" t="s">
        <v>39</v>
      </c>
      <c r="I76" s="58">
        <f>MAX(I74:I75)</f>
        <v>768.6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269.27937030769652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106.92279704918035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0.19873387057949582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106.92279704918035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0.19873387057949582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409.01029999999992</v>
      </c>
      <c r="G92" s="35"/>
      <c r="K92" s="33"/>
      <c r="L92" s="34">
        <f>+J19*1.5</f>
        <v>468.42790000000002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239.73721311475413</v>
      </c>
      <c r="G105" t="s">
        <v>10</v>
      </c>
      <c r="L105">
        <f>+F105</f>
        <v>239.73721311475413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249.06834999999998</v>
      </c>
    </row>
    <row r="113" spans="5:13" x14ac:dyDescent="0.25">
      <c r="E113" s="84">
        <f>F105*E107</f>
        <v>41.954012295081966</v>
      </c>
      <c r="H113" s="35">
        <f>F105*(E107+F107)-E92</f>
        <v>29.708800000000167</v>
      </c>
      <c r="J113">
        <f>L92-L105*(K107+M107)</f>
        <v>29.70879999999994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1.5310776451264596</v>
      </c>
    </row>
    <row r="118" spans="5:13" ht="14.4" x14ac:dyDescent="0.3">
      <c r="I118" s="86" t="s">
        <v>108</v>
      </c>
      <c r="L118" s="34">
        <f>L105*M107</f>
        <v>219.35955000000004</v>
      </c>
    </row>
    <row r="119" spans="5:13" x14ac:dyDescent="0.25">
      <c r="E119" s="84">
        <f>+E92-E113</f>
        <v>367.05628770491796</v>
      </c>
    </row>
    <row r="121" spans="5:13" x14ac:dyDescent="0.25">
      <c r="G121" s="84">
        <f>+E92*F117-F105*(E107+F117)^2/2</f>
        <v>277.32486222823326</v>
      </c>
    </row>
    <row r="122" spans="5:13" x14ac:dyDescent="0.25">
      <c r="H122" s="35">
        <f>E92*F107-F105*(E107+F107)^2/2</f>
        <v>275.48406999999975</v>
      </c>
    </row>
    <row r="124" spans="5:13" x14ac:dyDescent="0.25">
      <c r="J124">
        <f>+L92*K107-L105*(K107+M107)^2/2</f>
        <v>27.183551999999906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3.6709760758196719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100.35699412500003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275.48406999999975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508.83553298100156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540</v>
      </c>
      <c r="J136" t="s">
        <v>26</v>
      </c>
      <c r="K136" t="str">
        <f>IF(I136&gt;I135,"ok")</f>
        <v>ok</v>
      </c>
    </row>
    <row r="137" spans="5:13" x14ac:dyDescent="0.25">
      <c r="E137" s="319" t="s">
        <v>87</v>
      </c>
      <c r="F137" s="319"/>
      <c r="G137" s="319"/>
      <c r="H137" s="319"/>
      <c r="I137" s="319"/>
      <c r="J137" s="319"/>
      <c r="K137" s="319"/>
      <c r="L137" s="319"/>
      <c r="M137" s="319"/>
    </row>
    <row r="138" spans="5:13" ht="16.2" x14ac:dyDescent="0.3">
      <c r="E138" s="34"/>
      <c r="F138" s="33" t="s">
        <v>88</v>
      </c>
      <c r="G138" s="326" t="s">
        <v>89</v>
      </c>
      <c r="H138" s="326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25" t="s">
        <v>91</v>
      </c>
      <c r="H139" s="326"/>
      <c r="I139" s="61">
        <f>-0.87*I46*I136</f>
        <v>-234900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25" t="s">
        <v>93</v>
      </c>
      <c r="H140" s="326"/>
      <c r="I140" s="33">
        <f>+I134*1000000</f>
        <v>275484069.99999976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1399.4431014443223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1399.4431014443223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4.4545657434143324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100.35699412500003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301.50136714215245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540</v>
      </c>
      <c r="J150" t="s">
        <v>26</v>
      </c>
      <c r="K150" t="str">
        <f>IF(I150&gt;I52,"ok")</f>
        <v>ok</v>
      </c>
    </row>
    <row r="151" spans="5:13" x14ac:dyDescent="0.25">
      <c r="E151" s="319" t="s">
        <v>87</v>
      </c>
      <c r="F151" s="319"/>
      <c r="G151" s="319"/>
      <c r="H151" s="319"/>
      <c r="I151" s="319"/>
      <c r="J151" s="319"/>
      <c r="K151" s="319"/>
      <c r="L151" s="319"/>
      <c r="M151" s="319"/>
    </row>
    <row r="152" spans="5:13" ht="16.2" x14ac:dyDescent="0.3">
      <c r="E152" s="34"/>
      <c r="F152" s="33" t="s">
        <v>88</v>
      </c>
      <c r="G152" s="326" t="s">
        <v>89</v>
      </c>
      <c r="H152" s="326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25" t="s">
        <v>91</v>
      </c>
      <c r="H153" s="326"/>
      <c r="I153" s="61">
        <f>-0.87*I46*I150</f>
        <v>-234900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25" t="s">
        <v>93</v>
      </c>
      <c r="H154" s="326"/>
      <c r="I154" s="33">
        <f>+I148*1000000</f>
        <v>100356994.12500003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450.74835891112332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450.74835891112332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1.434776588225301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3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77.656242622950742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195.64418032786875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0.90576009411050351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0.72722052166430384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0.55453292519943298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75.865068484791237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311.2726862328982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3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D976-39F7-4F1C-A192-152C521CDC62}">
  <dimension ref="A2:S186"/>
  <sheetViews>
    <sheetView topLeftCell="A136" workbookViewId="0">
      <selection activeCell="N144" sqref="N144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2.13</v>
      </c>
      <c r="G2" s="35" t="s">
        <v>31</v>
      </c>
      <c r="I2" s="34">
        <f>+I3+E14/2-F2*1000-L2*1000/2</f>
        <v>1654</v>
      </c>
      <c r="K2" s="33" t="s">
        <v>55</v>
      </c>
      <c r="L2" s="34">
        <f>+K38</f>
        <v>2.13</v>
      </c>
      <c r="M2" s="35" t="s">
        <v>31</v>
      </c>
    </row>
    <row r="3" spans="1:16" x14ac:dyDescent="0.25">
      <c r="C3" s="34"/>
      <c r="H3" s="33" t="s">
        <v>56</v>
      </c>
      <c r="I3" s="36">
        <v>4674</v>
      </c>
      <c r="J3" s="34"/>
    </row>
    <row r="4" spans="1:16" ht="14.4" thickBot="1" x14ac:dyDescent="0.3"/>
    <row r="5" spans="1:16" x14ac:dyDescent="0.25">
      <c r="A5" s="37"/>
      <c r="C5" s="320">
        <f>(A8-C8)/2</f>
        <v>890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20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20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21">
        <f>+J24*1000</f>
        <v>2130</v>
      </c>
      <c r="B8" s="114"/>
      <c r="C8" s="320">
        <f>+E14</f>
        <v>350</v>
      </c>
      <c r="D8" s="38"/>
      <c r="E8" s="322" t="s">
        <v>50</v>
      </c>
      <c r="F8" s="39"/>
      <c r="G8" s="40"/>
      <c r="H8" s="40"/>
      <c r="I8" s="40"/>
      <c r="J8" s="40"/>
      <c r="K8" s="41"/>
      <c r="L8" s="322" t="s">
        <v>34</v>
      </c>
      <c r="M8" s="47"/>
      <c r="N8" s="42"/>
    </row>
    <row r="9" spans="1:16" ht="18" customHeight="1" thickBot="1" x14ac:dyDescent="0.3">
      <c r="A9" s="321"/>
      <c r="B9" s="114"/>
      <c r="C9" s="320"/>
      <c r="D9" s="38"/>
      <c r="E9" s="323"/>
      <c r="F9" s="44"/>
      <c r="G9" s="45"/>
      <c r="H9" s="45"/>
      <c r="I9" s="45"/>
      <c r="J9" s="45"/>
      <c r="K9" s="46"/>
      <c r="L9" s="323"/>
      <c r="M9" s="48"/>
      <c r="N9" s="42"/>
    </row>
    <row r="10" spans="1:16" ht="21.6" x14ac:dyDescent="0.25">
      <c r="A10" s="49" t="s">
        <v>57</v>
      </c>
      <c r="C10" s="320">
        <f>+C5</f>
        <v>890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20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20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4324</v>
      </c>
      <c r="L14" s="53">
        <v>350</v>
      </c>
      <c r="M14" s="53">
        <f>(L2*1000-L14)/2</f>
        <v>890</v>
      </c>
    </row>
    <row r="16" spans="1:16" x14ac:dyDescent="0.25">
      <c r="E16" s="54"/>
      <c r="H16">
        <f>F2*1000+I2+L2*1000</f>
        <v>5914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reaction'!K14</f>
        <v>271.31620000000004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reaction'!K8</f>
        <v>613.57786666666664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8.1115289444444461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8.1115289444444461</v>
      </c>
    </row>
    <row r="23" spans="5:19" x14ac:dyDescent="0.25">
      <c r="H23" s="33" t="s">
        <v>64</v>
      </c>
      <c r="I23" s="33" t="s">
        <v>39</v>
      </c>
      <c r="J23" s="57">
        <f>J18*I3/(J18+J19)/1000</f>
        <v>1.4330889612323465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2.13</v>
      </c>
      <c r="K24" t="s">
        <v>31</v>
      </c>
      <c r="L24">
        <f>J24*3.28</f>
        <v>6.9863999999999988</v>
      </c>
    </row>
    <row r="25" spans="5:19" x14ac:dyDescent="0.25">
      <c r="E25" s="324" t="s">
        <v>255</v>
      </c>
      <c r="F25" s="324"/>
      <c r="G25" s="324"/>
      <c r="H25" s="324"/>
      <c r="I25" s="324"/>
      <c r="J25" s="324"/>
      <c r="K25" s="324"/>
      <c r="L25" s="324"/>
      <c r="M25" s="324"/>
    </row>
    <row r="26" spans="5:19" x14ac:dyDescent="0.25">
      <c r="E26" s="319" t="str">
        <f>"A1("&amp;I3/1000&amp;"+"&amp;E14/2/1000&amp;"-L1/2) = (A1+A2)X"</f>
        <v>A1(4.674+0.175-L1/2) = (A1+A2)X</v>
      </c>
      <c r="F26" s="319"/>
      <c r="G26" s="319"/>
      <c r="H26" s="319"/>
      <c r="I26" s="319"/>
      <c r="J26" s="319"/>
      <c r="K26" s="319"/>
      <c r="L26" s="319"/>
      <c r="M26" s="319"/>
    </row>
    <row r="27" spans="5:19" x14ac:dyDescent="0.25">
      <c r="E27" s="319" t="str">
        <f>"BL1("&amp;I3/1000+E14/2/1000&amp;"-L1/2) = (BL1+BL2)X"</f>
        <v>BL1(4.849-L1/2) = (BL1+BL2)X</v>
      </c>
      <c r="F27" s="319"/>
      <c r="G27" s="319"/>
      <c r="H27" s="319"/>
      <c r="I27" s="319"/>
      <c r="J27" s="319"/>
      <c r="K27" s="319"/>
      <c r="L27" s="319"/>
      <c r="M27" s="319"/>
    </row>
    <row r="28" spans="5:19" x14ac:dyDescent="0.25">
      <c r="E28" s="319" t="str">
        <f>"X="&amp;"BL1("&amp;I3/1000+E14/2/1000&amp;"-L1/2) / (BL1+BL2)"</f>
        <v>X=BL1(4.849-L1/2) / (BL1+BL2)</v>
      </c>
      <c r="F28" s="319"/>
      <c r="G28" s="319"/>
      <c r="H28" s="319"/>
      <c r="I28" s="319"/>
      <c r="J28" s="319"/>
      <c r="K28" s="319"/>
      <c r="L28" s="319"/>
      <c r="M28" s="319"/>
    </row>
    <row r="29" spans="5:19" x14ac:dyDescent="0.25">
      <c r="E29" s="319" t="str">
        <f>"X="&amp;"BL1("&amp;I3/1000+E14/2/1000&amp;"-L1/2) / A"</f>
        <v>X=BL1(4.849-L1/2) / A</v>
      </c>
      <c r="F29" s="319"/>
      <c r="G29" s="319"/>
      <c r="H29" s="319"/>
      <c r="I29" s="319"/>
      <c r="J29" s="319"/>
      <c r="K29" s="319"/>
      <c r="L29" s="319"/>
      <c r="M29" s="319"/>
    </row>
    <row r="30" spans="5:19" x14ac:dyDescent="0.25">
      <c r="E30" s="319" t="str">
        <f>"2*A*X/B="&amp;2*(I3/1000+E14/2/1000)&amp;"*L1-L1^2"</f>
        <v>2*A*X/B=9.698*L1-L1^2</v>
      </c>
      <c r="F30" s="319"/>
      <c r="G30" s="319"/>
      <c r="H30" s="319"/>
      <c r="I30" s="319"/>
      <c r="J30" s="319"/>
      <c r="K30" s="319"/>
      <c r="L30" s="319"/>
      <c r="M30" s="319"/>
    </row>
    <row r="31" spans="5:19" x14ac:dyDescent="0.25">
      <c r="E31" s="319" t="str">
        <f>"L1^2"&amp;"-"&amp;2*(I3/1000+E14/2/1000)&amp;"*L1+2*A*X/B = 0"</f>
        <v>L1^2-9.698*L1+2*A*X/B = 0</v>
      </c>
      <c r="F31" s="319"/>
      <c r="G31" s="319"/>
      <c r="H31" s="319"/>
      <c r="I31" s="319"/>
      <c r="J31" s="319"/>
      <c r="K31" s="319"/>
      <c r="L31" s="319"/>
      <c r="M31" s="319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-9.6980000000000004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10.915063463849769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1.2996708329389577</v>
      </c>
      <c r="J37" s="33" t="s">
        <v>68</v>
      </c>
      <c r="K37" s="56">
        <v>2.13</v>
      </c>
      <c r="L37" t="s">
        <v>31</v>
      </c>
      <c r="M37">
        <f>K37*3.28</f>
        <v>6.9863999999999988</v>
      </c>
    </row>
    <row r="38" spans="5:13" x14ac:dyDescent="0.25">
      <c r="G38" s="33" t="s">
        <v>69</v>
      </c>
      <c r="H38" s="33" t="s">
        <v>39</v>
      </c>
      <c r="I38" s="57">
        <f>(J22-J24*I37)/J24</f>
        <v>2.5085587184434117</v>
      </c>
      <c r="J38" s="33" t="s">
        <v>70</v>
      </c>
      <c r="K38" s="56">
        <v>2.13</v>
      </c>
      <c r="L38" t="s">
        <v>31</v>
      </c>
      <c r="M38">
        <f>K38*3.28</f>
        <v>6.9863999999999988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146.28282527717167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700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640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123.40221658568078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144.88290243171423</v>
      </c>
      <c r="J55" t="s">
        <v>26</v>
      </c>
    </row>
    <row r="56" spans="5:13" x14ac:dyDescent="0.25">
      <c r="E56" s="319" t="s">
        <v>87</v>
      </c>
      <c r="F56" s="319"/>
      <c r="G56" s="319"/>
      <c r="H56" s="319"/>
      <c r="I56" s="319"/>
      <c r="J56" s="319"/>
      <c r="K56" s="319"/>
      <c r="L56" s="319"/>
      <c r="M56" s="319"/>
    </row>
    <row r="57" spans="5:13" ht="16.2" x14ac:dyDescent="0.3">
      <c r="E57" s="34"/>
      <c r="F57" s="33" t="s">
        <v>88</v>
      </c>
      <c r="G57" s="326" t="s">
        <v>89</v>
      </c>
      <c r="H57" s="326"/>
      <c r="I57" s="60">
        <f>0.87*I46^2/(I45*F2*1000)</f>
        <v>5.1056338028169019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25" t="s">
        <v>91</v>
      </c>
      <c r="H58" s="326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25" t="s">
        <v>93</v>
      </c>
      <c r="H59" s="326"/>
      <c r="I59" s="33">
        <f>+I54*1000000</f>
        <v>123402216.58568078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1005.2515113052873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894.59999999999991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1005.2515113052873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239.63885850265251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123.40221658568078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144.88290243171423</v>
      </c>
      <c r="J68" t="s">
        <v>26</v>
      </c>
    </row>
    <row r="69" spans="5:13" x14ac:dyDescent="0.25">
      <c r="E69" s="319" t="s">
        <v>87</v>
      </c>
      <c r="F69" s="319"/>
      <c r="G69" s="319"/>
      <c r="H69" s="319"/>
      <c r="I69" s="319"/>
      <c r="J69" s="319"/>
      <c r="K69" s="319"/>
      <c r="L69" s="319"/>
      <c r="M69" s="319"/>
    </row>
    <row r="70" spans="5:13" ht="16.2" x14ac:dyDescent="0.3">
      <c r="E70" s="34"/>
      <c r="F70" s="33" t="s">
        <v>88</v>
      </c>
      <c r="G70" s="326" t="s">
        <v>89</v>
      </c>
      <c r="H70" s="326"/>
      <c r="I70" s="60">
        <f>0.87*I46^2/(I45*L2*1000)</f>
        <v>5.1056338028169019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25" t="s">
        <v>91</v>
      </c>
      <c r="H71" s="326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25" t="s">
        <v>93</v>
      </c>
      <c r="H72" s="326"/>
      <c r="I72" s="33">
        <f>+I67*1000000</f>
        <v>123402216.58568078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1005.2515113052873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894.59999999999991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1005.2515113052873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239.63885850265251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185.70312103286383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0.29654613559589893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185.70312103286383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0.29654613559589893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406.97430000000008</v>
      </c>
      <c r="G92" s="35"/>
      <c r="K92" s="33"/>
      <c r="L92" s="34">
        <f>+J19*1.5</f>
        <v>920.36680000000001</v>
      </c>
      <c r="M92" s="35"/>
    </row>
    <row r="93" spans="3:13" x14ac:dyDescent="0.25">
      <c r="C93" s="34"/>
      <c r="H93" s="33" t="s">
        <v>56</v>
      </c>
      <c r="I93" s="34">
        <f>I3</f>
        <v>4674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700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311.58241784037563</v>
      </c>
      <c r="G105" t="s">
        <v>10</v>
      </c>
      <c r="L105">
        <f>+F105</f>
        <v>311.58241784037563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1.9549999999999998</v>
      </c>
      <c r="K107" s="34">
        <f>+L2-M107</f>
        <v>1.0649999999999999</v>
      </c>
      <c r="M107" s="34">
        <f>L2/2</f>
        <v>1.0649999999999999</v>
      </c>
    </row>
    <row r="110" spans="1:13" x14ac:dyDescent="0.25">
      <c r="L110" s="34">
        <f>L92-L118</f>
        <v>588.53152499999999</v>
      </c>
    </row>
    <row r="113" spans="5:13" x14ac:dyDescent="0.25">
      <c r="E113" s="84">
        <f>F105*E107</f>
        <v>54.526923122065732</v>
      </c>
      <c r="H113" s="35">
        <f>F105*(E107+F107)-E92</f>
        <v>256.69624999999996</v>
      </c>
      <c r="J113">
        <f>L92-L105*(K107+M107)</f>
        <v>256.69624999999996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1.1311529685172863</v>
      </c>
    </row>
    <row r="118" spans="5:13" ht="14.4" x14ac:dyDescent="0.3">
      <c r="I118" s="86" t="s">
        <v>108</v>
      </c>
      <c r="L118" s="34">
        <f>L105*M107</f>
        <v>331.83527500000002</v>
      </c>
    </row>
    <row r="119" spans="5:13" x14ac:dyDescent="0.25">
      <c r="E119" s="84">
        <f>+E92-E113</f>
        <v>352.44737687793435</v>
      </c>
    </row>
    <row r="121" spans="5:13" x14ac:dyDescent="0.25">
      <c r="G121" s="84">
        <f>+E92*F117-F105*(E107+F117)^2/2</f>
        <v>194.56484252762232</v>
      </c>
    </row>
    <row r="122" spans="5:13" x14ac:dyDescent="0.25">
      <c r="H122" s="35">
        <f>E92*F107-F105*(E107+F107)^2/2</f>
        <v>88.825620750000098</v>
      </c>
    </row>
    <row r="124" spans="5:13" x14ac:dyDescent="0.25">
      <c r="J124">
        <f>+L92*K107-L105*(K107+M107)^2/2</f>
        <v>273.38150624999992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4.7711057731807509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176.7022839375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88.825620750000098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288.93377488413688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640</v>
      </c>
      <c r="J136" t="s">
        <v>26</v>
      </c>
      <c r="K136" t="str">
        <f>IF(I136&gt;I135,"ok")</f>
        <v>ok</v>
      </c>
    </row>
    <row r="137" spans="5:13" x14ac:dyDescent="0.25">
      <c r="E137" s="319" t="s">
        <v>87</v>
      </c>
      <c r="F137" s="319"/>
      <c r="G137" s="319"/>
      <c r="H137" s="319"/>
      <c r="I137" s="319"/>
      <c r="J137" s="319"/>
      <c r="K137" s="319"/>
      <c r="L137" s="319"/>
      <c r="M137" s="319"/>
    </row>
    <row r="138" spans="5:13" ht="16.2" x14ac:dyDescent="0.3">
      <c r="E138" s="34"/>
      <c r="F138" s="33" t="s">
        <v>88</v>
      </c>
      <c r="G138" s="326" t="s">
        <v>89</v>
      </c>
      <c r="H138" s="326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25" t="s">
        <v>91</v>
      </c>
      <c r="H139" s="326"/>
      <c r="I139" s="61">
        <f>-0.87*I46*I136</f>
        <v>-278400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25" t="s">
        <v>93</v>
      </c>
      <c r="H140" s="326"/>
      <c r="I140" s="33">
        <f>+I134*1000000</f>
        <v>88825620.750000104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329.67112496078454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336</v>
      </c>
      <c r="J143" t="s">
        <v>30</v>
      </c>
      <c r="K143" t="str">
        <f>IF(I143&lt;I142,"ok","provide Ast,min")</f>
        <v>provide Ast,min</v>
      </c>
    </row>
    <row r="144" spans="5:13" x14ac:dyDescent="0.25">
      <c r="G144" s="33" t="s">
        <v>96</v>
      </c>
      <c r="H144" s="33" t="s">
        <v>39</v>
      </c>
      <c r="I144" s="58">
        <f>MAX(I142:I143)</f>
        <v>336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1.0695212175775366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6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176.7022839375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400.07051454719124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640</v>
      </c>
      <c r="J150" t="s">
        <v>26</v>
      </c>
      <c r="K150" t="str">
        <f>IF(I150&gt;I52,"ok")</f>
        <v>ok</v>
      </c>
    </row>
    <row r="151" spans="5:13" x14ac:dyDescent="0.25">
      <c r="E151" s="319" t="s">
        <v>87</v>
      </c>
      <c r="F151" s="319"/>
      <c r="G151" s="319"/>
      <c r="H151" s="319"/>
      <c r="I151" s="319"/>
      <c r="J151" s="319"/>
      <c r="K151" s="319"/>
      <c r="L151" s="319"/>
      <c r="M151" s="319"/>
    </row>
    <row r="152" spans="5:13" ht="16.2" x14ac:dyDescent="0.3">
      <c r="E152" s="34"/>
      <c r="F152" s="33" t="s">
        <v>88</v>
      </c>
      <c r="G152" s="326" t="s">
        <v>89</v>
      </c>
      <c r="H152" s="326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25" t="s">
        <v>91</v>
      </c>
      <c r="H153" s="326"/>
      <c r="I153" s="61">
        <f>-0.87*I46*I150</f>
        <v>-278400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25" t="s">
        <v>93</v>
      </c>
      <c r="H154" s="326"/>
      <c r="I154" s="33">
        <f>+I148*1000000</f>
        <v>176702283.9375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679.84170909686361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336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679.84170909686361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2.1640033704561636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334.59185446009383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98.507706338028242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1.3069994314847415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0.73631077818510771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0.55671458676442587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192.07292024840083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145.71455776329705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2.13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2.13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2.13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2.13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700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6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930-D6C8-4E96-AD3E-7B37767E3908}">
  <dimension ref="A1:E23"/>
  <sheetViews>
    <sheetView topLeftCell="A7" workbookViewId="0">
      <selection sqref="A1:E23"/>
    </sheetView>
  </sheetViews>
  <sheetFormatPr defaultRowHeight="13.8" x14ac:dyDescent="0.25"/>
  <cols>
    <col min="2" max="2" width="27.5546875" bestFit="1" customWidth="1"/>
    <col min="3" max="3" width="2.33203125" bestFit="1" customWidth="1"/>
    <col min="4" max="4" width="9" bestFit="1" customWidth="1"/>
    <col min="5" max="5" width="10" bestFit="1" customWidth="1"/>
  </cols>
  <sheetData>
    <row r="1" spans="1:5" ht="15.6" x14ac:dyDescent="0.3">
      <c r="A1" s="317" t="s">
        <v>467</v>
      </c>
    </row>
    <row r="3" spans="1:5" ht="15.6" x14ac:dyDescent="0.3">
      <c r="B3" s="313" t="s">
        <v>458</v>
      </c>
      <c r="C3" s="314"/>
      <c r="D3" s="314"/>
      <c r="E3" s="314"/>
    </row>
    <row r="4" spans="1:5" ht="15.6" x14ac:dyDescent="0.3">
      <c r="B4" s="313" t="s">
        <v>459</v>
      </c>
      <c r="C4" s="313" t="s">
        <v>39</v>
      </c>
      <c r="D4" s="315">
        <v>37.378999999999998</v>
      </c>
      <c r="E4" s="314"/>
    </row>
    <row r="5" spans="1:5" ht="15.6" x14ac:dyDescent="0.3">
      <c r="B5" s="313" t="s">
        <v>460</v>
      </c>
      <c r="C5" s="313" t="s">
        <v>39</v>
      </c>
      <c r="D5" s="315">
        <v>29.484999999999999</v>
      </c>
      <c r="E5" s="314"/>
    </row>
    <row r="6" spans="1:5" ht="15.6" x14ac:dyDescent="0.25">
      <c r="B6" s="313" t="s">
        <v>461</v>
      </c>
      <c r="C6" s="313" t="s">
        <v>39</v>
      </c>
      <c r="D6" s="315">
        <f>D4/D5</f>
        <v>1.2677293539087671</v>
      </c>
      <c r="E6" s="316" t="s">
        <v>462</v>
      </c>
    </row>
    <row r="7" spans="1:5" ht="14.4" x14ac:dyDescent="0.3">
      <c r="B7" s="314"/>
      <c r="C7" s="314"/>
      <c r="D7" s="314"/>
      <c r="E7" s="314"/>
    </row>
    <row r="8" spans="1:5" ht="15.6" x14ac:dyDescent="0.3">
      <c r="B8" s="313" t="s">
        <v>463</v>
      </c>
      <c r="C8" s="314"/>
      <c r="D8" s="314"/>
      <c r="E8" s="314"/>
    </row>
    <row r="9" spans="1:5" ht="15.6" x14ac:dyDescent="0.3">
      <c r="B9" s="313" t="s">
        <v>459</v>
      </c>
      <c r="C9" s="313" t="s">
        <v>39</v>
      </c>
      <c r="D9" s="315">
        <v>35.869999999999997</v>
      </c>
      <c r="E9" s="314"/>
    </row>
    <row r="10" spans="1:5" ht="15.6" x14ac:dyDescent="0.3">
      <c r="B10" s="313" t="s">
        <v>460</v>
      </c>
      <c r="C10" s="313" t="s">
        <v>39</v>
      </c>
      <c r="D10" s="315">
        <v>28.295000000000002</v>
      </c>
      <c r="E10" s="314"/>
    </row>
    <row r="11" spans="1:5" ht="15.6" x14ac:dyDescent="0.25">
      <c r="B11" s="313" t="s">
        <v>461</v>
      </c>
      <c r="C11" s="313" t="s">
        <v>39</v>
      </c>
      <c r="D11" s="315">
        <f>D9/D10</f>
        <v>1.2677151440183776</v>
      </c>
      <c r="E11" s="316" t="s">
        <v>462</v>
      </c>
    </row>
    <row r="12" spans="1:5" ht="14.4" x14ac:dyDescent="0.3">
      <c r="B12" s="314"/>
      <c r="C12" s="314"/>
      <c r="D12" s="314"/>
      <c r="E12" s="314"/>
    </row>
    <row r="13" spans="1:5" ht="15.6" x14ac:dyDescent="0.3">
      <c r="B13" s="313" t="s">
        <v>464</v>
      </c>
      <c r="C13" s="314"/>
      <c r="D13" s="314"/>
      <c r="E13" s="314"/>
    </row>
    <row r="14" spans="1:5" ht="15.6" x14ac:dyDescent="0.3">
      <c r="B14" s="313" t="s">
        <v>459</v>
      </c>
      <c r="C14" s="313" t="s">
        <v>39</v>
      </c>
      <c r="D14" s="315">
        <v>35.142000000000003</v>
      </c>
      <c r="E14" s="314"/>
    </row>
    <row r="15" spans="1:5" ht="15.6" x14ac:dyDescent="0.3">
      <c r="B15" s="313" t="s">
        <v>460</v>
      </c>
      <c r="C15" s="313" t="s">
        <v>39</v>
      </c>
      <c r="D15" s="315">
        <v>26.471</v>
      </c>
      <c r="E15" s="314"/>
    </row>
    <row r="16" spans="1:5" ht="15.6" x14ac:dyDescent="0.25">
      <c r="B16" s="313" t="s">
        <v>461</v>
      </c>
      <c r="C16" s="313" t="s">
        <v>39</v>
      </c>
      <c r="D16" s="315">
        <f>D14/D15</f>
        <v>1.3275660156397568</v>
      </c>
      <c r="E16" s="316" t="s">
        <v>462</v>
      </c>
    </row>
    <row r="17" spans="2:5" ht="14.4" x14ac:dyDescent="0.3">
      <c r="B17" s="314"/>
      <c r="C17" s="314"/>
      <c r="D17" s="314"/>
      <c r="E17" s="314"/>
    </row>
    <row r="18" spans="2:5" ht="15.6" x14ac:dyDescent="0.3">
      <c r="B18" s="313" t="s">
        <v>465</v>
      </c>
      <c r="C18" s="314"/>
      <c r="D18" s="314"/>
      <c r="E18" s="314"/>
    </row>
    <row r="19" spans="2:5" ht="15.6" x14ac:dyDescent="0.3">
      <c r="B19" s="313" t="s">
        <v>459</v>
      </c>
      <c r="C19" s="313" t="s">
        <v>39</v>
      </c>
      <c r="D19" s="315">
        <v>33.723999999999997</v>
      </c>
      <c r="E19" s="314"/>
    </row>
    <row r="20" spans="2:5" ht="15.6" x14ac:dyDescent="0.3">
      <c r="B20" s="313" t="s">
        <v>460</v>
      </c>
      <c r="C20" s="313" t="s">
        <v>39</v>
      </c>
      <c r="D20" s="315">
        <v>25.402000000000001</v>
      </c>
      <c r="E20" s="314"/>
    </row>
    <row r="21" spans="2:5" ht="15.6" x14ac:dyDescent="0.25">
      <c r="B21" s="313" t="s">
        <v>461</v>
      </c>
      <c r="C21" s="313" t="s">
        <v>39</v>
      </c>
      <c r="D21" s="315">
        <f>D19/D20</f>
        <v>1.3276119990551922</v>
      </c>
      <c r="E21" s="316" t="s">
        <v>462</v>
      </c>
    </row>
    <row r="22" spans="2:5" ht="14.4" x14ac:dyDescent="0.3">
      <c r="B22" s="314"/>
      <c r="C22" s="314"/>
      <c r="D22" s="314"/>
      <c r="E22" s="314"/>
    </row>
    <row r="23" spans="2:5" ht="15.6" x14ac:dyDescent="0.3">
      <c r="B23" s="313" t="s">
        <v>466</v>
      </c>
      <c r="C23" s="314"/>
      <c r="D23" s="314"/>
      <c r="E23" s="3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4"/>
  <sheetViews>
    <sheetView topLeftCell="Q1" workbookViewId="0">
      <selection activeCell="W13" sqref="W13"/>
    </sheetView>
  </sheetViews>
  <sheetFormatPr defaultColWidth="8.88671875" defaultRowHeight="13.8" x14ac:dyDescent="0.25"/>
  <cols>
    <col min="4" max="4" width="9.33203125" bestFit="1" customWidth="1"/>
    <col min="5" max="6" width="11.5546875" bestFit="1" customWidth="1"/>
    <col min="7" max="14" width="0" hidden="1" customWidth="1"/>
    <col min="18" max="18" width="11.88671875" bestFit="1" customWidth="1"/>
    <col min="19" max="19" width="9.88671875" bestFit="1" customWidth="1"/>
  </cols>
  <sheetData>
    <row r="1" spans="1:37" ht="14.4" x14ac:dyDescent="0.3">
      <c r="A1" s="103" t="s">
        <v>256</v>
      </c>
      <c r="B1" s="103"/>
      <c r="C1" s="104"/>
      <c r="D1" s="104"/>
      <c r="E1" s="104"/>
      <c r="F1" s="104"/>
      <c r="G1" s="104"/>
      <c r="H1" s="104"/>
      <c r="I1" s="104"/>
      <c r="J1" s="104"/>
      <c r="L1" t="s">
        <v>257</v>
      </c>
      <c r="P1" s="142" t="s">
        <v>258</v>
      </c>
      <c r="Q1" s="144"/>
      <c r="R1" s="144"/>
      <c r="S1" s="144"/>
      <c r="T1" s="144"/>
      <c r="U1" s="141"/>
      <c r="V1" s="141"/>
      <c r="W1" s="141"/>
      <c r="X1" s="141"/>
      <c r="Y1" s="144"/>
      <c r="Z1" s="141"/>
      <c r="AA1" s="141"/>
      <c r="AB1" s="141"/>
      <c r="AD1" s="149" t="s">
        <v>259</v>
      </c>
      <c r="AE1" s="150"/>
      <c r="AF1" s="150"/>
      <c r="AG1" s="150"/>
      <c r="AH1" s="150"/>
    </row>
    <row r="2" spans="1:37" s="107" customFormat="1" ht="43.2" x14ac:dyDescent="0.3">
      <c r="A2" s="105" t="s">
        <v>138</v>
      </c>
      <c r="B2" s="105" t="s">
        <v>260</v>
      </c>
      <c r="C2" s="106" t="s">
        <v>261</v>
      </c>
      <c r="D2" s="106" t="s">
        <v>262</v>
      </c>
      <c r="E2" s="106" t="s">
        <v>263</v>
      </c>
      <c r="F2" s="106" t="s">
        <v>264</v>
      </c>
      <c r="G2" s="106"/>
      <c r="H2" s="106"/>
      <c r="I2" s="106" t="s">
        <v>265</v>
      </c>
      <c r="J2" s="106" t="s">
        <v>266</v>
      </c>
      <c r="L2" s="108" t="s">
        <v>29</v>
      </c>
      <c r="M2" s="108" t="s">
        <v>267</v>
      </c>
      <c r="P2" s="145" t="s">
        <v>138</v>
      </c>
      <c r="Q2" s="145" t="s">
        <v>268</v>
      </c>
      <c r="R2" s="145" t="s">
        <v>141</v>
      </c>
      <c r="S2" s="145" t="s">
        <v>269</v>
      </c>
      <c r="T2" s="145" t="s">
        <v>270</v>
      </c>
      <c r="U2" s="147" t="s">
        <v>271</v>
      </c>
      <c r="V2" s="147" t="s">
        <v>272</v>
      </c>
      <c r="W2" s="147" t="s">
        <v>265</v>
      </c>
      <c r="X2" s="147" t="s">
        <v>273</v>
      </c>
      <c r="Y2" s="145" t="s">
        <v>274</v>
      </c>
      <c r="Z2" s="147" t="s">
        <v>46</v>
      </c>
      <c r="AA2" s="147" t="s">
        <v>47</v>
      </c>
      <c r="AB2" s="147" t="s">
        <v>275</v>
      </c>
      <c r="AD2" s="151" t="s">
        <v>138</v>
      </c>
      <c r="AE2" s="151" t="s">
        <v>276</v>
      </c>
      <c r="AF2" s="151" t="s">
        <v>277</v>
      </c>
      <c r="AG2" s="151" t="s">
        <v>278</v>
      </c>
      <c r="AH2" s="152" t="s">
        <v>279</v>
      </c>
    </row>
    <row r="3" spans="1:37" ht="14.4" x14ac:dyDescent="0.3">
      <c r="A3" s="109" t="s">
        <v>250</v>
      </c>
      <c r="B3" s="109"/>
      <c r="C3" s="110"/>
      <c r="D3" s="110"/>
      <c r="E3" s="110"/>
      <c r="F3" s="110"/>
      <c r="G3" s="110"/>
      <c r="H3" s="110"/>
      <c r="I3" s="110" t="s">
        <v>280</v>
      </c>
      <c r="J3" s="110" t="s">
        <v>280</v>
      </c>
      <c r="P3" s="146" t="s">
        <v>250</v>
      </c>
      <c r="Q3" s="146" t="s">
        <v>250</v>
      </c>
      <c r="R3" s="146" t="s">
        <v>250</v>
      </c>
      <c r="S3" s="146" t="s">
        <v>250</v>
      </c>
      <c r="T3" s="146" t="s">
        <v>250</v>
      </c>
      <c r="U3" s="148"/>
      <c r="V3" s="148" t="s">
        <v>26</v>
      </c>
      <c r="W3" s="148" t="s">
        <v>26</v>
      </c>
      <c r="X3" s="148" t="s">
        <v>281</v>
      </c>
      <c r="Y3" s="146" t="s">
        <v>250</v>
      </c>
      <c r="Z3" s="148" t="s">
        <v>31</v>
      </c>
      <c r="AA3" s="148" t="s">
        <v>31</v>
      </c>
      <c r="AB3" s="148" t="s">
        <v>31</v>
      </c>
      <c r="AD3" s="153"/>
      <c r="AE3" s="153" t="s">
        <v>31</v>
      </c>
      <c r="AF3" s="153"/>
      <c r="AG3" s="153" t="s">
        <v>33</v>
      </c>
      <c r="AH3" s="154" t="s">
        <v>33</v>
      </c>
    </row>
    <row r="4" spans="1:37" ht="14.4" x14ac:dyDescent="0.3">
      <c r="A4" s="113" t="s">
        <v>283</v>
      </c>
      <c r="B4" s="111">
        <f>AK14</f>
        <v>260.50170509999998</v>
      </c>
      <c r="C4" s="111">
        <f>AG4</f>
        <v>116.9635</v>
      </c>
      <c r="D4" s="94">
        <f>MAX(V4:V60)/1000</f>
        <v>1.7937000000000002E-2</v>
      </c>
      <c r="E4" s="94">
        <f>B4*D4^2</f>
        <v>8.3812768516500755E-2</v>
      </c>
      <c r="F4" s="94">
        <f>C4*D4</f>
        <v>2.0979742995000001</v>
      </c>
      <c r="G4" s="94"/>
      <c r="H4" s="94"/>
      <c r="I4" s="94">
        <v>16198.8</v>
      </c>
      <c r="J4" s="94">
        <v>0</v>
      </c>
      <c r="L4" t="e">
        <f>#REF!*9.81/1000</f>
        <v>#REF!</v>
      </c>
      <c r="M4">
        <f>MAX(V4:V15)</f>
        <v>0.09</v>
      </c>
      <c r="P4" s="143" t="s">
        <v>283</v>
      </c>
      <c r="Q4" s="143" t="s">
        <v>254</v>
      </c>
      <c r="R4" s="143" t="s">
        <v>294</v>
      </c>
      <c r="S4" s="143" t="s">
        <v>295</v>
      </c>
      <c r="T4" s="143" t="s">
        <v>296</v>
      </c>
      <c r="U4" s="140">
        <v>1</v>
      </c>
      <c r="V4" s="140">
        <v>1E-3</v>
      </c>
      <c r="W4" s="140">
        <v>8.7999999999999995E-2</v>
      </c>
      <c r="X4" s="140">
        <v>-3.0000000000000001E-6</v>
      </c>
      <c r="Y4" s="143" t="s">
        <v>251</v>
      </c>
      <c r="Z4" s="140">
        <v>4.7389999999999999</v>
      </c>
      <c r="AA4" s="140">
        <v>4.5827999999999998</v>
      </c>
      <c r="AB4" s="140">
        <v>9.1440000000000001</v>
      </c>
      <c r="AD4" s="140" t="s">
        <v>283</v>
      </c>
      <c r="AE4" s="140">
        <v>9.1440000000000001</v>
      </c>
      <c r="AF4" s="140" t="s">
        <v>282</v>
      </c>
      <c r="AG4" s="140">
        <v>116.9635</v>
      </c>
      <c r="AH4" s="140">
        <v>0</v>
      </c>
    </row>
    <row r="5" spans="1:37" ht="14.4" x14ac:dyDescent="0.3">
      <c r="A5" s="113" t="s">
        <v>284</v>
      </c>
      <c r="B5" s="111">
        <f>AK15</f>
        <v>715.25897010000017</v>
      </c>
      <c r="C5" s="111">
        <f>AG5</f>
        <v>166.98689999999999</v>
      </c>
      <c r="D5" s="94">
        <f>MAX(V61:V117)/1000</f>
        <v>1.2909E-2</v>
      </c>
      <c r="E5" s="94">
        <f>B5*D5^2</f>
        <v>0.11919238628317483</v>
      </c>
      <c r="F5" s="94">
        <f>C5*D5</f>
        <v>2.1556338921</v>
      </c>
      <c r="G5" s="94"/>
      <c r="H5" s="94"/>
      <c r="I5" s="94">
        <v>68346.070000000007</v>
      </c>
      <c r="J5" s="94">
        <v>0</v>
      </c>
      <c r="L5" t="e">
        <f>#REF!*9.81/1000</f>
        <v>#REF!</v>
      </c>
      <c r="M5">
        <f>MAX(V16:V27)</f>
        <v>17.658000000000001</v>
      </c>
      <c r="P5" s="143" t="s">
        <v>283</v>
      </c>
      <c r="Q5" s="143" t="s">
        <v>254</v>
      </c>
      <c r="R5" s="143" t="s">
        <v>294</v>
      </c>
      <c r="S5" s="143" t="s">
        <v>295</v>
      </c>
      <c r="T5" s="143" t="s">
        <v>296</v>
      </c>
      <c r="U5" s="140">
        <v>2</v>
      </c>
      <c r="V5" s="140">
        <v>-9.0999999999999998E-2</v>
      </c>
      <c r="W5" s="140">
        <v>1E-3</v>
      </c>
      <c r="X5" s="140">
        <v>-4.0670000000000001E-7</v>
      </c>
      <c r="Y5" s="143" t="s">
        <v>251</v>
      </c>
      <c r="Z5" s="140">
        <v>4.7389999999999999</v>
      </c>
      <c r="AA5" s="140">
        <v>4.5827999999999998</v>
      </c>
      <c r="AB5" s="140">
        <v>9.1440000000000001</v>
      </c>
      <c r="AD5" s="140" t="s">
        <v>284</v>
      </c>
      <c r="AE5" s="140">
        <v>6.0960000000000001</v>
      </c>
      <c r="AF5" s="140" t="s">
        <v>282</v>
      </c>
      <c r="AG5" s="140">
        <v>166.98689999999999</v>
      </c>
      <c r="AH5" s="140">
        <v>0</v>
      </c>
    </row>
    <row r="6" spans="1:37" ht="14.4" x14ac:dyDescent="0.3">
      <c r="A6" s="113" t="s">
        <v>285</v>
      </c>
      <c r="B6" s="111">
        <f>AK16</f>
        <v>942.59787210000002</v>
      </c>
      <c r="C6" s="111">
        <f>AG6</f>
        <v>110.2847</v>
      </c>
      <c r="D6" s="94">
        <f>MAX(V118:V174)/1000</f>
        <v>5.8470000000000006E-3</v>
      </c>
      <c r="E6" s="94">
        <f>B6*D6^2</f>
        <v>3.2224978976012397E-2</v>
      </c>
      <c r="F6" s="94">
        <f>C6*D6</f>
        <v>0.64483464090000009</v>
      </c>
      <c r="G6" s="94"/>
      <c r="H6" s="94"/>
      <c r="I6" s="94">
        <v>115625.39</v>
      </c>
      <c r="J6" s="94">
        <v>0</v>
      </c>
      <c r="L6" t="e">
        <f>#REF!*9.81/1000</f>
        <v>#REF!</v>
      </c>
      <c r="M6">
        <f>MAX(V28:V39)</f>
        <v>17.937000000000001</v>
      </c>
      <c r="P6" s="143" t="s">
        <v>283</v>
      </c>
      <c r="Q6" s="143" t="s">
        <v>254</v>
      </c>
      <c r="R6" s="143" t="s">
        <v>294</v>
      </c>
      <c r="S6" s="143" t="s">
        <v>295</v>
      </c>
      <c r="T6" s="143" t="s">
        <v>296</v>
      </c>
      <c r="U6" s="140">
        <v>3</v>
      </c>
      <c r="V6" s="140">
        <v>2E-3</v>
      </c>
      <c r="W6" s="140">
        <v>1.2999999999999999E-2</v>
      </c>
      <c r="X6" s="140">
        <v>2.0000000000000002E-5</v>
      </c>
      <c r="Y6" s="143" t="s">
        <v>251</v>
      </c>
      <c r="Z6" s="140">
        <v>4.7389999999999999</v>
      </c>
      <c r="AA6" s="140">
        <v>4.5827999999999998</v>
      </c>
      <c r="AB6" s="140">
        <v>9.1440000000000001</v>
      </c>
      <c r="AD6" s="140" t="s">
        <v>285</v>
      </c>
      <c r="AE6" s="140">
        <v>3.048</v>
      </c>
      <c r="AF6" s="140" t="s">
        <v>282</v>
      </c>
      <c r="AG6" s="140">
        <v>110.2847</v>
      </c>
      <c r="AH6" s="140">
        <v>0</v>
      </c>
    </row>
    <row r="7" spans="1:37" ht="14.4" x14ac:dyDescent="0.3">
      <c r="A7" s="94"/>
      <c r="B7" s="111"/>
      <c r="C7" s="111"/>
      <c r="D7" s="94"/>
      <c r="E7" s="94"/>
      <c r="F7" s="94"/>
      <c r="G7" s="94"/>
      <c r="H7" s="94"/>
      <c r="I7" s="94">
        <v>120468.19</v>
      </c>
      <c r="J7" s="94">
        <v>0</v>
      </c>
      <c r="L7" t="e">
        <f>#REF!*9.81/1000</f>
        <v>#REF!</v>
      </c>
      <c r="M7">
        <f>MAX(V40:V50)</f>
        <v>17.911000000000001</v>
      </c>
      <c r="P7" s="143" t="s">
        <v>283</v>
      </c>
      <c r="Q7" s="143" t="s">
        <v>254</v>
      </c>
      <c r="R7" s="143" t="s">
        <v>294</v>
      </c>
      <c r="S7" s="143" t="s">
        <v>295</v>
      </c>
      <c r="T7" s="143" t="s">
        <v>296</v>
      </c>
      <c r="U7" s="140">
        <v>4</v>
      </c>
      <c r="V7" s="140">
        <v>-4.0000000000000001E-3</v>
      </c>
      <c r="W7" s="140">
        <v>-8.8999999999999996E-2</v>
      </c>
      <c r="X7" s="140">
        <v>1.9999999999999999E-6</v>
      </c>
      <c r="Y7" s="143" t="s">
        <v>251</v>
      </c>
      <c r="Z7" s="140">
        <v>4.7389999999999999</v>
      </c>
      <c r="AA7" s="140">
        <v>4.5827999999999998</v>
      </c>
      <c r="AB7" s="140">
        <v>9.1440000000000001</v>
      </c>
      <c r="AD7" s="140" t="s">
        <v>143</v>
      </c>
      <c r="AE7" s="140">
        <v>0</v>
      </c>
      <c r="AF7" s="140" t="s">
        <v>282</v>
      </c>
      <c r="AG7" s="140">
        <v>0</v>
      </c>
      <c r="AH7" s="140">
        <v>0</v>
      </c>
    </row>
    <row r="8" spans="1:37" ht="14.4" x14ac:dyDescent="0.3">
      <c r="A8" s="94"/>
      <c r="B8" s="111"/>
      <c r="C8" s="111"/>
      <c r="D8" s="94"/>
      <c r="E8" s="94"/>
      <c r="F8" s="94"/>
      <c r="G8" s="94"/>
      <c r="H8" s="94"/>
      <c r="I8" s="94">
        <v>120651.27</v>
      </c>
      <c r="J8" s="94">
        <v>0</v>
      </c>
      <c r="L8" t="e">
        <f>#REF!*9.81/1000</f>
        <v>#REF!</v>
      </c>
      <c r="M8">
        <f>MAX(V52:V63)</f>
        <v>17.632000000000001</v>
      </c>
      <c r="P8" s="143" t="s">
        <v>283</v>
      </c>
      <c r="Q8" s="143" t="s">
        <v>254</v>
      </c>
      <c r="R8" s="143" t="s">
        <v>294</v>
      </c>
      <c r="S8" s="143" t="s">
        <v>295</v>
      </c>
      <c r="T8" s="143" t="s">
        <v>296</v>
      </c>
      <c r="U8" s="140">
        <v>5</v>
      </c>
      <c r="V8" s="140">
        <v>0.09</v>
      </c>
      <c r="W8" s="140">
        <v>-5.0000000000000001E-3</v>
      </c>
      <c r="X8" s="140">
        <v>-6.0000000000000002E-6</v>
      </c>
      <c r="Y8" s="143" t="s">
        <v>251</v>
      </c>
      <c r="Z8" s="140">
        <v>4.7389999999999999</v>
      </c>
      <c r="AA8" s="140">
        <v>4.5827999999999998</v>
      </c>
      <c r="AB8" s="140">
        <v>9.1440000000000001</v>
      </c>
      <c r="AD8" s="94"/>
      <c r="AE8" s="94"/>
      <c r="AF8" s="94"/>
      <c r="AH8" s="94"/>
    </row>
    <row r="9" spans="1:37" ht="14.4" x14ac:dyDescent="0.3">
      <c r="A9" s="94" t="s">
        <v>143</v>
      </c>
      <c r="B9" s="94"/>
      <c r="C9" s="94"/>
      <c r="D9" s="94"/>
      <c r="E9" s="112">
        <f>SUM(E4:E8)</f>
        <v>0.23523013377568797</v>
      </c>
      <c r="F9" s="112">
        <f>SUM(F4:F8)</f>
        <v>4.8984428324999998</v>
      </c>
      <c r="G9" s="94"/>
      <c r="H9" s="94"/>
      <c r="I9" s="94">
        <v>6647.78</v>
      </c>
      <c r="J9" s="94">
        <v>0</v>
      </c>
      <c r="L9" t="e">
        <f>#REF!*9.81/1000</f>
        <v>#REF!</v>
      </c>
      <c r="P9" s="143" t="s">
        <v>283</v>
      </c>
      <c r="Q9" s="143" t="s">
        <v>254</v>
      </c>
      <c r="R9" s="143" t="s">
        <v>294</v>
      </c>
      <c r="S9" s="143" t="s">
        <v>295</v>
      </c>
      <c r="T9" s="143" t="s">
        <v>296</v>
      </c>
      <c r="U9" s="140">
        <v>6</v>
      </c>
      <c r="V9" s="140">
        <v>-1.4E-2</v>
      </c>
      <c r="W9" s="140">
        <v>-5.0000000000000001E-3</v>
      </c>
      <c r="X9" s="140">
        <v>-2.3E-5</v>
      </c>
      <c r="Y9" s="143" t="s">
        <v>251</v>
      </c>
      <c r="Z9" s="140">
        <v>4.7389999999999999</v>
      </c>
      <c r="AA9" s="140">
        <v>4.5827999999999998</v>
      </c>
      <c r="AB9" s="140">
        <v>9.1440000000000001</v>
      </c>
      <c r="AD9" s="94"/>
      <c r="AE9" s="94"/>
      <c r="AF9" s="94"/>
      <c r="AG9" s="94"/>
      <c r="AH9" s="94"/>
    </row>
    <row r="10" spans="1:37" ht="14.4" x14ac:dyDescent="0.3">
      <c r="P10" s="143" t="s">
        <v>283</v>
      </c>
      <c r="Q10" s="143" t="s">
        <v>254</v>
      </c>
      <c r="R10" s="143" t="s">
        <v>294</v>
      </c>
      <c r="S10" s="143" t="s">
        <v>295</v>
      </c>
      <c r="T10" s="143" t="s">
        <v>296</v>
      </c>
      <c r="U10" s="140">
        <v>7</v>
      </c>
      <c r="V10" s="140">
        <v>5.0000000000000001E-3</v>
      </c>
      <c r="W10" s="140">
        <v>-5.8000000000000003E-2</v>
      </c>
      <c r="X10" s="140">
        <v>-3.6349999999999999E-7</v>
      </c>
      <c r="Y10" s="143" t="s">
        <v>251</v>
      </c>
      <c r="Z10" s="140">
        <v>4.7389999999999999</v>
      </c>
      <c r="AA10" s="140">
        <v>4.5827999999999998</v>
      </c>
      <c r="AB10" s="140">
        <v>9.1440000000000001</v>
      </c>
    </row>
    <row r="11" spans="1:37" ht="14.4" x14ac:dyDescent="0.3">
      <c r="P11" s="143" t="s">
        <v>283</v>
      </c>
      <c r="Q11" s="143" t="s">
        <v>254</v>
      </c>
      <c r="R11" s="143" t="s">
        <v>294</v>
      </c>
      <c r="S11" s="143" t="s">
        <v>295</v>
      </c>
      <c r="T11" s="143" t="s">
        <v>296</v>
      </c>
      <c r="U11" s="140">
        <v>8</v>
      </c>
      <c r="V11" s="140">
        <v>4.5999999999999999E-2</v>
      </c>
      <c r="W11" s="140">
        <v>7.0000000000000001E-3</v>
      </c>
      <c r="X11" s="140">
        <v>-3.9999999999999998E-6</v>
      </c>
      <c r="Y11" s="143" t="s">
        <v>251</v>
      </c>
      <c r="Z11" s="140">
        <v>4.7389999999999999</v>
      </c>
      <c r="AA11" s="140">
        <v>4.5827999999999998</v>
      </c>
      <c r="AB11" s="140">
        <v>9.1440000000000001</v>
      </c>
      <c r="AD11" s="142" t="s">
        <v>286</v>
      </c>
      <c r="AE11" s="144"/>
      <c r="AF11" s="141"/>
      <c r="AG11" s="141"/>
      <c r="AH11" s="141"/>
      <c r="AI11" s="141"/>
      <c r="AJ11" s="141"/>
    </row>
    <row r="12" spans="1:37" ht="14.4" x14ac:dyDescent="0.3">
      <c r="P12" s="143" t="s">
        <v>283</v>
      </c>
      <c r="Q12" s="143" t="s">
        <v>254</v>
      </c>
      <c r="R12" s="143" t="s">
        <v>294</v>
      </c>
      <c r="S12" s="143" t="s">
        <v>295</v>
      </c>
      <c r="T12" s="143" t="s">
        <v>296</v>
      </c>
      <c r="U12" s="140">
        <v>9</v>
      </c>
      <c r="V12" s="140">
        <v>2.1999999999999999E-2</v>
      </c>
      <c r="W12" s="140">
        <v>-3.0000000000000001E-3</v>
      </c>
      <c r="X12" s="140">
        <v>1.5999999999999999E-5</v>
      </c>
      <c r="Y12" s="143" t="s">
        <v>251</v>
      </c>
      <c r="Z12" s="140">
        <v>4.7389999999999999</v>
      </c>
      <c r="AA12" s="140">
        <v>4.5827999999999998</v>
      </c>
      <c r="AB12" s="140">
        <v>9.1440000000000001</v>
      </c>
      <c r="AD12" s="145" t="s">
        <v>138</v>
      </c>
      <c r="AE12" s="145" t="s">
        <v>268</v>
      </c>
      <c r="AF12" s="147" t="s">
        <v>287</v>
      </c>
      <c r="AG12" s="147" t="s">
        <v>288</v>
      </c>
      <c r="AH12" s="147" t="s">
        <v>289</v>
      </c>
      <c r="AI12" s="147" t="s">
        <v>290</v>
      </c>
      <c r="AJ12" s="147" t="s">
        <v>291</v>
      </c>
    </row>
    <row r="13" spans="1:37" ht="14.4" x14ac:dyDescent="0.3">
      <c r="I13">
        <v>9.81</v>
      </c>
      <c r="P13" s="143" t="s">
        <v>283</v>
      </c>
      <c r="Q13" s="143" t="s">
        <v>254</v>
      </c>
      <c r="R13" s="143" t="s">
        <v>294</v>
      </c>
      <c r="S13" s="143" t="s">
        <v>295</v>
      </c>
      <c r="T13" s="143" t="s">
        <v>296</v>
      </c>
      <c r="U13" s="140">
        <v>10</v>
      </c>
      <c r="V13" s="140">
        <v>1E-3</v>
      </c>
      <c r="W13" s="140">
        <v>-4.5540000000000001E-4</v>
      </c>
      <c r="X13" s="140">
        <v>-6.4830000000000005E-8</v>
      </c>
      <c r="Y13" s="143" t="s">
        <v>251</v>
      </c>
      <c r="Z13" s="140">
        <v>4.7389999999999999</v>
      </c>
      <c r="AA13" s="140">
        <v>4.5827999999999998</v>
      </c>
      <c r="AB13" s="140">
        <v>9.1440000000000001</v>
      </c>
      <c r="AD13" s="146" t="s">
        <v>250</v>
      </c>
      <c r="AE13" s="146" t="s">
        <v>250</v>
      </c>
      <c r="AF13" s="148" t="s">
        <v>280</v>
      </c>
      <c r="AG13" s="148" t="s">
        <v>280</v>
      </c>
      <c r="AH13" s="148" t="s">
        <v>292</v>
      </c>
      <c r="AI13" s="148" t="s">
        <v>31</v>
      </c>
      <c r="AJ13" s="148" t="s">
        <v>31</v>
      </c>
    </row>
    <row r="14" spans="1:37" ht="14.4" x14ac:dyDescent="0.3">
      <c r="B14" t="s">
        <v>293</v>
      </c>
      <c r="C14">
        <f>2*3.14*SQRT(E9/(9.81*F9))</f>
        <v>0.4393823383976298</v>
      </c>
      <c r="I14">
        <v>5</v>
      </c>
      <c r="P14" s="143" t="s">
        <v>283</v>
      </c>
      <c r="Q14" s="143" t="s">
        <v>254</v>
      </c>
      <c r="R14" s="143" t="s">
        <v>294</v>
      </c>
      <c r="S14" s="143" t="s">
        <v>295</v>
      </c>
      <c r="T14" s="143" t="s">
        <v>296</v>
      </c>
      <c r="U14" s="140">
        <v>11</v>
      </c>
      <c r="V14" s="140">
        <v>1E-3</v>
      </c>
      <c r="W14" s="140">
        <v>-1.4889999999999999E-4</v>
      </c>
      <c r="X14" s="140">
        <v>-4.4250000000000002E-8</v>
      </c>
      <c r="Y14" s="143" t="s">
        <v>251</v>
      </c>
      <c r="Z14" s="140">
        <v>4.7389999999999999</v>
      </c>
      <c r="AA14" s="140">
        <v>4.5827999999999998</v>
      </c>
      <c r="AB14" s="140">
        <v>9.1440000000000001</v>
      </c>
      <c r="AD14" s="143" t="s">
        <v>283</v>
      </c>
      <c r="AE14" s="143" t="s">
        <v>254</v>
      </c>
      <c r="AF14" s="140">
        <v>26554.71</v>
      </c>
      <c r="AG14" s="140">
        <v>26554.71</v>
      </c>
      <c r="AH14" s="140">
        <v>520.70190000000002</v>
      </c>
      <c r="AI14" s="140">
        <v>4.7389999999999999</v>
      </c>
      <c r="AJ14" s="140">
        <v>4.5827999999999998</v>
      </c>
      <c r="AK14">
        <f>AF14*9.81/1000</f>
        <v>260.50170509999998</v>
      </c>
    </row>
    <row r="15" spans="1:37" ht="14.4" x14ac:dyDescent="0.3">
      <c r="P15" s="143" t="s">
        <v>283</v>
      </c>
      <c r="Q15" s="143" t="s">
        <v>254</v>
      </c>
      <c r="R15" s="143" t="s">
        <v>294</v>
      </c>
      <c r="S15" s="143" t="s">
        <v>295</v>
      </c>
      <c r="T15" s="143" t="s">
        <v>296</v>
      </c>
      <c r="U15" s="140">
        <v>12</v>
      </c>
      <c r="V15" s="140">
        <v>1E-3</v>
      </c>
      <c r="W15" s="140">
        <v>6.4770000000000005E-5</v>
      </c>
      <c r="X15" s="140">
        <v>7.8619999999999995E-9</v>
      </c>
      <c r="Y15" s="143" t="s">
        <v>251</v>
      </c>
      <c r="Z15" s="140">
        <v>4.7389999999999999</v>
      </c>
      <c r="AA15" s="140">
        <v>4.5827999999999998</v>
      </c>
      <c r="AB15" s="140">
        <v>9.1440000000000001</v>
      </c>
      <c r="AD15" s="143" t="s">
        <v>284</v>
      </c>
      <c r="AE15" s="143" t="s">
        <v>253</v>
      </c>
      <c r="AF15" s="140">
        <v>72911.210000000006</v>
      </c>
      <c r="AG15" s="140">
        <v>72911.210000000006</v>
      </c>
      <c r="AH15" s="140">
        <v>1661.4339</v>
      </c>
      <c r="AI15" s="140">
        <v>4.9368999999999996</v>
      </c>
      <c r="AJ15" s="140">
        <v>5.2102000000000004</v>
      </c>
      <c r="AK15">
        <f>AF15*9.81/1000</f>
        <v>715.25897010000017</v>
      </c>
    </row>
    <row r="16" spans="1:37" ht="14.4" x14ac:dyDescent="0.3">
      <c r="I16" t="e">
        <f>2*3.14*SQRT((L7*M7^2+L6*M6^2+L5*M5^2+L4*M4^2+L8*M8^2)/(9.81*(AG7*M7+AG6*M6+AG5*M5+AG4*M4+AG8*M8)))</f>
        <v>#REF!</v>
      </c>
      <c r="P16" s="143" t="s">
        <v>283</v>
      </c>
      <c r="Q16" s="143" t="s">
        <v>254</v>
      </c>
      <c r="R16" s="143" t="s">
        <v>297</v>
      </c>
      <c r="S16" s="143" t="s">
        <v>149</v>
      </c>
      <c r="T16" s="140"/>
      <c r="U16" s="140"/>
      <c r="V16" s="140">
        <v>0.14299999999999999</v>
      </c>
      <c r="W16" s="140">
        <v>0.151</v>
      </c>
      <c r="X16" s="140">
        <v>-1.1E-5</v>
      </c>
      <c r="Y16" s="143" t="s">
        <v>251</v>
      </c>
      <c r="Z16" s="140">
        <v>4.7389999999999999</v>
      </c>
      <c r="AA16" s="140">
        <v>4.5827999999999998</v>
      </c>
      <c r="AB16" s="140">
        <v>9.1440000000000001</v>
      </c>
      <c r="AD16" s="143" t="s">
        <v>285</v>
      </c>
      <c r="AE16" s="143" t="s">
        <v>252</v>
      </c>
      <c r="AF16" s="140">
        <v>96085.41</v>
      </c>
      <c r="AG16" s="140">
        <v>96085.41</v>
      </c>
      <c r="AH16" s="140">
        <v>2640.2229000000002</v>
      </c>
      <c r="AI16" s="140">
        <v>5.2347000000000001</v>
      </c>
      <c r="AJ16" s="140">
        <v>4.7350000000000003</v>
      </c>
      <c r="AK16">
        <f>AF16*9.81/1000</f>
        <v>942.59787210000002</v>
      </c>
    </row>
    <row r="17" spans="16:36" ht="14.4" x14ac:dyDescent="0.3">
      <c r="P17" s="143" t="s">
        <v>283</v>
      </c>
      <c r="Q17" s="143" t="s">
        <v>254</v>
      </c>
      <c r="R17" s="143" t="s">
        <v>298</v>
      </c>
      <c r="S17" s="143" t="s">
        <v>149</v>
      </c>
      <c r="T17" s="140"/>
      <c r="U17" s="140"/>
      <c r="V17" s="140">
        <v>1.6E-2</v>
      </c>
      <c r="W17" s="140">
        <v>0.52200000000000002</v>
      </c>
      <c r="X17" s="140">
        <v>1.2E-5</v>
      </c>
      <c r="Y17" s="143" t="s">
        <v>251</v>
      </c>
      <c r="Z17" s="140">
        <v>4.7389999999999999</v>
      </c>
      <c r="AA17" s="140">
        <v>4.5827999999999998</v>
      </c>
      <c r="AB17" s="140">
        <v>9.1440000000000001</v>
      </c>
      <c r="AD17" s="101"/>
      <c r="AE17" s="101"/>
      <c r="AF17" s="111"/>
      <c r="AG17" s="111"/>
      <c r="AH17" s="111"/>
      <c r="AI17" s="111"/>
      <c r="AJ17" s="111"/>
    </row>
    <row r="18" spans="16:36" ht="14.4" x14ac:dyDescent="0.3">
      <c r="P18" s="143" t="s">
        <v>283</v>
      </c>
      <c r="Q18" s="143" t="s">
        <v>254</v>
      </c>
      <c r="R18" s="143" t="s">
        <v>299</v>
      </c>
      <c r="S18" s="143" t="s">
        <v>149</v>
      </c>
      <c r="T18" s="140"/>
      <c r="U18" s="140"/>
      <c r="V18" s="140">
        <v>-0.23400000000000001</v>
      </c>
      <c r="W18" s="140">
        <v>-0.77700000000000002</v>
      </c>
      <c r="X18" s="140">
        <v>-5.8E-5</v>
      </c>
      <c r="Y18" s="143" t="s">
        <v>251</v>
      </c>
      <c r="Z18" s="140">
        <v>4.7389999999999999</v>
      </c>
      <c r="AA18" s="140">
        <v>4.5827999999999998</v>
      </c>
      <c r="AB18" s="140">
        <v>9.1440000000000001</v>
      </c>
      <c r="AD18" s="101"/>
      <c r="AE18" s="101"/>
      <c r="AF18" s="111"/>
      <c r="AG18" s="111"/>
      <c r="AH18" s="111"/>
      <c r="AI18" s="111"/>
      <c r="AJ18" s="111"/>
    </row>
    <row r="19" spans="16:36" ht="14.4" x14ac:dyDescent="0.3">
      <c r="P19" s="143" t="s">
        <v>283</v>
      </c>
      <c r="Q19" s="143" t="s">
        <v>254</v>
      </c>
      <c r="R19" s="143" t="s">
        <v>300</v>
      </c>
      <c r="S19" s="143" t="s">
        <v>149</v>
      </c>
      <c r="T19" s="140"/>
      <c r="U19" s="140"/>
      <c r="V19" s="140">
        <v>4.5999999999999999E-2</v>
      </c>
      <c r="W19" s="140">
        <v>-7.2999999999999995E-2</v>
      </c>
      <c r="X19" s="140">
        <v>-6.0000000000000002E-6</v>
      </c>
      <c r="Y19" s="143" t="s">
        <v>251</v>
      </c>
      <c r="Z19" s="140">
        <v>4.7389999999999999</v>
      </c>
      <c r="AA19" s="140">
        <v>4.5827999999999998</v>
      </c>
      <c r="AB19" s="140">
        <v>9.1440000000000001</v>
      </c>
    </row>
    <row r="20" spans="16:36" ht="14.4" x14ac:dyDescent="0.3">
      <c r="P20" s="143" t="s">
        <v>283</v>
      </c>
      <c r="Q20" s="143" t="s">
        <v>254</v>
      </c>
      <c r="R20" s="143" t="s">
        <v>301</v>
      </c>
      <c r="S20" s="143" t="s">
        <v>149</v>
      </c>
      <c r="T20" s="140"/>
      <c r="U20" s="140"/>
      <c r="V20" s="140">
        <v>3.3000000000000002E-2</v>
      </c>
      <c r="W20" s="140">
        <v>0.10199999999999999</v>
      </c>
      <c r="X20" s="140">
        <v>-4.9689999999999996E-7</v>
      </c>
      <c r="Y20" s="143" t="s">
        <v>251</v>
      </c>
      <c r="Z20" s="140">
        <v>4.7389999999999999</v>
      </c>
      <c r="AA20" s="140">
        <v>4.5827999999999998</v>
      </c>
      <c r="AB20" s="140">
        <v>9.1440000000000001</v>
      </c>
    </row>
    <row r="21" spans="16:36" ht="14.4" x14ac:dyDescent="0.3">
      <c r="P21" s="143" t="s">
        <v>283</v>
      </c>
      <c r="Q21" s="143" t="s">
        <v>254</v>
      </c>
      <c r="R21" s="143" t="s">
        <v>148</v>
      </c>
      <c r="S21" s="143" t="s">
        <v>149</v>
      </c>
      <c r="T21" s="143" t="s">
        <v>320</v>
      </c>
      <c r="U21" s="140">
        <v>1</v>
      </c>
      <c r="V21" s="140">
        <v>17.523</v>
      </c>
      <c r="W21" s="140">
        <v>0.55500000000000005</v>
      </c>
      <c r="X21" s="140">
        <v>-4.2200000000000001E-4</v>
      </c>
      <c r="Y21" s="143" t="s">
        <v>251</v>
      </c>
      <c r="Z21" s="140">
        <v>4.7389999999999999</v>
      </c>
      <c r="AA21" s="140">
        <v>4.5827999999999998</v>
      </c>
      <c r="AB21" s="140">
        <v>9.1440000000000001</v>
      </c>
    </row>
    <row r="22" spans="16:36" ht="14.4" x14ac:dyDescent="0.3">
      <c r="P22" s="143" t="s">
        <v>283</v>
      </c>
      <c r="Q22" s="143" t="s">
        <v>254</v>
      </c>
      <c r="R22" s="143" t="s">
        <v>148</v>
      </c>
      <c r="S22" s="143" t="s">
        <v>149</v>
      </c>
      <c r="T22" s="143" t="s">
        <v>320</v>
      </c>
      <c r="U22" s="140">
        <v>2</v>
      </c>
      <c r="V22" s="140">
        <v>17.658000000000001</v>
      </c>
      <c r="W22" s="140">
        <v>4.7E-2</v>
      </c>
      <c r="X22" s="140">
        <v>4.0000000000000002E-4</v>
      </c>
      <c r="Y22" s="143" t="s">
        <v>251</v>
      </c>
      <c r="Z22" s="140">
        <v>4.7389999999999999</v>
      </c>
      <c r="AA22" s="140">
        <v>4.5827999999999998</v>
      </c>
      <c r="AB22" s="140">
        <v>9.1440000000000001</v>
      </c>
    </row>
    <row r="23" spans="16:36" ht="14.4" x14ac:dyDescent="0.3">
      <c r="P23" s="143" t="s">
        <v>283</v>
      </c>
      <c r="Q23" s="143" t="s">
        <v>254</v>
      </c>
      <c r="R23" s="143" t="s">
        <v>150</v>
      </c>
      <c r="S23" s="143" t="s">
        <v>149</v>
      </c>
      <c r="T23" s="143" t="s">
        <v>320</v>
      </c>
      <c r="U23" s="140">
        <v>1</v>
      </c>
      <c r="V23" s="140">
        <v>0.157</v>
      </c>
      <c r="W23" s="140">
        <v>24.913</v>
      </c>
      <c r="X23" s="140">
        <v>1.5200000000000001E-4</v>
      </c>
      <c r="Y23" s="143" t="s">
        <v>251</v>
      </c>
      <c r="Z23" s="140">
        <v>4.7389999999999999</v>
      </c>
      <c r="AA23" s="140">
        <v>4.5827999999999998</v>
      </c>
      <c r="AB23" s="140">
        <v>9.1440000000000001</v>
      </c>
    </row>
    <row r="24" spans="16:36" ht="14.4" x14ac:dyDescent="0.3">
      <c r="P24" s="143" t="s">
        <v>283</v>
      </c>
      <c r="Q24" s="143" t="s">
        <v>254</v>
      </c>
      <c r="R24" s="143" t="s">
        <v>150</v>
      </c>
      <c r="S24" s="143" t="s">
        <v>149</v>
      </c>
      <c r="T24" s="143" t="s">
        <v>320</v>
      </c>
      <c r="U24" s="140">
        <v>2</v>
      </c>
      <c r="V24" s="140">
        <v>-3.1E-2</v>
      </c>
      <c r="W24" s="140">
        <v>25.565000000000001</v>
      </c>
      <c r="X24" s="140">
        <v>-8.5599999999999999E-4</v>
      </c>
      <c r="Y24" s="143" t="s">
        <v>251</v>
      </c>
      <c r="Z24" s="140">
        <v>4.7389999999999999</v>
      </c>
      <c r="AA24" s="140">
        <v>4.5827999999999998</v>
      </c>
      <c r="AB24" s="140">
        <v>9.1440000000000001</v>
      </c>
    </row>
    <row r="25" spans="16:36" ht="14.4" x14ac:dyDescent="0.3">
      <c r="P25" s="143" t="s">
        <v>283</v>
      </c>
      <c r="Q25" s="143" t="s">
        <v>254</v>
      </c>
      <c r="R25" s="143" t="s">
        <v>151</v>
      </c>
      <c r="S25" s="143" t="s">
        <v>149</v>
      </c>
      <c r="T25" s="143" t="s">
        <v>320</v>
      </c>
      <c r="U25" s="140">
        <v>1</v>
      </c>
      <c r="V25" s="140">
        <v>0.151</v>
      </c>
      <c r="W25" s="140">
        <v>23.907</v>
      </c>
      <c r="X25" s="140">
        <v>1.46E-4</v>
      </c>
      <c r="Y25" s="143" t="s">
        <v>251</v>
      </c>
      <c r="Z25" s="140">
        <v>4.7389999999999999</v>
      </c>
      <c r="AA25" s="140">
        <v>4.5827999999999998</v>
      </c>
      <c r="AB25" s="140">
        <v>9.1440000000000001</v>
      </c>
    </row>
    <row r="26" spans="16:36" ht="14.4" x14ac:dyDescent="0.3">
      <c r="P26" s="143" t="s">
        <v>283</v>
      </c>
      <c r="Q26" s="143" t="s">
        <v>254</v>
      </c>
      <c r="R26" s="143" t="s">
        <v>151</v>
      </c>
      <c r="S26" s="143" t="s">
        <v>149</v>
      </c>
      <c r="T26" s="143" t="s">
        <v>320</v>
      </c>
      <c r="U26" s="140">
        <v>2</v>
      </c>
      <c r="V26" s="140">
        <v>-0.03</v>
      </c>
      <c r="W26" s="140">
        <v>24.533000000000001</v>
      </c>
      <c r="X26" s="140">
        <v>-8.2100000000000001E-4</v>
      </c>
      <c r="Y26" s="143" t="s">
        <v>251</v>
      </c>
      <c r="Z26" s="140">
        <v>4.7389999999999999</v>
      </c>
      <c r="AA26" s="140">
        <v>4.5827999999999998</v>
      </c>
      <c r="AB26" s="140">
        <v>9.1440000000000001</v>
      </c>
    </row>
    <row r="27" spans="16:36" ht="14.4" x14ac:dyDescent="0.3">
      <c r="P27" s="143" t="s">
        <v>283</v>
      </c>
      <c r="Q27" s="143" t="s">
        <v>254</v>
      </c>
      <c r="R27" s="143" t="s">
        <v>152</v>
      </c>
      <c r="S27" s="143" t="s">
        <v>149</v>
      </c>
      <c r="T27" s="143" t="s">
        <v>320</v>
      </c>
      <c r="U27" s="140">
        <v>1</v>
      </c>
      <c r="V27" s="140">
        <v>16.815999999999999</v>
      </c>
      <c r="W27" s="140">
        <v>0.53300000000000003</v>
      </c>
      <c r="X27" s="140">
        <v>-4.0499999999999998E-4</v>
      </c>
      <c r="Y27" s="143" t="s">
        <v>251</v>
      </c>
      <c r="Z27" s="140">
        <v>4.7389999999999999</v>
      </c>
      <c r="AA27" s="140">
        <v>4.5827999999999998</v>
      </c>
      <c r="AB27" s="140">
        <v>9.1440000000000001</v>
      </c>
    </row>
    <row r="28" spans="16:36" ht="14.4" x14ac:dyDescent="0.3">
      <c r="P28" s="143" t="s">
        <v>283</v>
      </c>
      <c r="Q28" s="143" t="s">
        <v>254</v>
      </c>
      <c r="R28" s="143" t="s">
        <v>152</v>
      </c>
      <c r="S28" s="143" t="s">
        <v>149</v>
      </c>
      <c r="T28" s="143" t="s">
        <v>320</v>
      </c>
      <c r="U28" s="140">
        <v>2</v>
      </c>
      <c r="V28" s="140">
        <v>16.945</v>
      </c>
      <c r="W28" s="140">
        <v>4.4999999999999998E-2</v>
      </c>
      <c r="X28" s="140">
        <v>3.8400000000000001E-4</v>
      </c>
      <c r="Y28" s="143" t="s">
        <v>251</v>
      </c>
      <c r="Z28" s="140">
        <v>4.7389999999999999</v>
      </c>
      <c r="AA28" s="140">
        <v>4.5827999999999998</v>
      </c>
      <c r="AB28" s="140">
        <v>9.1440000000000001</v>
      </c>
    </row>
    <row r="29" spans="16:36" ht="14.4" x14ac:dyDescent="0.3">
      <c r="P29" s="143" t="s">
        <v>283</v>
      </c>
      <c r="Q29" s="143" t="s">
        <v>254</v>
      </c>
      <c r="R29" s="143" t="s">
        <v>153</v>
      </c>
      <c r="S29" s="143" t="s">
        <v>154</v>
      </c>
      <c r="T29" s="143" t="s">
        <v>155</v>
      </c>
      <c r="U29" s="140"/>
      <c r="V29" s="140">
        <v>17.937000000000001</v>
      </c>
      <c r="W29" s="140">
        <v>1.0049999999999999</v>
      </c>
      <c r="X29" s="140">
        <v>5.5000000000000003E-4</v>
      </c>
      <c r="Y29" s="143" t="s">
        <v>251</v>
      </c>
      <c r="Z29" s="140">
        <v>4.7389999999999999</v>
      </c>
      <c r="AA29" s="140">
        <v>4.5827999999999998</v>
      </c>
      <c r="AB29" s="140">
        <v>9.1440000000000001</v>
      </c>
    </row>
    <row r="30" spans="16:36" ht="14.4" x14ac:dyDescent="0.3">
      <c r="P30" s="143" t="s">
        <v>283</v>
      </c>
      <c r="Q30" s="143" t="s">
        <v>254</v>
      </c>
      <c r="R30" s="143" t="s">
        <v>156</v>
      </c>
      <c r="S30" s="143" t="s">
        <v>154</v>
      </c>
      <c r="T30" s="143" t="s">
        <v>155</v>
      </c>
      <c r="U30" s="140"/>
      <c r="V30" s="140">
        <v>0.72399999999999998</v>
      </c>
      <c r="W30" s="140">
        <v>26.181000000000001</v>
      </c>
      <c r="X30" s="140">
        <v>1.6119999999999999E-3</v>
      </c>
      <c r="Y30" s="143" t="s">
        <v>251</v>
      </c>
      <c r="Z30" s="140">
        <v>4.7389999999999999</v>
      </c>
      <c r="AA30" s="140">
        <v>4.5827999999999998</v>
      </c>
      <c r="AB30" s="140">
        <v>9.1440000000000001</v>
      </c>
    </row>
    <row r="31" spans="16:36" ht="14.4" x14ac:dyDescent="0.3">
      <c r="P31" s="143" t="s">
        <v>283</v>
      </c>
      <c r="Q31" s="143" t="s">
        <v>254</v>
      </c>
      <c r="R31" s="143" t="s">
        <v>157</v>
      </c>
      <c r="S31" s="143" t="s">
        <v>154</v>
      </c>
      <c r="T31" s="143" t="s">
        <v>155</v>
      </c>
      <c r="U31" s="140"/>
      <c r="V31" s="140">
        <v>17.213000000000001</v>
      </c>
      <c r="W31" s="140">
        <v>0.96499999999999997</v>
      </c>
      <c r="X31" s="140">
        <v>5.2700000000000002E-4</v>
      </c>
      <c r="Y31" s="143" t="s">
        <v>251</v>
      </c>
      <c r="Z31" s="140">
        <v>4.7389999999999999</v>
      </c>
      <c r="AA31" s="140">
        <v>4.5827999999999998</v>
      </c>
      <c r="AB31" s="140">
        <v>9.1440000000000001</v>
      </c>
    </row>
    <row r="32" spans="16:36" ht="14.4" x14ac:dyDescent="0.3">
      <c r="P32" s="143" t="s">
        <v>283</v>
      </c>
      <c r="Q32" s="143" t="s">
        <v>254</v>
      </c>
      <c r="R32" s="143" t="s">
        <v>158</v>
      </c>
      <c r="S32" s="143" t="s">
        <v>154</v>
      </c>
      <c r="T32" s="143" t="s">
        <v>155</v>
      </c>
      <c r="U32" s="140"/>
      <c r="V32" s="140">
        <v>0.69499999999999995</v>
      </c>
      <c r="W32" s="140">
        <v>25.123999999999999</v>
      </c>
      <c r="X32" s="140">
        <v>1.547E-3</v>
      </c>
      <c r="Y32" s="143" t="s">
        <v>251</v>
      </c>
      <c r="Z32" s="140">
        <v>4.7389999999999999</v>
      </c>
      <c r="AA32" s="140">
        <v>4.5827999999999998</v>
      </c>
      <c r="AB32" s="140">
        <v>9.1440000000000001</v>
      </c>
    </row>
    <row r="33" spans="16:28" ht="14.4" x14ac:dyDescent="0.3">
      <c r="P33" s="143" t="s">
        <v>283</v>
      </c>
      <c r="Q33" s="143" t="s">
        <v>254</v>
      </c>
      <c r="R33" s="143" t="s">
        <v>321</v>
      </c>
      <c r="S33" s="143" t="s">
        <v>149</v>
      </c>
      <c r="T33" s="140"/>
      <c r="U33" s="140"/>
      <c r="V33" s="140">
        <v>1.4E-2</v>
      </c>
      <c r="W33" s="140">
        <v>0.185</v>
      </c>
      <c r="X33" s="140">
        <v>3.9999999999999998E-6</v>
      </c>
      <c r="Y33" s="143" t="s">
        <v>251</v>
      </c>
      <c r="Z33" s="140">
        <v>4.7389999999999999</v>
      </c>
      <c r="AA33" s="140">
        <v>4.5827999999999998</v>
      </c>
      <c r="AB33" s="140">
        <v>9.1440000000000001</v>
      </c>
    </row>
    <row r="34" spans="16:28" ht="14.4" x14ac:dyDescent="0.3">
      <c r="P34" s="143" t="s">
        <v>283</v>
      </c>
      <c r="Q34" s="143" t="s">
        <v>254</v>
      </c>
      <c r="R34" s="143" t="s">
        <v>302</v>
      </c>
      <c r="S34" s="143" t="s">
        <v>303</v>
      </c>
      <c r="T34" s="140"/>
      <c r="U34" s="140"/>
      <c r="V34" s="140">
        <v>-4.3999999999999997E-2</v>
      </c>
      <c r="W34" s="140">
        <v>-0.34</v>
      </c>
      <c r="X34" s="140">
        <v>-6.6000000000000005E-5</v>
      </c>
      <c r="Y34" s="143" t="s">
        <v>251</v>
      </c>
      <c r="Z34" s="140">
        <v>4.7389999999999999</v>
      </c>
      <c r="AA34" s="140">
        <v>4.5827999999999998</v>
      </c>
      <c r="AB34" s="140">
        <v>9.1440000000000001</v>
      </c>
    </row>
    <row r="35" spans="16:28" ht="14.4" x14ac:dyDescent="0.3">
      <c r="P35" s="143" t="s">
        <v>283</v>
      </c>
      <c r="Q35" s="143" t="s">
        <v>254</v>
      </c>
      <c r="R35" s="143" t="s">
        <v>304</v>
      </c>
      <c r="S35" s="143" t="s">
        <v>303</v>
      </c>
      <c r="T35" s="140"/>
      <c r="U35" s="140"/>
      <c r="V35" s="140">
        <v>6.2E-2</v>
      </c>
      <c r="W35" s="140">
        <v>0.44900000000000001</v>
      </c>
      <c r="X35" s="140">
        <v>6.0000000000000002E-6</v>
      </c>
      <c r="Y35" s="143" t="s">
        <v>251</v>
      </c>
      <c r="Z35" s="140">
        <v>4.7389999999999999</v>
      </c>
      <c r="AA35" s="140">
        <v>4.5827999999999998</v>
      </c>
      <c r="AB35" s="140">
        <v>9.1440000000000001</v>
      </c>
    </row>
    <row r="36" spans="16:28" ht="14.4" x14ac:dyDescent="0.3">
      <c r="P36" s="143" t="s">
        <v>283</v>
      </c>
      <c r="Q36" s="143" t="s">
        <v>254</v>
      </c>
      <c r="R36" s="143" t="s">
        <v>177</v>
      </c>
      <c r="S36" s="143" t="s">
        <v>303</v>
      </c>
      <c r="T36" s="140"/>
      <c r="U36" s="140"/>
      <c r="V36" s="140">
        <v>0.04</v>
      </c>
      <c r="W36" s="140">
        <v>0.26600000000000001</v>
      </c>
      <c r="X36" s="140">
        <v>-7.1000000000000005E-5</v>
      </c>
      <c r="Y36" s="143" t="s">
        <v>251</v>
      </c>
      <c r="Z36" s="140">
        <v>4.7389999999999999</v>
      </c>
      <c r="AA36" s="140">
        <v>4.5827999999999998</v>
      </c>
      <c r="AB36" s="140">
        <v>9.1440000000000001</v>
      </c>
    </row>
    <row r="37" spans="16:28" ht="14.4" x14ac:dyDescent="0.3">
      <c r="P37" s="143" t="s">
        <v>283</v>
      </c>
      <c r="Q37" s="143" t="s">
        <v>254</v>
      </c>
      <c r="R37" s="143" t="s">
        <v>305</v>
      </c>
      <c r="S37" s="143" t="s">
        <v>303</v>
      </c>
      <c r="T37" s="143" t="s">
        <v>155</v>
      </c>
      <c r="U37" s="140"/>
      <c r="V37" s="140">
        <v>-17.548999999999999</v>
      </c>
      <c r="W37" s="140">
        <v>-0.252</v>
      </c>
      <c r="X37" s="140">
        <v>3.57E-4</v>
      </c>
      <c r="Y37" s="143" t="s">
        <v>251</v>
      </c>
      <c r="Z37" s="140">
        <v>4.7389999999999999</v>
      </c>
      <c r="AA37" s="140">
        <v>4.5827999999999998</v>
      </c>
      <c r="AB37" s="140">
        <v>9.1440000000000001</v>
      </c>
    </row>
    <row r="38" spans="16:28" ht="14.4" x14ac:dyDescent="0.3">
      <c r="P38" s="143" t="s">
        <v>283</v>
      </c>
      <c r="Q38" s="143" t="s">
        <v>254</v>
      </c>
      <c r="R38" s="143" t="s">
        <v>305</v>
      </c>
      <c r="S38" s="143" t="s">
        <v>303</v>
      </c>
      <c r="T38" s="143" t="s">
        <v>308</v>
      </c>
      <c r="U38" s="140"/>
      <c r="V38" s="140">
        <v>-17.684000000000001</v>
      </c>
      <c r="W38" s="140">
        <v>-0.76</v>
      </c>
      <c r="X38" s="140">
        <v>-4.64E-4</v>
      </c>
      <c r="Y38" s="143" t="s">
        <v>251</v>
      </c>
      <c r="Z38" s="140">
        <v>4.7389999999999999</v>
      </c>
      <c r="AA38" s="140">
        <v>4.5827999999999998</v>
      </c>
      <c r="AB38" s="140">
        <v>9.1440000000000001</v>
      </c>
    </row>
    <row r="39" spans="16:28" ht="14.4" x14ac:dyDescent="0.3">
      <c r="P39" s="143" t="s">
        <v>283</v>
      </c>
      <c r="Q39" s="143" t="s">
        <v>254</v>
      </c>
      <c r="R39" s="143" t="s">
        <v>306</v>
      </c>
      <c r="S39" s="143" t="s">
        <v>303</v>
      </c>
      <c r="T39" s="143" t="s">
        <v>155</v>
      </c>
      <c r="U39" s="140"/>
      <c r="V39" s="140">
        <v>16.920000000000002</v>
      </c>
      <c r="W39" s="140">
        <v>0.32800000000000001</v>
      </c>
      <c r="X39" s="140">
        <v>3.19E-4</v>
      </c>
      <c r="Y39" s="143" t="s">
        <v>251</v>
      </c>
      <c r="Z39" s="140">
        <v>4.7389999999999999</v>
      </c>
      <c r="AA39" s="140">
        <v>4.5827999999999998</v>
      </c>
      <c r="AB39" s="140">
        <v>9.1440000000000001</v>
      </c>
    </row>
    <row r="40" spans="16:28" ht="14.4" x14ac:dyDescent="0.3">
      <c r="P40" s="143" t="s">
        <v>283</v>
      </c>
      <c r="Q40" s="143" t="s">
        <v>254</v>
      </c>
      <c r="R40" s="143" t="s">
        <v>306</v>
      </c>
      <c r="S40" s="143" t="s">
        <v>303</v>
      </c>
      <c r="T40" s="143" t="s">
        <v>308</v>
      </c>
      <c r="U40" s="140"/>
      <c r="V40" s="140">
        <v>16.79</v>
      </c>
      <c r="W40" s="140">
        <v>-0.16</v>
      </c>
      <c r="X40" s="140">
        <v>-4.6900000000000002E-4</v>
      </c>
      <c r="Y40" s="143" t="s">
        <v>251</v>
      </c>
      <c r="Z40" s="140">
        <v>4.7389999999999999</v>
      </c>
      <c r="AA40" s="140">
        <v>4.5827999999999998</v>
      </c>
      <c r="AB40" s="140">
        <v>9.1440000000000001</v>
      </c>
    </row>
    <row r="41" spans="16:28" ht="14.4" x14ac:dyDescent="0.3">
      <c r="P41" s="143" t="s">
        <v>283</v>
      </c>
      <c r="Q41" s="143" t="s">
        <v>254</v>
      </c>
      <c r="R41" s="143" t="s">
        <v>307</v>
      </c>
      <c r="S41" s="143" t="s">
        <v>303</v>
      </c>
      <c r="T41" s="143" t="s">
        <v>155</v>
      </c>
      <c r="U41" s="140"/>
      <c r="V41" s="140">
        <v>17.911000000000001</v>
      </c>
      <c r="W41" s="140">
        <v>0.8</v>
      </c>
      <c r="X41" s="140">
        <v>4.8500000000000003E-4</v>
      </c>
      <c r="Y41" s="143" t="s">
        <v>251</v>
      </c>
      <c r="Z41" s="140">
        <v>4.7389999999999999</v>
      </c>
      <c r="AA41" s="140">
        <v>4.5827999999999998</v>
      </c>
      <c r="AB41" s="140">
        <v>9.1440000000000001</v>
      </c>
    </row>
    <row r="42" spans="16:28" ht="14.4" x14ac:dyDescent="0.3">
      <c r="P42" s="143" t="s">
        <v>283</v>
      </c>
      <c r="Q42" s="143" t="s">
        <v>254</v>
      </c>
      <c r="R42" s="143" t="s">
        <v>307</v>
      </c>
      <c r="S42" s="143" t="s">
        <v>303</v>
      </c>
      <c r="T42" s="143" t="s">
        <v>308</v>
      </c>
      <c r="U42" s="140"/>
      <c r="V42" s="140">
        <v>-17.962</v>
      </c>
      <c r="W42" s="140">
        <v>-1.21</v>
      </c>
      <c r="X42" s="140">
        <v>-6.1399999999999996E-4</v>
      </c>
      <c r="Y42" s="143" t="s">
        <v>251</v>
      </c>
      <c r="Z42" s="140">
        <v>4.7389999999999999</v>
      </c>
      <c r="AA42" s="140">
        <v>4.5827999999999998</v>
      </c>
      <c r="AB42" s="140">
        <v>9.1440000000000001</v>
      </c>
    </row>
    <row r="43" spans="16:28" ht="14.4" x14ac:dyDescent="0.3">
      <c r="P43" s="143" t="s">
        <v>283</v>
      </c>
      <c r="Q43" s="143" t="s">
        <v>254</v>
      </c>
      <c r="R43" s="143" t="s">
        <v>309</v>
      </c>
      <c r="S43" s="143" t="s">
        <v>303</v>
      </c>
      <c r="T43" s="143" t="s">
        <v>155</v>
      </c>
      <c r="U43" s="140"/>
      <c r="V43" s="140">
        <v>0.69799999999999995</v>
      </c>
      <c r="W43" s="140">
        <v>25.975999999999999</v>
      </c>
      <c r="X43" s="140">
        <v>1.5479999999999999E-3</v>
      </c>
      <c r="Y43" s="143" t="s">
        <v>251</v>
      </c>
      <c r="Z43" s="140">
        <v>4.7389999999999999</v>
      </c>
      <c r="AA43" s="140">
        <v>4.5827999999999998</v>
      </c>
      <c r="AB43" s="140">
        <v>9.1440000000000001</v>
      </c>
    </row>
    <row r="44" spans="16:28" ht="14.4" x14ac:dyDescent="0.3">
      <c r="P44" s="143" t="s">
        <v>283</v>
      </c>
      <c r="Q44" s="143" t="s">
        <v>254</v>
      </c>
      <c r="R44" s="143" t="s">
        <v>309</v>
      </c>
      <c r="S44" s="143" t="s">
        <v>303</v>
      </c>
      <c r="T44" s="143" t="s">
        <v>308</v>
      </c>
      <c r="U44" s="140"/>
      <c r="V44" s="140">
        <v>-0.749</v>
      </c>
      <c r="W44" s="140">
        <v>-26.385999999999999</v>
      </c>
      <c r="X44" s="140">
        <v>-1.676E-3</v>
      </c>
      <c r="Y44" s="143" t="s">
        <v>251</v>
      </c>
      <c r="Z44" s="140">
        <v>4.7389999999999999</v>
      </c>
      <c r="AA44" s="140">
        <v>4.5827999999999998</v>
      </c>
      <c r="AB44" s="140">
        <v>9.1440000000000001</v>
      </c>
    </row>
    <row r="45" spans="16:28" ht="14.4" x14ac:dyDescent="0.3">
      <c r="P45" s="143" t="s">
        <v>283</v>
      </c>
      <c r="Q45" s="143" t="s">
        <v>254</v>
      </c>
      <c r="R45" s="143" t="s">
        <v>310</v>
      </c>
      <c r="S45" s="143" t="s">
        <v>303</v>
      </c>
      <c r="T45" s="143" t="s">
        <v>155</v>
      </c>
      <c r="U45" s="140"/>
      <c r="V45" s="140">
        <v>17.187000000000001</v>
      </c>
      <c r="W45" s="140">
        <v>0.76</v>
      </c>
      <c r="X45" s="140">
        <v>4.6299999999999998E-4</v>
      </c>
      <c r="Y45" s="143" t="s">
        <v>251</v>
      </c>
      <c r="Z45" s="140">
        <v>4.7389999999999999</v>
      </c>
      <c r="AA45" s="140">
        <v>4.5827999999999998</v>
      </c>
      <c r="AB45" s="140">
        <v>9.1440000000000001</v>
      </c>
    </row>
    <row r="46" spans="16:28" ht="14.4" x14ac:dyDescent="0.3">
      <c r="P46" s="143" t="s">
        <v>283</v>
      </c>
      <c r="Q46" s="143" t="s">
        <v>254</v>
      </c>
      <c r="R46" s="143" t="s">
        <v>310</v>
      </c>
      <c r="S46" s="143" t="s">
        <v>303</v>
      </c>
      <c r="T46" s="143" t="s">
        <v>308</v>
      </c>
      <c r="U46" s="140"/>
      <c r="V46" s="140">
        <v>-17.238</v>
      </c>
      <c r="W46" s="140">
        <v>-1.17</v>
      </c>
      <c r="X46" s="140">
        <v>-5.9199999999999997E-4</v>
      </c>
      <c r="Y46" s="143" t="s">
        <v>251</v>
      </c>
      <c r="Z46" s="140">
        <v>4.7389999999999999</v>
      </c>
      <c r="AA46" s="140">
        <v>4.5827999999999998</v>
      </c>
      <c r="AB46" s="140">
        <v>9.1440000000000001</v>
      </c>
    </row>
    <row r="47" spans="16:28" ht="14.4" x14ac:dyDescent="0.3">
      <c r="P47" s="143" t="s">
        <v>283</v>
      </c>
      <c r="Q47" s="143" t="s">
        <v>254</v>
      </c>
      <c r="R47" s="143" t="s">
        <v>311</v>
      </c>
      <c r="S47" s="143" t="s">
        <v>303</v>
      </c>
      <c r="T47" s="143" t="s">
        <v>155</v>
      </c>
      <c r="U47" s="140"/>
      <c r="V47" s="140">
        <v>0.66900000000000004</v>
      </c>
      <c r="W47" s="140">
        <v>24.919</v>
      </c>
      <c r="X47" s="140">
        <v>1.4829999999999999E-3</v>
      </c>
      <c r="Y47" s="143" t="s">
        <v>251</v>
      </c>
      <c r="Z47" s="140">
        <v>4.7389999999999999</v>
      </c>
      <c r="AA47" s="140">
        <v>4.5827999999999998</v>
      </c>
      <c r="AB47" s="140">
        <v>9.1440000000000001</v>
      </c>
    </row>
    <row r="48" spans="16:28" ht="14.4" x14ac:dyDescent="0.3">
      <c r="P48" s="143" t="s">
        <v>283</v>
      </c>
      <c r="Q48" s="143" t="s">
        <v>254</v>
      </c>
      <c r="R48" s="143" t="s">
        <v>311</v>
      </c>
      <c r="S48" s="143" t="s">
        <v>303</v>
      </c>
      <c r="T48" s="143" t="s">
        <v>308</v>
      </c>
      <c r="U48" s="140"/>
      <c r="V48" s="140">
        <v>-0.72</v>
      </c>
      <c r="W48" s="140">
        <v>-25.329000000000001</v>
      </c>
      <c r="X48" s="140">
        <v>-1.611E-3</v>
      </c>
      <c r="Y48" s="143" t="s">
        <v>251</v>
      </c>
      <c r="Z48" s="140">
        <v>4.7389999999999999</v>
      </c>
      <c r="AA48" s="140">
        <v>4.5827999999999998</v>
      </c>
      <c r="AB48" s="140">
        <v>9.1440000000000001</v>
      </c>
    </row>
    <row r="49" spans="16:28" ht="14.4" x14ac:dyDescent="0.3">
      <c r="P49" s="143" t="s">
        <v>283</v>
      </c>
      <c r="Q49" s="143" t="s">
        <v>254</v>
      </c>
      <c r="R49" s="143" t="s">
        <v>312</v>
      </c>
      <c r="S49" s="143" t="s">
        <v>303</v>
      </c>
      <c r="T49" s="143" t="s">
        <v>155</v>
      </c>
      <c r="U49" s="140"/>
      <c r="V49" s="140">
        <v>0.125</v>
      </c>
      <c r="W49" s="140">
        <v>24.327999999999999</v>
      </c>
      <c r="X49" s="140">
        <v>8.2000000000000001E-5</v>
      </c>
      <c r="Y49" s="143" t="s">
        <v>251</v>
      </c>
      <c r="Z49" s="140">
        <v>4.7389999999999999</v>
      </c>
      <c r="AA49" s="140">
        <v>4.5827999999999998</v>
      </c>
      <c r="AB49" s="140">
        <v>9.1440000000000001</v>
      </c>
    </row>
    <row r="50" spans="16:28" ht="14.4" x14ac:dyDescent="0.3">
      <c r="P50" s="143" t="s">
        <v>283</v>
      </c>
      <c r="Q50" s="143" t="s">
        <v>254</v>
      </c>
      <c r="R50" s="143" t="s">
        <v>312</v>
      </c>
      <c r="S50" s="143" t="s">
        <v>303</v>
      </c>
      <c r="T50" s="143" t="s">
        <v>308</v>
      </c>
      <c r="U50" s="140"/>
      <c r="V50" s="140">
        <v>-5.5E-2</v>
      </c>
      <c r="W50" s="140">
        <v>23.702000000000002</v>
      </c>
      <c r="X50" s="140">
        <v>-8.8599999999999996E-4</v>
      </c>
      <c r="Y50" s="143" t="s">
        <v>251</v>
      </c>
      <c r="Z50" s="140">
        <v>4.7389999999999999</v>
      </c>
      <c r="AA50" s="140">
        <v>4.5827999999999998</v>
      </c>
      <c r="AB50" s="140">
        <v>9.1440000000000001</v>
      </c>
    </row>
    <row r="51" spans="16:28" ht="14.4" x14ac:dyDescent="0.3">
      <c r="P51" s="143" t="s">
        <v>283</v>
      </c>
      <c r="Q51" s="143" t="s">
        <v>254</v>
      </c>
      <c r="R51" s="143" t="s">
        <v>313</v>
      </c>
      <c r="S51" s="143" t="s">
        <v>303</v>
      </c>
      <c r="T51" s="143" t="s">
        <v>155</v>
      </c>
      <c r="U51" s="140"/>
      <c r="V51" s="140">
        <v>-16.841000000000001</v>
      </c>
      <c r="W51" s="140">
        <v>-0.25</v>
      </c>
      <c r="X51" s="140">
        <v>3.4000000000000002E-4</v>
      </c>
      <c r="Y51" s="143" t="s">
        <v>251</v>
      </c>
      <c r="Z51" s="140">
        <v>4.7389999999999999</v>
      </c>
      <c r="AA51" s="140">
        <v>4.5827999999999998</v>
      </c>
      <c r="AB51" s="140">
        <v>9.1440000000000001</v>
      </c>
    </row>
    <row r="52" spans="16:28" ht="14.4" x14ac:dyDescent="0.3">
      <c r="P52" s="143" t="s">
        <v>283</v>
      </c>
      <c r="Q52" s="143" t="s">
        <v>254</v>
      </c>
      <c r="R52" s="143" t="s">
        <v>313</v>
      </c>
      <c r="S52" s="143" t="s">
        <v>303</v>
      </c>
      <c r="T52" s="143" t="s">
        <v>308</v>
      </c>
      <c r="U52" s="140"/>
      <c r="V52" s="140">
        <v>-16.971</v>
      </c>
      <c r="W52" s="140">
        <v>-0.73799999999999999</v>
      </c>
      <c r="X52" s="140">
        <v>-4.4799999999999999E-4</v>
      </c>
      <c r="Y52" s="143" t="s">
        <v>251</v>
      </c>
      <c r="Z52" s="140">
        <v>4.7389999999999999</v>
      </c>
      <c r="AA52" s="140">
        <v>4.5827999999999998</v>
      </c>
      <c r="AB52" s="140">
        <v>9.1440000000000001</v>
      </c>
    </row>
    <row r="53" spans="16:28" ht="14.4" x14ac:dyDescent="0.3">
      <c r="P53" s="143" t="s">
        <v>283</v>
      </c>
      <c r="Q53" s="143" t="s">
        <v>254</v>
      </c>
      <c r="R53" s="143" t="s">
        <v>314</v>
      </c>
      <c r="S53" s="143" t="s">
        <v>303</v>
      </c>
      <c r="T53" s="143" t="s">
        <v>155</v>
      </c>
      <c r="U53" s="140"/>
      <c r="V53" s="140">
        <v>4.0000000000000001E-3</v>
      </c>
      <c r="W53" s="140">
        <v>-24.111999999999998</v>
      </c>
      <c r="X53" s="140">
        <v>7.5699999999999997E-4</v>
      </c>
      <c r="Y53" s="143" t="s">
        <v>251</v>
      </c>
      <c r="Z53" s="140">
        <v>4.7389999999999999</v>
      </c>
      <c r="AA53" s="140">
        <v>4.5827999999999998</v>
      </c>
      <c r="AB53" s="140">
        <v>9.1440000000000001</v>
      </c>
    </row>
    <row r="54" spans="16:28" ht="14.4" x14ac:dyDescent="0.3">
      <c r="P54" s="143" t="s">
        <v>283</v>
      </c>
      <c r="Q54" s="143" t="s">
        <v>254</v>
      </c>
      <c r="R54" s="143" t="s">
        <v>314</v>
      </c>
      <c r="S54" s="143" t="s">
        <v>303</v>
      </c>
      <c r="T54" s="143" t="s">
        <v>308</v>
      </c>
      <c r="U54" s="140"/>
      <c r="V54" s="140">
        <v>-0.17699999999999999</v>
      </c>
      <c r="W54" s="140">
        <v>-24.738</v>
      </c>
      <c r="X54" s="140">
        <v>-2.1100000000000001E-4</v>
      </c>
      <c r="Y54" s="143" t="s">
        <v>251</v>
      </c>
      <c r="Z54" s="140">
        <v>4.7389999999999999</v>
      </c>
      <c r="AA54" s="140">
        <v>4.5827999999999998</v>
      </c>
      <c r="AB54" s="140">
        <v>9.1440000000000001</v>
      </c>
    </row>
    <row r="55" spans="16:28" ht="14.4" x14ac:dyDescent="0.3">
      <c r="P55" s="143" t="s">
        <v>283</v>
      </c>
      <c r="Q55" s="143" t="s">
        <v>254</v>
      </c>
      <c r="R55" s="143" t="s">
        <v>315</v>
      </c>
      <c r="S55" s="143" t="s">
        <v>303</v>
      </c>
      <c r="T55" s="143" t="s">
        <v>155</v>
      </c>
      <c r="U55" s="140"/>
      <c r="V55" s="140">
        <v>17.632000000000001</v>
      </c>
      <c r="W55" s="140">
        <v>0.35</v>
      </c>
      <c r="X55" s="140">
        <v>3.3500000000000001E-4</v>
      </c>
      <c r="Y55" s="143" t="s">
        <v>251</v>
      </c>
      <c r="Z55" s="140">
        <v>4.7389999999999999</v>
      </c>
      <c r="AA55" s="140">
        <v>4.5827999999999998</v>
      </c>
      <c r="AB55" s="140">
        <v>9.1440000000000001</v>
      </c>
    </row>
    <row r="56" spans="16:28" ht="14.4" x14ac:dyDescent="0.3">
      <c r="P56" s="143" t="s">
        <v>283</v>
      </c>
      <c r="Q56" s="143" t="s">
        <v>254</v>
      </c>
      <c r="R56" s="143" t="s">
        <v>315</v>
      </c>
      <c r="S56" s="143" t="s">
        <v>303</v>
      </c>
      <c r="T56" s="143" t="s">
        <v>308</v>
      </c>
      <c r="U56" s="140"/>
      <c r="V56" s="140">
        <v>17.497</v>
      </c>
      <c r="W56" s="140">
        <v>-0.158</v>
      </c>
      <c r="X56" s="140">
        <v>-4.86E-4</v>
      </c>
      <c r="Y56" s="143" t="s">
        <v>251</v>
      </c>
      <c r="Z56" s="140">
        <v>4.7389999999999999</v>
      </c>
      <c r="AA56" s="140">
        <v>4.5827999999999998</v>
      </c>
      <c r="AB56" s="140">
        <v>9.1440000000000001</v>
      </c>
    </row>
    <row r="57" spans="16:28" ht="14.4" x14ac:dyDescent="0.3">
      <c r="P57" s="143" t="s">
        <v>283</v>
      </c>
      <c r="Q57" s="143" t="s">
        <v>254</v>
      </c>
      <c r="R57" s="143" t="s">
        <v>316</v>
      </c>
      <c r="S57" s="143" t="s">
        <v>303</v>
      </c>
      <c r="T57" s="143" t="s">
        <v>155</v>
      </c>
      <c r="U57" s="140"/>
      <c r="V57" s="140">
        <v>0.13200000000000001</v>
      </c>
      <c r="W57" s="140">
        <v>25.36</v>
      </c>
      <c r="X57" s="140">
        <v>8.7999999999999998E-5</v>
      </c>
      <c r="Y57" s="143" t="s">
        <v>251</v>
      </c>
      <c r="Z57" s="140">
        <v>4.7389999999999999</v>
      </c>
      <c r="AA57" s="140">
        <v>4.5827999999999998</v>
      </c>
      <c r="AB57" s="140">
        <v>9.1440000000000001</v>
      </c>
    </row>
    <row r="58" spans="16:28" ht="14.4" x14ac:dyDescent="0.3">
      <c r="P58" s="143" t="s">
        <v>283</v>
      </c>
      <c r="Q58" s="143" t="s">
        <v>254</v>
      </c>
      <c r="R58" s="143" t="s">
        <v>316</v>
      </c>
      <c r="S58" s="143" t="s">
        <v>303</v>
      </c>
      <c r="T58" s="143" t="s">
        <v>308</v>
      </c>
      <c r="U58" s="140"/>
      <c r="V58" s="140">
        <v>-5.6000000000000001E-2</v>
      </c>
      <c r="W58" s="140">
        <v>24.707999999999998</v>
      </c>
      <c r="X58" s="140">
        <v>-9.2000000000000003E-4</v>
      </c>
      <c r="Y58" s="143" t="s">
        <v>251</v>
      </c>
      <c r="Z58" s="140">
        <v>4.7389999999999999</v>
      </c>
      <c r="AA58" s="140">
        <v>4.5827999999999998</v>
      </c>
      <c r="AB58" s="140">
        <v>9.1440000000000001</v>
      </c>
    </row>
    <row r="59" spans="16:28" ht="14.4" x14ac:dyDescent="0.3">
      <c r="P59" s="143" t="s">
        <v>283</v>
      </c>
      <c r="Q59" s="143" t="s">
        <v>254</v>
      </c>
      <c r="R59" s="143" t="s">
        <v>317</v>
      </c>
      <c r="S59" s="143" t="s">
        <v>303</v>
      </c>
      <c r="T59" s="143" t="s">
        <v>155</v>
      </c>
      <c r="U59" s="140"/>
      <c r="V59" s="140">
        <v>5.0000000000000001E-3</v>
      </c>
      <c r="W59" s="140">
        <v>-25.117999999999999</v>
      </c>
      <c r="X59" s="140">
        <v>7.9100000000000004E-4</v>
      </c>
      <c r="Y59" s="143" t="s">
        <v>251</v>
      </c>
      <c r="Z59" s="140">
        <v>4.7389999999999999</v>
      </c>
      <c r="AA59" s="140">
        <v>4.5827999999999998</v>
      </c>
      <c r="AB59" s="140">
        <v>9.1440000000000001</v>
      </c>
    </row>
    <row r="60" spans="16:28" ht="14.4" x14ac:dyDescent="0.3">
      <c r="P60" s="143" t="s">
        <v>283</v>
      </c>
      <c r="Q60" s="143" t="s">
        <v>254</v>
      </c>
      <c r="R60" s="143" t="s">
        <v>317</v>
      </c>
      <c r="S60" s="143" t="s">
        <v>303</v>
      </c>
      <c r="T60" s="143" t="s">
        <v>308</v>
      </c>
      <c r="U60" s="140"/>
      <c r="V60" s="140">
        <v>-0.183</v>
      </c>
      <c r="W60" s="140">
        <v>-25.77</v>
      </c>
      <c r="X60" s="140">
        <v>-2.1699999999999999E-4</v>
      </c>
      <c r="Y60" s="143" t="s">
        <v>251</v>
      </c>
      <c r="Z60" s="140">
        <v>4.7389999999999999</v>
      </c>
      <c r="AA60" s="140">
        <v>4.5827999999999998</v>
      </c>
      <c r="AB60" s="140">
        <v>9.1440000000000001</v>
      </c>
    </row>
    <row r="61" spans="16:28" ht="14.4" x14ac:dyDescent="0.3">
      <c r="P61" s="143" t="s">
        <v>284</v>
      </c>
      <c r="Q61" s="143" t="s">
        <v>253</v>
      </c>
      <c r="R61" s="143" t="s">
        <v>294</v>
      </c>
      <c r="S61" s="143" t="s">
        <v>295</v>
      </c>
      <c r="T61" s="143" t="s">
        <v>296</v>
      </c>
      <c r="U61" s="140">
        <v>1</v>
      </c>
      <c r="V61" s="140">
        <v>3.0000000000000001E-3</v>
      </c>
      <c r="W61" s="140">
        <v>6.5000000000000002E-2</v>
      </c>
      <c r="X61" s="140">
        <v>-3.0000000000000001E-6</v>
      </c>
      <c r="Y61" s="143" t="s">
        <v>318</v>
      </c>
      <c r="Z61" s="140">
        <v>4.9368999999999996</v>
      </c>
      <c r="AA61" s="140">
        <v>5.2102000000000004</v>
      </c>
      <c r="AB61" s="140">
        <v>6.0960000000000001</v>
      </c>
    </row>
    <row r="62" spans="16:28" ht="14.4" x14ac:dyDescent="0.3">
      <c r="P62" s="143" t="s">
        <v>284</v>
      </c>
      <c r="Q62" s="143" t="s">
        <v>253</v>
      </c>
      <c r="R62" s="143" t="s">
        <v>294</v>
      </c>
      <c r="S62" s="143" t="s">
        <v>295</v>
      </c>
      <c r="T62" s="143" t="s">
        <v>296</v>
      </c>
      <c r="U62" s="140">
        <v>2</v>
      </c>
      <c r="V62" s="140">
        <v>-6.5000000000000002E-2</v>
      </c>
      <c r="W62" s="140">
        <v>1E-3</v>
      </c>
      <c r="X62" s="140">
        <v>-9.9999999999999995E-7</v>
      </c>
      <c r="Y62" s="143" t="s">
        <v>318</v>
      </c>
      <c r="Z62" s="140">
        <v>4.9368999999999996</v>
      </c>
      <c r="AA62" s="140">
        <v>5.2102000000000004</v>
      </c>
      <c r="AB62" s="140">
        <v>6.0960000000000001</v>
      </c>
    </row>
    <row r="63" spans="16:28" ht="14.4" x14ac:dyDescent="0.3">
      <c r="P63" s="143" t="s">
        <v>284</v>
      </c>
      <c r="Q63" s="143" t="s">
        <v>253</v>
      </c>
      <c r="R63" s="143" t="s">
        <v>294</v>
      </c>
      <c r="S63" s="143" t="s">
        <v>295</v>
      </c>
      <c r="T63" s="143" t="s">
        <v>296</v>
      </c>
      <c r="U63" s="140">
        <v>3</v>
      </c>
      <c r="V63" s="140">
        <v>-7.0000000000000001E-3</v>
      </c>
      <c r="W63" s="140">
        <v>1.0999999999999999E-2</v>
      </c>
      <c r="X63" s="140">
        <v>1.5E-5</v>
      </c>
      <c r="Y63" s="143" t="s">
        <v>318</v>
      </c>
      <c r="Z63" s="140">
        <v>4.9368999999999996</v>
      </c>
      <c r="AA63" s="140">
        <v>5.2102000000000004</v>
      </c>
      <c r="AB63" s="140">
        <v>6.0960000000000001</v>
      </c>
    </row>
    <row r="64" spans="16:28" ht="14.4" x14ac:dyDescent="0.3">
      <c r="P64" s="143" t="s">
        <v>284</v>
      </c>
      <c r="Q64" s="143" t="s">
        <v>253</v>
      </c>
      <c r="R64" s="143" t="s">
        <v>294</v>
      </c>
      <c r="S64" s="143" t="s">
        <v>295</v>
      </c>
      <c r="T64" s="143" t="s">
        <v>296</v>
      </c>
      <c r="U64" s="140">
        <v>4</v>
      </c>
      <c r="V64" s="140">
        <v>1E-3</v>
      </c>
      <c r="W64" s="140">
        <v>2.3E-2</v>
      </c>
      <c r="X64" s="140">
        <v>-9.7440000000000004E-8</v>
      </c>
      <c r="Y64" s="143" t="s">
        <v>318</v>
      </c>
      <c r="Z64" s="140">
        <v>4.9368999999999996</v>
      </c>
      <c r="AA64" s="140">
        <v>5.2102000000000004</v>
      </c>
      <c r="AB64" s="140">
        <v>6.0960000000000001</v>
      </c>
    </row>
    <row r="65" spans="16:28" ht="14.4" x14ac:dyDescent="0.3">
      <c r="P65" s="143" t="s">
        <v>284</v>
      </c>
      <c r="Q65" s="143" t="s">
        <v>253</v>
      </c>
      <c r="R65" s="143" t="s">
        <v>294</v>
      </c>
      <c r="S65" s="143" t="s">
        <v>295</v>
      </c>
      <c r="T65" s="143" t="s">
        <v>296</v>
      </c>
      <c r="U65" s="140">
        <v>5</v>
      </c>
      <c r="V65" s="140">
        <v>-2.8000000000000001E-2</v>
      </c>
      <c r="W65" s="140">
        <v>2E-3</v>
      </c>
      <c r="X65" s="140">
        <v>9.9999999999999995E-7</v>
      </c>
      <c r="Y65" s="143" t="s">
        <v>318</v>
      </c>
      <c r="Z65" s="140">
        <v>4.9368999999999996</v>
      </c>
      <c r="AA65" s="140">
        <v>5.2102000000000004</v>
      </c>
      <c r="AB65" s="140">
        <v>6.0960000000000001</v>
      </c>
    </row>
    <row r="66" spans="16:28" ht="14.4" x14ac:dyDescent="0.3">
      <c r="P66" s="143" t="s">
        <v>284</v>
      </c>
      <c r="Q66" s="143" t="s">
        <v>253</v>
      </c>
      <c r="R66" s="143" t="s">
        <v>294</v>
      </c>
      <c r="S66" s="143" t="s">
        <v>295</v>
      </c>
      <c r="T66" s="143" t="s">
        <v>296</v>
      </c>
      <c r="U66" s="140">
        <v>6</v>
      </c>
      <c r="V66" s="140">
        <v>-2.1680000000000001E-4</v>
      </c>
      <c r="W66" s="140">
        <v>3.0000000000000001E-3</v>
      </c>
      <c r="X66" s="140">
        <v>3.0000000000000001E-6</v>
      </c>
      <c r="Y66" s="143" t="s">
        <v>318</v>
      </c>
      <c r="Z66" s="140">
        <v>4.9368999999999996</v>
      </c>
      <c r="AA66" s="140">
        <v>5.2102000000000004</v>
      </c>
      <c r="AB66" s="140">
        <v>6.0960000000000001</v>
      </c>
    </row>
    <row r="67" spans="16:28" ht="14.4" x14ac:dyDescent="0.3">
      <c r="P67" s="143" t="s">
        <v>284</v>
      </c>
      <c r="Q67" s="143" t="s">
        <v>253</v>
      </c>
      <c r="R67" s="143" t="s">
        <v>294</v>
      </c>
      <c r="S67" s="143" t="s">
        <v>295</v>
      </c>
      <c r="T67" s="143" t="s">
        <v>296</v>
      </c>
      <c r="U67" s="140">
        <v>7</v>
      </c>
      <c r="V67" s="140">
        <v>-6.0000000000000001E-3</v>
      </c>
      <c r="W67" s="140">
        <v>6.5000000000000002E-2</v>
      </c>
      <c r="X67" s="140">
        <v>9.9999999999999995E-7</v>
      </c>
      <c r="Y67" s="143" t="s">
        <v>318</v>
      </c>
      <c r="Z67" s="140">
        <v>4.9368999999999996</v>
      </c>
      <c r="AA67" s="140">
        <v>5.2102000000000004</v>
      </c>
      <c r="AB67" s="140">
        <v>6.0960000000000001</v>
      </c>
    </row>
    <row r="68" spans="16:28" ht="14.4" x14ac:dyDescent="0.3">
      <c r="P68" s="143" t="s">
        <v>284</v>
      </c>
      <c r="Q68" s="143" t="s">
        <v>253</v>
      </c>
      <c r="R68" s="143" t="s">
        <v>294</v>
      </c>
      <c r="S68" s="143" t="s">
        <v>295</v>
      </c>
      <c r="T68" s="143" t="s">
        <v>296</v>
      </c>
      <c r="U68" s="140">
        <v>8</v>
      </c>
      <c r="V68" s="140">
        <v>-6.0999999999999999E-2</v>
      </c>
      <c r="W68" s="140">
        <v>-8.0000000000000002E-3</v>
      </c>
      <c r="X68" s="140">
        <v>3.9999999999999998E-6</v>
      </c>
      <c r="Y68" s="143" t="s">
        <v>318</v>
      </c>
      <c r="Z68" s="140">
        <v>4.9368999999999996</v>
      </c>
      <c r="AA68" s="140">
        <v>5.2102000000000004</v>
      </c>
      <c r="AB68" s="140">
        <v>6.0960000000000001</v>
      </c>
    </row>
    <row r="69" spans="16:28" ht="14.4" x14ac:dyDescent="0.3">
      <c r="P69" s="143" t="s">
        <v>284</v>
      </c>
      <c r="Q69" s="143" t="s">
        <v>253</v>
      </c>
      <c r="R69" s="143" t="s">
        <v>294</v>
      </c>
      <c r="S69" s="143" t="s">
        <v>295</v>
      </c>
      <c r="T69" s="143" t="s">
        <v>296</v>
      </c>
      <c r="U69" s="140">
        <v>9</v>
      </c>
      <c r="V69" s="140">
        <v>-1.9E-2</v>
      </c>
      <c r="W69" s="140">
        <v>1E-3</v>
      </c>
      <c r="X69" s="140">
        <v>-1.4E-5</v>
      </c>
      <c r="Y69" s="143" t="s">
        <v>318</v>
      </c>
      <c r="Z69" s="140">
        <v>4.9368999999999996</v>
      </c>
      <c r="AA69" s="140">
        <v>5.2102000000000004</v>
      </c>
      <c r="AB69" s="140">
        <v>6.0960000000000001</v>
      </c>
    </row>
    <row r="70" spans="16:28" ht="14.4" x14ac:dyDescent="0.3">
      <c r="P70" s="143" t="s">
        <v>284</v>
      </c>
      <c r="Q70" s="143" t="s">
        <v>253</v>
      </c>
      <c r="R70" s="143" t="s">
        <v>294</v>
      </c>
      <c r="S70" s="143" t="s">
        <v>295</v>
      </c>
      <c r="T70" s="143" t="s">
        <v>296</v>
      </c>
      <c r="U70" s="140">
        <v>10</v>
      </c>
      <c r="V70" s="140">
        <v>-8.0000000000000002E-3</v>
      </c>
      <c r="W70" s="140">
        <v>4.0000000000000001E-3</v>
      </c>
      <c r="X70" s="140">
        <v>9.9999999999999995E-7</v>
      </c>
      <c r="Y70" s="143" t="s">
        <v>318</v>
      </c>
      <c r="Z70" s="140">
        <v>4.9368999999999996</v>
      </c>
      <c r="AA70" s="140">
        <v>5.2102000000000004</v>
      </c>
      <c r="AB70" s="140">
        <v>6.0960000000000001</v>
      </c>
    </row>
    <row r="71" spans="16:28" ht="14.4" x14ac:dyDescent="0.3">
      <c r="P71" s="143" t="s">
        <v>284</v>
      </c>
      <c r="Q71" s="143" t="s">
        <v>253</v>
      </c>
      <c r="R71" s="143" t="s">
        <v>294</v>
      </c>
      <c r="S71" s="143" t="s">
        <v>295</v>
      </c>
      <c r="T71" s="143" t="s">
        <v>296</v>
      </c>
      <c r="U71" s="140">
        <v>11</v>
      </c>
      <c r="V71" s="140">
        <v>-4.0000000000000001E-3</v>
      </c>
      <c r="W71" s="140">
        <v>1E-3</v>
      </c>
      <c r="X71" s="140">
        <v>4.5419999999999998E-7</v>
      </c>
      <c r="Y71" s="143" t="s">
        <v>318</v>
      </c>
      <c r="Z71" s="140">
        <v>4.9368999999999996</v>
      </c>
      <c r="AA71" s="140">
        <v>5.2102000000000004</v>
      </c>
      <c r="AB71" s="140">
        <v>6.0960000000000001</v>
      </c>
    </row>
    <row r="72" spans="16:28" ht="14.4" x14ac:dyDescent="0.3">
      <c r="P72" s="143" t="s">
        <v>284</v>
      </c>
      <c r="Q72" s="143" t="s">
        <v>253</v>
      </c>
      <c r="R72" s="143" t="s">
        <v>294</v>
      </c>
      <c r="S72" s="143" t="s">
        <v>295</v>
      </c>
      <c r="T72" s="143" t="s">
        <v>296</v>
      </c>
      <c r="U72" s="140">
        <v>12</v>
      </c>
      <c r="V72" s="140">
        <v>-8.0000000000000002E-3</v>
      </c>
      <c r="W72" s="140">
        <v>2E-3</v>
      </c>
      <c r="X72" s="140">
        <v>9.9999999999999995E-7</v>
      </c>
      <c r="Y72" s="143" t="s">
        <v>318</v>
      </c>
      <c r="Z72" s="140">
        <v>4.9368999999999996</v>
      </c>
      <c r="AA72" s="140">
        <v>5.2102000000000004</v>
      </c>
      <c r="AB72" s="140">
        <v>6.0960000000000001</v>
      </c>
    </row>
    <row r="73" spans="16:28" ht="14.4" x14ac:dyDescent="0.3">
      <c r="P73" s="143" t="s">
        <v>284</v>
      </c>
      <c r="Q73" s="143" t="s">
        <v>253</v>
      </c>
      <c r="R73" s="143" t="s">
        <v>297</v>
      </c>
      <c r="S73" s="143" t="s">
        <v>149</v>
      </c>
      <c r="T73" s="140"/>
      <c r="U73" s="140"/>
      <c r="V73" s="140">
        <v>0.16500000000000001</v>
      </c>
      <c r="W73" s="140">
        <v>0.29899999999999999</v>
      </c>
      <c r="X73" s="140">
        <v>-1.1E-5</v>
      </c>
      <c r="Y73" s="143" t="s">
        <v>318</v>
      </c>
      <c r="Z73" s="140">
        <v>4.9368999999999996</v>
      </c>
      <c r="AA73" s="140">
        <v>5.2102000000000004</v>
      </c>
      <c r="AB73" s="140">
        <v>6.0960000000000001</v>
      </c>
    </row>
    <row r="74" spans="16:28" ht="14.4" x14ac:dyDescent="0.3">
      <c r="P74" s="143" t="s">
        <v>284</v>
      </c>
      <c r="Q74" s="143" t="s">
        <v>253</v>
      </c>
      <c r="R74" s="143" t="s">
        <v>298</v>
      </c>
      <c r="S74" s="143" t="s">
        <v>149</v>
      </c>
      <c r="T74" s="140"/>
      <c r="U74" s="140"/>
      <c r="V74" s="140">
        <v>5.3999999999999999E-2</v>
      </c>
      <c r="W74" s="140">
        <v>0.40899999999999997</v>
      </c>
      <c r="X74" s="140">
        <v>5.0000000000000004E-6</v>
      </c>
      <c r="Y74" s="143" t="s">
        <v>318</v>
      </c>
      <c r="Z74" s="140">
        <v>4.9368999999999996</v>
      </c>
      <c r="AA74" s="140">
        <v>5.2102000000000004</v>
      </c>
      <c r="AB74" s="140">
        <v>6.0960000000000001</v>
      </c>
    </row>
    <row r="75" spans="16:28" ht="14.4" x14ac:dyDescent="0.3">
      <c r="P75" s="143" t="s">
        <v>284</v>
      </c>
      <c r="Q75" s="143" t="s">
        <v>253</v>
      </c>
      <c r="R75" s="143" t="s">
        <v>299</v>
      </c>
      <c r="S75" s="143" t="s">
        <v>149</v>
      </c>
      <c r="T75" s="140"/>
      <c r="U75" s="140"/>
      <c r="V75" s="140">
        <v>-0.151</v>
      </c>
      <c r="W75" s="140">
        <v>-0.58399999999999996</v>
      </c>
      <c r="X75" s="140">
        <v>-4.5000000000000003E-5</v>
      </c>
      <c r="Y75" s="143" t="s">
        <v>318</v>
      </c>
      <c r="Z75" s="140">
        <v>4.9368999999999996</v>
      </c>
      <c r="AA75" s="140">
        <v>5.2102000000000004</v>
      </c>
      <c r="AB75" s="140">
        <v>6.0960000000000001</v>
      </c>
    </row>
    <row r="76" spans="16:28" ht="14.4" x14ac:dyDescent="0.3">
      <c r="P76" s="143" t="s">
        <v>284</v>
      </c>
      <c r="Q76" s="143" t="s">
        <v>253</v>
      </c>
      <c r="R76" s="143" t="s">
        <v>300</v>
      </c>
      <c r="S76" s="143" t="s">
        <v>149</v>
      </c>
      <c r="T76" s="140"/>
      <c r="U76" s="140"/>
      <c r="V76" s="140">
        <v>3.3000000000000002E-2</v>
      </c>
      <c r="W76" s="140">
        <v>1.0999999999999999E-2</v>
      </c>
      <c r="X76" s="140">
        <v>-3.9999999999999998E-6</v>
      </c>
      <c r="Y76" s="143" t="s">
        <v>318</v>
      </c>
      <c r="Z76" s="140">
        <v>4.9368999999999996</v>
      </c>
      <c r="AA76" s="140">
        <v>5.2102000000000004</v>
      </c>
      <c r="AB76" s="140">
        <v>6.0960000000000001</v>
      </c>
    </row>
    <row r="77" spans="16:28" ht="14.4" x14ac:dyDescent="0.3">
      <c r="P77" s="143" t="s">
        <v>284</v>
      </c>
      <c r="Q77" s="143" t="s">
        <v>253</v>
      </c>
      <c r="R77" s="143" t="s">
        <v>301</v>
      </c>
      <c r="S77" s="143" t="s">
        <v>149</v>
      </c>
      <c r="T77" s="140"/>
      <c r="U77" s="140"/>
      <c r="V77" s="140">
        <v>0.04</v>
      </c>
      <c r="W77" s="140">
        <v>0.126</v>
      </c>
      <c r="X77" s="140">
        <v>-1.9999999999999999E-6</v>
      </c>
      <c r="Y77" s="143" t="s">
        <v>318</v>
      </c>
      <c r="Z77" s="140">
        <v>4.9368999999999996</v>
      </c>
      <c r="AA77" s="140">
        <v>5.2102000000000004</v>
      </c>
      <c r="AB77" s="140">
        <v>6.0960000000000001</v>
      </c>
    </row>
    <row r="78" spans="16:28" ht="14.4" x14ac:dyDescent="0.3">
      <c r="P78" s="143" t="s">
        <v>284</v>
      </c>
      <c r="Q78" s="143" t="s">
        <v>253</v>
      </c>
      <c r="R78" s="143" t="s">
        <v>148</v>
      </c>
      <c r="S78" s="143" t="s">
        <v>149</v>
      </c>
      <c r="T78" s="143" t="s">
        <v>320</v>
      </c>
      <c r="U78" s="140">
        <v>1</v>
      </c>
      <c r="V78" s="140">
        <v>12.64</v>
      </c>
      <c r="W78" s="140">
        <v>0.34799999999999998</v>
      </c>
      <c r="X78" s="140">
        <v>-2.6699999999999998E-4</v>
      </c>
      <c r="Y78" s="143" t="s">
        <v>318</v>
      </c>
      <c r="Z78" s="140">
        <v>4.9368999999999996</v>
      </c>
      <c r="AA78" s="140">
        <v>5.2102000000000004</v>
      </c>
      <c r="AB78" s="140">
        <v>6.0960000000000001</v>
      </c>
    </row>
    <row r="79" spans="16:28" ht="14.4" x14ac:dyDescent="0.3">
      <c r="P79" s="143" t="s">
        <v>284</v>
      </c>
      <c r="Q79" s="143" t="s">
        <v>253</v>
      </c>
      <c r="R79" s="143" t="s">
        <v>148</v>
      </c>
      <c r="S79" s="143" t="s">
        <v>149</v>
      </c>
      <c r="T79" s="143" t="s">
        <v>320</v>
      </c>
      <c r="U79" s="140">
        <v>2</v>
      </c>
      <c r="V79" s="140">
        <v>12.430999999999999</v>
      </c>
      <c r="W79" s="140">
        <v>2.4E-2</v>
      </c>
      <c r="X79" s="140">
        <v>3.3300000000000002E-4</v>
      </c>
      <c r="Y79" s="143" t="s">
        <v>318</v>
      </c>
      <c r="Z79" s="140">
        <v>4.9368999999999996</v>
      </c>
      <c r="AA79" s="140">
        <v>5.2102000000000004</v>
      </c>
      <c r="AB79" s="140">
        <v>6.0960000000000001</v>
      </c>
    </row>
    <row r="80" spans="16:28" ht="14.4" x14ac:dyDescent="0.3">
      <c r="P80" s="143" t="s">
        <v>284</v>
      </c>
      <c r="Q80" s="143" t="s">
        <v>253</v>
      </c>
      <c r="R80" s="143" t="s">
        <v>150</v>
      </c>
      <c r="S80" s="143" t="s">
        <v>149</v>
      </c>
      <c r="T80" s="143" t="s">
        <v>320</v>
      </c>
      <c r="U80" s="140">
        <v>1</v>
      </c>
      <c r="V80" s="140">
        <v>0.13600000000000001</v>
      </c>
      <c r="W80" s="140">
        <v>18.585000000000001</v>
      </c>
      <c r="X80" s="140">
        <v>7.1000000000000005E-5</v>
      </c>
      <c r="Y80" s="143" t="s">
        <v>318</v>
      </c>
      <c r="Z80" s="140">
        <v>4.9368999999999996</v>
      </c>
      <c r="AA80" s="140">
        <v>5.2102000000000004</v>
      </c>
      <c r="AB80" s="140">
        <v>6.0960000000000001</v>
      </c>
    </row>
    <row r="81" spans="16:28" ht="14.4" x14ac:dyDescent="0.3">
      <c r="P81" s="143" t="s">
        <v>284</v>
      </c>
      <c r="Q81" s="143" t="s">
        <v>253</v>
      </c>
      <c r="R81" s="143" t="s">
        <v>150</v>
      </c>
      <c r="S81" s="143" t="s">
        <v>149</v>
      </c>
      <c r="T81" s="143" t="s">
        <v>320</v>
      </c>
      <c r="U81" s="140">
        <v>2</v>
      </c>
      <c r="V81" s="140">
        <v>0.40699999999999997</v>
      </c>
      <c r="W81" s="140">
        <v>19.006</v>
      </c>
      <c r="X81" s="140">
        <v>-6.9800000000000005E-4</v>
      </c>
      <c r="Y81" s="143" t="s">
        <v>318</v>
      </c>
      <c r="Z81" s="140">
        <v>4.9368999999999996</v>
      </c>
      <c r="AA81" s="140">
        <v>5.2102000000000004</v>
      </c>
      <c r="AB81" s="140">
        <v>6.0960000000000001</v>
      </c>
    </row>
    <row r="82" spans="16:28" ht="14.4" x14ac:dyDescent="0.3">
      <c r="P82" s="143" t="s">
        <v>284</v>
      </c>
      <c r="Q82" s="143" t="s">
        <v>253</v>
      </c>
      <c r="R82" s="143" t="s">
        <v>151</v>
      </c>
      <c r="S82" s="143" t="s">
        <v>149</v>
      </c>
      <c r="T82" s="143" t="s">
        <v>320</v>
      </c>
      <c r="U82" s="140">
        <v>1</v>
      </c>
      <c r="V82" s="140">
        <v>0.13100000000000001</v>
      </c>
      <c r="W82" s="140">
        <v>17.835000000000001</v>
      </c>
      <c r="X82" s="140">
        <v>6.7999999999999999E-5</v>
      </c>
      <c r="Y82" s="143" t="s">
        <v>318</v>
      </c>
      <c r="Z82" s="140">
        <v>4.9368999999999996</v>
      </c>
      <c r="AA82" s="140">
        <v>5.2102000000000004</v>
      </c>
      <c r="AB82" s="140">
        <v>6.0960000000000001</v>
      </c>
    </row>
    <row r="83" spans="16:28" ht="14.4" x14ac:dyDescent="0.3">
      <c r="P83" s="143" t="s">
        <v>284</v>
      </c>
      <c r="Q83" s="143" t="s">
        <v>253</v>
      </c>
      <c r="R83" s="143" t="s">
        <v>151</v>
      </c>
      <c r="S83" s="143" t="s">
        <v>149</v>
      </c>
      <c r="T83" s="143" t="s">
        <v>320</v>
      </c>
      <c r="U83" s="140">
        <v>2</v>
      </c>
      <c r="V83" s="140">
        <v>0.39</v>
      </c>
      <c r="W83" s="140">
        <v>18.238</v>
      </c>
      <c r="X83" s="140">
        <v>-6.7000000000000002E-4</v>
      </c>
      <c r="Y83" s="143" t="s">
        <v>318</v>
      </c>
      <c r="Z83" s="140">
        <v>4.9368999999999996</v>
      </c>
      <c r="AA83" s="140">
        <v>5.2102000000000004</v>
      </c>
      <c r="AB83" s="140">
        <v>6.0960000000000001</v>
      </c>
    </row>
    <row r="84" spans="16:28" ht="14.4" x14ac:dyDescent="0.3">
      <c r="P84" s="143" t="s">
        <v>284</v>
      </c>
      <c r="Q84" s="143" t="s">
        <v>253</v>
      </c>
      <c r="R84" s="143" t="s">
        <v>152</v>
      </c>
      <c r="S84" s="143" t="s">
        <v>149</v>
      </c>
      <c r="T84" s="143" t="s">
        <v>320</v>
      </c>
      <c r="U84" s="140">
        <v>1</v>
      </c>
      <c r="V84" s="140">
        <v>12.13</v>
      </c>
      <c r="W84" s="140">
        <v>0.33400000000000002</v>
      </c>
      <c r="X84" s="140">
        <v>-2.5599999999999999E-4</v>
      </c>
      <c r="Y84" s="143" t="s">
        <v>318</v>
      </c>
      <c r="Z84" s="140">
        <v>4.9368999999999996</v>
      </c>
      <c r="AA84" s="140">
        <v>5.2102000000000004</v>
      </c>
      <c r="AB84" s="140">
        <v>6.0960000000000001</v>
      </c>
    </row>
    <row r="85" spans="16:28" ht="14.4" x14ac:dyDescent="0.3">
      <c r="P85" s="143" t="s">
        <v>284</v>
      </c>
      <c r="Q85" s="143" t="s">
        <v>253</v>
      </c>
      <c r="R85" s="143" t="s">
        <v>152</v>
      </c>
      <c r="S85" s="143" t="s">
        <v>149</v>
      </c>
      <c r="T85" s="143" t="s">
        <v>320</v>
      </c>
      <c r="U85" s="140">
        <v>2</v>
      </c>
      <c r="V85" s="140">
        <v>11.929</v>
      </c>
      <c r="W85" s="140">
        <v>2.3E-2</v>
      </c>
      <c r="X85" s="140">
        <v>3.19E-4</v>
      </c>
      <c r="Y85" s="143" t="s">
        <v>318</v>
      </c>
      <c r="Z85" s="140">
        <v>4.9368999999999996</v>
      </c>
      <c r="AA85" s="140">
        <v>5.2102000000000004</v>
      </c>
      <c r="AB85" s="140">
        <v>6.0960000000000001</v>
      </c>
    </row>
    <row r="86" spans="16:28" ht="14.4" x14ac:dyDescent="0.3">
      <c r="P86" s="143" t="s">
        <v>284</v>
      </c>
      <c r="Q86" s="143" t="s">
        <v>253</v>
      </c>
      <c r="R86" s="143" t="s">
        <v>153</v>
      </c>
      <c r="S86" s="143" t="s">
        <v>154</v>
      </c>
      <c r="T86" s="143" t="s">
        <v>155</v>
      </c>
      <c r="U86" s="140"/>
      <c r="V86" s="140">
        <v>12.811999999999999</v>
      </c>
      <c r="W86" s="140">
        <v>0.74199999999999999</v>
      </c>
      <c r="X86" s="140">
        <v>4.2400000000000001E-4</v>
      </c>
      <c r="Y86" s="143" t="s">
        <v>318</v>
      </c>
      <c r="Z86" s="140">
        <v>4.9368999999999996</v>
      </c>
      <c r="AA86" s="140">
        <v>5.2102000000000004</v>
      </c>
      <c r="AB86" s="140">
        <v>6.0960000000000001</v>
      </c>
    </row>
    <row r="87" spans="16:28" ht="14.4" x14ac:dyDescent="0.3">
      <c r="P87" s="143" t="s">
        <v>284</v>
      </c>
      <c r="Q87" s="143" t="s">
        <v>253</v>
      </c>
      <c r="R87" s="143" t="s">
        <v>156</v>
      </c>
      <c r="S87" s="143" t="s">
        <v>154</v>
      </c>
      <c r="T87" s="143" t="s">
        <v>155</v>
      </c>
      <c r="U87" s="140"/>
      <c r="V87" s="140">
        <v>1.0069999999999999</v>
      </c>
      <c r="W87" s="140">
        <v>19.492000000000001</v>
      </c>
      <c r="X87" s="140">
        <v>1.253E-3</v>
      </c>
      <c r="Y87" s="143" t="s">
        <v>318</v>
      </c>
      <c r="Z87" s="140">
        <v>4.9368999999999996</v>
      </c>
      <c r="AA87" s="140">
        <v>5.2102000000000004</v>
      </c>
      <c r="AB87" s="140">
        <v>6.0960000000000001</v>
      </c>
    </row>
    <row r="88" spans="16:28" ht="14.4" x14ac:dyDescent="0.3">
      <c r="P88" s="143" t="s">
        <v>284</v>
      </c>
      <c r="Q88" s="143" t="s">
        <v>253</v>
      </c>
      <c r="R88" s="143" t="s">
        <v>157</v>
      </c>
      <c r="S88" s="143" t="s">
        <v>154</v>
      </c>
      <c r="T88" s="143" t="s">
        <v>155</v>
      </c>
      <c r="U88" s="140"/>
      <c r="V88" s="140">
        <v>12.295</v>
      </c>
      <c r="W88" s="140">
        <v>0.71199999999999997</v>
      </c>
      <c r="X88" s="140">
        <v>4.0700000000000003E-4</v>
      </c>
      <c r="Y88" s="143" t="s">
        <v>318</v>
      </c>
      <c r="Z88" s="140">
        <v>4.9368999999999996</v>
      </c>
      <c r="AA88" s="140">
        <v>5.2102000000000004</v>
      </c>
      <c r="AB88" s="140">
        <v>6.0960000000000001</v>
      </c>
    </row>
    <row r="89" spans="16:28" ht="14.4" x14ac:dyDescent="0.3">
      <c r="P89" s="143" t="s">
        <v>284</v>
      </c>
      <c r="Q89" s="143" t="s">
        <v>253</v>
      </c>
      <c r="R89" s="143" t="s">
        <v>158</v>
      </c>
      <c r="S89" s="143" t="s">
        <v>154</v>
      </c>
      <c r="T89" s="143" t="s">
        <v>155</v>
      </c>
      <c r="U89" s="140"/>
      <c r="V89" s="140">
        <v>0.96699999999999997</v>
      </c>
      <c r="W89" s="140">
        <v>18.706</v>
      </c>
      <c r="X89" s="140">
        <v>1.2030000000000001E-3</v>
      </c>
      <c r="Y89" s="143" t="s">
        <v>318</v>
      </c>
      <c r="Z89" s="140">
        <v>4.9368999999999996</v>
      </c>
      <c r="AA89" s="140">
        <v>5.2102000000000004</v>
      </c>
      <c r="AB89" s="140">
        <v>6.0960000000000001</v>
      </c>
    </row>
    <row r="90" spans="16:28" ht="14.4" x14ac:dyDescent="0.3">
      <c r="P90" s="143" t="s">
        <v>284</v>
      </c>
      <c r="Q90" s="143" t="s">
        <v>253</v>
      </c>
      <c r="R90" s="143" t="s">
        <v>321</v>
      </c>
      <c r="S90" s="143" t="s">
        <v>149</v>
      </c>
      <c r="T90" s="140"/>
      <c r="U90" s="140"/>
      <c r="V90" s="140">
        <v>1.9E-2</v>
      </c>
      <c r="W90" s="140">
        <v>0.14899999999999999</v>
      </c>
      <c r="X90" s="140">
        <v>1.9999999999999999E-6</v>
      </c>
      <c r="Y90" s="143" t="s">
        <v>318</v>
      </c>
      <c r="Z90" s="140">
        <v>4.9368999999999996</v>
      </c>
      <c r="AA90" s="140">
        <v>5.2102000000000004</v>
      </c>
      <c r="AB90" s="140">
        <v>6.0960000000000001</v>
      </c>
    </row>
    <row r="91" spans="16:28" ht="14.4" x14ac:dyDescent="0.3">
      <c r="P91" s="143" t="s">
        <v>284</v>
      </c>
      <c r="Q91" s="143" t="s">
        <v>253</v>
      </c>
      <c r="R91" s="143" t="s">
        <v>302</v>
      </c>
      <c r="S91" s="143" t="s">
        <v>303</v>
      </c>
      <c r="T91" s="140"/>
      <c r="U91" s="140"/>
      <c r="V91" s="140">
        <v>7.1999999999999995E-2</v>
      </c>
      <c r="W91" s="140">
        <v>-0.01</v>
      </c>
      <c r="X91" s="140">
        <v>-5.5000000000000002E-5</v>
      </c>
      <c r="Y91" s="143" t="s">
        <v>318</v>
      </c>
      <c r="Z91" s="140">
        <v>4.9368999999999996</v>
      </c>
      <c r="AA91" s="140">
        <v>5.2102000000000004</v>
      </c>
      <c r="AB91" s="140">
        <v>6.0960000000000001</v>
      </c>
    </row>
    <row r="92" spans="16:28" ht="14.4" x14ac:dyDescent="0.3">
      <c r="P92" s="143" t="s">
        <v>284</v>
      </c>
      <c r="Q92" s="143" t="s">
        <v>253</v>
      </c>
      <c r="R92" s="143" t="s">
        <v>304</v>
      </c>
      <c r="S92" s="143" t="s">
        <v>303</v>
      </c>
      <c r="T92" s="140"/>
      <c r="U92" s="140"/>
      <c r="V92" s="140">
        <v>8.6999999999999994E-2</v>
      </c>
      <c r="W92" s="140">
        <v>0.42</v>
      </c>
      <c r="X92" s="140">
        <v>9.9999999999999995E-7</v>
      </c>
      <c r="Y92" s="143" t="s">
        <v>318</v>
      </c>
      <c r="Z92" s="140">
        <v>4.9368999999999996</v>
      </c>
      <c r="AA92" s="140">
        <v>5.2102000000000004</v>
      </c>
      <c r="AB92" s="140">
        <v>6.0960000000000001</v>
      </c>
    </row>
    <row r="93" spans="16:28" ht="14.4" x14ac:dyDescent="0.3">
      <c r="P93" s="143" t="s">
        <v>284</v>
      </c>
      <c r="Q93" s="143" t="s">
        <v>253</v>
      </c>
      <c r="R93" s="143" t="s">
        <v>177</v>
      </c>
      <c r="S93" s="143" t="s">
        <v>303</v>
      </c>
      <c r="T93" s="140"/>
      <c r="U93" s="140"/>
      <c r="V93" s="140">
        <v>0.216</v>
      </c>
      <c r="W93" s="140">
        <v>0.61799999999999999</v>
      </c>
      <c r="X93" s="140">
        <v>-6.3999999999999997E-5</v>
      </c>
      <c r="Y93" s="143" t="s">
        <v>318</v>
      </c>
      <c r="Z93" s="140">
        <v>4.9368999999999996</v>
      </c>
      <c r="AA93" s="140">
        <v>5.2102000000000004</v>
      </c>
      <c r="AB93" s="140">
        <v>6.0960000000000001</v>
      </c>
    </row>
    <row r="94" spans="16:28" ht="14.4" x14ac:dyDescent="0.3">
      <c r="P94" s="143" t="s">
        <v>284</v>
      </c>
      <c r="Q94" s="143" t="s">
        <v>253</v>
      </c>
      <c r="R94" s="143" t="s">
        <v>305</v>
      </c>
      <c r="S94" s="143" t="s">
        <v>303</v>
      </c>
      <c r="T94" s="143" t="s">
        <v>155</v>
      </c>
      <c r="U94" s="140"/>
      <c r="V94" s="140">
        <v>-12.333</v>
      </c>
      <c r="W94" s="140">
        <v>9.2999999999999999E-2</v>
      </c>
      <c r="X94" s="140">
        <v>2.12E-4</v>
      </c>
      <c r="Y94" s="143" t="s">
        <v>318</v>
      </c>
      <c r="Z94" s="140">
        <v>4.9368999999999996</v>
      </c>
      <c r="AA94" s="140">
        <v>5.2102000000000004</v>
      </c>
      <c r="AB94" s="140">
        <v>6.0960000000000001</v>
      </c>
    </row>
    <row r="95" spans="16:28" ht="14.4" x14ac:dyDescent="0.3">
      <c r="P95" s="143" t="s">
        <v>284</v>
      </c>
      <c r="Q95" s="143" t="s">
        <v>253</v>
      </c>
      <c r="R95" s="143" t="s">
        <v>305</v>
      </c>
      <c r="S95" s="143" t="s">
        <v>303</v>
      </c>
      <c r="T95" s="143" t="s">
        <v>308</v>
      </c>
      <c r="U95" s="140"/>
      <c r="V95" s="140">
        <v>-12.542</v>
      </c>
      <c r="W95" s="140">
        <v>-0.23200000000000001</v>
      </c>
      <c r="X95" s="140">
        <v>-3.8699999999999997E-4</v>
      </c>
      <c r="Y95" s="143" t="s">
        <v>318</v>
      </c>
      <c r="Z95" s="140">
        <v>4.9368999999999996</v>
      </c>
      <c r="AA95" s="140">
        <v>5.2102000000000004</v>
      </c>
      <c r="AB95" s="140">
        <v>6.0960000000000001</v>
      </c>
    </row>
    <row r="96" spans="16:28" ht="14.4" x14ac:dyDescent="0.3">
      <c r="P96" s="143" t="s">
        <v>284</v>
      </c>
      <c r="Q96" s="143" t="s">
        <v>253</v>
      </c>
      <c r="R96" s="143" t="s">
        <v>306</v>
      </c>
      <c r="S96" s="143" t="s">
        <v>303</v>
      </c>
      <c r="T96" s="143" t="s">
        <v>155</v>
      </c>
      <c r="U96" s="140"/>
      <c r="V96" s="140">
        <v>12.227</v>
      </c>
      <c r="W96" s="140">
        <v>0.45100000000000001</v>
      </c>
      <c r="X96" s="140">
        <v>2.6499999999999999E-4</v>
      </c>
      <c r="Y96" s="143" t="s">
        <v>318</v>
      </c>
      <c r="Z96" s="140">
        <v>4.9368999999999996</v>
      </c>
      <c r="AA96" s="140">
        <v>5.2102000000000004</v>
      </c>
      <c r="AB96" s="140">
        <v>6.0960000000000001</v>
      </c>
    </row>
    <row r="97" spans="16:28" ht="14.4" x14ac:dyDescent="0.3">
      <c r="P97" s="143" t="s">
        <v>284</v>
      </c>
      <c r="Q97" s="143" t="s">
        <v>253</v>
      </c>
      <c r="R97" s="143" t="s">
        <v>306</v>
      </c>
      <c r="S97" s="143" t="s">
        <v>303</v>
      </c>
      <c r="T97" s="143" t="s">
        <v>308</v>
      </c>
      <c r="U97" s="140"/>
      <c r="V97" s="140">
        <v>12.026</v>
      </c>
      <c r="W97" s="140">
        <v>0.13900000000000001</v>
      </c>
      <c r="X97" s="140">
        <v>-3.1E-4</v>
      </c>
      <c r="Y97" s="143" t="s">
        <v>318</v>
      </c>
      <c r="Z97" s="140">
        <v>4.9368999999999996</v>
      </c>
      <c r="AA97" s="140">
        <v>5.2102000000000004</v>
      </c>
      <c r="AB97" s="140">
        <v>6.0960000000000001</v>
      </c>
    </row>
    <row r="98" spans="16:28" ht="14.4" x14ac:dyDescent="0.3">
      <c r="P98" s="143" t="s">
        <v>284</v>
      </c>
      <c r="Q98" s="143" t="s">
        <v>253</v>
      </c>
      <c r="R98" s="143" t="s">
        <v>307</v>
      </c>
      <c r="S98" s="143" t="s">
        <v>303</v>
      </c>
      <c r="T98" s="143" t="s">
        <v>155</v>
      </c>
      <c r="U98" s="140"/>
      <c r="V98" s="140">
        <v>12.909000000000001</v>
      </c>
      <c r="W98" s="140">
        <v>0.85799999999999998</v>
      </c>
      <c r="X98" s="140">
        <v>3.6999999999999999E-4</v>
      </c>
      <c r="Y98" s="143" t="s">
        <v>318</v>
      </c>
      <c r="Z98" s="140">
        <v>4.9368999999999996</v>
      </c>
      <c r="AA98" s="140">
        <v>5.2102000000000004</v>
      </c>
      <c r="AB98" s="140">
        <v>6.0960000000000001</v>
      </c>
    </row>
    <row r="99" spans="16:28" ht="14.4" x14ac:dyDescent="0.3">
      <c r="P99" s="143" t="s">
        <v>284</v>
      </c>
      <c r="Q99" s="143" t="s">
        <v>253</v>
      </c>
      <c r="R99" s="143" t="s">
        <v>307</v>
      </c>
      <c r="S99" s="143" t="s">
        <v>303</v>
      </c>
      <c r="T99" s="143" t="s">
        <v>308</v>
      </c>
      <c r="U99" s="140"/>
      <c r="V99" s="140">
        <v>-12.714</v>
      </c>
      <c r="W99" s="140">
        <v>-0.625</v>
      </c>
      <c r="X99" s="140">
        <v>-4.7800000000000002E-4</v>
      </c>
      <c r="Y99" s="143" t="s">
        <v>318</v>
      </c>
      <c r="Z99" s="140">
        <v>4.9368999999999996</v>
      </c>
      <c r="AA99" s="140">
        <v>5.2102000000000004</v>
      </c>
      <c r="AB99" s="140">
        <v>6.0960000000000001</v>
      </c>
    </row>
    <row r="100" spans="16:28" ht="14.4" x14ac:dyDescent="0.3">
      <c r="P100" s="143" t="s">
        <v>284</v>
      </c>
      <c r="Q100" s="143" t="s">
        <v>253</v>
      </c>
      <c r="R100" s="143" t="s">
        <v>309</v>
      </c>
      <c r="S100" s="143" t="s">
        <v>303</v>
      </c>
      <c r="T100" s="143" t="s">
        <v>155</v>
      </c>
      <c r="U100" s="140"/>
      <c r="V100" s="140">
        <v>1.105</v>
      </c>
      <c r="W100" s="140">
        <v>19.609000000000002</v>
      </c>
      <c r="X100" s="140">
        <v>1.199E-3</v>
      </c>
      <c r="Y100" s="143" t="s">
        <v>318</v>
      </c>
      <c r="Z100" s="140">
        <v>4.9368999999999996</v>
      </c>
      <c r="AA100" s="140">
        <v>5.2102000000000004</v>
      </c>
      <c r="AB100" s="140">
        <v>6.0960000000000001</v>
      </c>
    </row>
    <row r="101" spans="16:28" ht="14.4" x14ac:dyDescent="0.3">
      <c r="P101" s="143" t="s">
        <v>284</v>
      </c>
      <c r="Q101" s="143" t="s">
        <v>253</v>
      </c>
      <c r="R101" s="143" t="s">
        <v>309</v>
      </c>
      <c r="S101" s="143" t="s">
        <v>303</v>
      </c>
      <c r="T101" s="143" t="s">
        <v>308</v>
      </c>
      <c r="U101" s="140"/>
      <c r="V101" s="140">
        <v>-0.91</v>
      </c>
      <c r="W101" s="140">
        <v>-19.376000000000001</v>
      </c>
      <c r="X101" s="140">
        <v>-1.3079999999999999E-3</v>
      </c>
      <c r="Y101" s="143" t="s">
        <v>318</v>
      </c>
      <c r="Z101" s="140">
        <v>4.9368999999999996</v>
      </c>
      <c r="AA101" s="140">
        <v>5.2102000000000004</v>
      </c>
      <c r="AB101" s="140">
        <v>6.0960000000000001</v>
      </c>
    </row>
    <row r="102" spans="16:28" ht="14.4" x14ac:dyDescent="0.3">
      <c r="P102" s="143" t="s">
        <v>284</v>
      </c>
      <c r="Q102" s="143" t="s">
        <v>253</v>
      </c>
      <c r="R102" s="143" t="s">
        <v>310</v>
      </c>
      <c r="S102" s="143" t="s">
        <v>303</v>
      </c>
      <c r="T102" s="143" t="s">
        <v>155</v>
      </c>
      <c r="U102" s="140"/>
      <c r="V102" s="140">
        <v>12.391999999999999</v>
      </c>
      <c r="W102" s="140">
        <v>0.82799999999999996</v>
      </c>
      <c r="X102" s="140">
        <v>3.5300000000000002E-4</v>
      </c>
      <c r="Y102" s="143" t="s">
        <v>318</v>
      </c>
      <c r="Z102" s="140">
        <v>4.9368999999999996</v>
      </c>
      <c r="AA102" s="140">
        <v>5.2102000000000004</v>
      </c>
      <c r="AB102" s="140">
        <v>6.0960000000000001</v>
      </c>
    </row>
    <row r="103" spans="16:28" ht="14.4" x14ac:dyDescent="0.3">
      <c r="P103" s="143" t="s">
        <v>284</v>
      </c>
      <c r="Q103" s="143" t="s">
        <v>253</v>
      </c>
      <c r="R103" s="143" t="s">
        <v>310</v>
      </c>
      <c r="S103" s="143" t="s">
        <v>303</v>
      </c>
      <c r="T103" s="143" t="s">
        <v>308</v>
      </c>
      <c r="U103" s="140"/>
      <c r="V103" s="140">
        <v>-12.196999999999999</v>
      </c>
      <c r="W103" s="140">
        <v>-0.59599999999999997</v>
      </c>
      <c r="X103" s="140">
        <v>-4.6099999999999998E-4</v>
      </c>
      <c r="Y103" s="143" t="s">
        <v>318</v>
      </c>
      <c r="Z103" s="140">
        <v>4.9368999999999996</v>
      </c>
      <c r="AA103" s="140">
        <v>5.2102000000000004</v>
      </c>
      <c r="AB103" s="140">
        <v>6.0960000000000001</v>
      </c>
    </row>
    <row r="104" spans="16:28" ht="14.4" x14ac:dyDescent="0.3">
      <c r="P104" s="143" t="s">
        <v>284</v>
      </c>
      <c r="Q104" s="143" t="s">
        <v>253</v>
      </c>
      <c r="R104" s="143" t="s">
        <v>311</v>
      </c>
      <c r="S104" s="143" t="s">
        <v>303</v>
      </c>
      <c r="T104" s="143" t="s">
        <v>155</v>
      </c>
      <c r="U104" s="140"/>
      <c r="V104" s="140">
        <v>1.0640000000000001</v>
      </c>
      <c r="W104" s="140">
        <v>18.821999999999999</v>
      </c>
      <c r="X104" s="140">
        <v>1.1479999999999999E-3</v>
      </c>
      <c r="Y104" s="143" t="s">
        <v>318</v>
      </c>
      <c r="Z104" s="140">
        <v>4.9368999999999996</v>
      </c>
      <c r="AA104" s="140">
        <v>5.2102000000000004</v>
      </c>
      <c r="AB104" s="140">
        <v>6.0960000000000001</v>
      </c>
    </row>
    <row r="105" spans="16:28" ht="14.4" x14ac:dyDescent="0.3">
      <c r="P105" s="143" t="s">
        <v>284</v>
      </c>
      <c r="Q105" s="143" t="s">
        <v>253</v>
      </c>
      <c r="R105" s="143" t="s">
        <v>311</v>
      </c>
      <c r="S105" s="143" t="s">
        <v>303</v>
      </c>
      <c r="T105" s="143" t="s">
        <v>308</v>
      </c>
      <c r="U105" s="140"/>
      <c r="V105" s="140">
        <v>-0.86899999999999999</v>
      </c>
      <c r="W105" s="140">
        <v>-18.588999999999999</v>
      </c>
      <c r="X105" s="140">
        <v>-1.2570000000000001E-3</v>
      </c>
      <c r="Y105" s="143" t="s">
        <v>318</v>
      </c>
      <c r="Z105" s="140">
        <v>4.9368999999999996</v>
      </c>
      <c r="AA105" s="140">
        <v>5.2102000000000004</v>
      </c>
      <c r="AB105" s="140">
        <v>6.0960000000000001</v>
      </c>
    </row>
    <row r="106" spans="16:28" ht="14.4" x14ac:dyDescent="0.3">
      <c r="P106" s="143" t="s">
        <v>284</v>
      </c>
      <c r="Q106" s="143" t="s">
        <v>253</v>
      </c>
      <c r="R106" s="143" t="s">
        <v>312</v>
      </c>
      <c r="S106" s="143" t="s">
        <v>303</v>
      </c>
      <c r="T106" s="143" t="s">
        <v>155</v>
      </c>
      <c r="U106" s="140"/>
      <c r="V106" s="140">
        <v>0.48799999999999999</v>
      </c>
      <c r="W106" s="140">
        <v>18.355</v>
      </c>
      <c r="X106" s="140">
        <v>1.2999999999999999E-5</v>
      </c>
      <c r="Y106" s="143" t="s">
        <v>318</v>
      </c>
      <c r="Z106" s="140">
        <v>4.9368999999999996</v>
      </c>
      <c r="AA106" s="140">
        <v>5.2102000000000004</v>
      </c>
      <c r="AB106" s="140">
        <v>6.0960000000000001</v>
      </c>
    </row>
    <row r="107" spans="16:28" ht="14.4" x14ac:dyDescent="0.3">
      <c r="P107" s="143" t="s">
        <v>284</v>
      </c>
      <c r="Q107" s="143" t="s">
        <v>253</v>
      </c>
      <c r="R107" s="143" t="s">
        <v>312</v>
      </c>
      <c r="S107" s="143" t="s">
        <v>303</v>
      </c>
      <c r="T107" s="143" t="s">
        <v>308</v>
      </c>
      <c r="U107" s="140"/>
      <c r="V107" s="140">
        <v>0.22900000000000001</v>
      </c>
      <c r="W107" s="140">
        <v>17.951000000000001</v>
      </c>
      <c r="X107" s="140">
        <v>-7.2400000000000003E-4</v>
      </c>
      <c r="Y107" s="143" t="s">
        <v>318</v>
      </c>
      <c r="Z107" s="140">
        <v>4.9368999999999996</v>
      </c>
      <c r="AA107" s="140">
        <v>5.2102000000000004</v>
      </c>
      <c r="AB107" s="140">
        <v>6.0960000000000001</v>
      </c>
    </row>
    <row r="108" spans="16:28" ht="14.4" x14ac:dyDescent="0.3">
      <c r="P108" s="143" t="s">
        <v>284</v>
      </c>
      <c r="Q108" s="143" t="s">
        <v>253</v>
      </c>
      <c r="R108" s="143" t="s">
        <v>313</v>
      </c>
      <c r="S108" s="143" t="s">
        <v>303</v>
      </c>
      <c r="T108" s="143" t="s">
        <v>155</v>
      </c>
      <c r="U108" s="140"/>
      <c r="V108" s="140">
        <v>-11.831</v>
      </c>
      <c r="W108" s="140">
        <v>9.4E-2</v>
      </c>
      <c r="X108" s="140">
        <v>2.0100000000000001E-4</v>
      </c>
      <c r="Y108" s="143" t="s">
        <v>318</v>
      </c>
      <c r="Z108" s="140">
        <v>4.9368999999999996</v>
      </c>
      <c r="AA108" s="140">
        <v>5.2102000000000004</v>
      </c>
      <c r="AB108" s="140">
        <v>6.0960000000000001</v>
      </c>
    </row>
    <row r="109" spans="16:28" ht="14.4" x14ac:dyDescent="0.3">
      <c r="P109" s="143" t="s">
        <v>284</v>
      </c>
      <c r="Q109" s="143" t="s">
        <v>253</v>
      </c>
      <c r="R109" s="143" t="s">
        <v>313</v>
      </c>
      <c r="S109" s="143" t="s">
        <v>303</v>
      </c>
      <c r="T109" s="143" t="s">
        <v>308</v>
      </c>
      <c r="U109" s="140"/>
      <c r="V109" s="140">
        <v>-12.032</v>
      </c>
      <c r="W109" s="140">
        <v>-0.218</v>
      </c>
      <c r="X109" s="140">
        <v>-3.7399999999999998E-4</v>
      </c>
      <c r="Y109" s="143" t="s">
        <v>318</v>
      </c>
      <c r="Z109" s="140">
        <v>4.9368999999999996</v>
      </c>
      <c r="AA109" s="140">
        <v>5.2102000000000004</v>
      </c>
      <c r="AB109" s="140">
        <v>6.0960000000000001</v>
      </c>
    </row>
    <row r="110" spans="16:28" ht="14.4" x14ac:dyDescent="0.3">
      <c r="P110" s="143" t="s">
        <v>284</v>
      </c>
      <c r="Q110" s="143" t="s">
        <v>253</v>
      </c>
      <c r="R110" s="143" t="s">
        <v>314</v>
      </c>
      <c r="S110" s="143" t="s">
        <v>303</v>
      </c>
      <c r="T110" s="143" t="s">
        <v>155</v>
      </c>
      <c r="U110" s="140"/>
      <c r="V110" s="140">
        <v>-3.3000000000000002E-2</v>
      </c>
      <c r="W110" s="140">
        <v>-17.719000000000001</v>
      </c>
      <c r="X110" s="140">
        <v>6.1499999999999999E-4</v>
      </c>
      <c r="Y110" s="143" t="s">
        <v>318</v>
      </c>
      <c r="Z110" s="140">
        <v>4.9368999999999996</v>
      </c>
      <c r="AA110" s="140">
        <v>5.2102000000000004</v>
      </c>
      <c r="AB110" s="140">
        <v>6.0960000000000001</v>
      </c>
    </row>
    <row r="111" spans="16:28" ht="14.4" x14ac:dyDescent="0.3">
      <c r="P111" s="143" t="s">
        <v>284</v>
      </c>
      <c r="Q111" s="143" t="s">
        <v>253</v>
      </c>
      <c r="R111" s="143" t="s">
        <v>314</v>
      </c>
      <c r="S111" s="143" t="s">
        <v>303</v>
      </c>
      <c r="T111" s="143" t="s">
        <v>308</v>
      </c>
      <c r="U111" s="140"/>
      <c r="V111" s="140">
        <v>-0.29299999999999998</v>
      </c>
      <c r="W111" s="140">
        <v>-18.122</v>
      </c>
      <c r="X111" s="140">
        <v>-1.22E-4</v>
      </c>
      <c r="Y111" s="143" t="s">
        <v>318</v>
      </c>
      <c r="Z111" s="140">
        <v>4.9368999999999996</v>
      </c>
      <c r="AA111" s="140">
        <v>5.2102000000000004</v>
      </c>
      <c r="AB111" s="140">
        <v>6.0960000000000001</v>
      </c>
    </row>
    <row r="112" spans="16:28" ht="14.4" x14ac:dyDescent="0.3">
      <c r="P112" s="143" t="s">
        <v>284</v>
      </c>
      <c r="Q112" s="143" t="s">
        <v>253</v>
      </c>
      <c r="R112" s="143" t="s">
        <v>315</v>
      </c>
      <c r="S112" s="143" t="s">
        <v>303</v>
      </c>
      <c r="T112" s="143" t="s">
        <v>155</v>
      </c>
      <c r="U112" s="140"/>
      <c r="V112" s="140">
        <v>12.738</v>
      </c>
      <c r="W112" s="140">
        <v>0.46500000000000002</v>
      </c>
      <c r="X112" s="140">
        <v>2.7799999999999998E-4</v>
      </c>
      <c r="Y112" s="143" t="s">
        <v>318</v>
      </c>
      <c r="Z112" s="140">
        <v>4.9368999999999996</v>
      </c>
      <c r="AA112" s="140">
        <v>5.2102000000000004</v>
      </c>
      <c r="AB112" s="140">
        <v>6.0960000000000001</v>
      </c>
    </row>
    <row r="113" spans="16:28" ht="14.4" x14ac:dyDescent="0.3">
      <c r="P113" s="143" t="s">
        <v>284</v>
      </c>
      <c r="Q113" s="143" t="s">
        <v>253</v>
      </c>
      <c r="R113" s="143" t="s">
        <v>315</v>
      </c>
      <c r="S113" s="143" t="s">
        <v>303</v>
      </c>
      <c r="T113" s="143" t="s">
        <v>308</v>
      </c>
      <c r="U113" s="140"/>
      <c r="V113" s="140">
        <v>12.528</v>
      </c>
      <c r="W113" s="140">
        <v>0.14000000000000001</v>
      </c>
      <c r="X113" s="140">
        <v>-3.21E-4</v>
      </c>
      <c r="Y113" s="143" t="s">
        <v>318</v>
      </c>
      <c r="Z113" s="140">
        <v>4.9368999999999996</v>
      </c>
      <c r="AA113" s="140">
        <v>5.2102000000000004</v>
      </c>
      <c r="AB113" s="140">
        <v>6.0960000000000001</v>
      </c>
    </row>
    <row r="114" spans="16:28" ht="14.4" x14ac:dyDescent="0.3">
      <c r="P114" s="143" t="s">
        <v>284</v>
      </c>
      <c r="Q114" s="143" t="s">
        <v>253</v>
      </c>
      <c r="R114" s="143" t="s">
        <v>316</v>
      </c>
      <c r="S114" s="143" t="s">
        <v>303</v>
      </c>
      <c r="T114" s="143" t="s">
        <v>155</v>
      </c>
      <c r="U114" s="140"/>
      <c r="V114" s="140">
        <v>0.504</v>
      </c>
      <c r="W114" s="140">
        <v>19.122</v>
      </c>
      <c r="X114" s="140">
        <v>1.5999999999999999E-5</v>
      </c>
      <c r="Y114" s="143" t="s">
        <v>318</v>
      </c>
      <c r="Z114" s="140">
        <v>4.9368999999999996</v>
      </c>
      <c r="AA114" s="140">
        <v>5.2102000000000004</v>
      </c>
      <c r="AB114" s="140">
        <v>6.0960000000000001</v>
      </c>
    </row>
    <row r="115" spans="16:28" ht="14.4" x14ac:dyDescent="0.3">
      <c r="P115" s="143" t="s">
        <v>284</v>
      </c>
      <c r="Q115" s="143" t="s">
        <v>253</v>
      </c>
      <c r="R115" s="143" t="s">
        <v>316</v>
      </c>
      <c r="S115" s="143" t="s">
        <v>303</v>
      </c>
      <c r="T115" s="143" t="s">
        <v>308</v>
      </c>
      <c r="U115" s="140"/>
      <c r="V115" s="140">
        <v>0.23400000000000001</v>
      </c>
      <c r="W115" s="140">
        <v>18.702000000000002</v>
      </c>
      <c r="X115" s="140">
        <v>-7.5199999999999996E-4</v>
      </c>
      <c r="Y115" s="143" t="s">
        <v>318</v>
      </c>
      <c r="Z115" s="140">
        <v>4.9368999999999996</v>
      </c>
      <c r="AA115" s="140">
        <v>5.2102000000000004</v>
      </c>
      <c r="AB115" s="140">
        <v>6.0960000000000001</v>
      </c>
    </row>
    <row r="116" spans="16:28" ht="14.4" x14ac:dyDescent="0.3">
      <c r="P116" s="143" t="s">
        <v>284</v>
      </c>
      <c r="Q116" s="143" t="s">
        <v>253</v>
      </c>
      <c r="R116" s="143" t="s">
        <v>317</v>
      </c>
      <c r="S116" s="143" t="s">
        <v>303</v>
      </c>
      <c r="T116" s="143" t="s">
        <v>155</v>
      </c>
      <c r="U116" s="140"/>
      <c r="V116" s="140">
        <v>-3.9E-2</v>
      </c>
      <c r="W116" s="140">
        <v>-18.469000000000001</v>
      </c>
      <c r="X116" s="140">
        <v>6.4400000000000004E-4</v>
      </c>
      <c r="Y116" s="143" t="s">
        <v>318</v>
      </c>
      <c r="Z116" s="140">
        <v>4.9368999999999996</v>
      </c>
      <c r="AA116" s="140">
        <v>5.2102000000000004</v>
      </c>
      <c r="AB116" s="140">
        <v>6.0960000000000001</v>
      </c>
    </row>
    <row r="117" spans="16:28" ht="14.4" x14ac:dyDescent="0.3">
      <c r="P117" s="143" t="s">
        <v>284</v>
      </c>
      <c r="Q117" s="143" t="s">
        <v>253</v>
      </c>
      <c r="R117" s="143" t="s">
        <v>317</v>
      </c>
      <c r="S117" s="143" t="s">
        <v>303</v>
      </c>
      <c r="T117" s="143" t="s">
        <v>308</v>
      </c>
      <c r="U117" s="140"/>
      <c r="V117" s="140">
        <v>-0.309</v>
      </c>
      <c r="W117" s="140">
        <v>-18.888999999999999</v>
      </c>
      <c r="X117" s="140">
        <v>-1.25E-4</v>
      </c>
      <c r="Y117" s="143" t="s">
        <v>318</v>
      </c>
      <c r="Z117" s="140">
        <v>4.9368999999999996</v>
      </c>
      <c r="AA117" s="140">
        <v>5.2102000000000004</v>
      </c>
      <c r="AB117" s="140">
        <v>6.0960000000000001</v>
      </c>
    </row>
    <row r="118" spans="16:28" ht="14.4" x14ac:dyDescent="0.3">
      <c r="P118" s="143" t="s">
        <v>285</v>
      </c>
      <c r="Q118" s="143" t="s">
        <v>252</v>
      </c>
      <c r="R118" s="143" t="s">
        <v>294</v>
      </c>
      <c r="S118" s="143" t="s">
        <v>295</v>
      </c>
      <c r="T118" s="143" t="s">
        <v>296</v>
      </c>
      <c r="U118" s="140">
        <v>1</v>
      </c>
      <c r="V118" s="140">
        <v>1E-3</v>
      </c>
      <c r="W118" s="140">
        <v>2.8000000000000001E-2</v>
      </c>
      <c r="X118" s="140">
        <v>-9.9999999999999995E-7</v>
      </c>
      <c r="Y118" s="143" t="s">
        <v>319</v>
      </c>
      <c r="Z118" s="140">
        <v>5.2347000000000001</v>
      </c>
      <c r="AA118" s="140">
        <v>4.7350000000000003</v>
      </c>
      <c r="AB118" s="140">
        <v>3.048</v>
      </c>
    </row>
    <row r="119" spans="16:28" ht="14.4" x14ac:dyDescent="0.3">
      <c r="P119" s="143" t="s">
        <v>285</v>
      </c>
      <c r="Q119" s="143" t="s">
        <v>252</v>
      </c>
      <c r="R119" s="143" t="s">
        <v>294</v>
      </c>
      <c r="S119" s="143" t="s">
        <v>295</v>
      </c>
      <c r="T119" s="143" t="s">
        <v>296</v>
      </c>
      <c r="U119" s="140">
        <v>2</v>
      </c>
      <c r="V119" s="140">
        <v>-2.8000000000000001E-2</v>
      </c>
      <c r="W119" s="140">
        <v>1E-3</v>
      </c>
      <c r="X119" s="140">
        <v>-7.0679999999999995E-8</v>
      </c>
      <c r="Y119" s="143" t="s">
        <v>319</v>
      </c>
      <c r="Z119" s="140">
        <v>5.2347000000000001</v>
      </c>
      <c r="AA119" s="140">
        <v>4.7350000000000003</v>
      </c>
      <c r="AB119" s="140">
        <v>3.048</v>
      </c>
    </row>
    <row r="120" spans="16:28" ht="14.4" x14ac:dyDescent="0.3">
      <c r="P120" s="143" t="s">
        <v>285</v>
      </c>
      <c r="Q120" s="143" t="s">
        <v>252</v>
      </c>
      <c r="R120" s="143" t="s">
        <v>294</v>
      </c>
      <c r="S120" s="143" t="s">
        <v>295</v>
      </c>
      <c r="T120" s="143" t="s">
        <v>296</v>
      </c>
      <c r="U120" s="140">
        <v>3</v>
      </c>
      <c r="V120" s="140">
        <v>-1E-3</v>
      </c>
      <c r="W120" s="140">
        <v>5.0000000000000001E-3</v>
      </c>
      <c r="X120" s="140">
        <v>6.0000000000000002E-6</v>
      </c>
      <c r="Y120" s="143" t="s">
        <v>319</v>
      </c>
      <c r="Z120" s="140">
        <v>5.2347000000000001</v>
      </c>
      <c r="AA120" s="140">
        <v>4.7350000000000003</v>
      </c>
      <c r="AB120" s="140">
        <v>3.048</v>
      </c>
    </row>
    <row r="121" spans="16:28" ht="14.4" x14ac:dyDescent="0.3">
      <c r="P121" s="143" t="s">
        <v>285</v>
      </c>
      <c r="Q121" s="143" t="s">
        <v>252</v>
      </c>
      <c r="R121" s="143" t="s">
        <v>294</v>
      </c>
      <c r="S121" s="143" t="s">
        <v>295</v>
      </c>
      <c r="T121" s="143" t="s">
        <v>296</v>
      </c>
      <c r="U121" s="140">
        <v>4</v>
      </c>
      <c r="V121" s="140">
        <v>3.0000000000000001E-3</v>
      </c>
      <c r="W121" s="140">
        <v>0.06</v>
      </c>
      <c r="X121" s="140">
        <v>-9.9999999999999995E-7</v>
      </c>
      <c r="Y121" s="143" t="s">
        <v>319</v>
      </c>
      <c r="Z121" s="140">
        <v>5.2347000000000001</v>
      </c>
      <c r="AA121" s="140">
        <v>4.7350000000000003</v>
      </c>
      <c r="AB121" s="140">
        <v>3.048</v>
      </c>
    </row>
    <row r="122" spans="16:28" ht="14.4" x14ac:dyDescent="0.3">
      <c r="P122" s="143" t="s">
        <v>285</v>
      </c>
      <c r="Q122" s="143" t="s">
        <v>252</v>
      </c>
      <c r="R122" s="143" t="s">
        <v>294</v>
      </c>
      <c r="S122" s="143" t="s">
        <v>295</v>
      </c>
      <c r="T122" s="143" t="s">
        <v>296</v>
      </c>
      <c r="U122" s="140">
        <v>5</v>
      </c>
      <c r="V122" s="140">
        <v>-5.6000000000000001E-2</v>
      </c>
      <c r="W122" s="140">
        <v>4.0000000000000001E-3</v>
      </c>
      <c r="X122" s="140">
        <v>1.9999999999999999E-6</v>
      </c>
      <c r="Y122" s="143" t="s">
        <v>319</v>
      </c>
      <c r="Z122" s="140">
        <v>5.2347000000000001</v>
      </c>
      <c r="AA122" s="140">
        <v>4.7350000000000003</v>
      </c>
      <c r="AB122" s="140">
        <v>3.048</v>
      </c>
    </row>
    <row r="123" spans="16:28" ht="14.4" x14ac:dyDescent="0.3">
      <c r="P123" s="143" t="s">
        <v>285</v>
      </c>
      <c r="Q123" s="143" t="s">
        <v>252</v>
      </c>
      <c r="R123" s="143" t="s">
        <v>294</v>
      </c>
      <c r="S123" s="143" t="s">
        <v>295</v>
      </c>
      <c r="T123" s="143" t="s">
        <v>296</v>
      </c>
      <c r="U123" s="140">
        <v>6</v>
      </c>
      <c r="V123" s="140">
        <v>1.4999999999999999E-2</v>
      </c>
      <c r="W123" s="140">
        <v>5.0000000000000001E-3</v>
      </c>
      <c r="X123" s="140">
        <v>1.2E-5</v>
      </c>
      <c r="Y123" s="143" t="s">
        <v>319</v>
      </c>
      <c r="Z123" s="140">
        <v>5.2347000000000001</v>
      </c>
      <c r="AA123" s="140">
        <v>4.7350000000000003</v>
      </c>
      <c r="AB123" s="140">
        <v>3.048</v>
      </c>
    </row>
    <row r="124" spans="16:28" ht="14.4" x14ac:dyDescent="0.3">
      <c r="P124" s="143" t="s">
        <v>285</v>
      </c>
      <c r="Q124" s="143" t="s">
        <v>252</v>
      </c>
      <c r="R124" s="143" t="s">
        <v>294</v>
      </c>
      <c r="S124" s="143" t="s">
        <v>295</v>
      </c>
      <c r="T124" s="143" t="s">
        <v>296</v>
      </c>
      <c r="U124" s="140">
        <v>7</v>
      </c>
      <c r="V124" s="140">
        <v>5.0000000000000001E-3</v>
      </c>
      <c r="W124" s="140">
        <v>-0.05</v>
      </c>
      <c r="X124" s="140">
        <v>-4.341E-7</v>
      </c>
      <c r="Y124" s="143" t="s">
        <v>319</v>
      </c>
      <c r="Z124" s="140">
        <v>5.2347000000000001</v>
      </c>
      <c r="AA124" s="140">
        <v>4.7350000000000003</v>
      </c>
      <c r="AB124" s="140">
        <v>3.048</v>
      </c>
    </row>
    <row r="125" spans="16:28" ht="14.4" x14ac:dyDescent="0.3">
      <c r="P125" s="143" t="s">
        <v>285</v>
      </c>
      <c r="Q125" s="143" t="s">
        <v>252</v>
      </c>
      <c r="R125" s="143" t="s">
        <v>294</v>
      </c>
      <c r="S125" s="143" t="s">
        <v>295</v>
      </c>
      <c r="T125" s="143" t="s">
        <v>296</v>
      </c>
      <c r="U125" s="140">
        <v>8</v>
      </c>
      <c r="V125" s="140">
        <v>5.0999999999999997E-2</v>
      </c>
      <c r="W125" s="140">
        <v>3.0000000000000001E-3</v>
      </c>
      <c r="X125" s="140">
        <v>-3.9999999999999998E-6</v>
      </c>
      <c r="Y125" s="143" t="s">
        <v>319</v>
      </c>
      <c r="Z125" s="140">
        <v>5.2347000000000001</v>
      </c>
      <c r="AA125" s="140">
        <v>4.7350000000000003</v>
      </c>
      <c r="AB125" s="140">
        <v>3.048</v>
      </c>
    </row>
    <row r="126" spans="16:28" ht="14.4" x14ac:dyDescent="0.3">
      <c r="P126" s="143" t="s">
        <v>285</v>
      </c>
      <c r="Q126" s="143" t="s">
        <v>252</v>
      </c>
      <c r="R126" s="143" t="s">
        <v>294</v>
      </c>
      <c r="S126" s="143" t="s">
        <v>295</v>
      </c>
      <c r="T126" s="143" t="s">
        <v>296</v>
      </c>
      <c r="U126" s="140">
        <v>9</v>
      </c>
      <c r="V126" s="140">
        <v>1.4E-2</v>
      </c>
      <c r="W126" s="140">
        <v>1E-3</v>
      </c>
      <c r="X126" s="140">
        <v>9.0000000000000002E-6</v>
      </c>
      <c r="Y126" s="143" t="s">
        <v>319</v>
      </c>
      <c r="Z126" s="140">
        <v>5.2347000000000001</v>
      </c>
      <c r="AA126" s="140">
        <v>4.7350000000000003</v>
      </c>
      <c r="AB126" s="140">
        <v>3.048</v>
      </c>
    </row>
    <row r="127" spans="16:28" ht="14.4" x14ac:dyDescent="0.3">
      <c r="P127" s="143" t="s">
        <v>285</v>
      </c>
      <c r="Q127" s="143" t="s">
        <v>252</v>
      </c>
      <c r="R127" s="143" t="s">
        <v>294</v>
      </c>
      <c r="S127" s="143" t="s">
        <v>295</v>
      </c>
      <c r="T127" s="143" t="s">
        <v>296</v>
      </c>
      <c r="U127" s="140">
        <v>10</v>
      </c>
      <c r="V127" s="140">
        <v>-7.0000000000000001E-3</v>
      </c>
      <c r="W127" s="140">
        <v>-2E-3</v>
      </c>
      <c r="X127" s="140">
        <v>9.9999999999999995E-7</v>
      </c>
      <c r="Y127" s="143" t="s">
        <v>319</v>
      </c>
      <c r="Z127" s="140">
        <v>5.2347000000000001</v>
      </c>
      <c r="AA127" s="140">
        <v>4.7350000000000003</v>
      </c>
      <c r="AB127" s="140">
        <v>3.048</v>
      </c>
    </row>
    <row r="128" spans="16:28" ht="14.4" x14ac:dyDescent="0.3">
      <c r="P128" s="143" t="s">
        <v>285</v>
      </c>
      <c r="Q128" s="143" t="s">
        <v>252</v>
      </c>
      <c r="R128" s="143" t="s">
        <v>294</v>
      </c>
      <c r="S128" s="143" t="s">
        <v>295</v>
      </c>
      <c r="T128" s="143" t="s">
        <v>296</v>
      </c>
      <c r="U128" s="140">
        <v>11</v>
      </c>
      <c r="V128" s="140">
        <v>8.0000000000000002E-3</v>
      </c>
      <c r="W128" s="140">
        <v>-4.0000000000000001E-3</v>
      </c>
      <c r="X128" s="140">
        <v>-9.9999999999999995E-7</v>
      </c>
      <c r="Y128" s="143" t="s">
        <v>319</v>
      </c>
      <c r="Z128" s="140">
        <v>5.2347000000000001</v>
      </c>
      <c r="AA128" s="140">
        <v>4.7350000000000003</v>
      </c>
      <c r="AB128" s="140">
        <v>3.048</v>
      </c>
    </row>
    <row r="129" spans="16:28" ht="14.4" x14ac:dyDescent="0.3">
      <c r="P129" s="143" t="s">
        <v>285</v>
      </c>
      <c r="Q129" s="143" t="s">
        <v>252</v>
      </c>
      <c r="R129" s="143" t="s">
        <v>294</v>
      </c>
      <c r="S129" s="143" t="s">
        <v>295</v>
      </c>
      <c r="T129" s="143" t="s">
        <v>296</v>
      </c>
      <c r="U129" s="140">
        <v>12</v>
      </c>
      <c r="V129" s="140">
        <v>6.0000000000000001E-3</v>
      </c>
      <c r="W129" s="140">
        <v>3.0000000000000001E-3</v>
      </c>
      <c r="X129" s="140">
        <v>-4.7380000000000002E-7</v>
      </c>
      <c r="Y129" s="143" t="s">
        <v>319</v>
      </c>
      <c r="Z129" s="140">
        <v>5.2347000000000001</v>
      </c>
      <c r="AA129" s="140">
        <v>4.7350000000000003</v>
      </c>
      <c r="AB129" s="140">
        <v>3.048</v>
      </c>
    </row>
    <row r="130" spans="16:28" ht="14.4" x14ac:dyDescent="0.3">
      <c r="P130" s="143" t="s">
        <v>285</v>
      </c>
      <c r="Q130" s="143" t="s">
        <v>252</v>
      </c>
      <c r="R130" s="143" t="s">
        <v>297</v>
      </c>
      <c r="S130" s="143" t="s">
        <v>149</v>
      </c>
      <c r="T130" s="140"/>
      <c r="U130" s="140"/>
      <c r="V130" s="140">
        <v>0.154</v>
      </c>
      <c r="W130" s="140">
        <v>0.13600000000000001</v>
      </c>
      <c r="X130" s="140">
        <v>-6.0000000000000002E-6</v>
      </c>
      <c r="Y130" s="143" t="s">
        <v>319</v>
      </c>
      <c r="Z130" s="140">
        <v>5.2347000000000001</v>
      </c>
      <c r="AA130" s="140">
        <v>4.7350000000000003</v>
      </c>
      <c r="AB130" s="140">
        <v>3.048</v>
      </c>
    </row>
    <row r="131" spans="16:28" ht="14.4" x14ac:dyDescent="0.3">
      <c r="P131" s="143" t="s">
        <v>285</v>
      </c>
      <c r="Q131" s="143" t="s">
        <v>252</v>
      </c>
      <c r="R131" s="143" t="s">
        <v>298</v>
      </c>
      <c r="S131" s="143" t="s">
        <v>149</v>
      </c>
      <c r="T131" s="140"/>
      <c r="U131" s="140"/>
      <c r="V131" s="140">
        <v>9.0999999999999998E-2</v>
      </c>
      <c r="W131" s="140">
        <v>0.16200000000000001</v>
      </c>
      <c r="X131" s="140">
        <v>-1.9999999999999999E-6</v>
      </c>
      <c r="Y131" s="143" t="s">
        <v>319</v>
      </c>
      <c r="Z131" s="140">
        <v>5.2347000000000001</v>
      </c>
      <c r="AA131" s="140">
        <v>4.7350000000000003</v>
      </c>
      <c r="AB131" s="140">
        <v>3.048</v>
      </c>
    </row>
    <row r="132" spans="16:28" ht="14.4" x14ac:dyDescent="0.3">
      <c r="P132" s="143" t="s">
        <v>285</v>
      </c>
      <c r="Q132" s="143" t="s">
        <v>252</v>
      </c>
      <c r="R132" s="143" t="s">
        <v>299</v>
      </c>
      <c r="S132" s="143" t="s">
        <v>149</v>
      </c>
      <c r="T132" s="140"/>
      <c r="U132" s="140"/>
      <c r="V132" s="140">
        <v>1.2E-2</v>
      </c>
      <c r="W132" s="140">
        <v>-0.192</v>
      </c>
      <c r="X132" s="140">
        <v>-1.7E-5</v>
      </c>
      <c r="Y132" s="143" t="s">
        <v>319</v>
      </c>
      <c r="Z132" s="140">
        <v>5.2347000000000001</v>
      </c>
      <c r="AA132" s="140">
        <v>4.7350000000000003</v>
      </c>
      <c r="AB132" s="140">
        <v>3.048</v>
      </c>
    </row>
    <row r="133" spans="16:28" ht="14.4" x14ac:dyDescent="0.3">
      <c r="P133" s="143" t="s">
        <v>285</v>
      </c>
      <c r="Q133" s="143" t="s">
        <v>252</v>
      </c>
      <c r="R133" s="143" t="s">
        <v>300</v>
      </c>
      <c r="S133" s="143" t="s">
        <v>149</v>
      </c>
      <c r="T133" s="140"/>
      <c r="U133" s="140"/>
      <c r="V133" s="140">
        <v>7.0000000000000001E-3</v>
      </c>
      <c r="W133" s="140">
        <v>2E-3</v>
      </c>
      <c r="X133" s="140">
        <v>-3.573E-7</v>
      </c>
      <c r="Y133" s="143" t="s">
        <v>319</v>
      </c>
      <c r="Z133" s="140">
        <v>5.2347000000000001</v>
      </c>
      <c r="AA133" s="140">
        <v>4.7350000000000003</v>
      </c>
      <c r="AB133" s="140">
        <v>3.048</v>
      </c>
    </row>
    <row r="134" spans="16:28" ht="14.4" x14ac:dyDescent="0.3">
      <c r="P134" s="143" t="s">
        <v>285</v>
      </c>
      <c r="Q134" s="143" t="s">
        <v>252</v>
      </c>
      <c r="R134" s="143" t="s">
        <v>301</v>
      </c>
      <c r="S134" s="143" t="s">
        <v>149</v>
      </c>
      <c r="T134" s="140"/>
      <c r="U134" s="140"/>
      <c r="V134" s="140">
        <v>3.7999999999999999E-2</v>
      </c>
      <c r="W134" s="140">
        <v>5.1999999999999998E-2</v>
      </c>
      <c r="X134" s="140">
        <v>-9.9999999999999995E-7</v>
      </c>
      <c r="Y134" s="143" t="s">
        <v>319</v>
      </c>
      <c r="Z134" s="140">
        <v>5.2347000000000001</v>
      </c>
      <c r="AA134" s="140">
        <v>4.7350000000000003</v>
      </c>
      <c r="AB134" s="140">
        <v>3.048</v>
      </c>
    </row>
    <row r="135" spans="16:28" ht="14.4" x14ac:dyDescent="0.3">
      <c r="P135" s="143" t="s">
        <v>285</v>
      </c>
      <c r="Q135" s="143" t="s">
        <v>252</v>
      </c>
      <c r="R135" s="143" t="s">
        <v>148</v>
      </c>
      <c r="S135" s="143" t="s">
        <v>149</v>
      </c>
      <c r="T135" s="143" t="s">
        <v>320</v>
      </c>
      <c r="U135" s="140">
        <v>1</v>
      </c>
      <c r="V135" s="140">
        <v>5.556</v>
      </c>
      <c r="W135" s="140">
        <v>0.14199999999999999</v>
      </c>
      <c r="X135" s="140">
        <v>-1.44E-4</v>
      </c>
      <c r="Y135" s="143" t="s">
        <v>319</v>
      </c>
      <c r="Z135" s="140">
        <v>5.2347000000000001</v>
      </c>
      <c r="AA135" s="140">
        <v>4.7350000000000003</v>
      </c>
      <c r="AB135" s="140">
        <v>3.048</v>
      </c>
    </row>
    <row r="136" spans="16:28" ht="14.4" x14ac:dyDescent="0.3">
      <c r="P136" s="143" t="s">
        <v>285</v>
      </c>
      <c r="Q136" s="143" t="s">
        <v>252</v>
      </c>
      <c r="R136" s="143" t="s">
        <v>148</v>
      </c>
      <c r="S136" s="143" t="s">
        <v>149</v>
      </c>
      <c r="T136" s="143" t="s">
        <v>320</v>
      </c>
      <c r="U136" s="140">
        <v>2</v>
      </c>
      <c r="V136" s="140">
        <v>5.5519999999999996</v>
      </c>
      <c r="W136" s="140">
        <v>1.9E-2</v>
      </c>
      <c r="X136" s="140">
        <v>1.13E-4</v>
      </c>
      <c r="Y136" s="143" t="s">
        <v>319</v>
      </c>
      <c r="Z136" s="140">
        <v>5.2347000000000001</v>
      </c>
      <c r="AA136" s="140">
        <v>4.7350000000000003</v>
      </c>
      <c r="AB136" s="140">
        <v>3.048</v>
      </c>
    </row>
    <row r="137" spans="16:28" ht="14.4" x14ac:dyDescent="0.3">
      <c r="P137" s="143" t="s">
        <v>285</v>
      </c>
      <c r="Q137" s="143" t="s">
        <v>252</v>
      </c>
      <c r="R137" s="143" t="s">
        <v>150</v>
      </c>
      <c r="S137" s="143" t="s">
        <v>149</v>
      </c>
      <c r="T137" s="143" t="s">
        <v>320</v>
      </c>
      <c r="U137" s="140">
        <v>1</v>
      </c>
      <c r="V137" s="140">
        <v>0.128</v>
      </c>
      <c r="W137" s="140">
        <v>7.9870000000000001</v>
      </c>
      <c r="X137" s="140">
        <v>-1.8E-5</v>
      </c>
      <c r="Y137" s="143" t="s">
        <v>319</v>
      </c>
      <c r="Z137" s="140">
        <v>5.2347000000000001</v>
      </c>
      <c r="AA137" s="140">
        <v>4.7350000000000003</v>
      </c>
      <c r="AB137" s="140">
        <v>3.048</v>
      </c>
    </row>
    <row r="138" spans="16:28" ht="14.4" x14ac:dyDescent="0.3">
      <c r="P138" s="143" t="s">
        <v>285</v>
      </c>
      <c r="Q138" s="143" t="s">
        <v>252</v>
      </c>
      <c r="R138" s="143" t="s">
        <v>150</v>
      </c>
      <c r="S138" s="143" t="s">
        <v>149</v>
      </c>
      <c r="T138" s="143" t="s">
        <v>320</v>
      </c>
      <c r="U138" s="140">
        <v>2</v>
      </c>
      <c r="V138" s="140">
        <v>0.13400000000000001</v>
      </c>
      <c r="W138" s="140">
        <v>8.1489999999999991</v>
      </c>
      <c r="X138" s="140">
        <v>-3.5300000000000002E-4</v>
      </c>
      <c r="Y138" s="143" t="s">
        <v>319</v>
      </c>
      <c r="Z138" s="140">
        <v>5.2347000000000001</v>
      </c>
      <c r="AA138" s="140">
        <v>4.7350000000000003</v>
      </c>
      <c r="AB138" s="140">
        <v>3.048</v>
      </c>
    </row>
    <row r="139" spans="16:28" ht="14.4" x14ac:dyDescent="0.3">
      <c r="P139" s="143" t="s">
        <v>285</v>
      </c>
      <c r="Q139" s="143" t="s">
        <v>252</v>
      </c>
      <c r="R139" s="143" t="s">
        <v>151</v>
      </c>
      <c r="S139" s="143" t="s">
        <v>149</v>
      </c>
      <c r="T139" s="143" t="s">
        <v>320</v>
      </c>
      <c r="U139" s="140">
        <v>1</v>
      </c>
      <c r="V139" s="140">
        <v>0.123</v>
      </c>
      <c r="W139" s="140">
        <v>7.665</v>
      </c>
      <c r="X139" s="140">
        <v>-1.7E-5</v>
      </c>
      <c r="Y139" s="143" t="s">
        <v>319</v>
      </c>
      <c r="Z139" s="140">
        <v>5.2347000000000001</v>
      </c>
      <c r="AA139" s="140">
        <v>4.7350000000000003</v>
      </c>
      <c r="AB139" s="140">
        <v>3.048</v>
      </c>
    </row>
    <row r="140" spans="16:28" ht="14.4" x14ac:dyDescent="0.3">
      <c r="P140" s="143" t="s">
        <v>285</v>
      </c>
      <c r="Q140" s="143" t="s">
        <v>252</v>
      </c>
      <c r="R140" s="143" t="s">
        <v>151</v>
      </c>
      <c r="S140" s="143" t="s">
        <v>149</v>
      </c>
      <c r="T140" s="143" t="s">
        <v>320</v>
      </c>
      <c r="U140" s="140">
        <v>2</v>
      </c>
      <c r="V140" s="140">
        <v>0.129</v>
      </c>
      <c r="W140" s="140">
        <v>7.82</v>
      </c>
      <c r="X140" s="140">
        <v>-3.39E-4</v>
      </c>
      <c r="Y140" s="143" t="s">
        <v>319</v>
      </c>
      <c r="Z140" s="140">
        <v>5.2347000000000001</v>
      </c>
      <c r="AA140" s="140">
        <v>4.7350000000000003</v>
      </c>
      <c r="AB140" s="140">
        <v>3.048</v>
      </c>
    </row>
    <row r="141" spans="16:28" ht="14.4" x14ac:dyDescent="0.3">
      <c r="P141" s="143" t="s">
        <v>285</v>
      </c>
      <c r="Q141" s="143" t="s">
        <v>252</v>
      </c>
      <c r="R141" s="143" t="s">
        <v>152</v>
      </c>
      <c r="S141" s="143" t="s">
        <v>149</v>
      </c>
      <c r="T141" s="143" t="s">
        <v>320</v>
      </c>
      <c r="U141" s="140">
        <v>1</v>
      </c>
      <c r="V141" s="140">
        <v>5.3319999999999999</v>
      </c>
      <c r="W141" s="140">
        <v>0.13700000000000001</v>
      </c>
      <c r="X141" s="140">
        <v>-1.3799999999999999E-4</v>
      </c>
      <c r="Y141" s="143" t="s">
        <v>319</v>
      </c>
      <c r="Z141" s="140">
        <v>5.2347000000000001</v>
      </c>
      <c r="AA141" s="140">
        <v>4.7350000000000003</v>
      </c>
      <c r="AB141" s="140">
        <v>3.048</v>
      </c>
    </row>
    <row r="142" spans="16:28" ht="14.4" x14ac:dyDescent="0.3">
      <c r="P142" s="143" t="s">
        <v>285</v>
      </c>
      <c r="Q142" s="143" t="s">
        <v>252</v>
      </c>
      <c r="R142" s="143" t="s">
        <v>152</v>
      </c>
      <c r="S142" s="143" t="s">
        <v>149</v>
      </c>
      <c r="T142" s="143" t="s">
        <v>320</v>
      </c>
      <c r="U142" s="140">
        <v>2</v>
      </c>
      <c r="V142" s="140">
        <v>5.3280000000000003</v>
      </c>
      <c r="W142" s="140">
        <v>1.7999999999999999E-2</v>
      </c>
      <c r="X142" s="140">
        <v>1.0900000000000001E-4</v>
      </c>
      <c r="Y142" s="143" t="s">
        <v>319</v>
      </c>
      <c r="Z142" s="140">
        <v>5.2347000000000001</v>
      </c>
      <c r="AA142" s="140">
        <v>4.7350000000000003</v>
      </c>
      <c r="AB142" s="140">
        <v>3.048</v>
      </c>
    </row>
    <row r="143" spans="16:28" ht="14.4" x14ac:dyDescent="0.3">
      <c r="P143" s="143" t="s">
        <v>285</v>
      </c>
      <c r="Q143" s="143" t="s">
        <v>252</v>
      </c>
      <c r="R143" s="143" t="s">
        <v>153</v>
      </c>
      <c r="S143" s="143" t="s">
        <v>154</v>
      </c>
      <c r="T143" s="143" t="s">
        <v>155</v>
      </c>
      <c r="U143" s="140"/>
      <c r="V143" s="140">
        <v>5.5940000000000003</v>
      </c>
      <c r="W143" s="140">
        <v>0.315</v>
      </c>
      <c r="X143" s="140">
        <v>1.6699999999999999E-4</v>
      </c>
      <c r="Y143" s="143" t="s">
        <v>319</v>
      </c>
      <c r="Z143" s="140">
        <v>5.2347000000000001</v>
      </c>
      <c r="AA143" s="140">
        <v>4.7350000000000003</v>
      </c>
      <c r="AB143" s="140">
        <v>3.048</v>
      </c>
    </row>
    <row r="144" spans="16:28" ht="14.4" x14ac:dyDescent="0.3">
      <c r="P144" s="143" t="s">
        <v>285</v>
      </c>
      <c r="Q144" s="143" t="s">
        <v>252</v>
      </c>
      <c r="R144" s="143" t="s">
        <v>156</v>
      </c>
      <c r="S144" s="143" t="s">
        <v>154</v>
      </c>
      <c r="T144" s="143" t="s">
        <v>155</v>
      </c>
      <c r="U144" s="140"/>
      <c r="V144" s="140">
        <v>0.33700000000000002</v>
      </c>
      <c r="W144" s="140">
        <v>8.2940000000000005</v>
      </c>
      <c r="X144" s="140">
        <v>5.8699999999999996E-4</v>
      </c>
      <c r="Y144" s="143" t="s">
        <v>319</v>
      </c>
      <c r="Z144" s="140">
        <v>5.2347000000000001</v>
      </c>
      <c r="AA144" s="140">
        <v>4.7350000000000003</v>
      </c>
      <c r="AB144" s="140">
        <v>3.048</v>
      </c>
    </row>
    <row r="145" spans="16:28" ht="14.4" x14ac:dyDescent="0.3">
      <c r="P145" s="143" t="s">
        <v>285</v>
      </c>
      <c r="Q145" s="143" t="s">
        <v>252</v>
      </c>
      <c r="R145" s="143" t="s">
        <v>157</v>
      </c>
      <c r="S145" s="143" t="s">
        <v>154</v>
      </c>
      <c r="T145" s="143" t="s">
        <v>155</v>
      </c>
      <c r="U145" s="140"/>
      <c r="V145" s="140">
        <v>5.3680000000000003</v>
      </c>
      <c r="W145" s="140">
        <v>0.30299999999999999</v>
      </c>
      <c r="X145" s="140">
        <v>1.6100000000000001E-4</v>
      </c>
      <c r="Y145" s="143" t="s">
        <v>319</v>
      </c>
      <c r="Z145" s="140">
        <v>5.2347000000000001</v>
      </c>
      <c r="AA145" s="140">
        <v>4.7350000000000003</v>
      </c>
      <c r="AB145" s="140">
        <v>3.048</v>
      </c>
    </row>
    <row r="146" spans="16:28" ht="14.4" x14ac:dyDescent="0.3">
      <c r="P146" s="143" t="s">
        <v>285</v>
      </c>
      <c r="Q146" s="143" t="s">
        <v>252</v>
      </c>
      <c r="R146" s="143" t="s">
        <v>158</v>
      </c>
      <c r="S146" s="143" t="s">
        <v>154</v>
      </c>
      <c r="T146" s="143" t="s">
        <v>155</v>
      </c>
      <c r="U146" s="140"/>
      <c r="V146" s="140">
        <v>0.32300000000000001</v>
      </c>
      <c r="W146" s="140">
        <v>7.9589999999999996</v>
      </c>
      <c r="X146" s="140">
        <v>5.6300000000000002E-4</v>
      </c>
      <c r="Y146" s="143" t="s">
        <v>319</v>
      </c>
      <c r="Z146" s="140">
        <v>5.2347000000000001</v>
      </c>
      <c r="AA146" s="140">
        <v>4.7350000000000003</v>
      </c>
      <c r="AB146" s="140">
        <v>3.048</v>
      </c>
    </row>
    <row r="147" spans="16:28" ht="14.4" x14ac:dyDescent="0.3">
      <c r="P147" s="143" t="s">
        <v>285</v>
      </c>
      <c r="Q147" s="143" t="s">
        <v>252</v>
      </c>
      <c r="R147" s="143" t="s">
        <v>321</v>
      </c>
      <c r="S147" s="143" t="s">
        <v>149</v>
      </c>
      <c r="T147" s="140"/>
      <c r="U147" s="140"/>
      <c r="V147" s="140">
        <v>0.02</v>
      </c>
      <c r="W147" s="140">
        <v>5.7000000000000002E-2</v>
      </c>
      <c r="X147" s="140">
        <v>-1.067E-7</v>
      </c>
      <c r="Y147" s="143" t="s">
        <v>319</v>
      </c>
      <c r="Z147" s="140">
        <v>5.2347000000000001</v>
      </c>
      <c r="AA147" s="140">
        <v>4.7350000000000003</v>
      </c>
      <c r="AB147" s="140">
        <v>3.048</v>
      </c>
    </row>
    <row r="148" spans="16:28" ht="14.4" x14ac:dyDescent="0.3">
      <c r="P148" s="143" t="s">
        <v>285</v>
      </c>
      <c r="Q148" s="143" t="s">
        <v>252</v>
      </c>
      <c r="R148" s="143" t="s">
        <v>302</v>
      </c>
      <c r="S148" s="143" t="s">
        <v>303</v>
      </c>
      <c r="T148" s="140"/>
      <c r="U148" s="140"/>
      <c r="V148" s="140">
        <v>0.224</v>
      </c>
      <c r="W148" s="140">
        <v>5.1999999999999998E-2</v>
      </c>
      <c r="X148" s="140">
        <v>-2.4000000000000001E-5</v>
      </c>
      <c r="Y148" s="143" t="s">
        <v>319</v>
      </c>
      <c r="Z148" s="140">
        <v>5.2347000000000001</v>
      </c>
      <c r="AA148" s="140">
        <v>4.7350000000000003</v>
      </c>
      <c r="AB148" s="140">
        <v>3.048</v>
      </c>
    </row>
    <row r="149" spans="16:28" ht="14.4" x14ac:dyDescent="0.3">
      <c r="P149" s="143" t="s">
        <v>285</v>
      </c>
      <c r="Q149" s="143" t="s">
        <v>252</v>
      </c>
      <c r="R149" s="143" t="s">
        <v>304</v>
      </c>
      <c r="S149" s="143" t="s">
        <v>303</v>
      </c>
      <c r="T149" s="140"/>
      <c r="U149" s="140"/>
      <c r="V149" s="140">
        <v>9.9000000000000005E-2</v>
      </c>
      <c r="W149" s="140">
        <v>0.16500000000000001</v>
      </c>
      <c r="X149" s="140">
        <v>-3.0000000000000001E-6</v>
      </c>
      <c r="Y149" s="143" t="s">
        <v>319</v>
      </c>
      <c r="Z149" s="140">
        <v>5.2347000000000001</v>
      </c>
      <c r="AA149" s="140">
        <v>4.7350000000000003</v>
      </c>
      <c r="AB149" s="140">
        <v>3.048</v>
      </c>
    </row>
    <row r="150" spans="16:28" ht="14.4" x14ac:dyDescent="0.3">
      <c r="P150" s="143" t="s">
        <v>285</v>
      </c>
      <c r="Q150" s="143" t="s">
        <v>252</v>
      </c>
      <c r="R150" s="143" t="s">
        <v>177</v>
      </c>
      <c r="S150" s="143" t="s">
        <v>303</v>
      </c>
      <c r="T150" s="140"/>
      <c r="U150" s="140"/>
      <c r="V150" s="140">
        <v>0.41699999999999998</v>
      </c>
      <c r="W150" s="140">
        <v>0.31</v>
      </c>
      <c r="X150" s="140">
        <v>-3.3000000000000003E-5</v>
      </c>
      <c r="Y150" s="143" t="s">
        <v>319</v>
      </c>
      <c r="Z150" s="140">
        <v>5.2347000000000001</v>
      </c>
      <c r="AA150" s="140">
        <v>4.7350000000000003</v>
      </c>
      <c r="AB150" s="140">
        <v>3.048</v>
      </c>
    </row>
    <row r="151" spans="16:28" ht="14.4" x14ac:dyDescent="0.3">
      <c r="P151" s="143" t="s">
        <v>285</v>
      </c>
      <c r="Q151" s="143" t="s">
        <v>252</v>
      </c>
      <c r="R151" s="143" t="s">
        <v>305</v>
      </c>
      <c r="S151" s="143" t="s">
        <v>303</v>
      </c>
      <c r="T151" s="143" t="s">
        <v>155</v>
      </c>
      <c r="U151" s="140"/>
      <c r="V151" s="140">
        <v>-5.298</v>
      </c>
      <c r="W151" s="140">
        <v>8.3000000000000004E-2</v>
      </c>
      <c r="X151" s="140">
        <v>1.1900000000000001E-4</v>
      </c>
      <c r="Y151" s="143" t="s">
        <v>319</v>
      </c>
      <c r="Z151" s="140">
        <v>5.2347000000000001</v>
      </c>
      <c r="AA151" s="140">
        <v>4.7350000000000003</v>
      </c>
      <c r="AB151" s="140">
        <v>3.048</v>
      </c>
    </row>
    <row r="152" spans="16:28" ht="14.4" x14ac:dyDescent="0.3">
      <c r="P152" s="143" t="s">
        <v>285</v>
      </c>
      <c r="Q152" s="143" t="s">
        <v>252</v>
      </c>
      <c r="R152" s="143" t="s">
        <v>305</v>
      </c>
      <c r="S152" s="143" t="s">
        <v>303</v>
      </c>
      <c r="T152" s="143" t="s">
        <v>308</v>
      </c>
      <c r="U152" s="140"/>
      <c r="V152" s="140">
        <v>-5.3029999999999999</v>
      </c>
      <c r="W152" s="140">
        <v>-4.1000000000000002E-2</v>
      </c>
      <c r="X152" s="140">
        <v>-1.3799999999999999E-4</v>
      </c>
      <c r="Y152" s="143" t="s">
        <v>319</v>
      </c>
      <c r="Z152" s="140">
        <v>5.2347000000000001</v>
      </c>
      <c r="AA152" s="140">
        <v>4.7350000000000003</v>
      </c>
      <c r="AB152" s="140">
        <v>3.048</v>
      </c>
    </row>
    <row r="153" spans="16:28" ht="14.4" x14ac:dyDescent="0.3">
      <c r="P153" s="143" t="s">
        <v>285</v>
      </c>
      <c r="Q153" s="143" t="s">
        <v>252</v>
      </c>
      <c r="R153" s="143" t="s">
        <v>306</v>
      </c>
      <c r="S153" s="143" t="s">
        <v>303</v>
      </c>
      <c r="T153" s="143" t="s">
        <v>155</v>
      </c>
      <c r="U153" s="140"/>
      <c r="V153" s="140">
        <v>5.585</v>
      </c>
      <c r="W153" s="140">
        <v>0.23799999999999999</v>
      </c>
      <c r="X153" s="140">
        <v>8.3999999999999995E-5</v>
      </c>
      <c r="Y153" s="143" t="s">
        <v>319</v>
      </c>
      <c r="Z153" s="140">
        <v>5.2347000000000001</v>
      </c>
      <c r="AA153" s="140">
        <v>4.7350000000000003</v>
      </c>
      <c r="AB153" s="140">
        <v>3.048</v>
      </c>
    </row>
    <row r="154" spans="16:28" ht="14.4" x14ac:dyDescent="0.3">
      <c r="P154" s="143" t="s">
        <v>285</v>
      </c>
      <c r="Q154" s="143" t="s">
        <v>252</v>
      </c>
      <c r="R154" s="143" t="s">
        <v>306</v>
      </c>
      <c r="S154" s="143" t="s">
        <v>303</v>
      </c>
      <c r="T154" s="143" t="s">
        <v>308</v>
      </c>
      <c r="U154" s="140"/>
      <c r="V154" s="140">
        <v>5.5810000000000004</v>
      </c>
      <c r="W154" s="140">
        <v>0.12</v>
      </c>
      <c r="X154" s="140">
        <v>-1.63E-4</v>
      </c>
      <c r="Y154" s="143" t="s">
        <v>319</v>
      </c>
      <c r="Z154" s="140">
        <v>5.2347000000000001</v>
      </c>
      <c r="AA154" s="140">
        <v>4.7350000000000003</v>
      </c>
      <c r="AB154" s="140">
        <v>3.048</v>
      </c>
    </row>
    <row r="155" spans="16:28" ht="14.4" x14ac:dyDescent="0.3">
      <c r="P155" s="143" t="s">
        <v>285</v>
      </c>
      <c r="Q155" s="143" t="s">
        <v>252</v>
      </c>
      <c r="R155" s="143" t="s">
        <v>307</v>
      </c>
      <c r="S155" s="143" t="s">
        <v>303</v>
      </c>
      <c r="T155" s="143" t="s">
        <v>155</v>
      </c>
      <c r="U155" s="140"/>
      <c r="V155" s="140">
        <v>5.8470000000000004</v>
      </c>
      <c r="W155" s="140">
        <v>0.41699999999999998</v>
      </c>
      <c r="X155" s="140">
        <v>1.4200000000000001E-4</v>
      </c>
      <c r="Y155" s="143" t="s">
        <v>319</v>
      </c>
      <c r="Z155" s="140">
        <v>5.2347000000000001</v>
      </c>
      <c r="AA155" s="140">
        <v>4.7350000000000003</v>
      </c>
      <c r="AB155" s="140">
        <v>3.048</v>
      </c>
    </row>
    <row r="156" spans="16:28" ht="14.4" x14ac:dyDescent="0.3">
      <c r="P156" s="143" t="s">
        <v>285</v>
      </c>
      <c r="Q156" s="143" t="s">
        <v>252</v>
      </c>
      <c r="R156" s="143" t="s">
        <v>307</v>
      </c>
      <c r="S156" s="143" t="s">
        <v>303</v>
      </c>
      <c r="T156" s="143" t="s">
        <v>308</v>
      </c>
      <c r="U156" s="140"/>
      <c r="V156" s="140">
        <v>-5.34</v>
      </c>
      <c r="W156" s="140">
        <v>-0.214</v>
      </c>
      <c r="X156" s="140">
        <v>-1.92E-4</v>
      </c>
      <c r="Y156" s="143" t="s">
        <v>319</v>
      </c>
      <c r="Z156" s="140">
        <v>5.2347000000000001</v>
      </c>
      <c r="AA156" s="140">
        <v>4.7350000000000003</v>
      </c>
      <c r="AB156" s="140">
        <v>3.048</v>
      </c>
    </row>
    <row r="157" spans="16:28" ht="14.4" x14ac:dyDescent="0.3">
      <c r="P157" s="143" t="s">
        <v>285</v>
      </c>
      <c r="Q157" s="143" t="s">
        <v>252</v>
      </c>
      <c r="R157" s="143" t="s">
        <v>309</v>
      </c>
      <c r="S157" s="143" t="s">
        <v>303</v>
      </c>
      <c r="T157" s="143" t="s">
        <v>155</v>
      </c>
      <c r="U157" s="140"/>
      <c r="V157" s="140">
        <v>0.59</v>
      </c>
      <c r="W157" s="140">
        <v>8.3949999999999996</v>
      </c>
      <c r="X157" s="140">
        <v>5.62E-4</v>
      </c>
      <c r="Y157" s="143" t="s">
        <v>319</v>
      </c>
      <c r="Z157" s="140">
        <v>5.2347000000000001</v>
      </c>
      <c r="AA157" s="140">
        <v>4.7350000000000003</v>
      </c>
      <c r="AB157" s="140">
        <v>3.048</v>
      </c>
    </row>
    <row r="158" spans="16:28" ht="14.4" x14ac:dyDescent="0.3">
      <c r="P158" s="143" t="s">
        <v>285</v>
      </c>
      <c r="Q158" s="143" t="s">
        <v>252</v>
      </c>
      <c r="R158" s="143" t="s">
        <v>309</v>
      </c>
      <c r="S158" s="143" t="s">
        <v>303</v>
      </c>
      <c r="T158" s="143" t="s">
        <v>308</v>
      </c>
      <c r="U158" s="140"/>
      <c r="V158" s="140">
        <v>-8.4000000000000005E-2</v>
      </c>
      <c r="W158" s="140">
        <v>-8.1920000000000002</v>
      </c>
      <c r="X158" s="140">
        <v>-6.1200000000000002E-4</v>
      </c>
      <c r="Y158" s="143" t="s">
        <v>319</v>
      </c>
      <c r="Z158" s="140">
        <v>5.2347000000000001</v>
      </c>
      <c r="AA158" s="140">
        <v>4.7350000000000003</v>
      </c>
      <c r="AB158" s="140">
        <v>3.048</v>
      </c>
    </row>
    <row r="159" spans="16:28" ht="14.4" x14ac:dyDescent="0.3">
      <c r="P159" s="143" t="s">
        <v>285</v>
      </c>
      <c r="Q159" s="143" t="s">
        <v>252</v>
      </c>
      <c r="R159" s="143" t="s">
        <v>310</v>
      </c>
      <c r="S159" s="143" t="s">
        <v>303</v>
      </c>
      <c r="T159" s="143" t="s">
        <v>155</v>
      </c>
      <c r="U159" s="140"/>
      <c r="V159" s="140">
        <v>5.6210000000000004</v>
      </c>
      <c r="W159" s="140">
        <v>0.40400000000000003</v>
      </c>
      <c r="X159" s="140">
        <v>1.36E-4</v>
      </c>
      <c r="Y159" s="143" t="s">
        <v>319</v>
      </c>
      <c r="Z159" s="140">
        <v>5.2347000000000001</v>
      </c>
      <c r="AA159" s="140">
        <v>4.7350000000000003</v>
      </c>
      <c r="AB159" s="140">
        <v>3.048</v>
      </c>
    </row>
    <row r="160" spans="16:28" ht="14.4" x14ac:dyDescent="0.3">
      <c r="P160" s="143" t="s">
        <v>285</v>
      </c>
      <c r="Q160" s="143" t="s">
        <v>252</v>
      </c>
      <c r="R160" s="143" t="s">
        <v>310</v>
      </c>
      <c r="S160" s="143" t="s">
        <v>303</v>
      </c>
      <c r="T160" s="143" t="s">
        <v>308</v>
      </c>
      <c r="U160" s="140"/>
      <c r="V160" s="140">
        <v>-5.1150000000000002</v>
      </c>
      <c r="W160" s="140">
        <v>-0.20100000000000001</v>
      </c>
      <c r="X160" s="140">
        <v>-1.8599999999999999E-4</v>
      </c>
      <c r="Y160" s="143" t="s">
        <v>319</v>
      </c>
      <c r="Z160" s="140">
        <v>5.2347000000000001</v>
      </c>
      <c r="AA160" s="140">
        <v>4.7350000000000003</v>
      </c>
      <c r="AB160" s="140">
        <v>3.048</v>
      </c>
    </row>
    <row r="161" spans="16:28" ht="14.4" x14ac:dyDescent="0.3">
      <c r="P161" s="143" t="s">
        <v>285</v>
      </c>
      <c r="Q161" s="143" t="s">
        <v>252</v>
      </c>
      <c r="R161" s="143" t="s">
        <v>311</v>
      </c>
      <c r="S161" s="143" t="s">
        <v>303</v>
      </c>
      <c r="T161" s="143" t="s">
        <v>155</v>
      </c>
      <c r="U161" s="140"/>
      <c r="V161" s="140">
        <v>0.57699999999999996</v>
      </c>
      <c r="W161" s="140">
        <v>8.0609999999999999</v>
      </c>
      <c r="X161" s="140">
        <v>5.3799999999999996E-4</v>
      </c>
      <c r="Y161" s="143" t="s">
        <v>319</v>
      </c>
      <c r="Z161" s="140">
        <v>5.2347000000000001</v>
      </c>
      <c r="AA161" s="140">
        <v>4.7350000000000003</v>
      </c>
      <c r="AB161" s="140">
        <v>3.048</v>
      </c>
    </row>
    <row r="162" spans="16:28" ht="14.4" x14ac:dyDescent="0.3">
      <c r="P162" s="143" t="s">
        <v>285</v>
      </c>
      <c r="Q162" s="143" t="s">
        <v>252</v>
      </c>
      <c r="R162" s="143" t="s">
        <v>311</v>
      </c>
      <c r="S162" s="143" t="s">
        <v>303</v>
      </c>
      <c r="T162" s="143" t="s">
        <v>308</v>
      </c>
      <c r="U162" s="140"/>
      <c r="V162" s="140">
        <v>-7.0000000000000007E-2</v>
      </c>
      <c r="W162" s="140">
        <v>-7.8570000000000002</v>
      </c>
      <c r="X162" s="140">
        <v>-5.8799999999999998E-4</v>
      </c>
      <c r="Y162" s="143" t="s">
        <v>319</v>
      </c>
      <c r="Z162" s="140">
        <v>5.2347000000000001</v>
      </c>
      <c r="AA162" s="140">
        <v>4.7350000000000003</v>
      </c>
      <c r="AB162" s="140">
        <v>3.048</v>
      </c>
    </row>
    <row r="163" spans="16:28" ht="14.4" x14ac:dyDescent="0.3">
      <c r="P163" s="143" t="s">
        <v>285</v>
      </c>
      <c r="Q163" s="143" t="s">
        <v>252</v>
      </c>
      <c r="R163" s="143" t="s">
        <v>312</v>
      </c>
      <c r="S163" s="143" t="s">
        <v>303</v>
      </c>
      <c r="T163" s="143" t="s">
        <v>155</v>
      </c>
      <c r="U163" s="140"/>
      <c r="V163" s="140">
        <v>0.38200000000000001</v>
      </c>
      <c r="W163" s="140">
        <v>7.9210000000000003</v>
      </c>
      <c r="X163" s="140">
        <v>-4.1999999999999998E-5</v>
      </c>
      <c r="Y163" s="143" t="s">
        <v>319</v>
      </c>
      <c r="Z163" s="140">
        <v>5.2347000000000001</v>
      </c>
      <c r="AA163" s="140">
        <v>4.7350000000000003</v>
      </c>
      <c r="AB163" s="140">
        <v>3.048</v>
      </c>
    </row>
    <row r="164" spans="16:28" ht="14.4" x14ac:dyDescent="0.3">
      <c r="P164" s="143" t="s">
        <v>285</v>
      </c>
      <c r="Q164" s="143" t="s">
        <v>252</v>
      </c>
      <c r="R164" s="143" t="s">
        <v>312</v>
      </c>
      <c r="S164" s="143" t="s">
        <v>303</v>
      </c>
      <c r="T164" s="143" t="s">
        <v>308</v>
      </c>
      <c r="U164" s="140"/>
      <c r="V164" s="140">
        <v>0.376</v>
      </c>
      <c r="W164" s="140">
        <v>7.7670000000000003</v>
      </c>
      <c r="X164" s="140">
        <v>-3.6400000000000001E-4</v>
      </c>
      <c r="Y164" s="143" t="s">
        <v>319</v>
      </c>
      <c r="Z164" s="140">
        <v>5.2347000000000001</v>
      </c>
      <c r="AA164" s="140">
        <v>4.7350000000000003</v>
      </c>
      <c r="AB164" s="140">
        <v>3.048</v>
      </c>
    </row>
    <row r="165" spans="16:28" ht="14.4" x14ac:dyDescent="0.3">
      <c r="P165" s="143" t="s">
        <v>285</v>
      </c>
      <c r="Q165" s="143" t="s">
        <v>252</v>
      </c>
      <c r="R165" s="143" t="s">
        <v>313</v>
      </c>
      <c r="S165" s="143" t="s">
        <v>303</v>
      </c>
      <c r="T165" s="143" t="s">
        <v>155</v>
      </c>
      <c r="U165" s="140"/>
      <c r="V165" s="140">
        <v>-5.0739999999999998</v>
      </c>
      <c r="W165" s="140">
        <v>8.3000000000000004E-2</v>
      </c>
      <c r="X165" s="140">
        <v>1.13E-4</v>
      </c>
      <c r="Y165" s="143" t="s">
        <v>319</v>
      </c>
      <c r="Z165" s="140">
        <v>5.2347000000000001</v>
      </c>
      <c r="AA165" s="140">
        <v>4.7350000000000003</v>
      </c>
      <c r="AB165" s="140">
        <v>3.048</v>
      </c>
    </row>
    <row r="166" spans="16:28" ht="14.4" x14ac:dyDescent="0.3">
      <c r="P166" s="143" t="s">
        <v>285</v>
      </c>
      <c r="Q166" s="143" t="s">
        <v>252</v>
      </c>
      <c r="R166" s="143" t="s">
        <v>313</v>
      </c>
      <c r="S166" s="143" t="s">
        <v>303</v>
      </c>
      <c r="T166" s="143" t="s">
        <v>308</v>
      </c>
      <c r="U166" s="140"/>
      <c r="V166" s="140">
        <v>-5.0780000000000003</v>
      </c>
      <c r="W166" s="140">
        <v>-3.5000000000000003E-2</v>
      </c>
      <c r="X166" s="140">
        <v>-1.3300000000000001E-4</v>
      </c>
      <c r="Y166" s="143" t="s">
        <v>319</v>
      </c>
      <c r="Z166" s="140">
        <v>5.2347000000000001</v>
      </c>
      <c r="AA166" s="140">
        <v>4.7350000000000003</v>
      </c>
      <c r="AB166" s="140">
        <v>3.048</v>
      </c>
    </row>
    <row r="167" spans="16:28" ht="14.4" x14ac:dyDescent="0.3">
      <c r="P167" s="143" t="s">
        <v>285</v>
      </c>
      <c r="Q167" s="143" t="s">
        <v>252</v>
      </c>
      <c r="R167" s="143" t="s">
        <v>314</v>
      </c>
      <c r="S167" s="143" t="s">
        <v>303</v>
      </c>
      <c r="T167" s="143" t="s">
        <v>155</v>
      </c>
      <c r="U167" s="140"/>
      <c r="V167" s="140">
        <v>0.13100000000000001</v>
      </c>
      <c r="W167" s="140">
        <v>-7.5629999999999997</v>
      </c>
      <c r="X167" s="140">
        <v>3.1399999999999999E-4</v>
      </c>
      <c r="Y167" s="143" t="s">
        <v>319</v>
      </c>
      <c r="Z167" s="140">
        <v>5.2347000000000001</v>
      </c>
      <c r="AA167" s="140">
        <v>4.7350000000000003</v>
      </c>
      <c r="AB167" s="140">
        <v>3.048</v>
      </c>
    </row>
    <row r="168" spans="16:28" ht="14.4" x14ac:dyDescent="0.3">
      <c r="P168" s="143" t="s">
        <v>285</v>
      </c>
      <c r="Q168" s="143" t="s">
        <v>252</v>
      </c>
      <c r="R168" s="143" t="s">
        <v>314</v>
      </c>
      <c r="S168" s="143" t="s">
        <v>303</v>
      </c>
      <c r="T168" s="143" t="s">
        <v>308</v>
      </c>
      <c r="U168" s="140"/>
      <c r="V168" s="140">
        <v>0.124</v>
      </c>
      <c r="W168" s="140">
        <v>-7.718</v>
      </c>
      <c r="X168" s="140">
        <v>-7.9999999999999996E-6</v>
      </c>
      <c r="Y168" s="143" t="s">
        <v>319</v>
      </c>
      <c r="Z168" s="140">
        <v>5.2347000000000001</v>
      </c>
      <c r="AA168" s="140">
        <v>4.7350000000000003</v>
      </c>
      <c r="AB168" s="140">
        <v>3.048</v>
      </c>
    </row>
    <row r="169" spans="16:28" ht="14.4" x14ac:dyDescent="0.3">
      <c r="P169" s="143" t="s">
        <v>285</v>
      </c>
      <c r="Q169" s="143" t="s">
        <v>252</v>
      </c>
      <c r="R169" s="143" t="s">
        <v>315</v>
      </c>
      <c r="S169" s="143" t="s">
        <v>303</v>
      </c>
      <c r="T169" s="143" t="s">
        <v>155</v>
      </c>
      <c r="U169" s="140"/>
      <c r="V169" s="140">
        <v>5.8090000000000002</v>
      </c>
      <c r="W169" s="140">
        <v>0.24399999999999999</v>
      </c>
      <c r="X169" s="140">
        <v>8.7999999999999998E-5</v>
      </c>
      <c r="Y169" s="143" t="s">
        <v>319</v>
      </c>
      <c r="Z169" s="140">
        <v>5.2347000000000001</v>
      </c>
      <c r="AA169" s="140">
        <v>4.7350000000000003</v>
      </c>
      <c r="AB169" s="140">
        <v>3.048</v>
      </c>
    </row>
    <row r="170" spans="16:28" ht="14.4" x14ac:dyDescent="0.3">
      <c r="P170" s="143" t="s">
        <v>285</v>
      </c>
      <c r="Q170" s="143" t="s">
        <v>252</v>
      </c>
      <c r="R170" s="143" t="s">
        <v>315</v>
      </c>
      <c r="S170" s="143" t="s">
        <v>303</v>
      </c>
      <c r="T170" s="143" t="s">
        <v>308</v>
      </c>
      <c r="U170" s="140"/>
      <c r="V170" s="140">
        <v>5.8049999999999997</v>
      </c>
      <c r="W170" s="140">
        <v>0.121</v>
      </c>
      <c r="X170" s="140">
        <v>-1.6899999999999999E-4</v>
      </c>
      <c r="Y170" s="143" t="s">
        <v>319</v>
      </c>
      <c r="Z170" s="140">
        <v>5.2347000000000001</v>
      </c>
      <c r="AA170" s="140">
        <v>4.7350000000000003</v>
      </c>
      <c r="AB170" s="140">
        <v>3.048</v>
      </c>
    </row>
    <row r="171" spans="16:28" ht="14.4" x14ac:dyDescent="0.3">
      <c r="P171" s="143" t="s">
        <v>285</v>
      </c>
      <c r="Q171" s="143" t="s">
        <v>252</v>
      </c>
      <c r="R171" s="143" t="s">
        <v>316</v>
      </c>
      <c r="S171" s="143" t="s">
        <v>303</v>
      </c>
      <c r="T171" s="143" t="s">
        <v>155</v>
      </c>
      <c r="U171" s="140"/>
      <c r="V171" s="140">
        <v>0.38800000000000001</v>
      </c>
      <c r="W171" s="140">
        <v>8.25</v>
      </c>
      <c r="X171" s="140">
        <v>-4.3000000000000002E-5</v>
      </c>
      <c r="Y171" s="143" t="s">
        <v>319</v>
      </c>
      <c r="Z171" s="140">
        <v>5.2347000000000001</v>
      </c>
      <c r="AA171" s="140">
        <v>4.7350000000000003</v>
      </c>
      <c r="AB171" s="140">
        <v>3.048</v>
      </c>
    </row>
    <row r="172" spans="16:28" ht="14.4" x14ac:dyDescent="0.3">
      <c r="P172" s="143" t="s">
        <v>285</v>
      </c>
      <c r="Q172" s="143" t="s">
        <v>252</v>
      </c>
      <c r="R172" s="143" t="s">
        <v>316</v>
      </c>
      <c r="S172" s="143" t="s">
        <v>303</v>
      </c>
      <c r="T172" s="143" t="s">
        <v>308</v>
      </c>
      <c r="U172" s="140"/>
      <c r="V172" s="140">
        <v>0.38100000000000001</v>
      </c>
      <c r="W172" s="140">
        <v>8.0890000000000004</v>
      </c>
      <c r="X172" s="140">
        <v>-3.7800000000000003E-4</v>
      </c>
      <c r="Y172" s="143" t="s">
        <v>319</v>
      </c>
      <c r="Z172" s="140">
        <v>5.2347000000000001</v>
      </c>
      <c r="AA172" s="140">
        <v>4.7350000000000003</v>
      </c>
      <c r="AB172" s="140">
        <v>3.048</v>
      </c>
    </row>
    <row r="173" spans="16:28" ht="14.4" x14ac:dyDescent="0.3">
      <c r="P173" s="143" t="s">
        <v>285</v>
      </c>
      <c r="Q173" s="143" t="s">
        <v>252</v>
      </c>
      <c r="R173" s="143" t="s">
        <v>317</v>
      </c>
      <c r="S173" s="143" t="s">
        <v>303</v>
      </c>
      <c r="T173" s="143" t="s">
        <v>155</v>
      </c>
      <c r="U173" s="140"/>
      <c r="V173" s="140">
        <v>0.126</v>
      </c>
      <c r="W173" s="140">
        <v>-7.8860000000000001</v>
      </c>
      <c r="X173" s="140">
        <v>3.28E-4</v>
      </c>
      <c r="Y173" s="143" t="s">
        <v>319</v>
      </c>
      <c r="Z173" s="140">
        <v>5.2347000000000001</v>
      </c>
      <c r="AA173" s="140">
        <v>4.7350000000000003</v>
      </c>
      <c r="AB173" s="140">
        <v>3.048</v>
      </c>
    </row>
    <row r="174" spans="16:28" ht="14.4" x14ac:dyDescent="0.3">
      <c r="P174" s="143" t="s">
        <v>285</v>
      </c>
      <c r="Q174" s="143" t="s">
        <v>252</v>
      </c>
      <c r="R174" s="143" t="s">
        <v>317</v>
      </c>
      <c r="S174" s="143" t="s">
        <v>303</v>
      </c>
      <c r="T174" s="143" t="s">
        <v>308</v>
      </c>
      <c r="U174" s="140"/>
      <c r="V174" s="140">
        <v>0.11899999999999999</v>
      </c>
      <c r="W174" s="140">
        <v>-8.0470000000000006</v>
      </c>
      <c r="X174" s="140">
        <v>-6.9999999999999999E-6</v>
      </c>
      <c r="Y174" s="143" t="s">
        <v>319</v>
      </c>
      <c r="Z174" s="140">
        <v>5.2347000000000001</v>
      </c>
      <c r="AA174" s="140">
        <v>4.7350000000000003</v>
      </c>
      <c r="AB174" s="140">
        <v>3.048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6"/>
  <sheetViews>
    <sheetView workbookViewId="0">
      <selection activeCell="E3" sqref="E3"/>
    </sheetView>
  </sheetViews>
  <sheetFormatPr defaultColWidth="8.88671875" defaultRowHeight="13.2" x14ac:dyDescent="0.25"/>
  <cols>
    <col min="1" max="1" width="19.109375" style="155" customWidth="1"/>
    <col min="2" max="2" width="13.6640625" style="155" customWidth="1"/>
    <col min="3" max="3" width="33.44140625" style="155" customWidth="1"/>
    <col min="4" max="4" width="19.88671875" style="155" customWidth="1"/>
    <col min="5" max="5" width="10.6640625" style="155" customWidth="1"/>
    <col min="6" max="6" width="14.6640625" style="155" customWidth="1"/>
    <col min="7" max="7" width="10.6640625" style="155" customWidth="1"/>
    <col min="8" max="8" width="5.33203125" style="155" customWidth="1"/>
    <col min="9" max="9" width="11.44140625" style="155" customWidth="1"/>
    <col min="10" max="10" width="8.88671875" style="155"/>
    <col min="11" max="11" width="12.33203125" style="155" customWidth="1"/>
    <col min="12" max="14" width="8.88671875" style="155"/>
    <col min="15" max="15" width="5.33203125" style="155" customWidth="1"/>
    <col min="16" max="256" width="8.88671875" style="155"/>
    <col min="257" max="257" width="19.109375" style="155" customWidth="1"/>
    <col min="258" max="258" width="13.6640625" style="155" customWidth="1"/>
    <col min="259" max="259" width="33.44140625" style="155" customWidth="1"/>
    <col min="260" max="260" width="19.88671875" style="155" customWidth="1"/>
    <col min="261" max="261" width="10.6640625" style="155" customWidth="1"/>
    <col min="262" max="262" width="14.6640625" style="155" customWidth="1"/>
    <col min="263" max="263" width="10.6640625" style="155" customWidth="1"/>
    <col min="264" max="264" width="5.33203125" style="155" customWidth="1"/>
    <col min="265" max="265" width="11.44140625" style="155" customWidth="1"/>
    <col min="266" max="266" width="8.88671875" style="155"/>
    <col min="267" max="267" width="12.33203125" style="155" customWidth="1"/>
    <col min="268" max="270" width="8.88671875" style="155"/>
    <col min="271" max="271" width="5.33203125" style="155" customWidth="1"/>
    <col min="272" max="512" width="8.88671875" style="155"/>
    <col min="513" max="513" width="19.109375" style="155" customWidth="1"/>
    <col min="514" max="514" width="13.6640625" style="155" customWidth="1"/>
    <col min="515" max="515" width="33.44140625" style="155" customWidth="1"/>
    <col min="516" max="516" width="19.88671875" style="155" customWidth="1"/>
    <col min="517" max="517" width="10.6640625" style="155" customWidth="1"/>
    <col min="518" max="518" width="14.6640625" style="155" customWidth="1"/>
    <col min="519" max="519" width="10.6640625" style="155" customWidth="1"/>
    <col min="520" max="520" width="5.33203125" style="155" customWidth="1"/>
    <col min="521" max="521" width="11.44140625" style="155" customWidth="1"/>
    <col min="522" max="522" width="8.88671875" style="155"/>
    <col min="523" max="523" width="12.33203125" style="155" customWidth="1"/>
    <col min="524" max="526" width="8.88671875" style="155"/>
    <col min="527" max="527" width="5.33203125" style="155" customWidth="1"/>
    <col min="528" max="768" width="8.88671875" style="155"/>
    <col min="769" max="769" width="19.109375" style="155" customWidth="1"/>
    <col min="770" max="770" width="13.6640625" style="155" customWidth="1"/>
    <col min="771" max="771" width="33.44140625" style="155" customWidth="1"/>
    <col min="772" max="772" width="19.88671875" style="155" customWidth="1"/>
    <col min="773" max="773" width="10.6640625" style="155" customWidth="1"/>
    <col min="774" max="774" width="14.6640625" style="155" customWidth="1"/>
    <col min="775" max="775" width="10.6640625" style="155" customWidth="1"/>
    <col min="776" max="776" width="5.33203125" style="155" customWidth="1"/>
    <col min="777" max="777" width="11.44140625" style="155" customWidth="1"/>
    <col min="778" max="778" width="8.88671875" style="155"/>
    <col min="779" max="779" width="12.33203125" style="155" customWidth="1"/>
    <col min="780" max="782" width="8.88671875" style="155"/>
    <col min="783" max="783" width="5.33203125" style="155" customWidth="1"/>
    <col min="784" max="1024" width="8.88671875" style="155"/>
    <col min="1025" max="1025" width="19.109375" style="155" customWidth="1"/>
    <col min="1026" max="1026" width="13.6640625" style="155" customWidth="1"/>
    <col min="1027" max="1027" width="33.44140625" style="155" customWidth="1"/>
    <col min="1028" max="1028" width="19.88671875" style="155" customWidth="1"/>
    <col min="1029" max="1029" width="10.6640625" style="155" customWidth="1"/>
    <col min="1030" max="1030" width="14.6640625" style="155" customWidth="1"/>
    <col min="1031" max="1031" width="10.6640625" style="155" customWidth="1"/>
    <col min="1032" max="1032" width="5.33203125" style="155" customWidth="1"/>
    <col min="1033" max="1033" width="11.44140625" style="155" customWidth="1"/>
    <col min="1034" max="1034" width="8.88671875" style="155"/>
    <col min="1035" max="1035" width="12.33203125" style="155" customWidth="1"/>
    <col min="1036" max="1038" width="8.88671875" style="155"/>
    <col min="1039" max="1039" width="5.33203125" style="155" customWidth="1"/>
    <col min="1040" max="1280" width="8.88671875" style="155"/>
    <col min="1281" max="1281" width="19.109375" style="155" customWidth="1"/>
    <col min="1282" max="1282" width="13.6640625" style="155" customWidth="1"/>
    <col min="1283" max="1283" width="33.44140625" style="155" customWidth="1"/>
    <col min="1284" max="1284" width="19.88671875" style="155" customWidth="1"/>
    <col min="1285" max="1285" width="10.6640625" style="155" customWidth="1"/>
    <col min="1286" max="1286" width="14.6640625" style="155" customWidth="1"/>
    <col min="1287" max="1287" width="10.6640625" style="155" customWidth="1"/>
    <col min="1288" max="1288" width="5.33203125" style="155" customWidth="1"/>
    <col min="1289" max="1289" width="11.44140625" style="155" customWidth="1"/>
    <col min="1290" max="1290" width="8.88671875" style="155"/>
    <col min="1291" max="1291" width="12.33203125" style="155" customWidth="1"/>
    <col min="1292" max="1294" width="8.88671875" style="155"/>
    <col min="1295" max="1295" width="5.33203125" style="155" customWidth="1"/>
    <col min="1296" max="1536" width="8.88671875" style="155"/>
    <col min="1537" max="1537" width="19.109375" style="155" customWidth="1"/>
    <col min="1538" max="1538" width="13.6640625" style="155" customWidth="1"/>
    <col min="1539" max="1539" width="33.44140625" style="155" customWidth="1"/>
    <col min="1540" max="1540" width="19.88671875" style="155" customWidth="1"/>
    <col min="1541" max="1541" width="10.6640625" style="155" customWidth="1"/>
    <col min="1542" max="1542" width="14.6640625" style="155" customWidth="1"/>
    <col min="1543" max="1543" width="10.6640625" style="155" customWidth="1"/>
    <col min="1544" max="1544" width="5.33203125" style="155" customWidth="1"/>
    <col min="1545" max="1545" width="11.44140625" style="155" customWidth="1"/>
    <col min="1546" max="1546" width="8.88671875" style="155"/>
    <col min="1547" max="1547" width="12.33203125" style="155" customWidth="1"/>
    <col min="1548" max="1550" width="8.88671875" style="155"/>
    <col min="1551" max="1551" width="5.33203125" style="155" customWidth="1"/>
    <col min="1552" max="1792" width="8.88671875" style="155"/>
    <col min="1793" max="1793" width="19.109375" style="155" customWidth="1"/>
    <col min="1794" max="1794" width="13.6640625" style="155" customWidth="1"/>
    <col min="1795" max="1795" width="33.44140625" style="155" customWidth="1"/>
    <col min="1796" max="1796" width="19.88671875" style="155" customWidth="1"/>
    <col min="1797" max="1797" width="10.6640625" style="155" customWidth="1"/>
    <col min="1798" max="1798" width="14.6640625" style="155" customWidth="1"/>
    <col min="1799" max="1799" width="10.6640625" style="155" customWidth="1"/>
    <col min="1800" max="1800" width="5.33203125" style="155" customWidth="1"/>
    <col min="1801" max="1801" width="11.44140625" style="155" customWidth="1"/>
    <col min="1802" max="1802" width="8.88671875" style="155"/>
    <col min="1803" max="1803" width="12.33203125" style="155" customWidth="1"/>
    <col min="1804" max="1806" width="8.88671875" style="155"/>
    <col min="1807" max="1807" width="5.33203125" style="155" customWidth="1"/>
    <col min="1808" max="2048" width="8.88671875" style="155"/>
    <col min="2049" max="2049" width="19.109375" style="155" customWidth="1"/>
    <col min="2050" max="2050" width="13.6640625" style="155" customWidth="1"/>
    <col min="2051" max="2051" width="33.44140625" style="155" customWidth="1"/>
    <col min="2052" max="2052" width="19.88671875" style="155" customWidth="1"/>
    <col min="2053" max="2053" width="10.6640625" style="155" customWidth="1"/>
    <col min="2054" max="2054" width="14.6640625" style="155" customWidth="1"/>
    <col min="2055" max="2055" width="10.6640625" style="155" customWidth="1"/>
    <col min="2056" max="2056" width="5.33203125" style="155" customWidth="1"/>
    <col min="2057" max="2057" width="11.44140625" style="155" customWidth="1"/>
    <col min="2058" max="2058" width="8.88671875" style="155"/>
    <col min="2059" max="2059" width="12.33203125" style="155" customWidth="1"/>
    <col min="2060" max="2062" width="8.88671875" style="155"/>
    <col min="2063" max="2063" width="5.33203125" style="155" customWidth="1"/>
    <col min="2064" max="2304" width="8.88671875" style="155"/>
    <col min="2305" max="2305" width="19.109375" style="155" customWidth="1"/>
    <col min="2306" max="2306" width="13.6640625" style="155" customWidth="1"/>
    <col min="2307" max="2307" width="33.44140625" style="155" customWidth="1"/>
    <col min="2308" max="2308" width="19.88671875" style="155" customWidth="1"/>
    <col min="2309" max="2309" width="10.6640625" style="155" customWidth="1"/>
    <col min="2310" max="2310" width="14.6640625" style="155" customWidth="1"/>
    <col min="2311" max="2311" width="10.6640625" style="155" customWidth="1"/>
    <col min="2312" max="2312" width="5.33203125" style="155" customWidth="1"/>
    <col min="2313" max="2313" width="11.44140625" style="155" customWidth="1"/>
    <col min="2314" max="2314" width="8.88671875" style="155"/>
    <col min="2315" max="2315" width="12.33203125" style="155" customWidth="1"/>
    <col min="2316" max="2318" width="8.88671875" style="155"/>
    <col min="2319" max="2319" width="5.33203125" style="155" customWidth="1"/>
    <col min="2320" max="2560" width="8.88671875" style="155"/>
    <col min="2561" max="2561" width="19.109375" style="155" customWidth="1"/>
    <col min="2562" max="2562" width="13.6640625" style="155" customWidth="1"/>
    <col min="2563" max="2563" width="33.44140625" style="155" customWidth="1"/>
    <col min="2564" max="2564" width="19.88671875" style="155" customWidth="1"/>
    <col min="2565" max="2565" width="10.6640625" style="155" customWidth="1"/>
    <col min="2566" max="2566" width="14.6640625" style="155" customWidth="1"/>
    <col min="2567" max="2567" width="10.6640625" style="155" customWidth="1"/>
    <col min="2568" max="2568" width="5.33203125" style="155" customWidth="1"/>
    <col min="2569" max="2569" width="11.44140625" style="155" customWidth="1"/>
    <col min="2570" max="2570" width="8.88671875" style="155"/>
    <col min="2571" max="2571" width="12.33203125" style="155" customWidth="1"/>
    <col min="2572" max="2574" width="8.88671875" style="155"/>
    <col min="2575" max="2575" width="5.33203125" style="155" customWidth="1"/>
    <col min="2576" max="2816" width="8.88671875" style="155"/>
    <col min="2817" max="2817" width="19.109375" style="155" customWidth="1"/>
    <col min="2818" max="2818" width="13.6640625" style="155" customWidth="1"/>
    <col min="2819" max="2819" width="33.44140625" style="155" customWidth="1"/>
    <col min="2820" max="2820" width="19.88671875" style="155" customWidth="1"/>
    <col min="2821" max="2821" width="10.6640625" style="155" customWidth="1"/>
    <col min="2822" max="2822" width="14.6640625" style="155" customWidth="1"/>
    <col min="2823" max="2823" width="10.6640625" style="155" customWidth="1"/>
    <col min="2824" max="2824" width="5.33203125" style="155" customWidth="1"/>
    <col min="2825" max="2825" width="11.44140625" style="155" customWidth="1"/>
    <col min="2826" max="2826" width="8.88671875" style="155"/>
    <col min="2827" max="2827" width="12.33203125" style="155" customWidth="1"/>
    <col min="2828" max="2830" width="8.88671875" style="155"/>
    <col min="2831" max="2831" width="5.33203125" style="155" customWidth="1"/>
    <col min="2832" max="3072" width="8.88671875" style="155"/>
    <col min="3073" max="3073" width="19.109375" style="155" customWidth="1"/>
    <col min="3074" max="3074" width="13.6640625" style="155" customWidth="1"/>
    <col min="3075" max="3075" width="33.44140625" style="155" customWidth="1"/>
    <col min="3076" max="3076" width="19.88671875" style="155" customWidth="1"/>
    <col min="3077" max="3077" width="10.6640625" style="155" customWidth="1"/>
    <col min="3078" max="3078" width="14.6640625" style="155" customWidth="1"/>
    <col min="3079" max="3079" width="10.6640625" style="155" customWidth="1"/>
    <col min="3080" max="3080" width="5.33203125" style="155" customWidth="1"/>
    <col min="3081" max="3081" width="11.44140625" style="155" customWidth="1"/>
    <col min="3082" max="3082" width="8.88671875" style="155"/>
    <col min="3083" max="3083" width="12.33203125" style="155" customWidth="1"/>
    <col min="3084" max="3086" width="8.88671875" style="155"/>
    <col min="3087" max="3087" width="5.33203125" style="155" customWidth="1"/>
    <col min="3088" max="3328" width="8.88671875" style="155"/>
    <col min="3329" max="3329" width="19.109375" style="155" customWidth="1"/>
    <col min="3330" max="3330" width="13.6640625" style="155" customWidth="1"/>
    <col min="3331" max="3331" width="33.44140625" style="155" customWidth="1"/>
    <col min="3332" max="3332" width="19.88671875" style="155" customWidth="1"/>
    <col min="3333" max="3333" width="10.6640625" style="155" customWidth="1"/>
    <col min="3334" max="3334" width="14.6640625" style="155" customWidth="1"/>
    <col min="3335" max="3335" width="10.6640625" style="155" customWidth="1"/>
    <col min="3336" max="3336" width="5.33203125" style="155" customWidth="1"/>
    <col min="3337" max="3337" width="11.44140625" style="155" customWidth="1"/>
    <col min="3338" max="3338" width="8.88671875" style="155"/>
    <col min="3339" max="3339" width="12.33203125" style="155" customWidth="1"/>
    <col min="3340" max="3342" width="8.88671875" style="155"/>
    <col min="3343" max="3343" width="5.33203125" style="155" customWidth="1"/>
    <col min="3344" max="3584" width="8.88671875" style="155"/>
    <col min="3585" max="3585" width="19.109375" style="155" customWidth="1"/>
    <col min="3586" max="3586" width="13.6640625" style="155" customWidth="1"/>
    <col min="3587" max="3587" width="33.44140625" style="155" customWidth="1"/>
    <col min="3588" max="3588" width="19.88671875" style="155" customWidth="1"/>
    <col min="3589" max="3589" width="10.6640625" style="155" customWidth="1"/>
    <col min="3590" max="3590" width="14.6640625" style="155" customWidth="1"/>
    <col min="3591" max="3591" width="10.6640625" style="155" customWidth="1"/>
    <col min="3592" max="3592" width="5.33203125" style="155" customWidth="1"/>
    <col min="3593" max="3593" width="11.44140625" style="155" customWidth="1"/>
    <col min="3594" max="3594" width="8.88671875" style="155"/>
    <col min="3595" max="3595" width="12.33203125" style="155" customWidth="1"/>
    <col min="3596" max="3598" width="8.88671875" style="155"/>
    <col min="3599" max="3599" width="5.33203125" style="155" customWidth="1"/>
    <col min="3600" max="3840" width="8.88671875" style="155"/>
    <col min="3841" max="3841" width="19.109375" style="155" customWidth="1"/>
    <col min="3842" max="3842" width="13.6640625" style="155" customWidth="1"/>
    <col min="3843" max="3843" width="33.44140625" style="155" customWidth="1"/>
    <col min="3844" max="3844" width="19.88671875" style="155" customWidth="1"/>
    <col min="3845" max="3845" width="10.6640625" style="155" customWidth="1"/>
    <col min="3846" max="3846" width="14.6640625" style="155" customWidth="1"/>
    <col min="3847" max="3847" width="10.6640625" style="155" customWidth="1"/>
    <col min="3848" max="3848" width="5.33203125" style="155" customWidth="1"/>
    <col min="3849" max="3849" width="11.44140625" style="155" customWidth="1"/>
    <col min="3850" max="3850" width="8.88671875" style="155"/>
    <col min="3851" max="3851" width="12.33203125" style="155" customWidth="1"/>
    <col min="3852" max="3854" width="8.88671875" style="155"/>
    <col min="3855" max="3855" width="5.33203125" style="155" customWidth="1"/>
    <col min="3856" max="4096" width="8.88671875" style="155"/>
    <col min="4097" max="4097" width="19.109375" style="155" customWidth="1"/>
    <col min="4098" max="4098" width="13.6640625" style="155" customWidth="1"/>
    <col min="4099" max="4099" width="33.44140625" style="155" customWidth="1"/>
    <col min="4100" max="4100" width="19.88671875" style="155" customWidth="1"/>
    <col min="4101" max="4101" width="10.6640625" style="155" customWidth="1"/>
    <col min="4102" max="4102" width="14.6640625" style="155" customWidth="1"/>
    <col min="4103" max="4103" width="10.6640625" style="155" customWidth="1"/>
    <col min="4104" max="4104" width="5.33203125" style="155" customWidth="1"/>
    <col min="4105" max="4105" width="11.44140625" style="155" customWidth="1"/>
    <col min="4106" max="4106" width="8.88671875" style="155"/>
    <col min="4107" max="4107" width="12.33203125" style="155" customWidth="1"/>
    <col min="4108" max="4110" width="8.88671875" style="155"/>
    <col min="4111" max="4111" width="5.33203125" style="155" customWidth="1"/>
    <col min="4112" max="4352" width="8.88671875" style="155"/>
    <col min="4353" max="4353" width="19.109375" style="155" customWidth="1"/>
    <col min="4354" max="4354" width="13.6640625" style="155" customWidth="1"/>
    <col min="4355" max="4355" width="33.44140625" style="155" customWidth="1"/>
    <col min="4356" max="4356" width="19.88671875" style="155" customWidth="1"/>
    <col min="4357" max="4357" width="10.6640625" style="155" customWidth="1"/>
    <col min="4358" max="4358" width="14.6640625" style="155" customWidth="1"/>
    <col min="4359" max="4359" width="10.6640625" style="155" customWidth="1"/>
    <col min="4360" max="4360" width="5.33203125" style="155" customWidth="1"/>
    <col min="4361" max="4361" width="11.44140625" style="155" customWidth="1"/>
    <col min="4362" max="4362" width="8.88671875" style="155"/>
    <col min="4363" max="4363" width="12.33203125" style="155" customWidth="1"/>
    <col min="4364" max="4366" width="8.88671875" style="155"/>
    <col min="4367" max="4367" width="5.33203125" style="155" customWidth="1"/>
    <col min="4368" max="4608" width="8.88671875" style="155"/>
    <col min="4609" max="4609" width="19.109375" style="155" customWidth="1"/>
    <col min="4610" max="4610" width="13.6640625" style="155" customWidth="1"/>
    <col min="4611" max="4611" width="33.44140625" style="155" customWidth="1"/>
    <col min="4612" max="4612" width="19.88671875" style="155" customWidth="1"/>
    <col min="4613" max="4613" width="10.6640625" style="155" customWidth="1"/>
    <col min="4614" max="4614" width="14.6640625" style="155" customWidth="1"/>
    <col min="4615" max="4615" width="10.6640625" style="155" customWidth="1"/>
    <col min="4616" max="4616" width="5.33203125" style="155" customWidth="1"/>
    <col min="4617" max="4617" width="11.44140625" style="155" customWidth="1"/>
    <col min="4618" max="4618" width="8.88671875" style="155"/>
    <col min="4619" max="4619" width="12.33203125" style="155" customWidth="1"/>
    <col min="4620" max="4622" width="8.88671875" style="155"/>
    <col min="4623" max="4623" width="5.33203125" style="155" customWidth="1"/>
    <col min="4624" max="4864" width="8.88671875" style="155"/>
    <col min="4865" max="4865" width="19.109375" style="155" customWidth="1"/>
    <col min="4866" max="4866" width="13.6640625" style="155" customWidth="1"/>
    <col min="4867" max="4867" width="33.44140625" style="155" customWidth="1"/>
    <col min="4868" max="4868" width="19.88671875" style="155" customWidth="1"/>
    <col min="4869" max="4869" width="10.6640625" style="155" customWidth="1"/>
    <col min="4870" max="4870" width="14.6640625" style="155" customWidth="1"/>
    <col min="4871" max="4871" width="10.6640625" style="155" customWidth="1"/>
    <col min="4872" max="4872" width="5.33203125" style="155" customWidth="1"/>
    <col min="4873" max="4873" width="11.44140625" style="155" customWidth="1"/>
    <col min="4874" max="4874" width="8.88671875" style="155"/>
    <col min="4875" max="4875" width="12.33203125" style="155" customWidth="1"/>
    <col min="4876" max="4878" width="8.88671875" style="155"/>
    <col min="4879" max="4879" width="5.33203125" style="155" customWidth="1"/>
    <col min="4880" max="5120" width="8.88671875" style="155"/>
    <col min="5121" max="5121" width="19.109375" style="155" customWidth="1"/>
    <col min="5122" max="5122" width="13.6640625" style="155" customWidth="1"/>
    <col min="5123" max="5123" width="33.44140625" style="155" customWidth="1"/>
    <col min="5124" max="5124" width="19.88671875" style="155" customWidth="1"/>
    <col min="5125" max="5125" width="10.6640625" style="155" customWidth="1"/>
    <col min="5126" max="5126" width="14.6640625" style="155" customWidth="1"/>
    <col min="5127" max="5127" width="10.6640625" style="155" customWidth="1"/>
    <col min="5128" max="5128" width="5.33203125" style="155" customWidth="1"/>
    <col min="5129" max="5129" width="11.44140625" style="155" customWidth="1"/>
    <col min="5130" max="5130" width="8.88671875" style="155"/>
    <col min="5131" max="5131" width="12.33203125" style="155" customWidth="1"/>
    <col min="5132" max="5134" width="8.88671875" style="155"/>
    <col min="5135" max="5135" width="5.33203125" style="155" customWidth="1"/>
    <col min="5136" max="5376" width="8.88671875" style="155"/>
    <col min="5377" max="5377" width="19.109375" style="155" customWidth="1"/>
    <col min="5378" max="5378" width="13.6640625" style="155" customWidth="1"/>
    <col min="5379" max="5379" width="33.44140625" style="155" customWidth="1"/>
    <col min="5380" max="5380" width="19.88671875" style="155" customWidth="1"/>
    <col min="5381" max="5381" width="10.6640625" style="155" customWidth="1"/>
    <col min="5382" max="5382" width="14.6640625" style="155" customWidth="1"/>
    <col min="5383" max="5383" width="10.6640625" style="155" customWidth="1"/>
    <col min="5384" max="5384" width="5.33203125" style="155" customWidth="1"/>
    <col min="5385" max="5385" width="11.44140625" style="155" customWidth="1"/>
    <col min="5386" max="5386" width="8.88671875" style="155"/>
    <col min="5387" max="5387" width="12.33203125" style="155" customWidth="1"/>
    <col min="5388" max="5390" width="8.88671875" style="155"/>
    <col min="5391" max="5391" width="5.33203125" style="155" customWidth="1"/>
    <col min="5392" max="5632" width="8.88671875" style="155"/>
    <col min="5633" max="5633" width="19.109375" style="155" customWidth="1"/>
    <col min="5634" max="5634" width="13.6640625" style="155" customWidth="1"/>
    <col min="5635" max="5635" width="33.44140625" style="155" customWidth="1"/>
    <col min="5636" max="5636" width="19.88671875" style="155" customWidth="1"/>
    <col min="5637" max="5637" width="10.6640625" style="155" customWidth="1"/>
    <col min="5638" max="5638" width="14.6640625" style="155" customWidth="1"/>
    <col min="5639" max="5639" width="10.6640625" style="155" customWidth="1"/>
    <col min="5640" max="5640" width="5.33203125" style="155" customWidth="1"/>
    <col min="5641" max="5641" width="11.44140625" style="155" customWidth="1"/>
    <col min="5642" max="5642" width="8.88671875" style="155"/>
    <col min="5643" max="5643" width="12.33203125" style="155" customWidth="1"/>
    <col min="5644" max="5646" width="8.88671875" style="155"/>
    <col min="5647" max="5647" width="5.33203125" style="155" customWidth="1"/>
    <col min="5648" max="5888" width="8.88671875" style="155"/>
    <col min="5889" max="5889" width="19.109375" style="155" customWidth="1"/>
    <col min="5890" max="5890" width="13.6640625" style="155" customWidth="1"/>
    <col min="5891" max="5891" width="33.44140625" style="155" customWidth="1"/>
    <col min="5892" max="5892" width="19.88671875" style="155" customWidth="1"/>
    <col min="5893" max="5893" width="10.6640625" style="155" customWidth="1"/>
    <col min="5894" max="5894" width="14.6640625" style="155" customWidth="1"/>
    <col min="5895" max="5895" width="10.6640625" style="155" customWidth="1"/>
    <col min="5896" max="5896" width="5.33203125" style="155" customWidth="1"/>
    <col min="5897" max="5897" width="11.44140625" style="155" customWidth="1"/>
    <col min="5898" max="5898" width="8.88671875" style="155"/>
    <col min="5899" max="5899" width="12.33203125" style="155" customWidth="1"/>
    <col min="5900" max="5902" width="8.88671875" style="155"/>
    <col min="5903" max="5903" width="5.33203125" style="155" customWidth="1"/>
    <col min="5904" max="6144" width="8.88671875" style="155"/>
    <col min="6145" max="6145" width="19.109375" style="155" customWidth="1"/>
    <col min="6146" max="6146" width="13.6640625" style="155" customWidth="1"/>
    <col min="6147" max="6147" width="33.44140625" style="155" customWidth="1"/>
    <col min="6148" max="6148" width="19.88671875" style="155" customWidth="1"/>
    <col min="6149" max="6149" width="10.6640625" style="155" customWidth="1"/>
    <col min="6150" max="6150" width="14.6640625" style="155" customWidth="1"/>
    <col min="6151" max="6151" width="10.6640625" style="155" customWidth="1"/>
    <col min="6152" max="6152" width="5.33203125" style="155" customWidth="1"/>
    <col min="6153" max="6153" width="11.44140625" style="155" customWidth="1"/>
    <col min="6154" max="6154" width="8.88671875" style="155"/>
    <col min="6155" max="6155" width="12.33203125" style="155" customWidth="1"/>
    <col min="6156" max="6158" width="8.88671875" style="155"/>
    <col min="6159" max="6159" width="5.33203125" style="155" customWidth="1"/>
    <col min="6160" max="6400" width="8.88671875" style="155"/>
    <col min="6401" max="6401" width="19.109375" style="155" customWidth="1"/>
    <col min="6402" max="6402" width="13.6640625" style="155" customWidth="1"/>
    <col min="6403" max="6403" width="33.44140625" style="155" customWidth="1"/>
    <col min="6404" max="6404" width="19.88671875" style="155" customWidth="1"/>
    <col min="6405" max="6405" width="10.6640625" style="155" customWidth="1"/>
    <col min="6406" max="6406" width="14.6640625" style="155" customWidth="1"/>
    <col min="6407" max="6407" width="10.6640625" style="155" customWidth="1"/>
    <col min="6408" max="6408" width="5.33203125" style="155" customWidth="1"/>
    <col min="6409" max="6409" width="11.44140625" style="155" customWidth="1"/>
    <col min="6410" max="6410" width="8.88671875" style="155"/>
    <col min="6411" max="6411" width="12.33203125" style="155" customWidth="1"/>
    <col min="6412" max="6414" width="8.88671875" style="155"/>
    <col min="6415" max="6415" width="5.33203125" style="155" customWidth="1"/>
    <col min="6416" max="6656" width="8.88671875" style="155"/>
    <col min="6657" max="6657" width="19.109375" style="155" customWidth="1"/>
    <col min="6658" max="6658" width="13.6640625" style="155" customWidth="1"/>
    <col min="6659" max="6659" width="33.44140625" style="155" customWidth="1"/>
    <col min="6660" max="6660" width="19.88671875" style="155" customWidth="1"/>
    <col min="6661" max="6661" width="10.6640625" style="155" customWidth="1"/>
    <col min="6662" max="6662" width="14.6640625" style="155" customWidth="1"/>
    <col min="6663" max="6663" width="10.6640625" style="155" customWidth="1"/>
    <col min="6664" max="6664" width="5.33203125" style="155" customWidth="1"/>
    <col min="6665" max="6665" width="11.44140625" style="155" customWidth="1"/>
    <col min="6666" max="6666" width="8.88671875" style="155"/>
    <col min="6667" max="6667" width="12.33203125" style="155" customWidth="1"/>
    <col min="6668" max="6670" width="8.88671875" style="155"/>
    <col min="6671" max="6671" width="5.33203125" style="155" customWidth="1"/>
    <col min="6672" max="6912" width="8.88671875" style="155"/>
    <col min="6913" max="6913" width="19.109375" style="155" customWidth="1"/>
    <col min="6914" max="6914" width="13.6640625" style="155" customWidth="1"/>
    <col min="6915" max="6915" width="33.44140625" style="155" customWidth="1"/>
    <col min="6916" max="6916" width="19.88671875" style="155" customWidth="1"/>
    <col min="6917" max="6917" width="10.6640625" style="155" customWidth="1"/>
    <col min="6918" max="6918" width="14.6640625" style="155" customWidth="1"/>
    <col min="6919" max="6919" width="10.6640625" style="155" customWidth="1"/>
    <col min="6920" max="6920" width="5.33203125" style="155" customWidth="1"/>
    <col min="6921" max="6921" width="11.44140625" style="155" customWidth="1"/>
    <col min="6922" max="6922" width="8.88671875" style="155"/>
    <col min="6923" max="6923" width="12.33203125" style="155" customWidth="1"/>
    <col min="6924" max="6926" width="8.88671875" style="155"/>
    <col min="6927" max="6927" width="5.33203125" style="155" customWidth="1"/>
    <col min="6928" max="7168" width="8.88671875" style="155"/>
    <col min="7169" max="7169" width="19.109375" style="155" customWidth="1"/>
    <col min="7170" max="7170" width="13.6640625" style="155" customWidth="1"/>
    <col min="7171" max="7171" width="33.44140625" style="155" customWidth="1"/>
    <col min="7172" max="7172" width="19.88671875" style="155" customWidth="1"/>
    <col min="7173" max="7173" width="10.6640625" style="155" customWidth="1"/>
    <col min="7174" max="7174" width="14.6640625" style="155" customWidth="1"/>
    <col min="7175" max="7175" width="10.6640625" style="155" customWidth="1"/>
    <col min="7176" max="7176" width="5.33203125" style="155" customWidth="1"/>
    <col min="7177" max="7177" width="11.44140625" style="155" customWidth="1"/>
    <col min="7178" max="7178" width="8.88671875" style="155"/>
    <col min="7179" max="7179" width="12.33203125" style="155" customWidth="1"/>
    <col min="7180" max="7182" width="8.88671875" style="155"/>
    <col min="7183" max="7183" width="5.33203125" style="155" customWidth="1"/>
    <col min="7184" max="7424" width="8.88671875" style="155"/>
    <col min="7425" max="7425" width="19.109375" style="155" customWidth="1"/>
    <col min="7426" max="7426" width="13.6640625" style="155" customWidth="1"/>
    <col min="7427" max="7427" width="33.44140625" style="155" customWidth="1"/>
    <col min="7428" max="7428" width="19.88671875" style="155" customWidth="1"/>
    <col min="7429" max="7429" width="10.6640625" style="155" customWidth="1"/>
    <col min="7430" max="7430" width="14.6640625" style="155" customWidth="1"/>
    <col min="7431" max="7431" width="10.6640625" style="155" customWidth="1"/>
    <col min="7432" max="7432" width="5.33203125" style="155" customWidth="1"/>
    <col min="7433" max="7433" width="11.44140625" style="155" customWidth="1"/>
    <col min="7434" max="7434" width="8.88671875" style="155"/>
    <col min="7435" max="7435" width="12.33203125" style="155" customWidth="1"/>
    <col min="7436" max="7438" width="8.88671875" style="155"/>
    <col min="7439" max="7439" width="5.33203125" style="155" customWidth="1"/>
    <col min="7440" max="7680" width="8.88671875" style="155"/>
    <col min="7681" max="7681" width="19.109375" style="155" customWidth="1"/>
    <col min="7682" max="7682" width="13.6640625" style="155" customWidth="1"/>
    <col min="7683" max="7683" width="33.44140625" style="155" customWidth="1"/>
    <col min="7684" max="7684" width="19.88671875" style="155" customWidth="1"/>
    <col min="7685" max="7685" width="10.6640625" style="155" customWidth="1"/>
    <col min="7686" max="7686" width="14.6640625" style="155" customWidth="1"/>
    <col min="7687" max="7687" width="10.6640625" style="155" customWidth="1"/>
    <col min="7688" max="7688" width="5.33203125" style="155" customWidth="1"/>
    <col min="7689" max="7689" width="11.44140625" style="155" customWidth="1"/>
    <col min="7690" max="7690" width="8.88671875" style="155"/>
    <col min="7691" max="7691" width="12.33203125" style="155" customWidth="1"/>
    <col min="7692" max="7694" width="8.88671875" style="155"/>
    <col min="7695" max="7695" width="5.33203125" style="155" customWidth="1"/>
    <col min="7696" max="7936" width="8.88671875" style="155"/>
    <col min="7937" max="7937" width="19.109375" style="155" customWidth="1"/>
    <col min="7938" max="7938" width="13.6640625" style="155" customWidth="1"/>
    <col min="7939" max="7939" width="33.44140625" style="155" customWidth="1"/>
    <col min="7940" max="7940" width="19.88671875" style="155" customWidth="1"/>
    <col min="7941" max="7941" width="10.6640625" style="155" customWidth="1"/>
    <col min="7942" max="7942" width="14.6640625" style="155" customWidth="1"/>
    <col min="7943" max="7943" width="10.6640625" style="155" customWidth="1"/>
    <col min="7944" max="7944" width="5.33203125" style="155" customWidth="1"/>
    <col min="7945" max="7945" width="11.44140625" style="155" customWidth="1"/>
    <col min="7946" max="7946" width="8.88671875" style="155"/>
    <col min="7947" max="7947" width="12.33203125" style="155" customWidth="1"/>
    <col min="7948" max="7950" width="8.88671875" style="155"/>
    <col min="7951" max="7951" width="5.33203125" style="155" customWidth="1"/>
    <col min="7952" max="8192" width="8.88671875" style="155"/>
    <col min="8193" max="8193" width="19.109375" style="155" customWidth="1"/>
    <col min="8194" max="8194" width="13.6640625" style="155" customWidth="1"/>
    <col min="8195" max="8195" width="33.44140625" style="155" customWidth="1"/>
    <col min="8196" max="8196" width="19.88671875" style="155" customWidth="1"/>
    <col min="8197" max="8197" width="10.6640625" style="155" customWidth="1"/>
    <col min="8198" max="8198" width="14.6640625" style="155" customWidth="1"/>
    <col min="8199" max="8199" width="10.6640625" style="155" customWidth="1"/>
    <col min="8200" max="8200" width="5.33203125" style="155" customWidth="1"/>
    <col min="8201" max="8201" width="11.44140625" style="155" customWidth="1"/>
    <col min="8202" max="8202" width="8.88671875" style="155"/>
    <col min="8203" max="8203" width="12.33203125" style="155" customWidth="1"/>
    <col min="8204" max="8206" width="8.88671875" style="155"/>
    <col min="8207" max="8207" width="5.33203125" style="155" customWidth="1"/>
    <col min="8208" max="8448" width="8.88671875" style="155"/>
    <col min="8449" max="8449" width="19.109375" style="155" customWidth="1"/>
    <col min="8450" max="8450" width="13.6640625" style="155" customWidth="1"/>
    <col min="8451" max="8451" width="33.44140625" style="155" customWidth="1"/>
    <col min="8452" max="8452" width="19.88671875" style="155" customWidth="1"/>
    <col min="8453" max="8453" width="10.6640625" style="155" customWidth="1"/>
    <col min="8454" max="8454" width="14.6640625" style="155" customWidth="1"/>
    <col min="8455" max="8455" width="10.6640625" style="155" customWidth="1"/>
    <col min="8456" max="8456" width="5.33203125" style="155" customWidth="1"/>
    <col min="8457" max="8457" width="11.44140625" style="155" customWidth="1"/>
    <col min="8458" max="8458" width="8.88671875" style="155"/>
    <col min="8459" max="8459" width="12.33203125" style="155" customWidth="1"/>
    <col min="8460" max="8462" width="8.88671875" style="155"/>
    <col min="8463" max="8463" width="5.33203125" style="155" customWidth="1"/>
    <col min="8464" max="8704" width="8.88671875" style="155"/>
    <col min="8705" max="8705" width="19.109375" style="155" customWidth="1"/>
    <col min="8706" max="8706" width="13.6640625" style="155" customWidth="1"/>
    <col min="8707" max="8707" width="33.44140625" style="155" customWidth="1"/>
    <col min="8708" max="8708" width="19.88671875" style="155" customWidth="1"/>
    <col min="8709" max="8709" width="10.6640625" style="155" customWidth="1"/>
    <col min="8710" max="8710" width="14.6640625" style="155" customWidth="1"/>
    <col min="8711" max="8711" width="10.6640625" style="155" customWidth="1"/>
    <col min="8712" max="8712" width="5.33203125" style="155" customWidth="1"/>
    <col min="8713" max="8713" width="11.44140625" style="155" customWidth="1"/>
    <col min="8714" max="8714" width="8.88671875" style="155"/>
    <col min="8715" max="8715" width="12.33203125" style="155" customWidth="1"/>
    <col min="8716" max="8718" width="8.88671875" style="155"/>
    <col min="8719" max="8719" width="5.33203125" style="155" customWidth="1"/>
    <col min="8720" max="8960" width="8.88671875" style="155"/>
    <col min="8961" max="8961" width="19.109375" style="155" customWidth="1"/>
    <col min="8962" max="8962" width="13.6640625" style="155" customWidth="1"/>
    <col min="8963" max="8963" width="33.44140625" style="155" customWidth="1"/>
    <col min="8964" max="8964" width="19.88671875" style="155" customWidth="1"/>
    <col min="8965" max="8965" width="10.6640625" style="155" customWidth="1"/>
    <col min="8966" max="8966" width="14.6640625" style="155" customWidth="1"/>
    <col min="8967" max="8967" width="10.6640625" style="155" customWidth="1"/>
    <col min="8968" max="8968" width="5.33203125" style="155" customWidth="1"/>
    <col min="8969" max="8969" width="11.44140625" style="155" customWidth="1"/>
    <col min="8970" max="8970" width="8.88671875" style="155"/>
    <col min="8971" max="8971" width="12.33203125" style="155" customWidth="1"/>
    <col min="8972" max="8974" width="8.88671875" style="155"/>
    <col min="8975" max="8975" width="5.33203125" style="155" customWidth="1"/>
    <col min="8976" max="9216" width="8.88671875" style="155"/>
    <col min="9217" max="9217" width="19.109375" style="155" customWidth="1"/>
    <col min="9218" max="9218" width="13.6640625" style="155" customWidth="1"/>
    <col min="9219" max="9219" width="33.44140625" style="155" customWidth="1"/>
    <col min="9220" max="9220" width="19.88671875" style="155" customWidth="1"/>
    <col min="9221" max="9221" width="10.6640625" style="155" customWidth="1"/>
    <col min="9222" max="9222" width="14.6640625" style="155" customWidth="1"/>
    <col min="9223" max="9223" width="10.6640625" style="155" customWidth="1"/>
    <col min="9224" max="9224" width="5.33203125" style="155" customWidth="1"/>
    <col min="9225" max="9225" width="11.44140625" style="155" customWidth="1"/>
    <col min="9226" max="9226" width="8.88671875" style="155"/>
    <col min="9227" max="9227" width="12.33203125" style="155" customWidth="1"/>
    <col min="9228" max="9230" width="8.88671875" style="155"/>
    <col min="9231" max="9231" width="5.33203125" style="155" customWidth="1"/>
    <col min="9232" max="9472" width="8.88671875" style="155"/>
    <col min="9473" max="9473" width="19.109375" style="155" customWidth="1"/>
    <col min="9474" max="9474" width="13.6640625" style="155" customWidth="1"/>
    <col min="9475" max="9475" width="33.44140625" style="155" customWidth="1"/>
    <col min="9476" max="9476" width="19.88671875" style="155" customWidth="1"/>
    <col min="9477" max="9477" width="10.6640625" style="155" customWidth="1"/>
    <col min="9478" max="9478" width="14.6640625" style="155" customWidth="1"/>
    <col min="9479" max="9479" width="10.6640625" style="155" customWidth="1"/>
    <col min="9480" max="9480" width="5.33203125" style="155" customWidth="1"/>
    <col min="9481" max="9481" width="11.44140625" style="155" customWidth="1"/>
    <col min="9482" max="9482" width="8.88671875" style="155"/>
    <col min="9483" max="9483" width="12.33203125" style="155" customWidth="1"/>
    <col min="9484" max="9486" width="8.88671875" style="155"/>
    <col min="9487" max="9487" width="5.33203125" style="155" customWidth="1"/>
    <col min="9488" max="9728" width="8.88671875" style="155"/>
    <col min="9729" max="9729" width="19.109375" style="155" customWidth="1"/>
    <col min="9730" max="9730" width="13.6640625" style="155" customWidth="1"/>
    <col min="9731" max="9731" width="33.44140625" style="155" customWidth="1"/>
    <col min="9732" max="9732" width="19.88671875" style="155" customWidth="1"/>
    <col min="9733" max="9733" width="10.6640625" style="155" customWidth="1"/>
    <col min="9734" max="9734" width="14.6640625" style="155" customWidth="1"/>
    <col min="9735" max="9735" width="10.6640625" style="155" customWidth="1"/>
    <col min="9736" max="9736" width="5.33203125" style="155" customWidth="1"/>
    <col min="9737" max="9737" width="11.44140625" style="155" customWidth="1"/>
    <col min="9738" max="9738" width="8.88671875" style="155"/>
    <col min="9739" max="9739" width="12.33203125" style="155" customWidth="1"/>
    <col min="9740" max="9742" width="8.88671875" style="155"/>
    <col min="9743" max="9743" width="5.33203125" style="155" customWidth="1"/>
    <col min="9744" max="9984" width="8.88671875" style="155"/>
    <col min="9985" max="9985" width="19.109375" style="155" customWidth="1"/>
    <col min="9986" max="9986" width="13.6640625" style="155" customWidth="1"/>
    <col min="9987" max="9987" width="33.44140625" style="155" customWidth="1"/>
    <col min="9988" max="9988" width="19.88671875" style="155" customWidth="1"/>
    <col min="9989" max="9989" width="10.6640625" style="155" customWidth="1"/>
    <col min="9990" max="9990" width="14.6640625" style="155" customWidth="1"/>
    <col min="9991" max="9991" width="10.6640625" style="155" customWidth="1"/>
    <col min="9992" max="9992" width="5.33203125" style="155" customWidth="1"/>
    <col min="9993" max="9993" width="11.44140625" style="155" customWidth="1"/>
    <col min="9994" max="9994" width="8.88671875" style="155"/>
    <col min="9995" max="9995" width="12.33203125" style="155" customWidth="1"/>
    <col min="9996" max="9998" width="8.88671875" style="155"/>
    <col min="9999" max="9999" width="5.33203125" style="155" customWidth="1"/>
    <col min="10000" max="10240" width="8.88671875" style="155"/>
    <col min="10241" max="10241" width="19.109375" style="155" customWidth="1"/>
    <col min="10242" max="10242" width="13.6640625" style="155" customWidth="1"/>
    <col min="10243" max="10243" width="33.44140625" style="155" customWidth="1"/>
    <col min="10244" max="10244" width="19.88671875" style="155" customWidth="1"/>
    <col min="10245" max="10245" width="10.6640625" style="155" customWidth="1"/>
    <col min="10246" max="10246" width="14.6640625" style="155" customWidth="1"/>
    <col min="10247" max="10247" width="10.6640625" style="155" customWidth="1"/>
    <col min="10248" max="10248" width="5.33203125" style="155" customWidth="1"/>
    <col min="10249" max="10249" width="11.44140625" style="155" customWidth="1"/>
    <col min="10250" max="10250" width="8.88671875" style="155"/>
    <col min="10251" max="10251" width="12.33203125" style="155" customWidth="1"/>
    <col min="10252" max="10254" width="8.88671875" style="155"/>
    <col min="10255" max="10255" width="5.33203125" style="155" customWidth="1"/>
    <col min="10256" max="10496" width="8.88671875" style="155"/>
    <col min="10497" max="10497" width="19.109375" style="155" customWidth="1"/>
    <col min="10498" max="10498" width="13.6640625" style="155" customWidth="1"/>
    <col min="10499" max="10499" width="33.44140625" style="155" customWidth="1"/>
    <col min="10500" max="10500" width="19.88671875" style="155" customWidth="1"/>
    <col min="10501" max="10501" width="10.6640625" style="155" customWidth="1"/>
    <col min="10502" max="10502" width="14.6640625" style="155" customWidth="1"/>
    <col min="10503" max="10503" width="10.6640625" style="155" customWidth="1"/>
    <col min="10504" max="10504" width="5.33203125" style="155" customWidth="1"/>
    <col min="10505" max="10505" width="11.44140625" style="155" customWidth="1"/>
    <col min="10506" max="10506" width="8.88671875" style="155"/>
    <col min="10507" max="10507" width="12.33203125" style="155" customWidth="1"/>
    <col min="10508" max="10510" width="8.88671875" style="155"/>
    <col min="10511" max="10511" width="5.33203125" style="155" customWidth="1"/>
    <col min="10512" max="10752" width="8.88671875" style="155"/>
    <col min="10753" max="10753" width="19.109375" style="155" customWidth="1"/>
    <col min="10754" max="10754" width="13.6640625" style="155" customWidth="1"/>
    <col min="10755" max="10755" width="33.44140625" style="155" customWidth="1"/>
    <col min="10756" max="10756" width="19.88671875" style="155" customWidth="1"/>
    <col min="10757" max="10757" width="10.6640625" style="155" customWidth="1"/>
    <col min="10758" max="10758" width="14.6640625" style="155" customWidth="1"/>
    <col min="10759" max="10759" width="10.6640625" style="155" customWidth="1"/>
    <col min="10760" max="10760" width="5.33203125" style="155" customWidth="1"/>
    <col min="10761" max="10761" width="11.44140625" style="155" customWidth="1"/>
    <col min="10762" max="10762" width="8.88671875" style="155"/>
    <col min="10763" max="10763" width="12.33203125" style="155" customWidth="1"/>
    <col min="10764" max="10766" width="8.88671875" style="155"/>
    <col min="10767" max="10767" width="5.33203125" style="155" customWidth="1"/>
    <col min="10768" max="11008" width="8.88671875" style="155"/>
    <col min="11009" max="11009" width="19.109375" style="155" customWidth="1"/>
    <col min="11010" max="11010" width="13.6640625" style="155" customWidth="1"/>
    <col min="11011" max="11011" width="33.44140625" style="155" customWidth="1"/>
    <col min="11012" max="11012" width="19.88671875" style="155" customWidth="1"/>
    <col min="11013" max="11013" width="10.6640625" style="155" customWidth="1"/>
    <col min="11014" max="11014" width="14.6640625" style="155" customWidth="1"/>
    <col min="11015" max="11015" width="10.6640625" style="155" customWidth="1"/>
    <col min="11016" max="11016" width="5.33203125" style="155" customWidth="1"/>
    <col min="11017" max="11017" width="11.44140625" style="155" customWidth="1"/>
    <col min="11018" max="11018" width="8.88671875" style="155"/>
    <col min="11019" max="11019" width="12.33203125" style="155" customWidth="1"/>
    <col min="11020" max="11022" width="8.88671875" style="155"/>
    <col min="11023" max="11023" width="5.33203125" style="155" customWidth="1"/>
    <col min="11024" max="11264" width="8.88671875" style="155"/>
    <col min="11265" max="11265" width="19.109375" style="155" customWidth="1"/>
    <col min="11266" max="11266" width="13.6640625" style="155" customWidth="1"/>
    <col min="11267" max="11267" width="33.44140625" style="155" customWidth="1"/>
    <col min="11268" max="11268" width="19.88671875" style="155" customWidth="1"/>
    <col min="11269" max="11269" width="10.6640625" style="155" customWidth="1"/>
    <col min="11270" max="11270" width="14.6640625" style="155" customWidth="1"/>
    <col min="11271" max="11271" width="10.6640625" style="155" customWidth="1"/>
    <col min="11272" max="11272" width="5.33203125" style="155" customWidth="1"/>
    <col min="11273" max="11273" width="11.44140625" style="155" customWidth="1"/>
    <col min="11274" max="11274" width="8.88671875" style="155"/>
    <col min="11275" max="11275" width="12.33203125" style="155" customWidth="1"/>
    <col min="11276" max="11278" width="8.88671875" style="155"/>
    <col min="11279" max="11279" width="5.33203125" style="155" customWidth="1"/>
    <col min="11280" max="11520" width="8.88671875" style="155"/>
    <col min="11521" max="11521" width="19.109375" style="155" customWidth="1"/>
    <col min="11522" max="11522" width="13.6640625" style="155" customWidth="1"/>
    <col min="11523" max="11523" width="33.44140625" style="155" customWidth="1"/>
    <col min="11524" max="11524" width="19.88671875" style="155" customWidth="1"/>
    <col min="11525" max="11525" width="10.6640625" style="155" customWidth="1"/>
    <col min="11526" max="11526" width="14.6640625" style="155" customWidth="1"/>
    <col min="11527" max="11527" width="10.6640625" style="155" customWidth="1"/>
    <col min="11528" max="11528" width="5.33203125" style="155" customWidth="1"/>
    <col min="11529" max="11529" width="11.44140625" style="155" customWidth="1"/>
    <col min="11530" max="11530" width="8.88671875" style="155"/>
    <col min="11531" max="11531" width="12.33203125" style="155" customWidth="1"/>
    <col min="11532" max="11534" width="8.88671875" style="155"/>
    <col min="11535" max="11535" width="5.33203125" style="155" customWidth="1"/>
    <col min="11536" max="11776" width="8.88671875" style="155"/>
    <col min="11777" max="11777" width="19.109375" style="155" customWidth="1"/>
    <col min="11778" max="11778" width="13.6640625" style="155" customWidth="1"/>
    <col min="11779" max="11779" width="33.44140625" style="155" customWidth="1"/>
    <col min="11780" max="11780" width="19.88671875" style="155" customWidth="1"/>
    <col min="11781" max="11781" width="10.6640625" style="155" customWidth="1"/>
    <col min="11782" max="11782" width="14.6640625" style="155" customWidth="1"/>
    <col min="11783" max="11783" width="10.6640625" style="155" customWidth="1"/>
    <col min="11784" max="11784" width="5.33203125" style="155" customWidth="1"/>
    <col min="11785" max="11785" width="11.44140625" style="155" customWidth="1"/>
    <col min="11786" max="11786" width="8.88671875" style="155"/>
    <col min="11787" max="11787" width="12.33203125" style="155" customWidth="1"/>
    <col min="11788" max="11790" width="8.88671875" style="155"/>
    <col min="11791" max="11791" width="5.33203125" style="155" customWidth="1"/>
    <col min="11792" max="12032" width="8.88671875" style="155"/>
    <col min="12033" max="12033" width="19.109375" style="155" customWidth="1"/>
    <col min="12034" max="12034" width="13.6640625" style="155" customWidth="1"/>
    <col min="12035" max="12035" width="33.44140625" style="155" customWidth="1"/>
    <col min="12036" max="12036" width="19.88671875" style="155" customWidth="1"/>
    <col min="12037" max="12037" width="10.6640625" style="155" customWidth="1"/>
    <col min="12038" max="12038" width="14.6640625" style="155" customWidth="1"/>
    <col min="12039" max="12039" width="10.6640625" style="155" customWidth="1"/>
    <col min="12040" max="12040" width="5.33203125" style="155" customWidth="1"/>
    <col min="12041" max="12041" width="11.44140625" style="155" customWidth="1"/>
    <col min="12042" max="12042" width="8.88671875" style="155"/>
    <col min="12043" max="12043" width="12.33203125" style="155" customWidth="1"/>
    <col min="12044" max="12046" width="8.88671875" style="155"/>
    <col min="12047" max="12047" width="5.33203125" style="155" customWidth="1"/>
    <col min="12048" max="12288" width="8.88671875" style="155"/>
    <col min="12289" max="12289" width="19.109375" style="155" customWidth="1"/>
    <col min="12290" max="12290" width="13.6640625" style="155" customWidth="1"/>
    <col min="12291" max="12291" width="33.44140625" style="155" customWidth="1"/>
    <col min="12292" max="12292" width="19.88671875" style="155" customWidth="1"/>
    <col min="12293" max="12293" width="10.6640625" style="155" customWidth="1"/>
    <col min="12294" max="12294" width="14.6640625" style="155" customWidth="1"/>
    <col min="12295" max="12295" width="10.6640625" style="155" customWidth="1"/>
    <col min="12296" max="12296" width="5.33203125" style="155" customWidth="1"/>
    <col min="12297" max="12297" width="11.44140625" style="155" customWidth="1"/>
    <col min="12298" max="12298" width="8.88671875" style="155"/>
    <col min="12299" max="12299" width="12.33203125" style="155" customWidth="1"/>
    <col min="12300" max="12302" width="8.88671875" style="155"/>
    <col min="12303" max="12303" width="5.33203125" style="155" customWidth="1"/>
    <col min="12304" max="12544" width="8.88671875" style="155"/>
    <col min="12545" max="12545" width="19.109375" style="155" customWidth="1"/>
    <col min="12546" max="12546" width="13.6640625" style="155" customWidth="1"/>
    <col min="12547" max="12547" width="33.44140625" style="155" customWidth="1"/>
    <col min="12548" max="12548" width="19.88671875" style="155" customWidth="1"/>
    <col min="12549" max="12549" width="10.6640625" style="155" customWidth="1"/>
    <col min="12550" max="12550" width="14.6640625" style="155" customWidth="1"/>
    <col min="12551" max="12551" width="10.6640625" style="155" customWidth="1"/>
    <col min="12552" max="12552" width="5.33203125" style="155" customWidth="1"/>
    <col min="12553" max="12553" width="11.44140625" style="155" customWidth="1"/>
    <col min="12554" max="12554" width="8.88671875" style="155"/>
    <col min="12555" max="12555" width="12.33203125" style="155" customWidth="1"/>
    <col min="12556" max="12558" width="8.88671875" style="155"/>
    <col min="12559" max="12559" width="5.33203125" style="155" customWidth="1"/>
    <col min="12560" max="12800" width="8.88671875" style="155"/>
    <col min="12801" max="12801" width="19.109375" style="155" customWidth="1"/>
    <col min="12802" max="12802" width="13.6640625" style="155" customWidth="1"/>
    <col min="12803" max="12803" width="33.44140625" style="155" customWidth="1"/>
    <col min="12804" max="12804" width="19.88671875" style="155" customWidth="1"/>
    <col min="12805" max="12805" width="10.6640625" style="155" customWidth="1"/>
    <col min="12806" max="12806" width="14.6640625" style="155" customWidth="1"/>
    <col min="12807" max="12807" width="10.6640625" style="155" customWidth="1"/>
    <col min="12808" max="12808" width="5.33203125" style="155" customWidth="1"/>
    <col min="12809" max="12809" width="11.44140625" style="155" customWidth="1"/>
    <col min="12810" max="12810" width="8.88671875" style="155"/>
    <col min="12811" max="12811" width="12.33203125" style="155" customWidth="1"/>
    <col min="12812" max="12814" width="8.88671875" style="155"/>
    <col min="12815" max="12815" width="5.33203125" style="155" customWidth="1"/>
    <col min="12816" max="13056" width="8.88671875" style="155"/>
    <col min="13057" max="13057" width="19.109375" style="155" customWidth="1"/>
    <col min="13058" max="13058" width="13.6640625" style="155" customWidth="1"/>
    <col min="13059" max="13059" width="33.44140625" style="155" customWidth="1"/>
    <col min="13060" max="13060" width="19.88671875" style="155" customWidth="1"/>
    <col min="13061" max="13061" width="10.6640625" style="155" customWidth="1"/>
    <col min="13062" max="13062" width="14.6640625" style="155" customWidth="1"/>
    <col min="13063" max="13063" width="10.6640625" style="155" customWidth="1"/>
    <col min="13064" max="13064" width="5.33203125" style="155" customWidth="1"/>
    <col min="13065" max="13065" width="11.44140625" style="155" customWidth="1"/>
    <col min="13066" max="13066" width="8.88671875" style="155"/>
    <col min="13067" max="13067" width="12.33203125" style="155" customWidth="1"/>
    <col min="13068" max="13070" width="8.88671875" style="155"/>
    <col min="13071" max="13071" width="5.33203125" style="155" customWidth="1"/>
    <col min="13072" max="13312" width="8.88671875" style="155"/>
    <col min="13313" max="13313" width="19.109375" style="155" customWidth="1"/>
    <col min="13314" max="13314" width="13.6640625" style="155" customWidth="1"/>
    <col min="13315" max="13315" width="33.44140625" style="155" customWidth="1"/>
    <col min="13316" max="13316" width="19.88671875" style="155" customWidth="1"/>
    <col min="13317" max="13317" width="10.6640625" style="155" customWidth="1"/>
    <col min="13318" max="13318" width="14.6640625" style="155" customWidth="1"/>
    <col min="13319" max="13319" width="10.6640625" style="155" customWidth="1"/>
    <col min="13320" max="13320" width="5.33203125" style="155" customWidth="1"/>
    <col min="13321" max="13321" width="11.44140625" style="155" customWidth="1"/>
    <col min="13322" max="13322" width="8.88671875" style="155"/>
    <col min="13323" max="13323" width="12.33203125" style="155" customWidth="1"/>
    <col min="13324" max="13326" width="8.88671875" style="155"/>
    <col min="13327" max="13327" width="5.33203125" style="155" customWidth="1"/>
    <col min="13328" max="13568" width="8.88671875" style="155"/>
    <col min="13569" max="13569" width="19.109375" style="155" customWidth="1"/>
    <col min="13570" max="13570" width="13.6640625" style="155" customWidth="1"/>
    <col min="13571" max="13571" width="33.44140625" style="155" customWidth="1"/>
    <col min="13572" max="13572" width="19.88671875" style="155" customWidth="1"/>
    <col min="13573" max="13573" width="10.6640625" style="155" customWidth="1"/>
    <col min="13574" max="13574" width="14.6640625" style="155" customWidth="1"/>
    <col min="13575" max="13575" width="10.6640625" style="155" customWidth="1"/>
    <col min="13576" max="13576" width="5.33203125" style="155" customWidth="1"/>
    <col min="13577" max="13577" width="11.44140625" style="155" customWidth="1"/>
    <col min="13578" max="13578" width="8.88671875" style="155"/>
    <col min="13579" max="13579" width="12.33203125" style="155" customWidth="1"/>
    <col min="13580" max="13582" width="8.88671875" style="155"/>
    <col min="13583" max="13583" width="5.33203125" style="155" customWidth="1"/>
    <col min="13584" max="13824" width="8.88671875" style="155"/>
    <col min="13825" max="13825" width="19.109375" style="155" customWidth="1"/>
    <col min="13826" max="13826" width="13.6640625" style="155" customWidth="1"/>
    <col min="13827" max="13827" width="33.44140625" style="155" customWidth="1"/>
    <col min="13828" max="13828" width="19.88671875" style="155" customWidth="1"/>
    <col min="13829" max="13829" width="10.6640625" style="155" customWidth="1"/>
    <col min="13830" max="13830" width="14.6640625" style="155" customWidth="1"/>
    <col min="13831" max="13831" width="10.6640625" style="155" customWidth="1"/>
    <col min="13832" max="13832" width="5.33203125" style="155" customWidth="1"/>
    <col min="13833" max="13833" width="11.44140625" style="155" customWidth="1"/>
    <col min="13834" max="13834" width="8.88671875" style="155"/>
    <col min="13835" max="13835" width="12.33203125" style="155" customWidth="1"/>
    <col min="13836" max="13838" width="8.88671875" style="155"/>
    <col min="13839" max="13839" width="5.33203125" style="155" customWidth="1"/>
    <col min="13840" max="14080" width="8.88671875" style="155"/>
    <col min="14081" max="14081" width="19.109375" style="155" customWidth="1"/>
    <col min="14082" max="14082" width="13.6640625" style="155" customWidth="1"/>
    <col min="14083" max="14083" width="33.44140625" style="155" customWidth="1"/>
    <col min="14084" max="14084" width="19.88671875" style="155" customWidth="1"/>
    <col min="14085" max="14085" width="10.6640625" style="155" customWidth="1"/>
    <col min="14086" max="14086" width="14.6640625" style="155" customWidth="1"/>
    <col min="14087" max="14087" width="10.6640625" style="155" customWidth="1"/>
    <col min="14088" max="14088" width="5.33203125" style="155" customWidth="1"/>
    <col min="14089" max="14089" width="11.44140625" style="155" customWidth="1"/>
    <col min="14090" max="14090" width="8.88671875" style="155"/>
    <col min="14091" max="14091" width="12.33203125" style="155" customWidth="1"/>
    <col min="14092" max="14094" width="8.88671875" style="155"/>
    <col min="14095" max="14095" width="5.33203125" style="155" customWidth="1"/>
    <col min="14096" max="14336" width="8.88671875" style="155"/>
    <col min="14337" max="14337" width="19.109375" style="155" customWidth="1"/>
    <col min="14338" max="14338" width="13.6640625" style="155" customWidth="1"/>
    <col min="14339" max="14339" width="33.44140625" style="155" customWidth="1"/>
    <col min="14340" max="14340" width="19.88671875" style="155" customWidth="1"/>
    <col min="14341" max="14341" width="10.6640625" style="155" customWidth="1"/>
    <col min="14342" max="14342" width="14.6640625" style="155" customWidth="1"/>
    <col min="14343" max="14343" width="10.6640625" style="155" customWidth="1"/>
    <col min="14344" max="14344" width="5.33203125" style="155" customWidth="1"/>
    <col min="14345" max="14345" width="11.44140625" style="155" customWidth="1"/>
    <col min="14346" max="14346" width="8.88671875" style="155"/>
    <col min="14347" max="14347" width="12.33203125" style="155" customWidth="1"/>
    <col min="14348" max="14350" width="8.88671875" style="155"/>
    <col min="14351" max="14351" width="5.33203125" style="155" customWidth="1"/>
    <col min="14352" max="14592" width="8.88671875" style="155"/>
    <col min="14593" max="14593" width="19.109375" style="155" customWidth="1"/>
    <col min="14594" max="14594" width="13.6640625" style="155" customWidth="1"/>
    <col min="14595" max="14595" width="33.44140625" style="155" customWidth="1"/>
    <col min="14596" max="14596" width="19.88671875" style="155" customWidth="1"/>
    <col min="14597" max="14597" width="10.6640625" style="155" customWidth="1"/>
    <col min="14598" max="14598" width="14.6640625" style="155" customWidth="1"/>
    <col min="14599" max="14599" width="10.6640625" style="155" customWidth="1"/>
    <col min="14600" max="14600" width="5.33203125" style="155" customWidth="1"/>
    <col min="14601" max="14601" width="11.44140625" style="155" customWidth="1"/>
    <col min="14602" max="14602" width="8.88671875" style="155"/>
    <col min="14603" max="14603" width="12.33203125" style="155" customWidth="1"/>
    <col min="14604" max="14606" width="8.88671875" style="155"/>
    <col min="14607" max="14607" width="5.33203125" style="155" customWidth="1"/>
    <col min="14608" max="14848" width="8.88671875" style="155"/>
    <col min="14849" max="14849" width="19.109375" style="155" customWidth="1"/>
    <col min="14850" max="14850" width="13.6640625" style="155" customWidth="1"/>
    <col min="14851" max="14851" width="33.44140625" style="155" customWidth="1"/>
    <col min="14852" max="14852" width="19.88671875" style="155" customWidth="1"/>
    <col min="14853" max="14853" width="10.6640625" style="155" customWidth="1"/>
    <col min="14854" max="14854" width="14.6640625" style="155" customWidth="1"/>
    <col min="14855" max="14855" width="10.6640625" style="155" customWidth="1"/>
    <col min="14856" max="14856" width="5.33203125" style="155" customWidth="1"/>
    <col min="14857" max="14857" width="11.44140625" style="155" customWidth="1"/>
    <col min="14858" max="14858" width="8.88671875" style="155"/>
    <col min="14859" max="14859" width="12.33203125" style="155" customWidth="1"/>
    <col min="14860" max="14862" width="8.88671875" style="155"/>
    <col min="14863" max="14863" width="5.33203125" style="155" customWidth="1"/>
    <col min="14864" max="15104" width="8.88671875" style="155"/>
    <col min="15105" max="15105" width="19.109375" style="155" customWidth="1"/>
    <col min="15106" max="15106" width="13.6640625" style="155" customWidth="1"/>
    <col min="15107" max="15107" width="33.44140625" style="155" customWidth="1"/>
    <col min="15108" max="15108" width="19.88671875" style="155" customWidth="1"/>
    <col min="15109" max="15109" width="10.6640625" style="155" customWidth="1"/>
    <col min="15110" max="15110" width="14.6640625" style="155" customWidth="1"/>
    <col min="15111" max="15111" width="10.6640625" style="155" customWidth="1"/>
    <col min="15112" max="15112" width="5.33203125" style="155" customWidth="1"/>
    <col min="15113" max="15113" width="11.44140625" style="155" customWidth="1"/>
    <col min="15114" max="15114" width="8.88671875" style="155"/>
    <col min="15115" max="15115" width="12.33203125" style="155" customWidth="1"/>
    <col min="15116" max="15118" width="8.88671875" style="155"/>
    <col min="15119" max="15119" width="5.33203125" style="155" customWidth="1"/>
    <col min="15120" max="15360" width="8.88671875" style="155"/>
    <col min="15361" max="15361" width="19.109375" style="155" customWidth="1"/>
    <col min="15362" max="15362" width="13.6640625" style="155" customWidth="1"/>
    <col min="15363" max="15363" width="33.44140625" style="155" customWidth="1"/>
    <col min="15364" max="15364" width="19.88671875" style="155" customWidth="1"/>
    <col min="15365" max="15365" width="10.6640625" style="155" customWidth="1"/>
    <col min="15366" max="15366" width="14.6640625" style="155" customWidth="1"/>
    <col min="15367" max="15367" width="10.6640625" style="155" customWidth="1"/>
    <col min="15368" max="15368" width="5.33203125" style="155" customWidth="1"/>
    <col min="15369" max="15369" width="11.44140625" style="155" customWidth="1"/>
    <col min="15370" max="15370" width="8.88671875" style="155"/>
    <col min="15371" max="15371" width="12.33203125" style="155" customWidth="1"/>
    <col min="15372" max="15374" width="8.88671875" style="155"/>
    <col min="15375" max="15375" width="5.33203125" style="155" customWidth="1"/>
    <col min="15376" max="15616" width="8.88671875" style="155"/>
    <col min="15617" max="15617" width="19.109375" style="155" customWidth="1"/>
    <col min="15618" max="15618" width="13.6640625" style="155" customWidth="1"/>
    <col min="15619" max="15619" width="33.44140625" style="155" customWidth="1"/>
    <col min="15620" max="15620" width="19.88671875" style="155" customWidth="1"/>
    <col min="15621" max="15621" width="10.6640625" style="155" customWidth="1"/>
    <col min="15622" max="15622" width="14.6640625" style="155" customWidth="1"/>
    <col min="15623" max="15623" width="10.6640625" style="155" customWidth="1"/>
    <col min="15624" max="15624" width="5.33203125" style="155" customWidth="1"/>
    <col min="15625" max="15625" width="11.44140625" style="155" customWidth="1"/>
    <col min="15626" max="15626" width="8.88671875" style="155"/>
    <col min="15627" max="15627" width="12.33203125" style="155" customWidth="1"/>
    <col min="15628" max="15630" width="8.88671875" style="155"/>
    <col min="15631" max="15631" width="5.33203125" style="155" customWidth="1"/>
    <col min="15632" max="15872" width="8.88671875" style="155"/>
    <col min="15873" max="15873" width="19.109375" style="155" customWidth="1"/>
    <col min="15874" max="15874" width="13.6640625" style="155" customWidth="1"/>
    <col min="15875" max="15875" width="33.44140625" style="155" customWidth="1"/>
    <col min="15876" max="15876" width="19.88671875" style="155" customWidth="1"/>
    <col min="15877" max="15877" width="10.6640625" style="155" customWidth="1"/>
    <col min="15878" max="15878" width="14.6640625" style="155" customWidth="1"/>
    <col min="15879" max="15879" width="10.6640625" style="155" customWidth="1"/>
    <col min="15880" max="15880" width="5.33203125" style="155" customWidth="1"/>
    <col min="15881" max="15881" width="11.44140625" style="155" customWidth="1"/>
    <col min="15882" max="15882" width="8.88671875" style="155"/>
    <col min="15883" max="15883" width="12.33203125" style="155" customWidth="1"/>
    <col min="15884" max="15886" width="8.88671875" style="155"/>
    <col min="15887" max="15887" width="5.33203125" style="155" customWidth="1"/>
    <col min="15888" max="16128" width="8.88671875" style="155"/>
    <col min="16129" max="16129" width="19.109375" style="155" customWidth="1"/>
    <col min="16130" max="16130" width="13.6640625" style="155" customWidth="1"/>
    <col min="16131" max="16131" width="33.44140625" style="155" customWidth="1"/>
    <col min="16132" max="16132" width="19.88671875" style="155" customWidth="1"/>
    <col min="16133" max="16133" width="10.6640625" style="155" customWidth="1"/>
    <col min="16134" max="16134" width="14.6640625" style="155" customWidth="1"/>
    <col min="16135" max="16135" width="10.6640625" style="155" customWidth="1"/>
    <col min="16136" max="16136" width="5.33203125" style="155" customWidth="1"/>
    <col min="16137" max="16137" width="11.44140625" style="155" customWidth="1"/>
    <col min="16138" max="16138" width="8.88671875" style="155"/>
    <col min="16139" max="16139" width="12.33203125" style="155" customWidth="1"/>
    <col min="16140" max="16142" width="8.88671875" style="155"/>
    <col min="16143" max="16143" width="5.33203125" style="155" customWidth="1"/>
    <col min="16144" max="16384" width="8.88671875" style="155"/>
  </cols>
  <sheetData>
    <row r="1" spans="1:18" ht="18" thickBot="1" x14ac:dyDescent="0.35">
      <c r="A1" s="412" t="s">
        <v>323</v>
      </c>
      <c r="B1" s="413"/>
      <c r="C1" s="413"/>
      <c r="D1" s="413"/>
      <c r="E1" s="413"/>
      <c r="F1" s="413"/>
      <c r="G1" s="414"/>
      <c r="I1" s="415" t="s">
        <v>324</v>
      </c>
      <c r="J1" s="416"/>
      <c r="K1" s="416"/>
      <c r="L1" s="416"/>
      <c r="M1" s="156" t="s">
        <v>325</v>
      </c>
      <c r="N1" s="156" t="s">
        <v>326</v>
      </c>
      <c r="O1" s="156"/>
      <c r="P1" s="157" t="s">
        <v>326</v>
      </c>
      <c r="Q1" s="158"/>
      <c r="R1" s="158"/>
    </row>
    <row r="2" spans="1:18" ht="17.399999999999999" x14ac:dyDescent="0.3">
      <c r="A2" s="159" t="s">
        <v>32</v>
      </c>
      <c r="B2" s="160">
        <f>'joint reaction'!K10</f>
        <v>321.19540000000001</v>
      </c>
      <c r="C2" s="161" t="s">
        <v>33</v>
      </c>
      <c r="D2" s="159" t="s">
        <v>327</v>
      </c>
      <c r="E2" s="162">
        <f>(B3+B2)*1.1/B4</f>
        <v>5.806906111111112</v>
      </c>
      <c r="F2" s="159" t="s">
        <v>328</v>
      </c>
      <c r="G2" s="163">
        <v>0.85</v>
      </c>
      <c r="I2" s="164" t="s">
        <v>34</v>
      </c>
      <c r="J2" s="165">
        <v>2.7</v>
      </c>
      <c r="K2" s="158" t="s">
        <v>329</v>
      </c>
      <c r="L2" s="166">
        <f>(J3/2-Q2-(B5*0.5))-J4</f>
        <v>1.3315383529726241</v>
      </c>
      <c r="M2" s="158" t="s">
        <v>330</v>
      </c>
      <c r="N2" s="158">
        <f>(B2+B3)/(J2*J3)+(B2+B3)*L2*6/(J2*J3^2)</f>
        <v>109.67108817369882</v>
      </c>
      <c r="O2" s="158" t="str">
        <f>IF((P2*1.25)&gt;N2,"OK","NO")</f>
        <v>OK</v>
      </c>
      <c r="P2" s="167">
        <v>100</v>
      </c>
      <c r="Q2" s="168">
        <v>0.6</v>
      </c>
      <c r="R2" s="158" t="s">
        <v>331</v>
      </c>
    </row>
    <row r="3" spans="1:18" ht="18" thickBot="1" x14ac:dyDescent="0.35">
      <c r="A3" s="164" t="s">
        <v>35</v>
      </c>
      <c r="B3" s="169">
        <f>'joint reaction'!K11</f>
        <v>312.2852666666667</v>
      </c>
      <c r="C3" s="170" t="s">
        <v>33</v>
      </c>
      <c r="D3" s="164" t="s">
        <v>332</v>
      </c>
      <c r="E3" s="171">
        <v>1.83</v>
      </c>
      <c r="F3" s="164" t="s">
        <v>333</v>
      </c>
      <c r="G3" s="172">
        <v>0.85</v>
      </c>
      <c r="I3" s="173" t="s">
        <v>36</v>
      </c>
      <c r="J3" s="174">
        <v>5.34</v>
      </c>
      <c r="K3" s="175"/>
      <c r="L3" s="175"/>
      <c r="M3" s="175" t="s">
        <v>334</v>
      </c>
      <c r="N3" s="175">
        <f>(B2+B3)/(J2*J3)-(B2+B3)*L2*6/(J2*J3^2)</f>
        <v>-21.797504227705389</v>
      </c>
      <c r="O3" s="175" t="str">
        <f>IF((P3*1.25)&gt;N3,"OK","NO")</f>
        <v>OK</v>
      </c>
      <c r="P3" s="176">
        <v>100</v>
      </c>
      <c r="Q3" s="158"/>
      <c r="R3" s="158"/>
    </row>
    <row r="4" spans="1:18" ht="15" x14ac:dyDescent="0.25">
      <c r="A4" s="164" t="s">
        <v>326</v>
      </c>
      <c r="B4" s="177">
        <v>120</v>
      </c>
      <c r="C4" s="170" t="s">
        <v>335</v>
      </c>
      <c r="D4" s="164" t="s">
        <v>336</v>
      </c>
      <c r="E4" s="178">
        <f>E2/E3</f>
        <v>3.1731727383120831</v>
      </c>
      <c r="F4" s="164" t="str">
        <f>CONCATENATE("CF FROM  ",A2)</f>
        <v>CF FROM  B1</v>
      </c>
      <c r="G4" s="179">
        <f>B3*B7/(B3+B2)</f>
        <v>0.56346164702737578</v>
      </c>
      <c r="H4" s="155">
        <f>G4*3.281</f>
        <v>1.8487176638968199</v>
      </c>
      <c r="I4" s="180" t="s">
        <v>337</v>
      </c>
      <c r="J4" s="181">
        <f>G4</f>
        <v>0.56346164702737578</v>
      </c>
      <c r="K4" s="182"/>
    </row>
    <row r="5" spans="1:18" x14ac:dyDescent="0.25">
      <c r="A5" s="164" t="str">
        <f>CONCATENATE("Dimension of ", A3)</f>
        <v>Dimension of B2</v>
      </c>
      <c r="B5" s="177">
        <v>0.35</v>
      </c>
      <c r="C5" s="170" t="s">
        <v>31</v>
      </c>
      <c r="D5" s="164" t="s">
        <v>338</v>
      </c>
      <c r="E5" s="183">
        <v>20</v>
      </c>
      <c r="F5" s="164" t="s">
        <v>339</v>
      </c>
      <c r="G5" s="178">
        <f>G2+B5/2+B7+B6/2+G3</f>
        <v>3.1930000000000001</v>
      </c>
      <c r="H5" s="155">
        <f>H4-9</f>
        <v>-7.1512823361031801</v>
      </c>
      <c r="I5" s="155">
        <f>E4*3.281</f>
        <v>10.411179754401946</v>
      </c>
    </row>
    <row r="6" spans="1:18" ht="15" x14ac:dyDescent="0.25">
      <c r="A6" s="164" t="str">
        <f>CONCATENATE("Dimension of ", A2)</f>
        <v>Dimension of B1</v>
      </c>
      <c r="B6" s="177">
        <v>0.35</v>
      </c>
      <c r="C6" s="170" t="s">
        <v>31</v>
      </c>
      <c r="D6" s="184" t="s">
        <v>340</v>
      </c>
      <c r="E6" s="185">
        <v>500</v>
      </c>
      <c r="F6" s="186" t="s">
        <v>341</v>
      </c>
      <c r="G6" s="187">
        <f>1.5*(B2+B3)/(E3*E4)</f>
        <v>163.63636363636363</v>
      </c>
      <c r="H6" s="155">
        <f>H5*12</f>
        <v>-85.815388033238165</v>
      </c>
      <c r="I6" s="155">
        <f>I5-21</f>
        <v>-10.588820245598054</v>
      </c>
      <c r="O6" s="155">
        <f>G4*3.281</f>
        <v>1.8487176638968199</v>
      </c>
      <c r="Q6" s="188"/>
    </row>
    <row r="7" spans="1:18" ht="13.8" thickBot="1" x14ac:dyDescent="0.3">
      <c r="A7" s="173" t="s">
        <v>342</v>
      </c>
      <c r="B7" s="189">
        <v>1.143</v>
      </c>
      <c r="C7" s="190" t="s">
        <v>31</v>
      </c>
      <c r="D7" s="191" t="s">
        <v>343</v>
      </c>
      <c r="E7" s="192">
        <f>(E3-B6)*0.5</f>
        <v>0.74</v>
      </c>
      <c r="F7" s="193"/>
      <c r="G7" s="192" t="s">
        <v>344</v>
      </c>
      <c r="I7" s="155">
        <f>I6*12</f>
        <v>-127.06584294717665</v>
      </c>
      <c r="P7" s="155">
        <v>7.9977338173264112</v>
      </c>
    </row>
    <row r="8" spans="1:18" ht="18" thickBot="1" x14ac:dyDescent="0.35">
      <c r="A8" s="417" t="s">
        <v>345</v>
      </c>
      <c r="B8" s="418"/>
      <c r="C8" s="418"/>
      <c r="D8" s="418"/>
      <c r="E8" s="418"/>
      <c r="F8" s="418"/>
      <c r="G8" s="419"/>
    </row>
    <row r="9" spans="1:18" ht="13.8" thickBot="1" x14ac:dyDescent="0.3">
      <c r="A9" s="420" t="s">
        <v>346</v>
      </c>
      <c r="B9" s="421"/>
      <c r="C9" s="194" t="s">
        <v>347</v>
      </c>
      <c r="D9" s="195" t="s">
        <v>348</v>
      </c>
      <c r="E9" s="420" t="s">
        <v>349</v>
      </c>
      <c r="F9" s="422"/>
      <c r="G9" s="423"/>
      <c r="I9" s="155">
        <f>(I10-1)*12</f>
        <v>21.466200000000001</v>
      </c>
      <c r="J9" s="182">
        <f>B2</f>
        <v>321.19540000000001</v>
      </c>
      <c r="K9" s="155" t="str">
        <f>A2</f>
        <v>B1</v>
      </c>
      <c r="M9" s="196">
        <f>B3</f>
        <v>312.2852666666667</v>
      </c>
    </row>
    <row r="10" spans="1:18" ht="15.75" customHeight="1" x14ac:dyDescent="0.25">
      <c r="A10" s="410" t="str">
        <f>CONCATENATE("SF AT ",A2," LEFT")</f>
        <v>SF AT B1 LEFT</v>
      </c>
      <c r="B10" s="411"/>
      <c r="C10" s="197">
        <f>-G6*E3*(G2+B5/2)</f>
        <v>-306.94090909090903</v>
      </c>
      <c r="D10" s="198">
        <f>G6*E3*(G2+B5/2)^2/2</f>
        <v>157.3072159090909</v>
      </c>
      <c r="E10" s="199" t="s">
        <v>350</v>
      </c>
      <c r="F10" s="200"/>
      <c r="G10" s="201">
        <f>1.5*MAX(B2:B3)-G6*(B5+D16/1000)^2</f>
        <v>413.92720909090912</v>
      </c>
      <c r="I10" s="155">
        <f>I11*3.281</f>
        <v>2.7888500000000001</v>
      </c>
      <c r="N10" s="155">
        <f>N11*3.281</f>
        <v>2.7888500000000001</v>
      </c>
      <c r="O10" s="155" t="str">
        <f>A3</f>
        <v>B2</v>
      </c>
    </row>
    <row r="11" spans="1:18" x14ac:dyDescent="0.25">
      <c r="A11" s="406" t="str">
        <f>CONCATENATE("SF AT ",A2," RIGHT")</f>
        <v>SF AT B1 RIGHT</v>
      </c>
      <c r="B11" s="407"/>
      <c r="C11" s="168">
        <f>B2*1.5+C10</f>
        <v>174.85219090909095</v>
      </c>
      <c r="D11" s="170"/>
      <c r="E11" s="408" t="s">
        <v>351</v>
      </c>
      <c r="F11" s="405"/>
      <c r="G11" s="202">
        <f>B5</f>
        <v>0.35</v>
      </c>
      <c r="I11" s="203">
        <f>G2</f>
        <v>0.85</v>
      </c>
      <c r="N11" s="204">
        <f>G3</f>
        <v>0.85</v>
      </c>
    </row>
    <row r="12" spans="1:18" x14ac:dyDescent="0.25">
      <c r="A12" s="406" t="str">
        <f>CONCATENATE("SF AT ",A3," LEFT")</f>
        <v>SF AT B2 LEFT</v>
      </c>
      <c r="B12" s="407"/>
      <c r="C12" s="168">
        <f>-(B3*1.5-C13)</f>
        <v>-161.48699090909099</v>
      </c>
      <c r="D12" s="178">
        <f>G6*E3*(G3+B6/2)^2/2</f>
        <v>157.3072159090909</v>
      </c>
      <c r="E12" s="408" t="s">
        <v>352</v>
      </c>
      <c r="F12" s="405"/>
      <c r="G12" s="202">
        <f>B6</f>
        <v>0.35</v>
      </c>
      <c r="P12" s="155">
        <f>E4*3.281</f>
        <v>10.411179754401946</v>
      </c>
    </row>
    <row r="13" spans="1:18" x14ac:dyDescent="0.25">
      <c r="A13" s="406" t="str">
        <f>CONCATENATE("SF AT",A3, " RIGHT")</f>
        <v>SF ATB2 RIGHT</v>
      </c>
      <c r="B13" s="409"/>
      <c r="C13" s="168">
        <f>G6*E3*(G3+B6/2)</f>
        <v>306.94090909090903</v>
      </c>
      <c r="D13" s="170"/>
      <c r="E13" s="408" t="s">
        <v>353</v>
      </c>
      <c r="F13" s="405"/>
      <c r="G13" s="205">
        <f>(G11*1000+D16)*2+(G12*1000+D16)*2</f>
        <v>2576</v>
      </c>
      <c r="P13" s="155">
        <f>P12-17</f>
        <v>-6.588820245598054</v>
      </c>
    </row>
    <row r="14" spans="1:18" ht="13.8" thickBot="1" x14ac:dyDescent="0.3">
      <c r="A14" s="206" t="s">
        <v>354</v>
      </c>
      <c r="B14" s="207"/>
      <c r="C14" s="208">
        <f>B7*C11/(C11-C12)</f>
        <v>0.59420984831059331</v>
      </c>
      <c r="D14" s="209">
        <f>G6*E3*(C14+G2+B5/2)^2/2-1.5*B2*C14</f>
        <v>106.27482764375719</v>
      </c>
      <c r="E14" s="391" t="s">
        <v>355</v>
      </c>
      <c r="F14" s="392"/>
      <c r="G14" s="205">
        <f>MIN(G11:G12)/MAX(G11:G12)</f>
        <v>1</v>
      </c>
      <c r="O14" s="210">
        <f>D16+50</f>
        <v>344</v>
      </c>
      <c r="P14" s="155">
        <f>P13*12</f>
        <v>-79.065842947176648</v>
      </c>
    </row>
    <row r="15" spans="1:18" x14ac:dyDescent="0.25">
      <c r="A15" s="393" t="s">
        <v>356</v>
      </c>
      <c r="B15" s="394"/>
      <c r="C15" s="395"/>
      <c r="D15" s="211">
        <f>SQRT(MAX(ABS(D10),ABS(D12),ABS(D14))*10^6/(0.133*E5*E3*1000))</f>
        <v>179.76616732455281</v>
      </c>
      <c r="E15" s="391" t="s">
        <v>357</v>
      </c>
      <c r="F15" s="392"/>
      <c r="G15" s="205">
        <f>IF(0.5+G14&lt;1,(0.5+G14),1)</f>
        <v>1</v>
      </c>
    </row>
    <row r="16" spans="1:18" ht="28.2" thickBot="1" x14ac:dyDescent="0.5">
      <c r="A16" s="212" t="s">
        <v>358</v>
      </c>
      <c r="B16" s="213">
        <v>350</v>
      </c>
      <c r="C16" s="214" t="s">
        <v>359</v>
      </c>
      <c r="D16" s="215">
        <f>B16-B19/2-50</f>
        <v>294</v>
      </c>
      <c r="E16" s="391" t="s">
        <v>360</v>
      </c>
      <c r="F16" s="392"/>
      <c r="G16" s="216">
        <f>0.25*SQRT(E5)</f>
        <v>1.1180339887498949</v>
      </c>
    </row>
    <row r="17" spans="1:15" ht="17.399999999999999" customHeight="1" x14ac:dyDescent="0.3">
      <c r="A17" s="396"/>
      <c r="B17" s="397"/>
      <c r="C17" s="400" t="s">
        <v>361</v>
      </c>
      <c r="D17" s="217">
        <f>D33</f>
        <v>1309.7280242498716</v>
      </c>
      <c r="E17" s="402" t="s">
        <v>362</v>
      </c>
      <c r="F17" s="403"/>
      <c r="G17" s="216">
        <f>G15*G16</f>
        <v>1.1180339887498949</v>
      </c>
      <c r="L17" s="188">
        <f>E4</f>
        <v>3.1731727383120831</v>
      </c>
    </row>
    <row r="18" spans="1:15" ht="26.4" customHeight="1" thickBot="1" x14ac:dyDescent="0.3">
      <c r="A18" s="398"/>
      <c r="B18" s="399"/>
      <c r="C18" s="401"/>
      <c r="D18" s="218" t="str">
        <f>IF(B20&gt;=D17,"OK","NOT OK")</f>
        <v>OK</v>
      </c>
      <c r="E18" s="404" t="s">
        <v>363</v>
      </c>
      <c r="F18" s="405"/>
      <c r="G18" s="216">
        <f>G10*1000/(G13*D16)</f>
        <v>0.54655111691768743</v>
      </c>
      <c r="L18" s="188">
        <f>I11+B5+B7+G3</f>
        <v>3.1930000000000001</v>
      </c>
    </row>
    <row r="19" spans="1:15" ht="13.2" customHeight="1" x14ac:dyDescent="0.25">
      <c r="A19" s="199" t="s">
        <v>364</v>
      </c>
      <c r="B19" s="219">
        <v>12</v>
      </c>
      <c r="C19" s="220" t="s">
        <v>365</v>
      </c>
      <c r="D19" s="221">
        <v>125</v>
      </c>
      <c r="E19" s="369" t="str">
        <f>IF(G17&gt;G18,"SAFE IN TWO WAY","Not SAFE")</f>
        <v>SAFE IN TWO WAY</v>
      </c>
      <c r="F19" s="370"/>
      <c r="G19" s="371"/>
      <c r="I19" s="155">
        <f>B20/2</f>
        <v>827.87249607398235</v>
      </c>
      <c r="L19" s="188"/>
      <c r="O19" s="155">
        <f>SQRT(D12*10^6/(0.133*20*2000))</f>
        <v>171.9564641030444</v>
      </c>
    </row>
    <row r="20" spans="1:15" ht="17.399999999999999" customHeight="1" x14ac:dyDescent="0.3">
      <c r="A20" s="222" t="s">
        <v>366</v>
      </c>
      <c r="B20" s="223">
        <f>PI()*B19^2/4*1000/D19*E3</f>
        <v>1655.7449921479647</v>
      </c>
      <c r="C20" s="224" t="s">
        <v>367</v>
      </c>
      <c r="D20" s="178">
        <f>B20/(E3*1000*D16)*100</f>
        <v>0.30774785178022468</v>
      </c>
      <c r="E20" s="372"/>
      <c r="F20" s="373"/>
      <c r="G20" s="374"/>
      <c r="L20" s="188"/>
    </row>
    <row r="21" spans="1:15" ht="23.4" x14ac:dyDescent="0.4">
      <c r="A21" s="378" t="s">
        <v>368</v>
      </c>
      <c r="B21" s="379"/>
      <c r="C21" s="380"/>
      <c r="D21" s="225">
        <f>MAX(ABS(C10),ABS(C11),ABS(C12),ABS(C13))-(B6/2+D16/1000)*G6*E3</f>
        <v>166.49672727272721</v>
      </c>
      <c r="E21" s="375"/>
      <c r="F21" s="376"/>
      <c r="G21" s="377"/>
    </row>
    <row r="22" spans="1:15" ht="13.2" customHeight="1" x14ac:dyDescent="0.25">
      <c r="A22" s="222" t="s">
        <v>369</v>
      </c>
      <c r="B22" s="168">
        <f>0.8*E5/(6.89*D20)</f>
        <v>7.5458076550584137</v>
      </c>
      <c r="C22" s="224" t="s">
        <v>370</v>
      </c>
      <c r="D22" s="178">
        <f>IF(B22&gt;1,B22,1)</f>
        <v>7.5458076550584137</v>
      </c>
      <c r="E22" s="381" t="str">
        <f>IF(D23&gt;B23,"SAFE IN ONE WAY","NOT OK")</f>
        <v>SAFE IN ONE WAY</v>
      </c>
      <c r="F22" s="382"/>
      <c r="G22" s="383"/>
    </row>
    <row r="23" spans="1:15" ht="13.95" customHeight="1" thickBot="1" x14ac:dyDescent="0.3">
      <c r="A23" s="226" t="s">
        <v>371</v>
      </c>
      <c r="B23" s="208">
        <f>D21*1000/(E3*1000*D16)</f>
        <v>0.30946196660482361</v>
      </c>
      <c r="C23" s="175" t="s">
        <v>372</v>
      </c>
      <c r="D23" s="227">
        <f>(0.85*SQRT(0.8*E5)*(SQRT(1+5*D22)-1))/(6*D22)</f>
        <v>0.39225100923124706</v>
      </c>
      <c r="E23" s="384"/>
      <c r="F23" s="385"/>
      <c r="G23" s="386"/>
    </row>
    <row r="24" spans="1:15" ht="21.6" customHeight="1" thickBot="1" x14ac:dyDescent="0.3">
      <c r="A24" s="387" t="s">
        <v>373</v>
      </c>
      <c r="B24" s="388"/>
      <c r="C24" s="388"/>
      <c r="D24" s="388"/>
      <c r="E24" s="388"/>
      <c r="F24" s="388"/>
      <c r="G24" s="389"/>
      <c r="O24" s="228">
        <f>E3</f>
        <v>1.83</v>
      </c>
    </row>
    <row r="25" spans="1:15" ht="21.6" hidden="1" customHeight="1" x14ac:dyDescent="0.25">
      <c r="A25" s="229"/>
      <c r="B25" s="230"/>
      <c r="C25" s="230" t="s">
        <v>37</v>
      </c>
      <c r="D25" s="230">
        <f>0.87*E6^2/(E5*E3*1000)</f>
        <v>5.942622950819672</v>
      </c>
      <c r="E25" s="230"/>
      <c r="F25" s="230"/>
      <c r="G25" s="231"/>
      <c r="O25" s="228"/>
    </row>
    <row r="26" spans="1:15" ht="21.6" hidden="1" customHeight="1" x14ac:dyDescent="0.25">
      <c r="A26" s="229"/>
      <c r="B26" s="230"/>
      <c r="C26" s="230" t="s">
        <v>38</v>
      </c>
      <c r="D26" s="230">
        <f>-0.87*E6*D16</f>
        <v>-127890</v>
      </c>
      <c r="E26" s="230"/>
      <c r="F26" s="230"/>
      <c r="G26" s="231"/>
      <c r="O26" s="228"/>
    </row>
    <row r="27" spans="1:15" ht="26.4" customHeight="1" thickBot="1" x14ac:dyDescent="0.35">
      <c r="A27" s="232" t="str">
        <f>CONCATENATE("BM ",A2, " Per Width")</f>
        <v>BM B1 Per Width</v>
      </c>
      <c r="B27" s="233">
        <f>G6*E3*(G2+B5/2)^2/2</f>
        <v>157.3072159090909</v>
      </c>
      <c r="C27" s="234" t="s">
        <v>374</v>
      </c>
      <c r="D27" s="235">
        <f>(-$D$26-SQRT($D$26^2-(4*$D$25*B27*10^6)))/(2*$D$25)</f>
        <v>1309.7280242498716</v>
      </c>
      <c r="E27" s="236" t="s">
        <v>375</v>
      </c>
      <c r="F27" s="237">
        <f>0.0012*E3*1000*(D16+50)</f>
        <v>755.42400000000009</v>
      </c>
      <c r="G27" s="238" t="s">
        <v>376</v>
      </c>
    </row>
    <row r="28" spans="1:15" ht="25.95" customHeight="1" thickBot="1" x14ac:dyDescent="0.3">
      <c r="A28" s="239" t="s">
        <v>377</v>
      </c>
      <c r="B28" s="240">
        <v>12</v>
      </c>
      <c r="C28" s="241" t="s">
        <v>378</v>
      </c>
      <c r="D28" s="242">
        <f>D19</f>
        <v>125</v>
      </c>
      <c r="E28" s="350" t="str">
        <f>CONCATENATE("Bottom Bars To Be Provided at ",A2, "                                         ",B28," Dia @ ",D28," C/C")</f>
        <v>Bottom Bars To Be Provided at B1                                         12 Dia @ 125 C/C</v>
      </c>
      <c r="F28" s="351"/>
      <c r="G28" s="352"/>
    </row>
    <row r="29" spans="1:15" ht="45" thickBot="1" x14ac:dyDescent="0.35">
      <c r="A29" s="234" t="s">
        <v>379</v>
      </c>
      <c r="B29" s="243">
        <f>PI()*B28^2/4*1000/D28*$E$3</f>
        <v>1655.7449921479647</v>
      </c>
      <c r="C29" s="390" t="str">
        <f>IF(B29&gt;=D27,"OK", "NOT OK")</f>
        <v>OK</v>
      </c>
      <c r="D29" s="362"/>
      <c r="E29" s="356"/>
      <c r="F29" s="357"/>
      <c r="G29" s="358"/>
      <c r="I29" s="244"/>
    </row>
    <row r="30" spans="1:15" ht="25.95" customHeight="1" x14ac:dyDescent="0.3">
      <c r="A30" s="245" t="str">
        <f>CONCATENATE("BM AT "," 0 SHEAR FORCE  kN.m")</f>
        <v>BM AT  0 SHEAR FORCE  kN.m</v>
      </c>
      <c r="B30" s="246">
        <f>ABS(D14)</f>
        <v>106.27482764375719</v>
      </c>
      <c r="C30" s="234" t="s">
        <v>374</v>
      </c>
      <c r="D30" s="235">
        <f>(-$D$26-SQRT($D$26^2-(4*$D$25*B30*10^6)))/(2*$D$25)</f>
        <v>865.81966923225036</v>
      </c>
      <c r="E30" s="350" t="str">
        <f>CONCATENATE("Top Bars To Be Provided at 0 SF", "                                             ",B31," Dia @ ",D31," C/C")</f>
        <v>Top Bars To Be Provided at 0 SF                                             12 Dia @ 125 C/C</v>
      </c>
      <c r="F30" s="351"/>
      <c r="G30" s="352"/>
    </row>
    <row r="31" spans="1:15" ht="25.95" customHeight="1" thickBot="1" x14ac:dyDescent="0.3">
      <c r="A31" s="239" t="s">
        <v>377</v>
      </c>
      <c r="B31" s="240">
        <v>12</v>
      </c>
      <c r="C31" s="241" t="s">
        <v>378</v>
      </c>
      <c r="D31" s="242">
        <f>D28</f>
        <v>125</v>
      </c>
      <c r="E31" s="353"/>
      <c r="F31" s="354"/>
      <c r="G31" s="355"/>
    </row>
    <row r="32" spans="1:15" ht="45" thickBot="1" x14ac:dyDescent="0.3">
      <c r="A32" s="247" t="s">
        <v>379</v>
      </c>
      <c r="B32" s="248">
        <f>PI()*B31^2/4*1000/D31*$E$3</f>
        <v>1655.7449921479647</v>
      </c>
      <c r="C32" s="359" t="str">
        <f>IF(B32&gt;=D30,"OK", "NOT OK")</f>
        <v>OK</v>
      </c>
      <c r="D32" s="360"/>
      <c r="E32" s="356"/>
      <c r="F32" s="357"/>
      <c r="G32" s="358"/>
    </row>
    <row r="33" spans="1:8" ht="25.2" customHeight="1" x14ac:dyDescent="0.3">
      <c r="A33" s="232" t="str">
        <f>CONCATENATE("BM ",A3, " ")</f>
        <v xml:space="preserve">BM B2 </v>
      </c>
      <c r="B33" s="246">
        <f>G6*E3*(G3+B6/2)^2/2</f>
        <v>157.3072159090909</v>
      </c>
      <c r="C33" s="249" t="s">
        <v>374</v>
      </c>
      <c r="D33" s="235">
        <f>(-$D$26-SQRT($D$26^2-(4*$D$25*B33*10^6)))/(2*$D$25)</f>
        <v>1309.7280242498716</v>
      </c>
      <c r="E33" s="350" t="str">
        <f>CONCATENATE("Bottom Bars To Be Provided at ",A3, "                                           ",B34," Dia @ ",D34," C/C")</f>
        <v>Bottom Bars To Be Provided at B2                                           12 Dia @ 125 C/C</v>
      </c>
      <c r="F33" s="351"/>
      <c r="G33" s="352"/>
    </row>
    <row r="34" spans="1:8" ht="26.4" thickBot="1" x14ac:dyDescent="0.3">
      <c r="A34" s="239" t="s">
        <v>377</v>
      </c>
      <c r="B34" s="240">
        <v>12</v>
      </c>
      <c r="C34" s="250" t="s">
        <v>378</v>
      </c>
      <c r="D34" s="242">
        <f>D31</f>
        <v>125</v>
      </c>
      <c r="E34" s="353"/>
      <c r="F34" s="354"/>
      <c r="G34" s="355"/>
    </row>
    <row r="35" spans="1:8" ht="45" thickBot="1" x14ac:dyDescent="0.3">
      <c r="A35" s="251" t="s">
        <v>379</v>
      </c>
      <c r="B35" s="243">
        <f>PI()*B34^2/4*1000/D34*$E$3</f>
        <v>1655.7449921479647</v>
      </c>
      <c r="C35" s="361" t="str">
        <f>IF(B35&gt;=D33,"OK", "NOT OK")</f>
        <v>OK</v>
      </c>
      <c r="D35" s="362"/>
      <c r="E35" s="356"/>
      <c r="F35" s="357"/>
      <c r="G35" s="358"/>
    </row>
    <row r="36" spans="1:8" ht="22.95" customHeight="1" thickBot="1" x14ac:dyDescent="0.3">
      <c r="A36" s="363" t="s">
        <v>380</v>
      </c>
      <c r="B36" s="364"/>
      <c r="C36" s="364"/>
      <c r="D36" s="364"/>
      <c r="E36" s="364"/>
      <c r="F36" s="364"/>
      <c r="G36" s="365"/>
    </row>
    <row r="37" spans="1:8" ht="13.8" thickBot="1" x14ac:dyDescent="0.3">
      <c r="A37" s="366" t="str">
        <f>CONCATENATE("Under Column ",A2)</f>
        <v>Under Column B1</v>
      </c>
      <c r="B37" s="367"/>
      <c r="C37" s="368"/>
      <c r="D37" s="367" t="str">
        <f>CONCATENATE("Under Column ",A3)</f>
        <v>Under Column B2</v>
      </c>
      <c r="E37" s="367"/>
      <c r="F37" s="367"/>
      <c r="G37" s="368"/>
    </row>
    <row r="38" spans="1:8" ht="42" customHeight="1" x14ac:dyDescent="0.25">
      <c r="A38" s="252" t="str">
        <f>CONCATENATE("Factored  Pressure under ",A2," kN/m")</f>
        <v>Factored  Pressure under B1 kN/m</v>
      </c>
      <c r="B38" s="253">
        <f>(1.5*B2)/(E3*1)</f>
        <v>263.27491803278684</v>
      </c>
      <c r="C38" s="161" t="s">
        <v>33</v>
      </c>
      <c r="D38" s="254" t="str">
        <f>CONCATENATE("Factored  Pressure under ",A3," kN/m")</f>
        <v>Factored  Pressure under B2 kN/m</v>
      </c>
      <c r="E38" s="255">
        <f>(1.5*B3)/E3</f>
        <v>255.9715300546448</v>
      </c>
      <c r="F38" s="161" t="s">
        <v>33</v>
      </c>
      <c r="G38" s="344"/>
    </row>
    <row r="39" spans="1:8" x14ac:dyDescent="0.25">
      <c r="A39" s="256" t="s">
        <v>381</v>
      </c>
      <c r="B39" s="257">
        <f>B38*((E3-B5)/2)^2/2</f>
        <v>72.084672557377033</v>
      </c>
      <c r="C39" s="170" t="s">
        <v>382</v>
      </c>
      <c r="D39" s="258" t="s">
        <v>381</v>
      </c>
      <c r="E39" s="259">
        <f>E38*((E3-B6)/2)^2/2</f>
        <v>70.085004928961737</v>
      </c>
      <c r="F39" s="170" t="s">
        <v>382</v>
      </c>
      <c r="G39" s="345"/>
    </row>
    <row r="40" spans="1:8" x14ac:dyDescent="0.25">
      <c r="A40" s="256" t="str">
        <f>CONCATENATE(A2," Effective Width")</f>
        <v>B1 Effective Width</v>
      </c>
      <c r="B40" s="257">
        <f>B5*1000+(D16-20)+MIN((D16-20),G2*1000)</f>
        <v>898</v>
      </c>
      <c r="C40" s="205" t="s">
        <v>31</v>
      </c>
      <c r="D40" s="260" t="str">
        <f>CONCATENATE(A3," Effective Width")</f>
        <v>B2 Effective Width</v>
      </c>
      <c r="E40" s="259">
        <f>B6*1000+(D16-20)+MIN((D16-20),G3*1000)</f>
        <v>898</v>
      </c>
      <c r="F40" s="205" t="s">
        <v>31</v>
      </c>
      <c r="G40" s="345"/>
    </row>
    <row r="41" spans="1:8" x14ac:dyDescent="0.25">
      <c r="A41" s="256" t="s">
        <v>37</v>
      </c>
      <c r="B41" s="261">
        <f>0.87*E6^2/(E5*E3*1000)</f>
        <v>5.942622950819672</v>
      </c>
      <c r="C41" s="205"/>
      <c r="D41" s="260"/>
      <c r="E41" s="259"/>
      <c r="F41" s="205"/>
      <c r="G41" s="345"/>
    </row>
    <row r="42" spans="1:8" x14ac:dyDescent="0.25">
      <c r="A42" s="256" t="s">
        <v>38</v>
      </c>
      <c r="B42" s="257">
        <f>D26</f>
        <v>-127890</v>
      </c>
      <c r="C42" s="205">
        <f>(-B42-SQRT(B42^2-(4*B41*B39*10^6)))/(2*B41)</f>
        <v>579.23613021338883</v>
      </c>
      <c r="D42" s="260"/>
      <c r="E42" s="259"/>
      <c r="F42" s="205"/>
      <c r="G42" s="345"/>
    </row>
    <row r="43" spans="1:8" ht="26.4" x14ac:dyDescent="0.3">
      <c r="A43" s="239" t="s">
        <v>383</v>
      </c>
      <c r="B43" s="262">
        <f>IF((361.05*(D16-20)-SQRT(130357*(D16-20)^2-39956.2/(B40)*ABS(B39)*10^6))/(2*10875/(B40))&gt;=F27,(361.05*(D16-20)-SQRT(130357*(D16-20)^2-39956.2/(B40)*ABS(B39)*10^6))/(2*10875/(B40)),F27)</f>
        <v>755.42400000000009</v>
      </c>
      <c r="C43" s="170" t="s">
        <v>376</v>
      </c>
      <c r="D43" s="239" t="s">
        <v>383</v>
      </c>
      <c r="E43" s="263">
        <f>IF((361.05*(D16-20)-SQRT(130357*(D16-20)^2-39956.2/(E40)*ABS(E39)*10^6))/(2*10875/(E40))&gt;=F27,(361.05*(D16-20)-SQRT(130357*(D16-20)^2-39956.2/(E40)*ABS(E39)*10^6))/(2*10875/(E40)),F27)</f>
        <v>755.42400000000009</v>
      </c>
      <c r="F43" s="170" t="s">
        <v>376</v>
      </c>
      <c r="G43" s="345"/>
    </row>
    <row r="44" spans="1:8" ht="26.4" thickBot="1" x14ac:dyDescent="0.3">
      <c r="A44" s="264" t="s">
        <v>377</v>
      </c>
      <c r="B44" s="265">
        <v>12</v>
      </c>
      <c r="C44" s="266" t="s">
        <v>378</v>
      </c>
      <c r="D44" s="267">
        <f>D34</f>
        <v>125</v>
      </c>
      <c r="E44" s="212" t="s">
        <v>26</v>
      </c>
      <c r="F44" s="268"/>
      <c r="G44" s="346"/>
    </row>
    <row r="45" spans="1:8" ht="49.95" customHeight="1" thickBot="1" x14ac:dyDescent="0.35">
      <c r="A45" s="269" t="s">
        <v>384</v>
      </c>
      <c r="B45" s="270">
        <f>PI()*B44^2/4*1000/D44*$E$3</f>
        <v>1655.7449921479647</v>
      </c>
      <c r="C45" s="271" t="str">
        <f>IF(MAX(B43,E43)&lt;=B45,"OK","TRANVSER BAR IS INSSUFFICIENT")</f>
        <v>OK</v>
      </c>
      <c r="D45" s="347" t="str">
        <f>CONCATENATE("Thus Transverse Bars Provided               ",B44,"Ø",D44," C/C")</f>
        <v>Thus Transverse Bars Provided               12Ø125 C/C</v>
      </c>
      <c r="E45" s="348"/>
      <c r="F45" s="348"/>
      <c r="G45" s="349"/>
      <c r="H45" s="272"/>
    </row>
    <row r="46" spans="1:8" ht="49.95" customHeight="1" x14ac:dyDescent="0.3">
      <c r="A46" s="273"/>
      <c r="B46" s="274"/>
      <c r="D46" s="275"/>
      <c r="E46" s="275"/>
      <c r="F46" s="275"/>
      <c r="G46" s="275"/>
    </row>
  </sheetData>
  <mergeCells count="35">
    <mergeCell ref="A10:B10"/>
    <mergeCell ref="A1:G1"/>
    <mergeCell ref="I1:L1"/>
    <mergeCell ref="A8:G8"/>
    <mergeCell ref="A9:B9"/>
    <mergeCell ref="E9:G9"/>
    <mergeCell ref="A11:B11"/>
    <mergeCell ref="E11:F11"/>
    <mergeCell ref="A12:B12"/>
    <mergeCell ref="E12:F12"/>
    <mergeCell ref="A13:B13"/>
    <mergeCell ref="E13:F13"/>
    <mergeCell ref="E14:F14"/>
    <mergeCell ref="A15:C15"/>
    <mergeCell ref="E15:F15"/>
    <mergeCell ref="E16:F16"/>
    <mergeCell ref="A17:B18"/>
    <mergeCell ref="C17:C18"/>
    <mergeCell ref="E17:F17"/>
    <mergeCell ref="E18:F18"/>
    <mergeCell ref="E19:G21"/>
    <mergeCell ref="A21:C21"/>
    <mergeCell ref="E22:G23"/>
    <mergeCell ref="A24:G24"/>
    <mergeCell ref="E28:G29"/>
    <mergeCell ref="C29:D29"/>
    <mergeCell ref="G38:G44"/>
    <mergeCell ref="D45:G45"/>
    <mergeCell ref="E30:G32"/>
    <mergeCell ref="C32:D32"/>
    <mergeCell ref="E33:G35"/>
    <mergeCell ref="C35:D35"/>
    <mergeCell ref="A36:G36"/>
    <mergeCell ref="A37:C37"/>
    <mergeCell ref="D37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TIME PERIOD</vt:lpstr>
      <vt:lpstr>COEFFICIENT</vt:lpstr>
      <vt:lpstr>WALL LOAD AND STAIR</vt:lpstr>
      <vt:lpstr>SCALE FACTOR</vt:lpstr>
      <vt:lpstr>ECCENTRICITY</vt:lpstr>
      <vt:lpstr>ISOLATED</vt:lpstr>
      <vt:lpstr>rectangular isolated</vt:lpstr>
      <vt:lpstr>joint reaction</vt:lpstr>
      <vt:lpstr>strapc2-B2</vt:lpstr>
      <vt:lpstr>strap b3c3</vt:lpstr>
      <vt:lpstr>strrap a2a4</vt:lpstr>
      <vt:lpstr>torsion</vt:lpstr>
      <vt:lpstr>rayleigh</vt:lpstr>
      <vt:lpstr>COMBINEDB3B33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rabina baga</cp:lastModifiedBy>
  <cp:lastPrinted>2020-11-24T05:56:30Z</cp:lastPrinted>
  <dcterms:created xsi:type="dcterms:W3CDTF">2020-11-13T06:34:34Z</dcterms:created>
  <dcterms:modified xsi:type="dcterms:W3CDTF">2026-09-26T02:11:10Z</dcterms:modified>
</cp:coreProperties>
</file>