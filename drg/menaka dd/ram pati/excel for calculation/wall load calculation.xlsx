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320AAA1E-EDAF-4F5F-A846-4F5EA92D8AEE}" xr6:coauthVersionLast="47" xr6:coauthVersionMax="47" xr10:uidLastSave="{00000000-0000-0000-0000-000000000000}"/>
  <bookViews>
    <workbookView xWindow="-108" yWindow="-108" windowWidth="23256" windowHeight="12576" firstSheet="1" activeTab="2" xr2:uid="{00000000-000D-0000-FFFF-FFFF00000000}"/>
  </bookViews>
  <sheets>
    <sheet name="Interpoaltion" sheetId="1" r:id="rId1"/>
    <sheet name="wall load" sheetId="2" r:id="rId2"/>
    <sheet name="Sheet1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3" l="1"/>
  <c r="K8" i="3"/>
  <c r="J8" i="3"/>
  <c r="I8" i="3"/>
  <c r="F7" i="3"/>
  <c r="F11" i="3"/>
  <c r="E19" i="2"/>
  <c r="E10" i="2" s="1"/>
  <c r="G10" i="2" s="1"/>
  <c r="D19" i="2"/>
  <c r="E18" i="2"/>
  <c r="F5" i="2" s="1"/>
  <c r="D18" i="2"/>
  <c r="D17" i="2"/>
  <c r="D16" i="2"/>
  <c r="D15" i="2"/>
  <c r="H8" i="3"/>
  <c r="G6" i="3"/>
  <c r="F9" i="3"/>
  <c r="B4" i="3"/>
  <c r="B6" i="3"/>
  <c r="B8" i="3"/>
  <c r="B10" i="3"/>
  <c r="B12" i="3"/>
  <c r="B2" i="3"/>
  <c r="E17" i="2"/>
  <c r="E5" i="2" s="1"/>
  <c r="E16" i="2"/>
  <c r="F4" i="2" s="1"/>
  <c r="E15" i="2"/>
  <c r="E4" i="2" s="1"/>
  <c r="C3" i="1"/>
  <c r="G4" i="2" l="1"/>
  <c r="J4" i="2" s="1"/>
  <c r="E7" i="2"/>
  <c r="G7" i="2" s="1"/>
  <c r="J7" i="2" s="1"/>
  <c r="H4" i="2"/>
  <c r="K4" i="2" s="1"/>
  <c r="F7" i="2"/>
  <c r="H7" i="2" s="1"/>
  <c r="K7" i="2" s="1"/>
  <c r="G5" i="2"/>
  <c r="J5" i="2" s="1"/>
  <c r="E8" i="2"/>
  <c r="G8" i="2" s="1"/>
  <c r="J8" i="2" s="1"/>
  <c r="F8" i="2"/>
  <c r="H8" i="2" s="1"/>
  <c r="K8" i="2" s="1"/>
  <c r="H5" i="2"/>
  <c r="K5" i="2" s="1"/>
  <c r="C8" i="3"/>
  <c r="D8" i="3"/>
  <c r="E8" i="3"/>
  <c r="E10" i="3"/>
  <c r="C10" i="3"/>
  <c r="D10" i="3"/>
  <c r="D12" i="3"/>
  <c r="C12" i="3"/>
  <c r="E12" i="3"/>
  <c r="D2" i="3"/>
  <c r="E2" i="3"/>
  <c r="C2" i="3"/>
  <c r="E4" i="3"/>
  <c r="C4" i="3"/>
  <c r="D4" i="3"/>
  <c r="D6" i="3"/>
  <c r="E6" i="3"/>
  <c r="C6" i="3"/>
</calcChain>
</file>

<file path=xl/sharedStrings.xml><?xml version="1.0" encoding="utf-8"?>
<sst xmlns="http://schemas.openxmlformats.org/spreadsheetml/2006/main" count="146" uniqueCount="61">
  <si>
    <t>y-y1=((y2-y1)/(x2-x1))*(x-x1)</t>
  </si>
  <si>
    <t>x</t>
  </si>
  <si>
    <t>y</t>
  </si>
  <si>
    <t>Wall Type</t>
  </si>
  <si>
    <t>Breadth</t>
  </si>
  <si>
    <t>Unit weight</t>
  </si>
  <si>
    <t>Load Intensity</t>
  </si>
  <si>
    <t>Without Opening</t>
  </si>
  <si>
    <t>m</t>
  </si>
  <si>
    <t>230mm</t>
  </si>
  <si>
    <t>230*115*57</t>
  </si>
  <si>
    <t>Brick size</t>
  </si>
  <si>
    <t>115mm</t>
  </si>
  <si>
    <t>Height (m)</t>
  </si>
  <si>
    <t>Upto Beam</t>
  </si>
  <si>
    <t>Upto Slab</t>
  </si>
  <si>
    <t>KN/m3</t>
  </si>
  <si>
    <t>inch</t>
  </si>
  <si>
    <t>meter</t>
  </si>
  <si>
    <t>Steel size dia (mm)</t>
  </si>
  <si>
    <t>Steel bar area (A)</t>
  </si>
  <si>
    <t>2A</t>
  </si>
  <si>
    <t>4A</t>
  </si>
  <si>
    <t>8A</t>
  </si>
  <si>
    <t>4-16mm + 4-20mm</t>
  </si>
  <si>
    <t>For beam 6-12mm</t>
  </si>
  <si>
    <t>Floor</t>
  </si>
  <si>
    <t>GF &amp; FF</t>
  </si>
  <si>
    <t>SF &amp; above</t>
  </si>
  <si>
    <t>All</t>
  </si>
  <si>
    <t>With 25% opening</t>
  </si>
  <si>
    <t>S.N.</t>
  </si>
  <si>
    <t>Grid Location</t>
  </si>
  <si>
    <t>Column Size</t>
  </si>
  <si>
    <t>Ground Floor</t>
  </si>
  <si>
    <t>First Floor</t>
  </si>
  <si>
    <t>Top Floor</t>
  </si>
  <si>
    <t>Stirrups</t>
  </si>
  <si>
    <t>350 x 350</t>
  </si>
  <si>
    <t>8-20Ø</t>
  </si>
  <si>
    <t>4-20Ø 4-16Ø</t>
  </si>
  <si>
    <t>B5</t>
  </si>
  <si>
    <t>C3</t>
  </si>
  <si>
    <t>C4</t>
  </si>
  <si>
    <t>A6</t>
  </si>
  <si>
    <t>4-25Ø 4-20Ø</t>
  </si>
  <si>
    <t>Second Floor</t>
  </si>
  <si>
    <t>Third Floor</t>
  </si>
  <si>
    <t>8-16Ø</t>
  </si>
  <si>
    <t>8-25Ø</t>
  </si>
  <si>
    <t>D6</t>
  </si>
  <si>
    <t>D5</t>
  </si>
  <si>
    <t>D4</t>
  </si>
  <si>
    <t>D3</t>
  </si>
  <si>
    <t>D2</t>
  </si>
  <si>
    <t>E6</t>
  </si>
  <si>
    <t>E5</t>
  </si>
  <si>
    <t>E4</t>
  </si>
  <si>
    <t>E3</t>
  </si>
  <si>
    <t>E2</t>
  </si>
  <si>
    <t>8mm C/C (at top and bottom) @100mm&amp; @ 150 8mm C/C (at mid height) in all columns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</si>
</sst>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/>
    <xf numFmtId="2" fontId="1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2" xfId="0" applyFont="1" applyBorder="1"/>
    <xf numFmtId="0" fontId="1" fillId="0" borderId="9" xfId="0" applyFont="1" applyBorder="1"/>
    <xf numFmtId="0" fontId="1" fillId="0" borderId="10" xfId="0" applyFon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2" xfId="0" applyNumberFormat="1" applyBorder="1"/>
    <xf numFmtId="0" fontId="1" fillId="0" borderId="13" xfId="0" applyFont="1" applyBorder="1" applyAlignment="1">
      <alignment horizontal="center"/>
    </xf>
    <xf numFmtId="0" fontId="1" fillId="0" borderId="8" xfId="0" applyFont="1" applyBorder="1"/>
    <xf numFmtId="2" fontId="0" fillId="0" borderId="3" xfId="0" applyNumberFormat="1" applyBorder="1"/>
    <xf numFmtId="2" fontId="1" fillId="0" borderId="14" xfId="0" applyNumberFormat="1" applyFont="1" applyBorder="1"/>
    <xf numFmtId="2" fontId="1" fillId="0" borderId="15" xfId="0" applyNumberFormat="1" applyFont="1" applyBorder="1"/>
    <xf numFmtId="2" fontId="1" fillId="0" borderId="16" xfId="0" applyNumberFormat="1" applyFont="1" applyBorder="1"/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0" xfId="0" applyNumberForma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"/>
  <sheetViews>
    <sheetView workbookViewId="0">
      <selection activeCell="B4" sqref="B4"/>
    </sheetView>
  </sheetViews>
  <sheetFormatPr defaultRowHeight="14.4" x14ac:dyDescent="0.3"/>
  <sheetData>
    <row r="1" spans="2:5" x14ac:dyDescent="0.3">
      <c r="B1" t="s">
        <v>1</v>
      </c>
      <c r="C1" t="s">
        <v>2</v>
      </c>
    </row>
    <row r="2" spans="2:5" x14ac:dyDescent="0.3">
      <c r="B2">
        <v>0.5</v>
      </c>
      <c r="C2">
        <v>1</v>
      </c>
    </row>
    <row r="3" spans="2:5" x14ac:dyDescent="0.3">
      <c r="B3">
        <v>0.71799999999999997</v>
      </c>
      <c r="C3">
        <f>(((C4-C2)/(B4-B2))*(B3-B2))+C2</f>
        <v>1.109</v>
      </c>
      <c r="E3" t="s">
        <v>0</v>
      </c>
    </row>
    <row r="4" spans="2:5" x14ac:dyDescent="0.3">
      <c r="B4">
        <v>2.5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F103-52A0-4D11-811D-43BFE2FAABA8}">
  <dimension ref="A1:K19"/>
  <sheetViews>
    <sheetView workbookViewId="0">
      <selection activeCell="G16" sqref="G16"/>
    </sheetView>
  </sheetViews>
  <sheetFormatPr defaultRowHeight="14.4" x14ac:dyDescent="0.3"/>
  <cols>
    <col min="1" max="1" width="11" bestFit="1" customWidth="1"/>
    <col min="2" max="2" width="11" customWidth="1"/>
    <col min="3" max="3" width="11.33203125" customWidth="1"/>
    <col min="4" max="4" width="8" customWidth="1"/>
    <col min="5" max="5" width="10.6640625" customWidth="1"/>
    <col min="6" max="6" width="9.44140625" customWidth="1"/>
    <col min="7" max="8" width="11" bestFit="1" customWidth="1"/>
    <col min="9" max="9" width="11" customWidth="1"/>
    <col min="10" max="11" width="11" bestFit="1" customWidth="1"/>
    <col min="13" max="13" width="11" bestFit="1" customWidth="1"/>
  </cols>
  <sheetData>
    <row r="1" spans="1:11" ht="15" thickBot="1" x14ac:dyDescent="0.35">
      <c r="A1" s="23" t="s">
        <v>3</v>
      </c>
      <c r="B1" s="23" t="s">
        <v>26</v>
      </c>
      <c r="C1" s="3" t="s">
        <v>5</v>
      </c>
      <c r="D1" s="3" t="s">
        <v>4</v>
      </c>
      <c r="E1" s="24" t="s">
        <v>13</v>
      </c>
      <c r="F1" s="24"/>
      <c r="G1" s="25" t="s">
        <v>6</v>
      </c>
      <c r="H1" s="25"/>
      <c r="I1" s="25"/>
      <c r="J1" s="25"/>
      <c r="K1" s="25"/>
    </row>
    <row r="2" spans="1:11" ht="15" thickBot="1" x14ac:dyDescent="0.35">
      <c r="A2" s="23"/>
      <c r="B2" s="23"/>
      <c r="C2" s="3" t="s">
        <v>16</v>
      </c>
      <c r="D2" s="3" t="s">
        <v>8</v>
      </c>
      <c r="E2" s="3" t="s">
        <v>14</v>
      </c>
      <c r="F2" s="9" t="s">
        <v>15</v>
      </c>
      <c r="G2" s="26" t="s">
        <v>7</v>
      </c>
      <c r="H2" s="27"/>
      <c r="I2" s="15"/>
      <c r="J2" s="26" t="s">
        <v>30</v>
      </c>
      <c r="K2" s="27"/>
    </row>
    <row r="3" spans="1:11" x14ac:dyDescent="0.3">
      <c r="A3" s="7"/>
      <c r="B3" s="7"/>
      <c r="C3" s="3"/>
      <c r="D3" s="3"/>
      <c r="E3" s="3"/>
      <c r="F3" s="9"/>
      <c r="G3" s="10" t="s">
        <v>14</v>
      </c>
      <c r="H3" s="11" t="s">
        <v>15</v>
      </c>
      <c r="I3" s="16"/>
      <c r="J3" s="10" t="s">
        <v>14</v>
      </c>
      <c r="K3" s="11" t="s">
        <v>15</v>
      </c>
    </row>
    <row r="4" spans="1:11" x14ac:dyDescent="0.3">
      <c r="A4" s="3" t="s">
        <v>9</v>
      </c>
      <c r="B4" s="1" t="s">
        <v>27</v>
      </c>
      <c r="C4" s="2">
        <v>19.2</v>
      </c>
      <c r="D4" s="2">
        <v>0.23</v>
      </c>
      <c r="E4" s="2">
        <f>E15</f>
        <v>2.8448000000000002</v>
      </c>
      <c r="F4" s="14">
        <f>E16</f>
        <v>3.0733999999999999</v>
      </c>
      <c r="G4" s="12">
        <f>D4*E4*C4</f>
        <v>12.562636800000002</v>
      </c>
      <c r="H4" s="13">
        <f>D4*F4*C4</f>
        <v>13.572134399999999</v>
      </c>
      <c r="I4" s="17"/>
      <c r="J4" s="12">
        <f>0.75*G4</f>
        <v>9.4219776000000017</v>
      </c>
      <c r="K4" s="13">
        <f>0.75*H4</f>
        <v>10.179100800000001</v>
      </c>
    </row>
    <row r="5" spans="1:11" x14ac:dyDescent="0.3">
      <c r="A5" s="3" t="s">
        <v>9</v>
      </c>
      <c r="B5" s="1" t="s">
        <v>28</v>
      </c>
      <c r="C5" s="2"/>
      <c r="D5" s="2"/>
      <c r="E5" s="2">
        <f>E17</f>
        <v>2.54</v>
      </c>
      <c r="F5" s="14">
        <f>E18</f>
        <v>2.7686000000000002</v>
      </c>
      <c r="G5" s="12">
        <f>D4*E5*C4</f>
        <v>11.21664</v>
      </c>
      <c r="H5" s="13">
        <f>D4*F5*C4</f>
        <v>12.226137600000001</v>
      </c>
      <c r="I5" s="17"/>
      <c r="J5" s="12">
        <f>0.75*G5</f>
        <v>8.4124800000000004</v>
      </c>
      <c r="K5" s="13">
        <f>0.75*H5</f>
        <v>9.169603200000001</v>
      </c>
    </row>
    <row r="6" spans="1:11" x14ac:dyDescent="0.3">
      <c r="A6" s="3"/>
      <c r="B6" s="1"/>
      <c r="C6" s="2"/>
      <c r="D6" s="2"/>
      <c r="E6" s="2"/>
      <c r="F6" s="14"/>
      <c r="G6" s="12"/>
      <c r="H6" s="13"/>
      <c r="I6" s="17"/>
      <c r="J6" s="12"/>
      <c r="K6" s="13"/>
    </row>
    <row r="7" spans="1:11" x14ac:dyDescent="0.3">
      <c r="A7" s="3" t="s">
        <v>12</v>
      </c>
      <c r="B7" s="1" t="s">
        <v>27</v>
      </c>
      <c r="C7" s="2">
        <v>19.2</v>
      </c>
      <c r="D7" s="2">
        <v>0.115</v>
      </c>
      <c r="E7" s="2">
        <f>E4</f>
        <v>2.8448000000000002</v>
      </c>
      <c r="F7" s="14">
        <f>F4</f>
        <v>3.0733999999999999</v>
      </c>
      <c r="G7" s="12">
        <f>D7*E7*C7</f>
        <v>6.2813184000000009</v>
      </c>
      <c r="H7" s="13">
        <f>D7*F7*C7</f>
        <v>6.7860671999999997</v>
      </c>
      <c r="I7" s="17"/>
      <c r="J7" s="12">
        <f>0.75*G7</f>
        <v>4.7109888000000009</v>
      </c>
      <c r="K7" s="13">
        <f>0.75*H7</f>
        <v>5.0895504000000003</v>
      </c>
    </row>
    <row r="8" spans="1:11" x14ac:dyDescent="0.3">
      <c r="A8" s="3" t="s">
        <v>12</v>
      </c>
      <c r="B8" s="1" t="s">
        <v>28</v>
      </c>
      <c r="C8" s="2"/>
      <c r="D8" s="2"/>
      <c r="E8" s="2">
        <f>E5</f>
        <v>2.54</v>
      </c>
      <c r="F8" s="14">
        <f>F5</f>
        <v>2.7686000000000002</v>
      </c>
      <c r="G8" s="12">
        <f>D7*E8*C7</f>
        <v>5.60832</v>
      </c>
      <c r="H8" s="13">
        <f>D7*F8*C7</f>
        <v>6.1130688000000006</v>
      </c>
      <c r="I8" s="17"/>
      <c r="J8" s="12">
        <f>0.75*G8</f>
        <v>4.2062400000000002</v>
      </c>
      <c r="K8" s="13">
        <f>0.75*H8</f>
        <v>4.5848016000000005</v>
      </c>
    </row>
    <row r="9" spans="1:11" ht="15" thickBot="1" x14ac:dyDescent="0.35">
      <c r="A9" s="3"/>
      <c r="B9" s="1"/>
      <c r="C9" s="2"/>
      <c r="D9" s="2"/>
      <c r="E9" s="2"/>
      <c r="F9" s="14"/>
      <c r="G9" s="18"/>
      <c r="H9" s="19"/>
      <c r="I9" s="20"/>
      <c r="J9" s="18"/>
      <c r="K9" s="19"/>
    </row>
    <row r="10" spans="1:11" ht="15" thickBot="1" x14ac:dyDescent="0.35">
      <c r="A10" s="3" t="s">
        <v>12</v>
      </c>
      <c r="B10" s="1" t="s">
        <v>29</v>
      </c>
      <c r="C10" s="2">
        <v>19.2</v>
      </c>
      <c r="D10" s="2">
        <v>0.115</v>
      </c>
      <c r="E10" s="21">
        <f>E19</f>
        <v>0.91439999999999999</v>
      </c>
      <c r="F10" s="22"/>
      <c r="G10" s="28">
        <f>D10*E10*C10</f>
        <v>2.0189952</v>
      </c>
      <c r="H10" s="29"/>
      <c r="I10" s="29"/>
      <c r="J10" s="29"/>
      <c r="K10" s="30"/>
    </row>
    <row r="14" spans="1:11" x14ac:dyDescent="0.3">
      <c r="A14" s="3" t="s">
        <v>11</v>
      </c>
      <c r="B14" s="8"/>
      <c r="D14" s="3" t="s">
        <v>17</v>
      </c>
      <c r="E14" s="3" t="s">
        <v>18</v>
      </c>
    </row>
    <row r="15" spans="1:11" x14ac:dyDescent="0.3">
      <c r="A15" s="1" t="s">
        <v>10</v>
      </c>
      <c r="D15" s="1">
        <f>9*12+4</f>
        <v>112</v>
      </c>
      <c r="E15" s="2">
        <f>CONVERT(D15,"in","m")</f>
        <v>2.8448000000000002</v>
      </c>
    </row>
    <row r="16" spans="1:11" x14ac:dyDescent="0.3">
      <c r="D16" s="1">
        <f>10*12+1</f>
        <v>121</v>
      </c>
      <c r="E16" s="2">
        <f>CONVERT(D16,"in","m")</f>
        <v>3.0733999999999999</v>
      </c>
    </row>
    <row r="17" spans="4:5" x14ac:dyDescent="0.3">
      <c r="D17" s="1">
        <f>8*12+4</f>
        <v>100</v>
      </c>
      <c r="E17" s="2">
        <f>CONVERT(D17,"in","m")</f>
        <v>2.54</v>
      </c>
    </row>
    <row r="18" spans="4:5" x14ac:dyDescent="0.3">
      <c r="D18" s="1">
        <f>9*12+1</f>
        <v>109</v>
      </c>
      <c r="E18" s="2">
        <f>CONVERT(D18,"in","m")</f>
        <v>2.7686000000000002</v>
      </c>
    </row>
    <row r="19" spans="4:5" x14ac:dyDescent="0.3">
      <c r="D19" s="1">
        <f>3*12</f>
        <v>36</v>
      </c>
      <c r="E19" s="2">
        <f>CONVERT(D19,"in","m")</f>
        <v>0.91439999999999999</v>
      </c>
    </row>
  </sheetData>
  <mergeCells count="8">
    <mergeCell ref="E10:F10"/>
    <mergeCell ref="A1:A2"/>
    <mergeCell ref="E1:F1"/>
    <mergeCell ref="G1:K1"/>
    <mergeCell ref="G2:H2"/>
    <mergeCell ref="J2:K2"/>
    <mergeCell ref="B1:B2"/>
    <mergeCell ref="G10:K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3DFB-C26A-4789-93E0-5F02EDBF3A4E}">
  <dimension ref="A1:K15"/>
  <sheetViews>
    <sheetView tabSelected="1" workbookViewId="0">
      <selection activeCell="C6" sqref="C6"/>
    </sheetView>
  </sheetViews>
  <sheetFormatPr defaultRowHeight="14.4" x14ac:dyDescent="0.3"/>
  <cols>
    <col min="1" max="1" width="18.109375" bestFit="1" customWidth="1"/>
    <col min="2" max="2" width="16.44140625" bestFit="1" customWidth="1"/>
    <col min="3" max="3" width="12" customWidth="1"/>
    <col min="4" max="4" width="12.88671875" customWidth="1"/>
    <col min="5" max="5" width="12.109375" customWidth="1"/>
    <col min="6" max="6" width="17.44140625" bestFit="1" customWidth="1"/>
    <col min="7" max="8" width="16.6640625" bestFit="1" customWidth="1"/>
  </cols>
  <sheetData>
    <row r="1" spans="1:11" s="6" customFormat="1" x14ac:dyDescent="0.3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  <c r="F1" s="5" t="s">
        <v>24</v>
      </c>
      <c r="G1" s="5" t="s">
        <v>25</v>
      </c>
      <c r="H1" s="5" t="s">
        <v>25</v>
      </c>
    </row>
    <row r="2" spans="1:11" x14ac:dyDescent="0.3">
      <c r="A2" s="1">
        <v>8</v>
      </c>
      <c r="B2" s="2">
        <f>(A2*A2*PI())/4</f>
        <v>50.26548245743669</v>
      </c>
      <c r="C2" s="2">
        <f>2*B2</f>
        <v>100.53096491487338</v>
      </c>
      <c r="D2" s="2">
        <f>4*B2</f>
        <v>201.06192982974676</v>
      </c>
      <c r="E2" s="2">
        <f>8*B2</f>
        <v>402.12385965949352</v>
      </c>
      <c r="F2" s="1"/>
      <c r="G2" s="5"/>
      <c r="H2" s="5"/>
    </row>
    <row r="3" spans="1:11" x14ac:dyDescent="0.3">
      <c r="A3" s="1"/>
      <c r="B3" s="2"/>
      <c r="C3" s="2"/>
      <c r="D3" s="2"/>
      <c r="E3" s="2"/>
      <c r="F3" s="1"/>
      <c r="G3" s="5"/>
      <c r="H3" s="5"/>
    </row>
    <row r="4" spans="1:11" x14ac:dyDescent="0.3">
      <c r="A4" s="1">
        <v>10</v>
      </c>
      <c r="B4" s="2">
        <f t="shared" ref="B4:B12" si="0">(A4*A4*PI())/4</f>
        <v>78.539816339744831</v>
      </c>
      <c r="C4" s="2">
        <f t="shared" ref="C4:C12" si="1">2*B4</f>
        <v>157.07963267948966</v>
      </c>
      <c r="D4" s="2">
        <f t="shared" ref="D4:D12" si="2">4*B4</f>
        <v>314.15926535897933</v>
      </c>
      <c r="E4" s="2">
        <f t="shared" ref="E4:E12" si="3">8*B4</f>
        <v>628.31853071795865</v>
      </c>
      <c r="F4" s="1"/>
      <c r="G4" s="5"/>
      <c r="H4" s="5"/>
    </row>
    <row r="5" spans="1:11" x14ac:dyDescent="0.3">
      <c r="A5" s="1"/>
      <c r="B5" s="2"/>
      <c r="C5" s="2"/>
      <c r="D5" s="2"/>
      <c r="E5" s="2"/>
      <c r="F5" s="1"/>
      <c r="G5" s="5"/>
      <c r="H5" s="5"/>
    </row>
    <row r="6" spans="1:11" x14ac:dyDescent="0.3">
      <c r="A6" s="1">
        <v>12</v>
      </c>
      <c r="B6" s="2">
        <f t="shared" si="0"/>
        <v>113.09733552923255</v>
      </c>
      <c r="C6" s="2">
        <f t="shared" si="1"/>
        <v>226.1946710584651</v>
      </c>
      <c r="D6" s="2">
        <f t="shared" si="2"/>
        <v>452.38934211693021</v>
      </c>
      <c r="E6" s="2">
        <f t="shared" si="3"/>
        <v>904.77868423386042</v>
      </c>
      <c r="F6" s="1"/>
      <c r="G6" s="5">
        <f>6*B6</f>
        <v>678.58401317539528</v>
      </c>
      <c r="H6" s="5"/>
    </row>
    <row r="7" spans="1:11" x14ac:dyDescent="0.3">
      <c r="A7" s="1"/>
      <c r="B7" s="2"/>
      <c r="C7" s="2"/>
      <c r="D7" s="2"/>
      <c r="E7" s="2"/>
      <c r="F7" s="4">
        <f>D6+D8</f>
        <v>1256.6370614359173</v>
      </c>
      <c r="G7" s="5"/>
      <c r="H7" s="5"/>
    </row>
    <row r="8" spans="1:11" x14ac:dyDescent="0.3">
      <c r="A8" s="3">
        <v>16</v>
      </c>
      <c r="B8" s="2">
        <f t="shared" si="0"/>
        <v>201.06192982974676</v>
      </c>
      <c r="C8" s="2">
        <f t="shared" si="1"/>
        <v>402.12385965949352</v>
      </c>
      <c r="D8" s="2">
        <f t="shared" si="2"/>
        <v>804.24771931898704</v>
      </c>
      <c r="E8" s="4">
        <f t="shared" si="3"/>
        <v>1608.4954386379741</v>
      </c>
      <c r="F8" s="3"/>
      <c r="G8" s="5"/>
      <c r="H8" s="5">
        <f>4*B8</f>
        <v>804.24771931898704</v>
      </c>
      <c r="I8" s="31">
        <f>H8+B6</f>
        <v>917.34505484821955</v>
      </c>
      <c r="J8" s="31">
        <f>3*B8</f>
        <v>603.18578948924028</v>
      </c>
      <c r="K8" s="31">
        <f>J8+B6</f>
        <v>716.28312501847279</v>
      </c>
    </row>
    <row r="9" spans="1:11" x14ac:dyDescent="0.3">
      <c r="A9" s="3"/>
      <c r="B9" s="2"/>
      <c r="C9" s="2"/>
      <c r="D9" s="2"/>
      <c r="E9" s="4"/>
      <c r="F9" s="4">
        <f>D8+D10</f>
        <v>2060.8847807549046</v>
      </c>
      <c r="G9" s="5"/>
      <c r="H9" s="5"/>
    </row>
    <row r="10" spans="1:11" x14ac:dyDescent="0.3">
      <c r="A10" s="3">
        <v>20</v>
      </c>
      <c r="B10" s="2">
        <f t="shared" si="0"/>
        <v>314.15926535897933</v>
      </c>
      <c r="C10" s="2">
        <f t="shared" si="1"/>
        <v>628.31853071795865</v>
      </c>
      <c r="D10" s="2">
        <f t="shared" si="2"/>
        <v>1256.6370614359173</v>
      </c>
      <c r="E10" s="4">
        <f t="shared" si="3"/>
        <v>2513.2741228718346</v>
      </c>
      <c r="F10" s="3"/>
      <c r="G10" s="5"/>
      <c r="H10" s="5"/>
      <c r="I10" s="31">
        <f>C8+B6</f>
        <v>515.22119518872603</v>
      </c>
    </row>
    <row r="11" spans="1:11" x14ac:dyDescent="0.3">
      <c r="A11" s="1"/>
      <c r="B11" s="2"/>
      <c r="C11" s="2"/>
      <c r="D11" s="2"/>
      <c r="E11" s="2"/>
      <c r="F11" s="4">
        <f>D10+D12</f>
        <v>3220.1324699295383</v>
      </c>
      <c r="G11" s="5"/>
      <c r="H11" s="5"/>
    </row>
    <row r="12" spans="1:11" x14ac:dyDescent="0.3">
      <c r="A12" s="1">
        <v>25</v>
      </c>
      <c r="B12" s="2">
        <f t="shared" si="0"/>
        <v>490.87385212340519</v>
      </c>
      <c r="C12" s="2">
        <f t="shared" si="1"/>
        <v>981.74770424681037</v>
      </c>
      <c r="D12" s="2">
        <f t="shared" si="2"/>
        <v>1963.4954084936207</v>
      </c>
      <c r="E12" s="2">
        <f t="shared" si="3"/>
        <v>3926.9908169872415</v>
      </c>
      <c r="F12" s="1"/>
      <c r="G12" s="5"/>
      <c r="H12" s="5"/>
    </row>
    <row r="15" spans="1:11" x14ac:dyDescent="0.3">
      <c r="F15" s="3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C4736-0652-4A0E-92F2-6C6A208529DA}">
  <dimension ref="A1:I15"/>
  <sheetViews>
    <sheetView workbookViewId="0">
      <pane ySplit="1" topLeftCell="A2" activePane="bottomLeft" state="frozen"/>
      <selection pane="bottomLeft" activeCell="I2" sqref="I2:I15"/>
    </sheetView>
  </sheetViews>
  <sheetFormatPr defaultRowHeight="14.4" x14ac:dyDescent="0.3"/>
  <cols>
    <col min="1" max="1" width="4.6640625" bestFit="1" customWidth="1"/>
    <col min="2" max="2" width="12.109375" bestFit="1" customWidth="1"/>
    <col min="3" max="3" width="13" customWidth="1"/>
    <col min="4" max="4" width="14.5546875" customWidth="1"/>
    <col min="5" max="5" width="15.6640625" customWidth="1"/>
    <col min="6" max="6" width="11.77734375" bestFit="1" customWidth="1"/>
    <col min="7" max="7" width="11.77734375" customWidth="1"/>
    <col min="8" max="8" width="13.21875" customWidth="1"/>
    <col min="9" max="9" width="32.5546875" bestFit="1" customWidth="1"/>
  </cols>
  <sheetData>
    <row r="1" spans="1:9" x14ac:dyDescent="0.3">
      <c r="A1" s="32" t="s">
        <v>31</v>
      </c>
      <c r="B1" s="33" t="s">
        <v>32</v>
      </c>
      <c r="C1" s="32" t="s">
        <v>33</v>
      </c>
      <c r="D1" s="33" t="s">
        <v>34</v>
      </c>
      <c r="E1" s="33" t="s">
        <v>35</v>
      </c>
      <c r="F1" s="34" t="s">
        <v>46</v>
      </c>
      <c r="G1" s="34" t="s">
        <v>47</v>
      </c>
      <c r="H1" s="34" t="s">
        <v>36</v>
      </c>
      <c r="I1" s="32" t="s">
        <v>37</v>
      </c>
    </row>
    <row r="2" spans="1:9" x14ac:dyDescent="0.3">
      <c r="A2" s="35">
        <v>1</v>
      </c>
      <c r="B2" s="35" t="s">
        <v>44</v>
      </c>
      <c r="C2" s="36" t="s">
        <v>38</v>
      </c>
      <c r="D2" s="37" t="s">
        <v>39</v>
      </c>
      <c r="E2" s="37" t="s">
        <v>39</v>
      </c>
      <c r="F2" s="37" t="s">
        <v>40</v>
      </c>
      <c r="G2" s="37" t="s">
        <v>40</v>
      </c>
      <c r="H2" s="37"/>
      <c r="I2" s="38" t="s">
        <v>60</v>
      </c>
    </row>
    <row r="3" spans="1:9" x14ac:dyDescent="0.3">
      <c r="A3" s="35">
        <v>2</v>
      </c>
      <c r="B3" s="35" t="s">
        <v>41</v>
      </c>
      <c r="C3" s="36" t="s">
        <v>38</v>
      </c>
      <c r="D3" s="37" t="s">
        <v>45</v>
      </c>
      <c r="E3" s="37" t="s">
        <v>45</v>
      </c>
      <c r="F3" s="37" t="s">
        <v>39</v>
      </c>
      <c r="G3" s="37" t="s">
        <v>40</v>
      </c>
      <c r="H3" s="37" t="s">
        <v>48</v>
      </c>
      <c r="I3" s="39"/>
    </row>
    <row r="4" spans="1:9" x14ac:dyDescent="0.3">
      <c r="A4" s="35">
        <v>3</v>
      </c>
      <c r="B4" s="35" t="s">
        <v>42</v>
      </c>
      <c r="C4" s="36" t="s">
        <v>38</v>
      </c>
      <c r="D4" s="37" t="s">
        <v>49</v>
      </c>
      <c r="E4" s="37" t="s">
        <v>49</v>
      </c>
      <c r="F4" s="37" t="s">
        <v>45</v>
      </c>
      <c r="G4" s="37" t="s">
        <v>39</v>
      </c>
      <c r="H4" s="37" t="s">
        <v>40</v>
      </c>
      <c r="I4" s="39"/>
    </row>
    <row r="5" spans="1:9" x14ac:dyDescent="0.3">
      <c r="A5" s="35">
        <v>4</v>
      </c>
      <c r="B5" s="35" t="s">
        <v>43</v>
      </c>
      <c r="C5" s="36" t="s">
        <v>38</v>
      </c>
      <c r="D5" s="37" t="s">
        <v>45</v>
      </c>
      <c r="E5" s="37" t="s">
        <v>45</v>
      </c>
      <c r="F5" s="37" t="s">
        <v>39</v>
      </c>
      <c r="G5" s="37" t="s">
        <v>40</v>
      </c>
      <c r="H5" s="37" t="s">
        <v>40</v>
      </c>
      <c r="I5" s="39"/>
    </row>
    <row r="6" spans="1:9" x14ac:dyDescent="0.3">
      <c r="A6" s="35">
        <v>5</v>
      </c>
      <c r="B6" s="35" t="s">
        <v>50</v>
      </c>
      <c r="C6" s="36" t="s">
        <v>38</v>
      </c>
      <c r="D6" s="37" t="s">
        <v>49</v>
      </c>
      <c r="E6" s="37" t="s">
        <v>49</v>
      </c>
      <c r="F6" s="37" t="s">
        <v>45</v>
      </c>
      <c r="G6" s="37" t="s">
        <v>39</v>
      </c>
      <c r="H6" s="37"/>
      <c r="I6" s="39"/>
    </row>
    <row r="7" spans="1:9" x14ac:dyDescent="0.3">
      <c r="A7" s="35">
        <v>6</v>
      </c>
      <c r="B7" s="35" t="s">
        <v>51</v>
      </c>
      <c r="C7" s="36" t="s">
        <v>38</v>
      </c>
      <c r="D7" s="37" t="s">
        <v>45</v>
      </c>
      <c r="E7" s="37" t="s">
        <v>45</v>
      </c>
      <c r="F7" s="37" t="s">
        <v>39</v>
      </c>
      <c r="G7" s="37" t="s">
        <v>40</v>
      </c>
      <c r="H7" s="37" t="s">
        <v>40</v>
      </c>
      <c r="I7" s="39"/>
    </row>
    <row r="8" spans="1:9" x14ac:dyDescent="0.3">
      <c r="A8" s="35">
        <v>7</v>
      </c>
      <c r="B8" s="35" t="s">
        <v>52</v>
      </c>
      <c r="C8" s="36" t="s">
        <v>38</v>
      </c>
      <c r="D8" s="37" t="s">
        <v>45</v>
      </c>
      <c r="E8" s="37" t="s">
        <v>45</v>
      </c>
      <c r="F8" s="37" t="s">
        <v>39</v>
      </c>
      <c r="G8" s="37" t="s">
        <v>40</v>
      </c>
      <c r="H8" s="37" t="s">
        <v>40</v>
      </c>
      <c r="I8" s="39"/>
    </row>
    <row r="9" spans="1:9" x14ac:dyDescent="0.3">
      <c r="A9" s="35">
        <v>8</v>
      </c>
      <c r="B9" s="35" t="s">
        <v>53</v>
      </c>
      <c r="C9" s="36" t="s">
        <v>38</v>
      </c>
      <c r="D9" s="37" t="s">
        <v>45</v>
      </c>
      <c r="E9" s="37" t="s">
        <v>45</v>
      </c>
      <c r="F9" s="37" t="s">
        <v>39</v>
      </c>
      <c r="G9" s="37" t="s">
        <v>40</v>
      </c>
      <c r="H9" s="37" t="s">
        <v>40</v>
      </c>
      <c r="I9" s="39"/>
    </row>
    <row r="10" spans="1:9" x14ac:dyDescent="0.3">
      <c r="A10" s="35">
        <v>9</v>
      </c>
      <c r="B10" s="35" t="s">
        <v>54</v>
      </c>
      <c r="C10" s="36" t="s">
        <v>38</v>
      </c>
      <c r="D10" s="37" t="s">
        <v>45</v>
      </c>
      <c r="E10" s="37" t="s">
        <v>45</v>
      </c>
      <c r="F10" s="37" t="s">
        <v>39</v>
      </c>
      <c r="G10" s="37" t="s">
        <v>40</v>
      </c>
      <c r="H10" s="37" t="s">
        <v>40</v>
      </c>
      <c r="I10" s="39"/>
    </row>
    <row r="11" spans="1:9" x14ac:dyDescent="0.3">
      <c r="A11" s="35">
        <v>10</v>
      </c>
      <c r="B11" s="35" t="s">
        <v>55</v>
      </c>
      <c r="C11" s="36" t="s">
        <v>38</v>
      </c>
      <c r="D11" s="37" t="s">
        <v>45</v>
      </c>
      <c r="E11" s="37" t="s">
        <v>39</v>
      </c>
      <c r="F11" s="37" t="s">
        <v>40</v>
      </c>
      <c r="G11" s="37" t="s">
        <v>40</v>
      </c>
      <c r="H11" s="37"/>
      <c r="I11" s="39"/>
    </row>
    <row r="12" spans="1:9" x14ac:dyDescent="0.3">
      <c r="A12" s="35">
        <v>11</v>
      </c>
      <c r="B12" s="35" t="s">
        <v>56</v>
      </c>
      <c r="C12" s="36" t="s">
        <v>38</v>
      </c>
      <c r="D12" s="37" t="s">
        <v>45</v>
      </c>
      <c r="E12" s="37" t="s">
        <v>45</v>
      </c>
      <c r="F12" s="37" t="s">
        <v>39</v>
      </c>
      <c r="G12" s="37" t="s">
        <v>40</v>
      </c>
      <c r="H12" s="37" t="s">
        <v>48</v>
      </c>
      <c r="I12" s="39"/>
    </row>
    <row r="13" spans="1:9" x14ac:dyDescent="0.3">
      <c r="A13" s="35">
        <v>12</v>
      </c>
      <c r="B13" s="35" t="s">
        <v>57</v>
      </c>
      <c r="C13" s="36" t="s">
        <v>38</v>
      </c>
      <c r="D13" s="37" t="s">
        <v>39</v>
      </c>
      <c r="E13" s="37" t="s">
        <v>39</v>
      </c>
      <c r="F13" s="37" t="s">
        <v>40</v>
      </c>
      <c r="G13" s="37" t="s">
        <v>40</v>
      </c>
      <c r="H13" s="37" t="s">
        <v>40</v>
      </c>
      <c r="I13" s="39"/>
    </row>
    <row r="14" spans="1:9" x14ac:dyDescent="0.3">
      <c r="A14" s="35">
        <v>13</v>
      </c>
      <c r="B14" s="35" t="s">
        <v>58</v>
      </c>
      <c r="C14" s="36" t="s">
        <v>38</v>
      </c>
      <c r="D14" s="37" t="s">
        <v>39</v>
      </c>
      <c r="E14" s="37" t="s">
        <v>39</v>
      </c>
      <c r="F14" s="37" t="s">
        <v>40</v>
      </c>
      <c r="G14" s="37" t="s">
        <v>40</v>
      </c>
      <c r="H14" s="37" t="s">
        <v>40</v>
      </c>
      <c r="I14" s="39"/>
    </row>
    <row r="15" spans="1:9" x14ac:dyDescent="0.3">
      <c r="A15" s="35">
        <v>14</v>
      </c>
      <c r="B15" s="35" t="s">
        <v>59</v>
      </c>
      <c r="C15" s="36" t="s">
        <v>38</v>
      </c>
      <c r="D15" s="37" t="s">
        <v>45</v>
      </c>
      <c r="E15" s="37" t="s">
        <v>39</v>
      </c>
      <c r="F15" s="37" t="s">
        <v>40</v>
      </c>
      <c r="G15" s="37" t="s">
        <v>48</v>
      </c>
      <c r="H15" s="37" t="s">
        <v>48</v>
      </c>
      <c r="I15" s="40"/>
    </row>
  </sheetData>
  <mergeCells count="1">
    <mergeCell ref="I2:I1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Interpoaltion</vt:lpstr>
      <vt:lpstr>wall load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2026-09-27T07:47:08Z</dcterms:modified>
</cp:coreProperties>
</file>