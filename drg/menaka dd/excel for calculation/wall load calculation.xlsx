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258AD77-4E6E-421F-BA46-07A0A3DEF33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terpoaltion" sheetId="1" r:id="rId1"/>
    <sheet name="wall load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G9" i="2" s="1"/>
  <c r="H7" i="2"/>
  <c r="G7" i="2"/>
  <c r="H6" i="2"/>
  <c r="G6" i="2"/>
  <c r="I7" i="2"/>
  <c r="J7" i="2"/>
  <c r="H4" i="2"/>
  <c r="G4" i="2"/>
  <c r="H3" i="2"/>
  <c r="G3" i="2"/>
  <c r="J4" i="2"/>
  <c r="J3" i="2"/>
  <c r="I3" i="2"/>
  <c r="I4" i="2"/>
  <c r="J6" i="2"/>
  <c r="I6" i="2"/>
  <c r="E7" i="2"/>
  <c r="F7" i="2"/>
  <c r="F6" i="2"/>
  <c r="E6" i="2"/>
  <c r="F4" i="2"/>
  <c r="F3" i="2"/>
  <c r="E4" i="2"/>
  <c r="E3" i="2"/>
  <c r="E18" i="2"/>
  <c r="D18" i="2"/>
  <c r="E17" i="2"/>
  <c r="D17" i="2"/>
  <c r="D16" i="2"/>
  <c r="D15" i="2"/>
  <c r="D14" i="2"/>
  <c r="H8" i="3"/>
  <c r="G6" i="3"/>
  <c r="F9" i="3"/>
  <c r="B4" i="3"/>
  <c r="B6" i="3"/>
  <c r="B8" i="3"/>
  <c r="B10" i="3"/>
  <c r="B12" i="3"/>
  <c r="B2" i="3"/>
  <c r="E16" i="2"/>
  <c r="E15" i="2"/>
  <c r="E14" i="2"/>
  <c r="C3" i="1"/>
  <c r="C8" i="3" l="1"/>
  <c r="D8" i="3"/>
  <c r="E8" i="3"/>
  <c r="E10" i="3"/>
  <c r="C10" i="3"/>
  <c r="D10" i="3"/>
  <c r="D12" i="3"/>
  <c r="C12" i="3"/>
  <c r="E12" i="3"/>
  <c r="D2" i="3"/>
  <c r="E2" i="3"/>
  <c r="C2" i="3"/>
  <c r="E4" i="3"/>
  <c r="C4" i="3"/>
  <c r="D4" i="3"/>
  <c r="D6" i="3"/>
  <c r="E6" i="3"/>
  <c r="C6" i="3"/>
</calcChain>
</file>

<file path=xl/sharedStrings.xml><?xml version="1.0" encoding="utf-8"?>
<sst xmlns="http://schemas.openxmlformats.org/spreadsheetml/2006/main" count="35" uniqueCount="31">
  <si>
    <t>y-y1=((y2-y1)/(x2-x1))*(x-x1)</t>
  </si>
  <si>
    <t>x</t>
  </si>
  <si>
    <t>y</t>
  </si>
  <si>
    <t>Wall Type</t>
  </si>
  <si>
    <t>Breadth</t>
  </si>
  <si>
    <t>Unit weight</t>
  </si>
  <si>
    <t>Load Intensity</t>
  </si>
  <si>
    <t>Without Opening</t>
  </si>
  <si>
    <t>m</t>
  </si>
  <si>
    <t>230mm</t>
  </si>
  <si>
    <t>230*115*57</t>
  </si>
  <si>
    <t>Brick size</t>
  </si>
  <si>
    <t>115mm</t>
  </si>
  <si>
    <t>Height (m)</t>
  </si>
  <si>
    <t>Upto Beam</t>
  </si>
  <si>
    <t>Upto Slab</t>
  </si>
  <si>
    <t>KN/m3</t>
  </si>
  <si>
    <t>inch</t>
  </si>
  <si>
    <t>meter</t>
  </si>
  <si>
    <t>Steel size dia (mm)</t>
  </si>
  <si>
    <t>Steel bar area (A)</t>
  </si>
  <si>
    <t>2A</t>
  </si>
  <si>
    <t>4A</t>
  </si>
  <si>
    <t>8A</t>
  </si>
  <si>
    <t>4-16mm + 4-20mm</t>
  </si>
  <si>
    <t>For beam 6-12mm</t>
  </si>
  <si>
    <t>Floor</t>
  </si>
  <si>
    <t>GF &amp; FF</t>
  </si>
  <si>
    <t>SF &amp; above</t>
  </si>
  <si>
    <t>All</t>
  </si>
  <si>
    <t>With 25%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</si>
</sst>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2" fontId="1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workbookViewId="0">
      <selection activeCell="B4" sqref="B4"/>
    </sheetView>
  </sheetViews>
  <sheetFormatPr defaultRowHeight="15" x14ac:dyDescent="0.25"/>
  <sheetData>
    <row r="1" spans="2:5" x14ac:dyDescent="0.25">
      <c r="B1" t="s">
        <v>1</v>
      </c>
      <c r="C1" t="s">
        <v>2</v>
      </c>
    </row>
    <row r="2" spans="2:5" x14ac:dyDescent="0.25">
      <c r="B2">
        <v>0.5</v>
      </c>
      <c r="C2">
        <v>1</v>
      </c>
    </row>
    <row r="3" spans="2:5" x14ac:dyDescent="0.25">
      <c r="B3">
        <v>0.71799999999999997</v>
      </c>
      <c r="C3">
        <f>(((C4-C2)/(B4-B2))*(B3-B2))+C2</f>
        <v>1.109</v>
      </c>
      <c r="E3" t="s">
        <v>0</v>
      </c>
    </row>
    <row r="4" spans="2:5" x14ac:dyDescent="0.25">
      <c r="B4">
        <v>2.5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F103-52A0-4D11-811D-43BFE2FAABA8}">
  <dimension ref="A1:J18"/>
  <sheetViews>
    <sheetView tabSelected="1" workbookViewId="0">
      <selection activeCell="G12" sqref="G12"/>
    </sheetView>
  </sheetViews>
  <sheetFormatPr defaultRowHeight="15" x14ac:dyDescent="0.25"/>
  <cols>
    <col min="1" max="1" width="11" bestFit="1" customWidth="1"/>
    <col min="2" max="2" width="11" customWidth="1"/>
    <col min="3" max="3" width="11.28515625" bestFit="1" customWidth="1"/>
    <col min="4" max="4" width="8" bestFit="1" customWidth="1"/>
    <col min="5" max="5" width="10.7109375" bestFit="1" customWidth="1"/>
    <col min="6" max="6" width="9.42578125" bestFit="1" customWidth="1"/>
    <col min="7" max="10" width="11" bestFit="1" customWidth="1"/>
    <col min="12" max="12" width="11" bestFit="1" customWidth="1"/>
  </cols>
  <sheetData>
    <row r="1" spans="1:10" x14ac:dyDescent="0.25">
      <c r="A1" s="7" t="s">
        <v>3</v>
      </c>
      <c r="B1" s="7" t="s">
        <v>26</v>
      </c>
      <c r="C1" s="3" t="s">
        <v>5</v>
      </c>
      <c r="D1" s="3" t="s">
        <v>4</v>
      </c>
      <c r="E1" s="8" t="s">
        <v>13</v>
      </c>
      <c r="F1" s="8"/>
      <c r="G1" s="7" t="s">
        <v>6</v>
      </c>
      <c r="H1" s="7"/>
      <c r="I1" s="7"/>
      <c r="J1" s="7"/>
    </row>
    <row r="2" spans="1:10" x14ac:dyDescent="0.25">
      <c r="A2" s="7"/>
      <c r="B2" s="7"/>
      <c r="C2" s="3" t="s">
        <v>16</v>
      </c>
      <c r="D2" s="3" t="s">
        <v>8</v>
      </c>
      <c r="E2" s="3" t="s">
        <v>14</v>
      </c>
      <c r="F2" s="3" t="s">
        <v>15</v>
      </c>
      <c r="G2" s="8" t="s">
        <v>7</v>
      </c>
      <c r="H2" s="8"/>
      <c r="I2" s="8" t="s">
        <v>30</v>
      </c>
      <c r="J2" s="8"/>
    </row>
    <row r="3" spans="1:10" x14ac:dyDescent="0.25">
      <c r="A3" s="1" t="s">
        <v>9</v>
      </c>
      <c r="B3" s="1" t="s">
        <v>27</v>
      </c>
      <c r="C3" s="2">
        <v>19.2</v>
      </c>
      <c r="D3" s="2">
        <v>0.23</v>
      </c>
      <c r="E3" s="2">
        <f>E14</f>
        <v>2.8448000000000002</v>
      </c>
      <c r="F3" s="2">
        <f>E15</f>
        <v>3.0733999999999999</v>
      </c>
      <c r="G3" s="4">
        <f>D3*E3*C3</f>
        <v>12.562636800000002</v>
      </c>
      <c r="H3" s="4">
        <f>D3*F3*C3</f>
        <v>13.572134399999999</v>
      </c>
      <c r="I3" s="4">
        <f>0.75*G3</f>
        <v>9.4219776000000017</v>
      </c>
      <c r="J3" s="4">
        <f>0.75*H3</f>
        <v>10.179100800000001</v>
      </c>
    </row>
    <row r="4" spans="1:10" x14ac:dyDescent="0.25">
      <c r="A4" s="1"/>
      <c r="B4" s="1" t="s">
        <v>28</v>
      </c>
      <c r="C4" s="2"/>
      <c r="D4" s="2"/>
      <c r="E4" s="2">
        <f>E16</f>
        <v>2.54</v>
      </c>
      <c r="F4" s="2">
        <f>E17</f>
        <v>2.7686000000000002</v>
      </c>
      <c r="G4" s="4">
        <f>D3*E4*C3</f>
        <v>11.21664</v>
      </c>
      <c r="H4" s="4">
        <f>D3*F4*C3</f>
        <v>12.226137600000001</v>
      </c>
      <c r="I4" s="4">
        <f>0.75*G4</f>
        <v>8.4124800000000004</v>
      </c>
      <c r="J4" s="4">
        <f>0.75*H4</f>
        <v>9.169603200000001</v>
      </c>
    </row>
    <row r="5" spans="1:10" x14ac:dyDescent="0.25">
      <c r="A5" s="1"/>
      <c r="B5" s="1"/>
      <c r="C5" s="2"/>
      <c r="D5" s="2"/>
      <c r="E5" s="2"/>
      <c r="F5" s="2"/>
      <c r="G5" s="4"/>
      <c r="H5" s="4"/>
      <c r="I5" s="4"/>
      <c r="J5" s="4"/>
    </row>
    <row r="6" spans="1:10" x14ac:dyDescent="0.25">
      <c r="A6" s="1" t="s">
        <v>12</v>
      </c>
      <c r="B6" s="1" t="s">
        <v>27</v>
      </c>
      <c r="C6" s="2">
        <v>19.2</v>
      </c>
      <c r="D6" s="2">
        <v>0.115</v>
      </c>
      <c r="E6" s="2">
        <f>E3</f>
        <v>2.8448000000000002</v>
      </c>
      <c r="F6" s="2">
        <f>F3</f>
        <v>3.0733999999999999</v>
      </c>
      <c r="G6" s="4">
        <f>D6*E6*C6</f>
        <v>6.2813184000000009</v>
      </c>
      <c r="H6" s="4">
        <f>D6*F6*C6</f>
        <v>6.7860671999999997</v>
      </c>
      <c r="I6" s="4">
        <f>0.75*G6</f>
        <v>4.7109888000000009</v>
      </c>
      <c r="J6" s="4">
        <f>0.75*H6</f>
        <v>5.0895504000000003</v>
      </c>
    </row>
    <row r="7" spans="1:10" x14ac:dyDescent="0.25">
      <c r="A7" s="1"/>
      <c r="B7" s="1" t="s">
        <v>28</v>
      </c>
      <c r="C7" s="2"/>
      <c r="D7" s="2"/>
      <c r="E7" s="2">
        <f>E4</f>
        <v>2.54</v>
      </c>
      <c r="F7" s="2">
        <f>F4</f>
        <v>2.7686000000000002</v>
      </c>
      <c r="G7" s="4">
        <f>D6*E7*C6</f>
        <v>5.60832</v>
      </c>
      <c r="H7" s="4">
        <f>D6*F7*C6</f>
        <v>6.1130688000000006</v>
      </c>
      <c r="I7" s="4">
        <f>0.75*G7</f>
        <v>4.2062400000000002</v>
      </c>
      <c r="J7" s="4">
        <f>0.75*H7</f>
        <v>4.5848016000000005</v>
      </c>
    </row>
    <row r="8" spans="1:10" x14ac:dyDescent="0.25">
      <c r="A8" s="1"/>
      <c r="B8" s="1"/>
      <c r="C8" s="2"/>
      <c r="D8" s="2"/>
      <c r="E8" s="2"/>
      <c r="F8" s="2"/>
      <c r="G8" s="4"/>
      <c r="H8" s="4"/>
      <c r="I8" s="4"/>
      <c r="J8" s="4"/>
    </row>
    <row r="9" spans="1:10" x14ac:dyDescent="0.25">
      <c r="A9" s="1" t="s">
        <v>12</v>
      </c>
      <c r="B9" s="1" t="s">
        <v>29</v>
      </c>
      <c r="C9" s="2">
        <v>19.2</v>
      </c>
      <c r="D9" s="2">
        <v>0.115</v>
      </c>
      <c r="E9" s="11">
        <f>E18</f>
        <v>0.91439999999999999</v>
      </c>
      <c r="F9" s="11"/>
      <c r="G9" s="12">
        <f>D9*E9*C9</f>
        <v>2.0189952</v>
      </c>
      <c r="H9" s="12"/>
      <c r="I9" s="12"/>
      <c r="J9" s="12"/>
    </row>
    <row r="13" spans="1:10" x14ac:dyDescent="0.25">
      <c r="A13" s="3" t="s">
        <v>11</v>
      </c>
      <c r="B13" s="9"/>
      <c r="D13" s="3" t="s">
        <v>17</v>
      </c>
      <c r="E13" s="3" t="s">
        <v>18</v>
      </c>
    </row>
    <row r="14" spans="1:10" x14ac:dyDescent="0.25">
      <c r="A14" s="1" t="s">
        <v>10</v>
      </c>
      <c r="B14" s="10"/>
      <c r="D14" s="1">
        <f>9*12+4</f>
        <v>112</v>
      </c>
      <c r="E14" s="2">
        <f>CONVERT(D14,"in","m")</f>
        <v>2.8448000000000002</v>
      </c>
    </row>
    <row r="15" spans="1:10" x14ac:dyDescent="0.25">
      <c r="D15" s="1">
        <f>10*12+1</f>
        <v>121</v>
      </c>
      <c r="E15" s="2">
        <f>CONVERT(D15,"in","m")</f>
        <v>3.0733999999999999</v>
      </c>
    </row>
    <row r="16" spans="1:10" x14ac:dyDescent="0.25">
      <c r="D16" s="1">
        <f>8*12+4</f>
        <v>100</v>
      </c>
      <c r="E16" s="2">
        <f>CONVERT(D16,"in","m")</f>
        <v>2.54</v>
      </c>
    </row>
    <row r="17" spans="4:5" x14ac:dyDescent="0.25">
      <c r="D17" s="1">
        <f>9*12+1</f>
        <v>109</v>
      </c>
      <c r="E17" s="2">
        <f>CONVERT(D17,"in","m")</f>
        <v>2.7686000000000002</v>
      </c>
    </row>
    <row r="18" spans="4:5" x14ac:dyDescent="0.25">
      <c r="D18" s="1">
        <f>3*12</f>
        <v>36</v>
      </c>
      <c r="E18" s="2">
        <f>CONVERT(D18,"in","m")</f>
        <v>0.91439999999999999</v>
      </c>
    </row>
  </sheetData>
  <mergeCells count="9">
    <mergeCell ref="G9:H9"/>
    <mergeCell ref="E9:F9"/>
    <mergeCell ref="I9:J9"/>
    <mergeCell ref="A1:A2"/>
    <mergeCell ref="E1:F1"/>
    <mergeCell ref="G1:J1"/>
    <mergeCell ref="G2:H2"/>
    <mergeCell ref="I2:J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3DFB-C26A-4789-93E0-5F02EDBF3A4E}">
  <dimension ref="A1:H12"/>
  <sheetViews>
    <sheetView workbookViewId="0">
      <selection activeCell="H9" sqref="H9"/>
    </sheetView>
  </sheetViews>
  <sheetFormatPr defaultRowHeight="15" x14ac:dyDescent="0.25"/>
  <cols>
    <col min="1" max="1" width="18.140625" bestFit="1" customWidth="1"/>
    <col min="2" max="2" width="16.42578125" bestFit="1" customWidth="1"/>
    <col min="3" max="3" width="12" customWidth="1"/>
    <col min="4" max="4" width="12.85546875" customWidth="1"/>
    <col min="5" max="5" width="12.140625" customWidth="1"/>
    <col min="6" max="6" width="17.42578125" bestFit="1" customWidth="1"/>
    <col min="7" max="8" width="16.7109375" bestFit="1" customWidth="1"/>
  </cols>
  <sheetData>
    <row r="1" spans="1:8" s="6" customFormat="1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25</v>
      </c>
    </row>
    <row r="2" spans="1:8" x14ac:dyDescent="0.25">
      <c r="A2" s="1">
        <v>8</v>
      </c>
      <c r="B2" s="2">
        <f>(A2*A2*PI())/4</f>
        <v>50.26548245743669</v>
      </c>
      <c r="C2" s="2">
        <f>2*B2</f>
        <v>100.53096491487338</v>
      </c>
      <c r="D2" s="2">
        <f>4*B2</f>
        <v>201.06192982974676</v>
      </c>
      <c r="E2" s="2">
        <f>8*B2</f>
        <v>402.12385965949352</v>
      </c>
      <c r="F2" s="1"/>
      <c r="G2" s="5"/>
      <c r="H2" s="5"/>
    </row>
    <row r="3" spans="1:8" x14ac:dyDescent="0.25">
      <c r="A3" s="1"/>
      <c r="B3" s="2"/>
      <c r="C3" s="2"/>
      <c r="D3" s="2"/>
      <c r="E3" s="2"/>
      <c r="F3" s="1"/>
      <c r="G3" s="5"/>
      <c r="H3" s="5"/>
    </row>
    <row r="4" spans="1:8" x14ac:dyDescent="0.25">
      <c r="A4" s="1">
        <v>10</v>
      </c>
      <c r="B4" s="2">
        <f t="shared" ref="B4:B12" si="0">(A4*A4*PI())/4</f>
        <v>78.539816339744831</v>
      </c>
      <c r="C4" s="2">
        <f t="shared" ref="C4:C12" si="1">2*B4</f>
        <v>157.07963267948966</v>
      </c>
      <c r="D4" s="2">
        <f t="shared" ref="D4:D12" si="2">4*B4</f>
        <v>314.15926535897933</v>
      </c>
      <c r="E4" s="2">
        <f t="shared" ref="E4:E12" si="3">8*B4</f>
        <v>628.31853071795865</v>
      </c>
      <c r="F4" s="1"/>
      <c r="G4" s="5"/>
      <c r="H4" s="5"/>
    </row>
    <row r="5" spans="1:8" x14ac:dyDescent="0.25">
      <c r="A5" s="1"/>
      <c r="B5" s="2"/>
      <c r="C5" s="2"/>
      <c r="D5" s="2"/>
      <c r="E5" s="2"/>
      <c r="F5" s="1"/>
      <c r="G5" s="5"/>
      <c r="H5" s="5"/>
    </row>
    <row r="6" spans="1:8" x14ac:dyDescent="0.25">
      <c r="A6" s="1">
        <v>12</v>
      </c>
      <c r="B6" s="2">
        <f t="shared" si="0"/>
        <v>113.09733552923255</v>
      </c>
      <c r="C6" s="2">
        <f t="shared" si="1"/>
        <v>226.1946710584651</v>
      </c>
      <c r="D6" s="2">
        <f t="shared" si="2"/>
        <v>452.38934211693021</v>
      </c>
      <c r="E6" s="2">
        <f t="shared" si="3"/>
        <v>904.77868423386042</v>
      </c>
      <c r="F6" s="1"/>
      <c r="G6" s="5">
        <f>6*B6</f>
        <v>678.58401317539528</v>
      </c>
      <c r="H6" s="5"/>
    </row>
    <row r="7" spans="1:8" x14ac:dyDescent="0.25">
      <c r="A7" s="1"/>
      <c r="B7" s="2"/>
      <c r="C7" s="2"/>
      <c r="D7" s="2"/>
      <c r="E7" s="2"/>
      <c r="F7" s="1"/>
      <c r="G7" s="5"/>
      <c r="H7" s="5"/>
    </row>
    <row r="8" spans="1:8" x14ac:dyDescent="0.25">
      <c r="A8" s="3">
        <v>16</v>
      </c>
      <c r="B8" s="2">
        <f t="shared" si="0"/>
        <v>201.06192982974676</v>
      </c>
      <c r="C8" s="2">
        <f t="shared" si="1"/>
        <v>402.12385965949352</v>
      </c>
      <c r="D8" s="2">
        <f t="shared" si="2"/>
        <v>804.24771931898704</v>
      </c>
      <c r="E8" s="4">
        <f t="shared" si="3"/>
        <v>1608.4954386379741</v>
      </c>
      <c r="F8" s="3"/>
      <c r="G8" s="5"/>
      <c r="H8" s="5">
        <f>4*B8</f>
        <v>804.24771931898704</v>
      </c>
    </row>
    <row r="9" spans="1:8" x14ac:dyDescent="0.25">
      <c r="A9" s="3"/>
      <c r="B9" s="2"/>
      <c r="C9" s="2"/>
      <c r="D9" s="2"/>
      <c r="E9" s="4"/>
      <c r="F9" s="4">
        <f>D8+D10</f>
        <v>2060.8847807549046</v>
      </c>
      <c r="G9" s="5"/>
      <c r="H9" s="5"/>
    </row>
    <row r="10" spans="1:8" x14ac:dyDescent="0.25">
      <c r="A10" s="3">
        <v>20</v>
      </c>
      <c r="B10" s="2">
        <f t="shared" si="0"/>
        <v>314.15926535897933</v>
      </c>
      <c r="C10" s="2">
        <f t="shared" si="1"/>
        <v>628.31853071795865</v>
      </c>
      <c r="D10" s="2">
        <f t="shared" si="2"/>
        <v>1256.6370614359173</v>
      </c>
      <c r="E10" s="4">
        <f t="shared" si="3"/>
        <v>2513.2741228718346</v>
      </c>
      <c r="F10" s="3"/>
      <c r="G10" s="5"/>
      <c r="H10" s="5"/>
    </row>
    <row r="11" spans="1:8" x14ac:dyDescent="0.25">
      <c r="A11" s="1"/>
      <c r="B11" s="2"/>
      <c r="C11" s="2"/>
      <c r="D11" s="2"/>
      <c r="E11" s="2"/>
      <c r="F11" s="1"/>
      <c r="G11" s="5"/>
      <c r="H11" s="5"/>
    </row>
    <row r="12" spans="1:8" x14ac:dyDescent="0.25">
      <c r="A12" s="1">
        <v>25</v>
      </c>
      <c r="B12" s="2">
        <f t="shared" si="0"/>
        <v>490.87385212340519</v>
      </c>
      <c r="C12" s="2">
        <f t="shared" si="1"/>
        <v>981.74770424681037</v>
      </c>
      <c r="D12" s="2">
        <f t="shared" si="2"/>
        <v>1963.4954084936207</v>
      </c>
      <c r="E12" s="2">
        <f t="shared" si="3"/>
        <v>3926.9908169872415</v>
      </c>
      <c r="F12" s="1"/>
      <c r="G12" s="5"/>
      <c r="H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Interpoaltion</vt:lpstr>
      <vt:lpstr>wall 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2026-09-22T10:09:52Z</dcterms:modified>
</cp:coreProperties>
</file>