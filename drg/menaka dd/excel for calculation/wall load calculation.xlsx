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A1B8DC3D-DD3C-4E42-A49F-4F90B523965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terpoaltion" sheetId="1" r:id="rId1"/>
    <sheet name="wall load" sheetId="2" r:id="rId2"/>
    <sheet name="Sheet1" sheetId="3" r:id="rId3"/>
  </sheets>
  <definedNames>
    <definedName name="_xlnm.Print_Area" localSheetId="1">'wall load'!$K$20:$P$27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2" i="2" l="1"/>
  <c r="L22" i="2"/>
  <c r="N22" i="2" s="1"/>
  <c r="P22" i="2"/>
  <c r="E18" i="2"/>
  <c r="E9" i="2" s="1"/>
  <c r="G9" i="2" s="1"/>
  <c r="P23" i="2" s="1"/>
  <c r="D18" i="2"/>
  <c r="E17" i="2"/>
  <c r="F4" i="2" s="1"/>
  <c r="D17" i="2"/>
  <c r="D16" i="2"/>
  <c r="D15" i="2"/>
  <c r="D14" i="2"/>
  <c r="H8" i="3"/>
  <c r="G6" i="3"/>
  <c r="F9" i="3"/>
  <c r="B4" i="3"/>
  <c r="B6" i="3"/>
  <c r="B8" i="3"/>
  <c r="B10" i="3"/>
  <c r="B12" i="3"/>
  <c r="B2" i="3"/>
  <c r="E16" i="2"/>
  <c r="E4" i="2" s="1"/>
  <c r="E15" i="2"/>
  <c r="F3" i="2" s="1"/>
  <c r="E14" i="2"/>
  <c r="E3" i="2" s="1"/>
  <c r="C3" i="1"/>
  <c r="G4" i="2" l="1"/>
  <c r="E7" i="2"/>
  <c r="G7" i="2" s="1"/>
  <c r="G3" i="2"/>
  <c r="E6" i="2"/>
  <c r="G6" i="2" s="1"/>
  <c r="H3" i="2"/>
  <c r="F6" i="2"/>
  <c r="H6" i="2" s="1"/>
  <c r="F7" i="2"/>
  <c r="H7" i="2" s="1"/>
  <c r="H4" i="2"/>
  <c r="O22" i="2"/>
  <c r="C8" i="3"/>
  <c r="D8" i="3"/>
  <c r="E8" i="3"/>
  <c r="E10" i="3"/>
  <c r="C10" i="3"/>
  <c r="D10" i="3"/>
  <c r="D12" i="3"/>
  <c r="C12" i="3"/>
  <c r="E12" i="3"/>
  <c r="D2" i="3"/>
  <c r="E2" i="3"/>
  <c r="C2" i="3"/>
  <c r="E4" i="3"/>
  <c r="C4" i="3"/>
  <c r="D4" i="3"/>
  <c r="D6" i="3"/>
  <c r="E6" i="3"/>
  <c r="C6" i="3"/>
  <c r="J7" i="2" l="1"/>
  <c r="O27" i="2" s="1"/>
  <c r="M27" i="2"/>
  <c r="J4" i="2"/>
  <c r="N27" i="2" s="1"/>
  <c r="L27" i="2"/>
  <c r="J6" i="2"/>
  <c r="O26" i="2" s="1"/>
  <c r="M26" i="2"/>
  <c r="L26" i="2"/>
  <c r="J3" i="2"/>
  <c r="N26" i="2" s="1"/>
  <c r="M23" i="2"/>
  <c r="I6" i="2"/>
  <c r="O23" i="2" s="1"/>
  <c r="L23" i="2"/>
  <c r="I3" i="2"/>
  <c r="N23" i="2" s="1"/>
  <c r="M24" i="2"/>
  <c r="I7" i="2"/>
  <c r="O24" i="2" s="1"/>
  <c r="I4" i="2"/>
  <c r="N24" i="2" s="1"/>
  <c r="L24" i="2"/>
</calcChain>
</file>

<file path=xl/sharedStrings.xml><?xml version="1.0" encoding="utf-8"?>
<sst xmlns="http://schemas.openxmlformats.org/spreadsheetml/2006/main" count="45" uniqueCount="41">
  <si>
    <t>y-y1=((y2-y1)/(x2-x1))*(x-x1)</t>
  </si>
  <si>
    <t>x</t>
  </si>
  <si>
    <t>y</t>
  </si>
  <si>
    <t>Wall Type</t>
  </si>
  <si>
    <t>Breadth</t>
  </si>
  <si>
    <t>Unit weight</t>
  </si>
  <si>
    <t>Load Intensity</t>
  </si>
  <si>
    <t>Without Opening</t>
  </si>
  <si>
    <t>m</t>
  </si>
  <si>
    <t>230mm</t>
  </si>
  <si>
    <t>230*115*57</t>
  </si>
  <si>
    <t>Brick size</t>
  </si>
  <si>
    <t>115mm</t>
  </si>
  <si>
    <t>Height (m)</t>
  </si>
  <si>
    <t>Upto Beam</t>
  </si>
  <si>
    <t>Upto Slab</t>
  </si>
  <si>
    <t>KN/m3</t>
  </si>
  <si>
    <t>inch</t>
  </si>
  <si>
    <t>meter</t>
  </si>
  <si>
    <t>Steel size dia (mm)</t>
  </si>
  <si>
    <t>Steel bar area (A)</t>
  </si>
  <si>
    <t>2A</t>
  </si>
  <si>
    <t>4A</t>
  </si>
  <si>
    <t>8A</t>
  </si>
  <si>
    <t>4-16mm + 4-20mm</t>
  </si>
  <si>
    <t>For beam 6-12mm</t>
  </si>
  <si>
    <t>Floor</t>
  </si>
  <si>
    <t>GF &amp; FF</t>
  </si>
  <si>
    <t>SF &amp; above</t>
  </si>
  <si>
    <t>All</t>
  </si>
  <si>
    <t>With 25% opening</t>
  </si>
  <si>
    <t xml:space="preserve">Parapet wall load </t>
  </si>
  <si>
    <t>Wall</t>
  </si>
  <si>
    <t>Unit: KN/m</t>
  </si>
  <si>
    <t>opening</t>
  </si>
  <si>
    <t>Unit:KN/m</t>
  </si>
  <si>
    <t>resting on beam GF &amp;FF</t>
  </si>
  <si>
    <t>resting on beam SF &amp; above</t>
  </si>
  <si>
    <t>resting on slab GF &amp; FF</t>
  </si>
  <si>
    <t>resting on slab SF &amp; above</t>
  </si>
  <si>
    <r>
      <t xml:space="preserve">WL </t>
    </r>
    <r>
      <rPr>
        <b/>
        <sz val="11"/>
        <color theme="1"/>
        <rFont val="Times New Roman"/>
        <family val="1"/>
      </rPr>
      <t>(without opening)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</si>
</sst>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 0%"/>
    <numFmt numFmtId="165" formatCode="&quot; WL (with&quot;\ 0%\ &quot;opening)&quot;\ &quot;Unit: KN&quot;"/>
    <numFmt numFmtId="166" formatCode="#,##0&quot;''&quot;"/>
    <numFmt numFmtId="167" formatCode="#,##0.0&quot;''&quot;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2">
    <xf numFmtId="0" fontId="0" fillId="0" borderId="0" xfId="0"/>
    <xf numFmtId="0" fontId="0" fillId="0" borderId="1" xfId="0" applyBorder="1"/>
    <xf numFmtId="2" fontId="0" fillId="0" borderId="1" xfId="0" applyNumberFormat="1" applyBorder="1"/>
    <xf numFmtId="0" fontId="1" fillId="0" borderId="1" xfId="0" applyFont="1" applyBorder="1"/>
    <xf numFmtId="2" fontId="1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2" fontId="0" fillId="0" borderId="6" xfId="0" applyNumberFormat="1" applyBorder="1"/>
    <xf numFmtId="2" fontId="0" fillId="0" borderId="6" xfId="0" applyNumberForma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2" fontId="1" fillId="0" borderId="9" xfId="0" applyNumberFormat="1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2" fontId="0" fillId="0" borderId="3" xfId="0" applyNumberFormat="1" applyBorder="1"/>
    <xf numFmtId="2" fontId="1" fillId="0" borderId="3" xfId="0" applyNumberFormat="1" applyFont="1" applyBorder="1"/>
    <xf numFmtId="2" fontId="1" fillId="0" borderId="4" xfId="0" applyNumberFormat="1" applyFont="1" applyBorder="1"/>
    <xf numFmtId="0" fontId="0" fillId="2" borderId="1" xfId="0" applyFill="1" applyBorder="1"/>
    <xf numFmtId="2" fontId="0" fillId="2" borderId="1" xfId="0" applyNumberFormat="1" applyFill="1" applyBorder="1"/>
    <xf numFmtId="2" fontId="1" fillId="2" borderId="1" xfId="0" applyNumberFormat="1" applyFont="1" applyFill="1" applyBorder="1"/>
    <xf numFmtId="0" fontId="0" fillId="3" borderId="5" xfId="0" applyFill="1" applyBorder="1"/>
    <xf numFmtId="2" fontId="0" fillId="3" borderId="5" xfId="0" applyNumberFormat="1" applyFill="1" applyBorder="1"/>
    <xf numFmtId="2" fontId="1" fillId="3" borderId="5" xfId="0" applyNumberFormat="1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4" xfId="0" applyFont="1" applyBorder="1" applyAlignment="1">
      <alignment horizontal="centerContinuous" vertical="center" wrapText="1"/>
    </xf>
    <xf numFmtId="0" fontId="3" fillId="0" borderId="15" xfId="0" applyFont="1" applyBorder="1" applyAlignment="1">
      <alignment horizontal="center" vertical="center"/>
    </xf>
    <xf numFmtId="167" fontId="3" fillId="0" borderId="12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Continuous" vertical="center"/>
    </xf>
    <xf numFmtId="0" fontId="3" fillId="0" borderId="11" xfId="0" applyFont="1" applyBorder="1" applyAlignment="1">
      <alignment horizontal="centerContinuous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3" xfId="1" applyNumberFormat="1" applyFont="1" applyFill="1" applyBorder="1" applyAlignment="1" applyProtection="1">
      <alignment horizontal="centerContinuous" vertical="center" wrapText="1"/>
    </xf>
    <xf numFmtId="2" fontId="4" fillId="0" borderId="11" xfId="0" applyNumberFormat="1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166" fontId="3" fillId="0" borderId="12" xfId="0" applyNumberFormat="1" applyFont="1" applyBorder="1" applyAlignment="1">
      <alignment horizontal="center" vertical="center" wrapText="1"/>
    </xf>
    <xf numFmtId="2" fontId="4" fillId="0" borderId="18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horizontal="left" vertical="center" wrapText="1"/>
    </xf>
    <xf numFmtId="2" fontId="4" fillId="0" borderId="28" xfId="0" applyNumberFormat="1" applyFont="1" applyBorder="1" applyAlignment="1">
      <alignment horizontal="center" vertical="center"/>
    </xf>
    <xf numFmtId="2" fontId="4" fillId="0" borderId="29" xfId="0" applyNumberFormat="1" applyFont="1" applyBorder="1" applyAlignment="1">
      <alignment horizontal="center" vertical="center"/>
    </xf>
    <xf numFmtId="0" fontId="3" fillId="6" borderId="10" xfId="0" applyFont="1" applyFill="1" applyBorder="1" applyAlignment="1">
      <alignment horizontal="left" vertical="center" wrapText="1"/>
    </xf>
    <xf numFmtId="2" fontId="3" fillId="6" borderId="19" xfId="0" applyNumberFormat="1" applyFont="1" applyFill="1" applyBorder="1" applyAlignment="1">
      <alignment horizontal="center" vertical="center"/>
    </xf>
    <xf numFmtId="2" fontId="3" fillId="6" borderId="20" xfId="0" applyNumberFormat="1" applyFont="1" applyFill="1" applyBorder="1" applyAlignment="1">
      <alignment horizontal="center" vertical="center"/>
    </xf>
    <xf numFmtId="2" fontId="3" fillId="6" borderId="21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2" fontId="3" fillId="7" borderId="25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2" fontId="3" fillId="7" borderId="26" xfId="0" applyNumberFormat="1" applyFont="1" applyFill="1" applyBorder="1" applyAlignment="1">
      <alignment horizontal="center" vertical="center"/>
    </xf>
    <xf numFmtId="164" fontId="5" fillId="5" borderId="10" xfId="1" applyNumberFormat="1" applyFont="1" applyFill="1" applyBorder="1" applyAlignment="1" applyProtection="1">
      <alignment horizontal="center" vertical="center" wrapText="1"/>
      <protection locked="0"/>
    </xf>
    <xf numFmtId="164" fontId="5" fillId="5" borderId="11" xfId="1" applyNumberFormat="1" applyFont="1" applyFill="1" applyBorder="1" applyAlignment="1" applyProtection="1">
      <alignment horizontal="center" vertical="center" wrapText="1"/>
      <protection locked="0"/>
    </xf>
    <xf numFmtId="165" fontId="5" fillId="5" borderId="18" xfId="1" applyNumberFormat="1" applyFont="1" applyFill="1" applyBorder="1" applyAlignment="1" applyProtection="1">
      <alignment horizontal="center" vertical="center"/>
    </xf>
    <xf numFmtId="165" fontId="6" fillId="5" borderId="16" xfId="1" applyNumberFormat="1" applyFont="1" applyFill="1" applyBorder="1" applyAlignment="1" applyProtection="1">
      <alignment horizontal="center" vertical="center"/>
    </xf>
    <xf numFmtId="0" fontId="3" fillId="7" borderId="27" xfId="0" applyFont="1" applyFill="1" applyBorder="1" applyAlignment="1">
      <alignment horizontal="left" vertical="center" wrapText="1"/>
    </xf>
    <xf numFmtId="2" fontId="3" fillId="7" borderId="22" xfId="0" applyNumberFormat="1" applyFont="1" applyFill="1" applyBorder="1" applyAlignment="1">
      <alignment horizontal="center" vertical="center"/>
    </xf>
    <xf numFmtId="2" fontId="3" fillId="7" borderId="23" xfId="0" applyNumberFormat="1" applyFont="1" applyFill="1" applyBorder="1" applyAlignment="1">
      <alignment horizontal="center" vertical="center"/>
    </xf>
    <xf numFmtId="2" fontId="3" fillId="7" borderId="24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4"/>
  <sheetViews>
    <sheetView workbookViewId="0">
      <selection activeCell="B4" sqref="B4"/>
    </sheetView>
  </sheetViews>
  <sheetFormatPr defaultRowHeight="15" x14ac:dyDescent="0.25"/>
  <sheetData>
    <row r="1" spans="2:5" x14ac:dyDescent="0.25">
      <c r="B1" t="s">
        <v>1</v>
      </c>
      <c r="C1" t="s">
        <v>2</v>
      </c>
    </row>
    <row r="2" spans="2:5" x14ac:dyDescent="0.25">
      <c r="B2">
        <v>0.5</v>
      </c>
      <c r="C2">
        <v>1</v>
      </c>
    </row>
    <row r="3" spans="2:5" x14ac:dyDescent="0.25">
      <c r="B3">
        <v>0.71799999999999997</v>
      </c>
      <c r="C3">
        <f>(((C4-C2)/(B4-B2))*(B3-B2))+C2</f>
        <v>1.109</v>
      </c>
      <c r="E3" t="s">
        <v>0</v>
      </c>
    </row>
    <row r="4" spans="2:5" x14ac:dyDescent="0.25">
      <c r="B4">
        <v>2.5</v>
      </c>
      <c r="C4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F103-52A0-4D11-811D-43BFE2FAABA8}">
  <dimension ref="A1:P27"/>
  <sheetViews>
    <sheetView tabSelected="1" topLeftCell="A16" zoomScaleNormal="100" workbookViewId="0">
      <selection activeCell="K20" sqref="K20:K22"/>
    </sheetView>
  </sheetViews>
  <sheetFormatPr defaultRowHeight="15" x14ac:dyDescent="0.25"/>
  <cols>
    <col min="1" max="1" width="11" bestFit="1" customWidth="1"/>
    <col min="2" max="2" width="11" customWidth="1"/>
    <col min="3" max="3" width="11.28515625" bestFit="1" customWidth="1"/>
    <col min="4" max="4" width="8" bestFit="1" customWidth="1"/>
    <col min="5" max="5" width="10.7109375" bestFit="1" customWidth="1"/>
    <col min="6" max="6" width="9.42578125" bestFit="1" customWidth="1"/>
    <col min="7" max="10" width="11" bestFit="1" customWidth="1"/>
    <col min="11" max="11" width="16.140625" customWidth="1"/>
    <col min="12" max="12" width="12.140625" customWidth="1"/>
    <col min="13" max="13" width="9.42578125" customWidth="1"/>
    <col min="14" max="14" width="7.42578125" bestFit="1" customWidth="1"/>
    <col min="15" max="15" width="7.140625" bestFit="1" customWidth="1"/>
    <col min="16" max="17" width="16.28515625" bestFit="1" customWidth="1"/>
  </cols>
  <sheetData>
    <row r="1" spans="1:10" x14ac:dyDescent="0.25">
      <c r="A1" s="8" t="s">
        <v>3</v>
      </c>
      <c r="B1" s="8" t="s">
        <v>26</v>
      </c>
      <c r="C1" s="3" t="s">
        <v>5</v>
      </c>
      <c r="D1" s="3" t="s">
        <v>4</v>
      </c>
      <c r="E1" s="9" t="s">
        <v>13</v>
      </c>
      <c r="F1" s="9"/>
      <c r="G1" s="8" t="s">
        <v>6</v>
      </c>
      <c r="H1" s="8"/>
      <c r="I1" s="8"/>
      <c r="J1" s="8"/>
    </row>
    <row r="2" spans="1:10" x14ac:dyDescent="0.25">
      <c r="A2" s="8"/>
      <c r="B2" s="8"/>
      <c r="C2" s="3" t="s">
        <v>16</v>
      </c>
      <c r="D2" s="3" t="s">
        <v>8</v>
      </c>
      <c r="E2" s="3" t="s">
        <v>14</v>
      </c>
      <c r="F2" s="3" t="s">
        <v>15</v>
      </c>
      <c r="G2" s="28" t="s">
        <v>7</v>
      </c>
      <c r="H2" s="28"/>
      <c r="I2" s="28" t="s">
        <v>30</v>
      </c>
      <c r="J2" s="28"/>
    </row>
    <row r="3" spans="1:10" x14ac:dyDescent="0.25">
      <c r="A3" s="22" t="s">
        <v>9</v>
      </c>
      <c r="B3" s="22" t="s">
        <v>27</v>
      </c>
      <c r="C3" s="23">
        <v>19.2</v>
      </c>
      <c r="D3" s="23">
        <v>0.23</v>
      </c>
      <c r="E3" s="23">
        <f>E14</f>
        <v>2.8448000000000002</v>
      </c>
      <c r="F3" s="23">
        <f>E15</f>
        <v>3.0733999999999999</v>
      </c>
      <c r="G3" s="24">
        <f>D3*E3*C3</f>
        <v>12.562636800000002</v>
      </c>
      <c r="H3" s="24">
        <f>D3*F3*C3</f>
        <v>13.572134399999999</v>
      </c>
      <c r="I3" s="24">
        <f>0.75*G3</f>
        <v>9.4219776000000017</v>
      </c>
      <c r="J3" s="24">
        <f>0.75*H3</f>
        <v>10.179100800000001</v>
      </c>
    </row>
    <row r="4" spans="1:10" x14ac:dyDescent="0.25">
      <c r="A4" s="10"/>
      <c r="B4" s="25" t="s">
        <v>28</v>
      </c>
      <c r="C4" s="26"/>
      <c r="D4" s="26"/>
      <c r="E4" s="26">
        <f>E16</f>
        <v>2.54</v>
      </c>
      <c r="F4" s="26">
        <f>E17</f>
        <v>2.7686000000000002</v>
      </c>
      <c r="G4" s="27">
        <f>D3*E4*C3</f>
        <v>11.21664</v>
      </c>
      <c r="H4" s="27">
        <f>D3*F4*C3</f>
        <v>12.226137600000001</v>
      </c>
      <c r="I4" s="27">
        <f>0.75*G4</f>
        <v>8.4124800000000004</v>
      </c>
      <c r="J4" s="27">
        <f>0.75*H4</f>
        <v>9.169603200000001</v>
      </c>
    </row>
    <row r="5" spans="1:10" x14ac:dyDescent="0.25">
      <c r="A5" s="17"/>
      <c r="B5" s="18"/>
      <c r="C5" s="19"/>
      <c r="D5" s="19"/>
      <c r="E5" s="19"/>
      <c r="F5" s="19"/>
      <c r="G5" s="20"/>
      <c r="H5" s="20"/>
      <c r="I5" s="20"/>
      <c r="J5" s="21"/>
    </row>
    <row r="6" spans="1:10" x14ac:dyDescent="0.25">
      <c r="A6" s="22" t="s">
        <v>12</v>
      </c>
      <c r="B6" s="22" t="s">
        <v>27</v>
      </c>
      <c r="C6" s="23">
        <v>19.2</v>
      </c>
      <c r="D6" s="23">
        <v>0.115</v>
      </c>
      <c r="E6" s="23">
        <f>E3</f>
        <v>2.8448000000000002</v>
      </c>
      <c r="F6" s="23">
        <f>F3</f>
        <v>3.0733999999999999</v>
      </c>
      <c r="G6" s="24">
        <f>D6*E6*C6</f>
        <v>6.2813184000000009</v>
      </c>
      <c r="H6" s="24">
        <f>D6*F6*C6</f>
        <v>6.7860671999999997</v>
      </c>
      <c r="I6" s="24">
        <f>0.75*G6</f>
        <v>4.7109888000000009</v>
      </c>
      <c r="J6" s="24">
        <f>0.75*H6</f>
        <v>5.0895504000000003</v>
      </c>
    </row>
    <row r="7" spans="1:10" x14ac:dyDescent="0.25">
      <c r="A7" s="10"/>
      <c r="B7" s="25" t="s">
        <v>28</v>
      </c>
      <c r="C7" s="26"/>
      <c r="D7" s="26"/>
      <c r="E7" s="26">
        <f>E4</f>
        <v>2.54</v>
      </c>
      <c r="F7" s="26">
        <f>F4</f>
        <v>2.7686000000000002</v>
      </c>
      <c r="G7" s="27">
        <f>D6*E7*C6</f>
        <v>5.60832</v>
      </c>
      <c r="H7" s="27">
        <f>D6*F7*C6</f>
        <v>6.1130688000000006</v>
      </c>
      <c r="I7" s="27">
        <f>0.75*G7</f>
        <v>4.2062400000000002</v>
      </c>
      <c r="J7" s="27">
        <f>0.75*H7</f>
        <v>4.5848016000000005</v>
      </c>
    </row>
    <row r="8" spans="1:10" x14ac:dyDescent="0.25">
      <c r="A8" s="17"/>
      <c r="B8" s="18"/>
      <c r="C8" s="19"/>
      <c r="D8" s="19"/>
      <c r="E8" s="19"/>
      <c r="F8" s="19"/>
      <c r="G8" s="20"/>
      <c r="H8" s="20"/>
      <c r="I8" s="20"/>
      <c r="J8" s="21"/>
    </row>
    <row r="9" spans="1:10" x14ac:dyDescent="0.25">
      <c r="A9" s="11" t="s">
        <v>12</v>
      </c>
      <c r="B9" s="11" t="s">
        <v>29</v>
      </c>
      <c r="C9" s="12">
        <v>19.2</v>
      </c>
      <c r="D9" s="12">
        <v>0.115</v>
      </c>
      <c r="E9" s="13">
        <f>E18</f>
        <v>0.91439999999999999</v>
      </c>
      <c r="F9" s="13"/>
      <c r="G9" s="14">
        <f>D9*E9*C9</f>
        <v>2.0189952</v>
      </c>
      <c r="H9" s="15"/>
      <c r="I9" s="15"/>
      <c r="J9" s="16"/>
    </row>
    <row r="13" spans="1:10" x14ac:dyDescent="0.25">
      <c r="A13" s="3" t="s">
        <v>11</v>
      </c>
      <c r="B13" s="7"/>
      <c r="D13" s="3" t="s">
        <v>17</v>
      </c>
      <c r="E13" s="3" t="s">
        <v>18</v>
      </c>
    </row>
    <row r="14" spans="1:10" x14ac:dyDescent="0.25">
      <c r="A14" s="1" t="s">
        <v>10</v>
      </c>
      <c r="D14" s="1">
        <f>9*12+4</f>
        <v>112</v>
      </c>
      <c r="E14" s="2">
        <f>CONVERT(D14,"in","m")</f>
        <v>2.8448000000000002</v>
      </c>
    </row>
    <row r="15" spans="1:10" x14ac:dyDescent="0.25">
      <c r="D15" s="1">
        <f>10*12+1</f>
        <v>121</v>
      </c>
      <c r="E15" s="2">
        <f>CONVERT(D15,"in","m")</f>
        <v>3.0733999999999999</v>
      </c>
    </row>
    <row r="16" spans="1:10" x14ac:dyDescent="0.25">
      <c r="D16" s="1">
        <f>8*12+4</f>
        <v>100</v>
      </c>
      <c r="E16" s="2">
        <f>CONVERT(D16,"in","m")</f>
        <v>2.54</v>
      </c>
    </row>
    <row r="17" spans="4:16" x14ac:dyDescent="0.25">
      <c r="D17" s="1">
        <f>9*12+1</f>
        <v>109</v>
      </c>
      <c r="E17" s="2">
        <f>CONVERT(D17,"in","m")</f>
        <v>2.7686000000000002</v>
      </c>
    </row>
    <row r="18" spans="4:16" x14ac:dyDescent="0.25">
      <c r="D18" s="1">
        <f>3*12</f>
        <v>36</v>
      </c>
      <c r="E18" s="2">
        <f>CONVERT(D18,"in","m")</f>
        <v>0.91439999999999999</v>
      </c>
    </row>
    <row r="19" spans="4:16" ht="15.75" thickBot="1" x14ac:dyDescent="0.3"/>
    <row r="20" spans="4:16" x14ac:dyDescent="0.25">
      <c r="K20" s="32" t="s">
        <v>32</v>
      </c>
      <c r="L20" s="35" t="s">
        <v>40</v>
      </c>
      <c r="M20" s="36"/>
      <c r="N20" s="54">
        <v>0.25</v>
      </c>
      <c r="O20" s="55"/>
      <c r="P20" s="37" t="s">
        <v>31</v>
      </c>
    </row>
    <row r="21" spans="4:16" ht="15.75" thickBot="1" x14ac:dyDescent="0.3">
      <c r="K21" s="33"/>
      <c r="L21" s="38" t="s">
        <v>33</v>
      </c>
      <c r="M21" s="29"/>
      <c r="N21" s="57" t="s">
        <v>34</v>
      </c>
      <c r="O21" s="56"/>
      <c r="P21" s="30" t="s">
        <v>35</v>
      </c>
    </row>
    <row r="22" spans="4:16" ht="15.75" thickBot="1" x14ac:dyDescent="0.3">
      <c r="K22" s="34"/>
      <c r="L22" s="41" t="str">
        <f>A3</f>
        <v>230mm</v>
      </c>
      <c r="M22" s="31" t="str">
        <f>A6</f>
        <v>115mm</v>
      </c>
      <c r="N22" s="41" t="str">
        <f>+L22</f>
        <v>230mm</v>
      </c>
      <c r="O22" s="31" t="str">
        <f>+M22</f>
        <v>115mm</v>
      </c>
      <c r="P22" s="31" t="str">
        <f>+M22</f>
        <v>115mm</v>
      </c>
    </row>
    <row r="23" spans="4:16" ht="30.75" thickBot="1" x14ac:dyDescent="0.3">
      <c r="K23" s="46" t="s">
        <v>36</v>
      </c>
      <c r="L23" s="47">
        <f>G3</f>
        <v>12.562636800000002</v>
      </c>
      <c r="M23" s="48">
        <f>G6</f>
        <v>6.2813184000000009</v>
      </c>
      <c r="N23" s="48">
        <f>I3</f>
        <v>9.4219776000000017</v>
      </c>
      <c r="O23" s="49">
        <f>I6</f>
        <v>4.7109888000000009</v>
      </c>
      <c r="P23" s="39">
        <f>G9</f>
        <v>2.0189952</v>
      </c>
    </row>
    <row r="24" spans="4:16" ht="30.75" thickBot="1" x14ac:dyDescent="0.3">
      <c r="K24" s="50" t="s">
        <v>37</v>
      </c>
      <c r="L24" s="51">
        <f>G4</f>
        <v>11.21664</v>
      </c>
      <c r="M24" s="52">
        <f>G7</f>
        <v>5.60832</v>
      </c>
      <c r="N24" s="52">
        <f>I4</f>
        <v>8.4124800000000004</v>
      </c>
      <c r="O24" s="53">
        <f>I7</f>
        <v>4.2062400000000002</v>
      </c>
      <c r="P24" s="40"/>
    </row>
    <row r="25" spans="4:16" ht="15.75" thickBot="1" x14ac:dyDescent="0.3">
      <c r="K25" s="43"/>
      <c r="L25" s="44"/>
      <c r="M25" s="44"/>
      <c r="N25" s="44"/>
      <c r="O25" s="45"/>
      <c r="P25" s="40"/>
    </row>
    <row r="26" spans="4:16" ht="30.75" thickBot="1" x14ac:dyDescent="0.3">
      <c r="K26" s="46" t="s">
        <v>38</v>
      </c>
      <c r="L26" s="47">
        <f>H3</f>
        <v>13.572134399999999</v>
      </c>
      <c r="M26" s="48">
        <f>H6</f>
        <v>6.7860671999999997</v>
      </c>
      <c r="N26" s="48">
        <f>J3</f>
        <v>10.179100800000001</v>
      </c>
      <c r="O26" s="49">
        <f>J6</f>
        <v>5.0895504000000003</v>
      </c>
      <c r="P26" s="40"/>
    </row>
    <row r="27" spans="4:16" ht="30.75" thickBot="1" x14ac:dyDescent="0.3">
      <c r="K27" s="58" t="s">
        <v>39</v>
      </c>
      <c r="L27" s="59">
        <f>H4</f>
        <v>12.226137600000001</v>
      </c>
      <c r="M27" s="60">
        <f>H7</f>
        <v>6.1130688000000006</v>
      </c>
      <c r="N27" s="60">
        <f>J4</f>
        <v>9.169603200000001</v>
      </c>
      <c r="O27" s="61">
        <f>J7</f>
        <v>4.5848016000000005</v>
      </c>
      <c r="P27" s="42"/>
    </row>
  </sheetData>
  <mergeCells count="12">
    <mergeCell ref="N20:O20"/>
    <mergeCell ref="N21:O21"/>
    <mergeCell ref="P23:P27"/>
    <mergeCell ref="K20:K22"/>
    <mergeCell ref="E9:F9"/>
    <mergeCell ref="A1:A2"/>
    <mergeCell ref="E1:F1"/>
    <mergeCell ref="G1:J1"/>
    <mergeCell ref="G2:H2"/>
    <mergeCell ref="I2:J2"/>
    <mergeCell ref="B1:B2"/>
    <mergeCell ref="G9:J9"/>
  </mergeCells>
  <printOptions horizontalCentere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53DFB-C26A-4789-93E0-5F02EDBF3A4E}">
  <dimension ref="A1:H12"/>
  <sheetViews>
    <sheetView workbookViewId="0">
      <selection activeCell="H9" sqref="H9"/>
    </sheetView>
  </sheetViews>
  <sheetFormatPr defaultRowHeight="15" x14ac:dyDescent="0.25"/>
  <cols>
    <col min="1" max="1" width="18.140625" bestFit="1" customWidth="1"/>
    <col min="2" max="2" width="16.42578125" bestFit="1" customWidth="1"/>
    <col min="3" max="3" width="12" customWidth="1"/>
    <col min="4" max="4" width="12.85546875" customWidth="1"/>
    <col min="5" max="5" width="12.140625" customWidth="1"/>
    <col min="6" max="6" width="17.42578125" bestFit="1" customWidth="1"/>
    <col min="7" max="8" width="16.7109375" bestFit="1" customWidth="1"/>
  </cols>
  <sheetData>
    <row r="1" spans="1:8" s="6" customFormat="1" x14ac:dyDescent="0.25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25</v>
      </c>
    </row>
    <row r="2" spans="1:8" x14ac:dyDescent="0.25">
      <c r="A2" s="1">
        <v>8</v>
      </c>
      <c r="B2" s="2">
        <f>(A2*A2*PI())/4</f>
        <v>50.26548245743669</v>
      </c>
      <c r="C2" s="2">
        <f>2*B2</f>
        <v>100.53096491487338</v>
      </c>
      <c r="D2" s="2">
        <f>4*B2</f>
        <v>201.06192982974676</v>
      </c>
      <c r="E2" s="2">
        <f>8*B2</f>
        <v>402.12385965949352</v>
      </c>
      <c r="F2" s="1"/>
      <c r="G2" s="5"/>
      <c r="H2" s="5"/>
    </row>
    <row r="3" spans="1:8" x14ac:dyDescent="0.25">
      <c r="A3" s="1"/>
      <c r="B3" s="2"/>
      <c r="C3" s="2"/>
      <c r="D3" s="2"/>
      <c r="E3" s="2"/>
      <c r="F3" s="1"/>
      <c r="G3" s="5"/>
      <c r="H3" s="5"/>
    </row>
    <row r="4" spans="1:8" x14ac:dyDescent="0.25">
      <c r="A4" s="1">
        <v>10</v>
      </c>
      <c r="B4" s="2">
        <f t="shared" ref="B4:B12" si="0">(A4*A4*PI())/4</f>
        <v>78.539816339744831</v>
      </c>
      <c r="C4" s="2">
        <f t="shared" ref="C4:C12" si="1">2*B4</f>
        <v>157.07963267948966</v>
      </c>
      <c r="D4" s="2">
        <f t="shared" ref="D4:D12" si="2">4*B4</f>
        <v>314.15926535897933</v>
      </c>
      <c r="E4" s="2">
        <f t="shared" ref="E4:E12" si="3">8*B4</f>
        <v>628.31853071795865</v>
      </c>
      <c r="F4" s="1"/>
      <c r="G4" s="5"/>
      <c r="H4" s="5"/>
    </row>
    <row r="5" spans="1:8" x14ac:dyDescent="0.25">
      <c r="A5" s="1"/>
      <c r="B5" s="2"/>
      <c r="C5" s="2"/>
      <c r="D5" s="2"/>
      <c r="E5" s="2"/>
      <c r="F5" s="1"/>
      <c r="G5" s="5"/>
      <c r="H5" s="5"/>
    </row>
    <row r="6" spans="1:8" x14ac:dyDescent="0.25">
      <c r="A6" s="1">
        <v>12</v>
      </c>
      <c r="B6" s="2">
        <f t="shared" si="0"/>
        <v>113.09733552923255</v>
      </c>
      <c r="C6" s="2">
        <f t="shared" si="1"/>
        <v>226.1946710584651</v>
      </c>
      <c r="D6" s="2">
        <f t="shared" si="2"/>
        <v>452.38934211693021</v>
      </c>
      <c r="E6" s="2">
        <f t="shared" si="3"/>
        <v>904.77868423386042</v>
      </c>
      <c r="F6" s="1"/>
      <c r="G6" s="5">
        <f>6*B6</f>
        <v>678.58401317539528</v>
      </c>
      <c r="H6" s="5"/>
    </row>
    <row r="7" spans="1:8" x14ac:dyDescent="0.25">
      <c r="A7" s="1"/>
      <c r="B7" s="2"/>
      <c r="C7" s="2"/>
      <c r="D7" s="2"/>
      <c r="E7" s="2"/>
      <c r="F7" s="1"/>
      <c r="G7" s="5"/>
      <c r="H7" s="5"/>
    </row>
    <row r="8" spans="1:8" x14ac:dyDescent="0.25">
      <c r="A8" s="3">
        <v>16</v>
      </c>
      <c r="B8" s="2">
        <f t="shared" si="0"/>
        <v>201.06192982974676</v>
      </c>
      <c r="C8" s="2">
        <f t="shared" si="1"/>
        <v>402.12385965949352</v>
      </c>
      <c r="D8" s="2">
        <f t="shared" si="2"/>
        <v>804.24771931898704</v>
      </c>
      <c r="E8" s="4">
        <f t="shared" si="3"/>
        <v>1608.4954386379741</v>
      </c>
      <c r="F8" s="3"/>
      <c r="G8" s="5"/>
      <c r="H8" s="5">
        <f>4*B8</f>
        <v>804.24771931898704</v>
      </c>
    </row>
    <row r="9" spans="1:8" x14ac:dyDescent="0.25">
      <c r="A9" s="3"/>
      <c r="B9" s="2"/>
      <c r="C9" s="2"/>
      <c r="D9" s="2"/>
      <c r="E9" s="4"/>
      <c r="F9" s="4">
        <f>D8+D10</f>
        <v>2060.8847807549046</v>
      </c>
      <c r="G9" s="5"/>
      <c r="H9" s="5"/>
    </row>
    <row r="10" spans="1:8" x14ac:dyDescent="0.25">
      <c r="A10" s="3">
        <v>20</v>
      </c>
      <c r="B10" s="2">
        <f t="shared" si="0"/>
        <v>314.15926535897933</v>
      </c>
      <c r="C10" s="2">
        <f t="shared" si="1"/>
        <v>628.31853071795865</v>
      </c>
      <c r="D10" s="2">
        <f t="shared" si="2"/>
        <v>1256.6370614359173</v>
      </c>
      <c r="E10" s="4">
        <f t="shared" si="3"/>
        <v>2513.2741228718346</v>
      </c>
      <c r="F10" s="3"/>
      <c r="G10" s="5"/>
      <c r="H10" s="5"/>
    </row>
    <row r="11" spans="1:8" x14ac:dyDescent="0.25">
      <c r="A11" s="1"/>
      <c r="B11" s="2"/>
      <c r="C11" s="2"/>
      <c r="D11" s="2"/>
      <c r="E11" s="2"/>
      <c r="F11" s="1"/>
      <c r="G11" s="5"/>
      <c r="H11" s="5"/>
    </row>
    <row r="12" spans="1:8" x14ac:dyDescent="0.25">
      <c r="A12" s="1">
        <v>25</v>
      </c>
      <c r="B12" s="2">
        <f t="shared" si="0"/>
        <v>490.87385212340519</v>
      </c>
      <c r="C12" s="2">
        <f t="shared" si="1"/>
        <v>981.74770424681037</v>
      </c>
      <c r="D12" s="2">
        <f t="shared" si="2"/>
        <v>1963.4954084936207</v>
      </c>
      <c r="E12" s="2">
        <f t="shared" si="3"/>
        <v>3926.9908169872415</v>
      </c>
      <c r="F12" s="1"/>
      <c r="G12" s="5"/>
      <c r="H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Interpoaltion</vt:lpstr>
      <vt:lpstr>wall load</vt:lpstr>
      <vt:lpstr>Sheet1</vt:lpstr>
      <vt:lpstr>'wall load'!Print_Area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2026-09-23T10:40:08Z</dcterms:modified>
</cp:coreProperties>
</file>