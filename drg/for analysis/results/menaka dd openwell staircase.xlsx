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082_083\ward1\drg\for analysis\results\"/>
    </mc:Choice>
  </mc:AlternateContent>
  <bookViews>
    <workbookView xWindow="-120" yWindow="-120" windowWidth="21840" windowHeight="13020" activeTab="2"/>
  </bookViews>
  <sheets>
    <sheet name="Sheet1" sheetId="1" r:id="rId1"/>
    <sheet name="dog-legged staircase" sheetId="2" r:id="rId2"/>
    <sheet name="openwell staircase " sheetId="7" r:id="rId3"/>
  </sheets>
  <definedNames>
    <definedName name="_xlnm.Print_Area" localSheetId="1">'dog-legged staircase'!$A$1:$I$138</definedName>
    <definedName name="_xlnm.Print_Area" localSheetId="2">'openwell staircase '!$A$1:$I$263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7" l="1"/>
  <c r="E246" i="7" a="1"/>
  <c r="E246" i="7" s="1"/>
  <c r="E242" i="7"/>
  <c r="E152" i="7"/>
  <c r="E156" i="7" s="1"/>
  <c r="E151" i="7"/>
  <c r="A259" i="7"/>
  <c r="A262" i="7"/>
  <c r="A255" i="7"/>
  <c r="A263" i="7" s="1"/>
  <c r="E247" i="7" a="1"/>
  <c r="E247" i="7" s="1"/>
  <c r="E241" i="7"/>
  <c r="E235" i="7"/>
  <c r="E230" i="7"/>
  <c r="A216" i="7"/>
  <c r="C212" i="7"/>
  <c r="C211" i="7"/>
  <c r="A210" i="7"/>
  <c r="C197" i="7"/>
  <c r="C196" i="7"/>
  <c r="G184" i="7"/>
  <c r="B184" i="7"/>
  <c r="E172" i="7"/>
  <c r="E165" i="7"/>
  <c r="E155" i="7"/>
  <c r="A146" i="7"/>
  <c r="A260" i="7" s="1"/>
  <c r="E137" i="7" a="1"/>
  <c r="E137" i="7" s="1"/>
  <c r="E121" i="7"/>
  <c r="A102" i="7"/>
  <c r="C88" i="7"/>
  <c r="E64" i="7"/>
  <c r="B64" i="7"/>
  <c r="G64" i="7"/>
  <c r="E26" i="7"/>
  <c r="E32" i="7" s="1"/>
  <c r="E11" i="7"/>
  <c r="E9" i="7"/>
  <c r="E184" i="7" s="1"/>
  <c r="E25" i="7"/>
  <c r="E186" i="7" l="1"/>
  <c r="E158" i="7"/>
  <c r="E159" i="7"/>
  <c r="F159" i="7" s="1"/>
  <c r="E66" i="7"/>
  <c r="E173" i="7" l="1"/>
  <c r="E166" i="7"/>
  <c r="C206" i="7"/>
  <c r="E250" i="7" s="1"/>
  <c r="E160" i="7"/>
  <c r="C223" i="7" l="1"/>
  <c r="C213" i="7"/>
  <c r="E238" i="7"/>
  <c r="E237" i="7"/>
  <c r="C202" i="7"/>
  <c r="E253" i="7"/>
  <c r="C224" i="7"/>
  <c r="F242" i="7" s="1"/>
  <c r="E251" i="7"/>
  <c r="E138" i="7" l="1" a="1"/>
  <c r="E138" i="7" s="1"/>
  <c r="E126" i="7"/>
  <c r="E133" i="7"/>
  <c r="A107" i="7"/>
  <c r="C104" i="7"/>
  <c r="C103" i="7"/>
  <c r="C87" i="7"/>
  <c r="F50" i="7"/>
  <c r="E50" i="7"/>
  <c r="F49" i="7"/>
  <c r="E49" i="7"/>
  <c r="E44" i="7"/>
  <c r="E167" i="7" s="1"/>
  <c r="E40" i="7"/>
  <c r="F39" i="7"/>
  <c r="E164" i="7" s="1"/>
  <c r="E39" i="7"/>
  <c r="E31" i="7"/>
  <c r="E35" i="7"/>
  <c r="F35" i="7" s="1"/>
  <c r="E136" i="2"/>
  <c r="E126" i="2"/>
  <c r="C82" i="2"/>
  <c r="E46" i="2"/>
  <c r="E38" i="2"/>
  <c r="E27" i="2"/>
  <c r="A138" i="2"/>
  <c r="E131" i="2" a="1"/>
  <c r="E131" i="2" s="1"/>
  <c r="E130" i="2" a="1"/>
  <c r="E130" i="2" s="1"/>
  <c r="E114" i="2"/>
  <c r="E119" i="2"/>
  <c r="A100" i="2"/>
  <c r="C81" i="2"/>
  <c r="C80" i="2"/>
  <c r="E171" i="7" l="1"/>
  <c r="E174" i="7" s="1"/>
  <c r="E175" i="7" s="1"/>
  <c r="E168" i="7"/>
  <c r="E169" i="7" s="1"/>
  <c r="E177" i="7" s="1"/>
  <c r="E42" i="7"/>
  <c r="E45" i="7" s="1"/>
  <c r="E36" i="7"/>
  <c r="E144" i="7" s="1"/>
  <c r="C97" i="7"/>
  <c r="C105" i="7"/>
  <c r="E52" i="7"/>
  <c r="E53" i="7" s="1"/>
  <c r="C98" i="7"/>
  <c r="B69" i="7"/>
  <c r="B71" i="7" s="1"/>
  <c r="E34" i="7"/>
  <c r="E132" i="7"/>
  <c r="E125" i="2"/>
  <c r="E128" i="7" l="1"/>
  <c r="G179" i="7"/>
  <c r="B179" i="7"/>
  <c r="E141" i="7"/>
  <c r="E142" i="7"/>
  <c r="C115" i="7"/>
  <c r="F133" i="7" s="1"/>
  <c r="C114" i="7"/>
  <c r="E129" i="7"/>
  <c r="E54" i="7"/>
  <c r="E55" i="7"/>
  <c r="B59" i="7" s="1"/>
  <c r="E46" i="7"/>
  <c r="E47" i="7"/>
  <c r="E57" i="7" s="1"/>
  <c r="C93" i="7"/>
  <c r="G57" i="2"/>
  <c r="B57" i="2"/>
  <c r="E57" i="2"/>
  <c r="E191" i="7" l="1"/>
  <c r="E193" i="7" s="1"/>
  <c r="G59" i="7"/>
  <c r="C70" i="7" s="1"/>
  <c r="E59" i="2"/>
  <c r="B62" i="2"/>
  <c r="B64" i="2" s="1"/>
  <c r="C198" i="7" l="1"/>
  <c r="D198" i="7" s="1"/>
  <c r="C203" i="7"/>
  <c r="B197" i="7"/>
  <c r="B202" i="7" s="1"/>
  <c r="C219" i="7"/>
  <c r="C220" i="7"/>
  <c r="E220" i="7" s="1"/>
  <c r="C71" i="7"/>
  <c r="C72" i="7" s="1"/>
  <c r="C69" i="7"/>
  <c r="C75" i="7"/>
  <c r="C74" i="7"/>
  <c r="E19" i="1"/>
  <c r="F43" i="2"/>
  <c r="F42" i="2"/>
  <c r="E43" i="2"/>
  <c r="E42" i="2"/>
  <c r="F33" i="2"/>
  <c r="E37" i="2"/>
  <c r="E32" i="2"/>
  <c r="F32" i="2"/>
  <c r="E33" i="2"/>
  <c r="E16" i="1"/>
  <c r="E24" i="2"/>
  <c r="E19" i="2"/>
  <c r="E18" i="2"/>
  <c r="E236" i="7" l="1"/>
  <c r="C209" i="7"/>
  <c r="C208" i="7"/>
  <c r="B75" i="7"/>
  <c r="C79" i="7"/>
  <c r="C80" i="7"/>
  <c r="C84" i="7" s="1"/>
  <c r="C89" i="7" s="1"/>
  <c r="C76" i="7"/>
  <c r="C110" i="7" s="1"/>
  <c r="E25" i="2"/>
  <c r="C83" i="7" l="1"/>
  <c r="C111" i="7"/>
  <c r="E111" i="7" s="1"/>
  <c r="D89" i="7"/>
  <c r="B88" i="7"/>
  <c r="B93" i="7" s="1"/>
  <c r="C94" i="7"/>
  <c r="E28" i="2"/>
  <c r="F28" i="2" s="1"/>
  <c r="E29" i="2" s="1"/>
  <c r="C100" i="7" l="1"/>
  <c r="C101" i="7"/>
  <c r="E127" i="7"/>
  <c r="E35" i="2"/>
  <c r="C90" i="2"/>
  <c r="C91" i="2"/>
  <c r="E45" i="2"/>
  <c r="C107" i="2"/>
  <c r="C108" i="2"/>
  <c r="F126" i="2" s="1"/>
  <c r="C86" i="2"/>
  <c r="E40" i="2"/>
  <c r="E39" i="2"/>
  <c r="E47" i="2" l="1"/>
  <c r="E48" i="2"/>
  <c r="E133" i="2"/>
  <c r="E134" i="2"/>
  <c r="E50" i="2"/>
  <c r="G52" i="2" l="1"/>
  <c r="C63" i="2" s="1"/>
  <c r="B52" i="2"/>
  <c r="C68" i="2" s="1"/>
  <c r="C67" i="2"/>
  <c r="C73" i="2"/>
  <c r="C104" i="2" s="1"/>
  <c r="E104" i="2" s="1"/>
  <c r="C72" i="2"/>
  <c r="C62" i="2"/>
  <c r="C64" i="2"/>
  <c r="C65" i="2" s="1"/>
  <c r="B68" i="2" s="1"/>
  <c r="C75" i="2" l="1"/>
  <c r="C77" i="2"/>
  <c r="D82" i="2" s="1"/>
  <c r="B81" i="2"/>
  <c r="B86" i="2" s="1"/>
  <c r="C87" i="2"/>
  <c r="C76" i="2"/>
  <c r="C103" i="2"/>
  <c r="C69" i="2"/>
  <c r="C93" i="2" l="1"/>
  <c r="C94" i="2"/>
  <c r="C97" i="2" l="1"/>
  <c r="C96" i="2"/>
  <c r="A95" i="2"/>
  <c r="E15" i="1"/>
  <c r="E20" i="1"/>
  <c r="C98" i="2" l="1"/>
  <c r="E121" i="2"/>
  <c r="E122" i="2"/>
  <c r="E120" i="2"/>
  <c r="F20" i="1"/>
  <c r="E24" i="1" l="1"/>
  <c r="E2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<sst xmlns="http://schemas.openxmlformats.org/spreadsheetml/2006/main" count="380" uniqueCount="137">
  <si>
    <t xml:space="preserve">Design of dog-legged staircase supported longitudinally </t>
  </si>
  <si>
    <t>Floor to floor height=</t>
  </si>
  <si>
    <t>Riser (R)=</t>
  </si>
  <si>
    <t>Floor finishes=</t>
  </si>
  <si>
    <t>Impose load=</t>
  </si>
  <si>
    <t>Tread (T)=</t>
  </si>
  <si>
    <t>Width of stair=</t>
  </si>
  <si>
    <t>Effective span=</t>
  </si>
  <si>
    <t>First landing width (L1)=</t>
  </si>
  <si>
    <t>Second landing widht (L2)=</t>
  </si>
  <si>
    <t>=</t>
  </si>
  <si>
    <t>{(N-1)*T}+L1+L2+(B/2)+(B/2)</t>
  </si>
  <si>
    <t>Beam width (B)=</t>
  </si>
  <si>
    <t>Waist Slab thickness=</t>
  </si>
  <si>
    <t>clear cover=</t>
  </si>
  <si>
    <t>IS 456:2000, Table 16</t>
  </si>
  <si>
    <t>Effective depth=</t>
  </si>
  <si>
    <t>For Simply supported condition</t>
  </si>
  <si>
    <t>Landing slab thicknesss=</t>
  </si>
  <si>
    <t>Step1: calculation of efffective span</t>
  </si>
  <si>
    <t>Step1: calculation of efffective depth</t>
  </si>
  <si>
    <t>Number of riser in all flights (N)=</t>
  </si>
  <si>
    <t>Diameter of bar(Φ)=</t>
  </si>
  <si>
    <r>
      <t>Effective span (L</t>
    </r>
    <r>
      <rPr>
        <vertAlign val="subscript"/>
        <sz val="11"/>
        <color theme="1"/>
        <rFont val="Calibri"/>
        <family val="2"/>
        <scheme val="minor"/>
      </rPr>
      <t>eff</t>
    </r>
    <r>
      <rPr>
        <sz val="11"/>
        <color theme="1"/>
        <rFont val="Calibri"/>
        <family val="2"/>
        <scheme val="minor"/>
      </rPr>
      <t>)=</t>
    </r>
  </si>
  <si>
    <t>Adopt diameter of bar (Φ)=</t>
  </si>
  <si>
    <t>Effective depth (d)=</t>
  </si>
  <si>
    <t>(asssuming constant= 30-40)</t>
  </si>
  <si>
    <t>For continuous end condition</t>
  </si>
  <si>
    <t>Overall Depth (D)=</t>
  </si>
  <si>
    <t>d+(Φ/2)+c</t>
  </si>
  <si>
    <t>clear cover (c)=</t>
  </si>
  <si>
    <t>Provided eff. depth=</t>
  </si>
  <si>
    <t xml:space="preserve">Leff/20 </t>
  </si>
  <si>
    <t>Leff/25</t>
  </si>
  <si>
    <t>Step2: calculation of efffective depth</t>
  </si>
  <si>
    <t>Step3: calculation of load</t>
  </si>
  <si>
    <t>(i) Load on going on projected plan area</t>
  </si>
  <si>
    <t>Live load=</t>
  </si>
  <si>
    <t>Floor finish=</t>
  </si>
  <si>
    <t>wt. of waist slab=</t>
  </si>
  <si>
    <t>wt. of steps=</t>
  </si>
  <si>
    <r>
      <t>Unit wt. of concrete (</t>
    </r>
    <r>
      <rPr>
        <sz val="11"/>
        <color theme="1"/>
        <rFont val="Calibri"/>
        <family val="2"/>
      </rPr>
      <t>ϒ)=</t>
    </r>
  </si>
  <si>
    <r>
      <t>{ϒ*D*√(R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+T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)}/T</t>
    </r>
  </si>
  <si>
    <t>ϒ*0.5*R</t>
  </si>
  <si>
    <t>Total load=</t>
  </si>
  <si>
    <t>Factored load=</t>
  </si>
  <si>
    <t>(i) Load on landing</t>
  </si>
  <si>
    <t>self wt. of slab=</t>
  </si>
  <si>
    <t>ϒ*D*1</t>
  </si>
  <si>
    <t>Total Load=</t>
  </si>
  <si>
    <t>Ra</t>
  </si>
  <si>
    <t>Rb</t>
  </si>
  <si>
    <t>Step4: calculation of maximum bending moment and maximum shear force</t>
  </si>
  <si>
    <t>Taking moment of all forces about point B.</t>
  </si>
  <si>
    <t xml:space="preserve"> B</t>
  </si>
  <si>
    <t xml:space="preserve">A  </t>
  </si>
  <si>
    <t>Ra=</t>
  </si>
  <si>
    <t>Ra+Rb=</t>
  </si>
  <si>
    <t>Rb=</t>
  </si>
  <si>
    <t>Vmax=</t>
  </si>
  <si>
    <t>Mmax=</t>
  </si>
  <si>
    <t>Step5: Check for depth against bending moment</t>
  </si>
  <si>
    <t>Grade of concrete (fck)=</t>
  </si>
  <si>
    <t>Grade of steel (fy)=</t>
  </si>
  <si>
    <r>
      <t>d</t>
    </r>
    <r>
      <rPr>
        <vertAlign val="subscript"/>
        <sz val="11"/>
        <color theme="1"/>
        <rFont val="Calibri"/>
        <family val="2"/>
        <scheme val="minor"/>
      </rPr>
      <t>req</t>
    </r>
    <r>
      <rPr>
        <sz val="11"/>
        <color theme="1"/>
        <rFont val="Calibri"/>
        <family val="2"/>
        <scheme val="minor"/>
      </rPr>
      <t>=</t>
    </r>
  </si>
  <si>
    <t>Step6: Designing the reinforcement</t>
  </si>
  <si>
    <t>Ast=</t>
  </si>
  <si>
    <t>(Ast)min.=</t>
  </si>
  <si>
    <t>0.12% of bD</t>
  </si>
  <si>
    <t>Spacing=</t>
  </si>
  <si>
    <t>(Ast)prov.=</t>
  </si>
  <si>
    <t>Step7: Check for shear force</t>
  </si>
  <si>
    <r>
      <rPr>
        <sz val="11"/>
        <color theme="1"/>
        <rFont val="Calibri"/>
        <family val="2"/>
        <scheme val="minor"/>
      </rPr>
      <t>Ʈ</t>
    </r>
    <r>
      <rPr>
        <sz val="8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</si>
  <si>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t>IS 456:2000, Table-19</t>
  </si>
  <si>
    <t>Shear strength (Ʈc)=</t>
  </si>
  <si>
    <t>Step8: Check for deflection</t>
  </si>
  <si>
    <t>Basic values</t>
  </si>
  <si>
    <t>IS 456:2000 Clause 23.2.1 (a)</t>
  </si>
  <si>
    <t>Modification factor</t>
  </si>
  <si>
    <t>(β) =</t>
  </si>
  <si>
    <t>IS 456:2000 Clause 23.2.1 (b)</t>
  </si>
  <si>
    <t xml:space="preserve"> For Tension Reinforcement (γ) =</t>
  </si>
  <si>
    <t>IS 456:2000 Clause 23.2.1 ( c) fig 4</t>
  </si>
  <si>
    <t>For Compression Reinforcement (δ) =</t>
  </si>
  <si>
    <t>IS 456:2000 Clause 23.2.1 (d) fig 5</t>
  </si>
  <si>
    <t>Reduction factor for flanged beam (λ) =</t>
  </si>
  <si>
    <t>IS 456:2000 Clause 23.2.1 (e) fig 6</t>
  </si>
  <si>
    <t xml:space="preserve">For Calculating the the factor γ </t>
  </si>
  <si>
    <t>Steel Stress of service load (fs)=</t>
  </si>
  <si>
    <t>Now,</t>
  </si>
  <si>
    <t>αβγδλ=</t>
  </si>
  <si>
    <t>Basic value: (α) =</t>
  </si>
  <si>
    <t>From fig. 4 of IS 456:2000, (γ ) =</t>
  </si>
  <si>
    <t>(As/bd) %=</t>
  </si>
  <si>
    <t>% of stee prov.=</t>
  </si>
  <si>
    <t>(Leff/d)prov.=</t>
  </si>
  <si>
    <r>
      <t>L</t>
    </r>
    <r>
      <rPr>
        <b/>
        <vertAlign val="subscript"/>
        <sz val="12"/>
        <color theme="1"/>
        <rFont val="Times New Roman"/>
        <family val="1"/>
      </rPr>
      <t>d</t>
    </r>
    <r>
      <rPr>
        <b/>
        <sz val="12"/>
        <color theme="1"/>
        <rFont val="Times New Roman"/>
        <family val="1"/>
      </rPr>
      <t>=</t>
    </r>
  </si>
  <si>
    <t>Step10: Distribution bar reinforcement detailing</t>
  </si>
  <si>
    <t>≤</t>
  </si>
  <si>
    <t>Spacing provided=</t>
  </si>
  <si>
    <t>Step9: Development length</t>
  </si>
  <si>
    <t>Design of openwell staircase</t>
  </si>
  <si>
    <t>Beam width/Brickwall width (B)=</t>
  </si>
  <si>
    <t>Landing (L1)=</t>
  </si>
  <si>
    <t>Landing (L2)=</t>
  </si>
  <si>
    <t>`</t>
  </si>
  <si>
    <t>Landing (L3)=</t>
  </si>
  <si>
    <t>Landing (L4)=</t>
  </si>
  <si>
    <t>Flight (F3)=</t>
  </si>
  <si>
    <t>Flight (F2)=</t>
  </si>
  <si>
    <t>Flight (F1)=</t>
  </si>
  <si>
    <t>Number of riser in flight 1/fight3 (N1)=</t>
  </si>
  <si>
    <t>Number of riser in flight 2 (N2)=</t>
  </si>
  <si>
    <t>{(N1-1)*T}+L1+(L2/2)+(B/2)</t>
  </si>
  <si>
    <t>Design of Landing 1 and Flight F1</t>
  </si>
  <si>
    <t xml:space="preserve">                  Y</t>
  </si>
  <si>
    <t xml:space="preserve">         C</t>
  </si>
  <si>
    <t>Zero Shear Force Point (at a distance x from point Y)</t>
  </si>
  <si>
    <t>x</t>
  </si>
  <si>
    <t>x=</t>
  </si>
  <si>
    <t>Taking moment about point C.</t>
  </si>
  <si>
    <t xml:space="preserve"> ∑Mc=</t>
  </si>
  <si>
    <t>Adopt dis. bar dia.=</t>
  </si>
  <si>
    <t>Design of Landing 2, Flight 2 and Landing 3</t>
  </si>
  <si>
    <t>Step1: calculation of effective span</t>
  </si>
  <si>
    <t>{(N2-1)*T}+(L1/2)+(L2/2)</t>
  </si>
  <si>
    <t>Step2: calculation of effective depth</t>
  </si>
  <si>
    <t>(iI) Load on landing</t>
  </si>
  <si>
    <t>B</t>
  </si>
  <si>
    <t xml:space="preserve">           A</t>
  </si>
  <si>
    <t>Moment is maximum at center point of loading diagram shown above.</t>
  </si>
  <si>
    <t>SUMMARY</t>
  </si>
  <si>
    <t>For landing 1,Flight1 and Flight3</t>
  </si>
  <si>
    <t>For landing2, Flight 2 and Landing 3</t>
  </si>
  <si>
    <t>% of steel prov.=</t>
  </si>
  <si>
    <t>(ii) Load on landing</t>
  </si>
  <si>
    <t>Adopt distribution bar dia.=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</si>
</sst>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164" formatCode="General\ &quot;m&quot;"/>
    <numFmt numFmtId="165" formatCode="General\ &quot;mm&quot;"/>
    <numFmt numFmtId="166" formatCode="General\ &quot;KN/m&quot;"/>
    <numFmt numFmtId="167" formatCode="General\ &quot;KN/m²&quot;"/>
    <numFmt numFmtId="168" formatCode="0.00\ &quot;KN/m²&quot;"/>
    <numFmt numFmtId="169" formatCode="&quot;≈&quot;General\ &quot;mm&quot;"/>
    <numFmt numFmtId="170" formatCode="&quot;=&quot;General\ &quot;KN/m&quot;"/>
    <numFmt numFmtId="171" formatCode="General\ &quot;KN/m³&quot;"/>
    <numFmt numFmtId="172" formatCode="&quot;=&quot;0.00\ &quot;KN/m&quot;"/>
    <numFmt numFmtId="173" formatCode="0.00\ &quot;KN/m&quot;"/>
    <numFmt numFmtId="174" formatCode="0.000"/>
    <numFmt numFmtId="175" formatCode="0.00\ &quot;KN-m&quot;"/>
    <numFmt numFmtId="176" formatCode="General\ &quot;N/mm²&quot;"/>
    <numFmt numFmtId="177" formatCode="0.00\ &quot;mm&quot;"/>
    <numFmt numFmtId="178" formatCode="General\ &quot;mm²&quot;"/>
    <numFmt numFmtId="179" formatCode="0.00\ &quot;KN&quot;"/>
    <numFmt numFmtId="180" formatCode="0.000\ &quot;N/mm²&quot;"/>
    <numFmt numFmtId="181" formatCode="0.0"/>
    <numFmt numFmtId="182" formatCode="0.00\ &quot;%&quot;"/>
    <numFmt numFmtId="183" formatCode="0.00\ &quot;m&quot;"/>
    <numFmt numFmtId="184" formatCode="0.0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222222"/>
      <name val="Calibri"/>
      <family val="2"/>
      <scheme val="minor"/>
    </font>
    <font>
      <b/>
      <vertAlign val="subscript"/>
      <sz val="12"/>
      <color theme="1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  <xf numFmtId="165" fontId="0" fillId="2" borderId="0" xfId="0" applyNumberFormat="1" applyFill="1" applyAlignment="1">
      <alignment horizontal="left"/>
    </xf>
    <xf numFmtId="167" fontId="0" fillId="2" borderId="0" xfId="0" applyNumberFormat="1" applyFill="1" applyAlignment="1">
      <alignment horizontal="left"/>
    </xf>
    <xf numFmtId="168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69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169" fontId="0" fillId="3" borderId="0" xfId="0" applyNumberFormat="1" applyFill="1"/>
    <xf numFmtId="0" fontId="5" fillId="0" borderId="0" xfId="0" applyFont="1"/>
    <xf numFmtId="170" fontId="0" fillId="0" borderId="0" xfId="0" applyNumberFormat="1" applyAlignment="1">
      <alignment horizontal="left"/>
    </xf>
    <xf numFmtId="171" fontId="0" fillId="2" borderId="0" xfId="0" applyNumberFormat="1" applyFill="1" applyAlignment="1">
      <alignment horizontal="left"/>
    </xf>
    <xf numFmtId="0" fontId="6" fillId="0" borderId="0" xfId="0" applyFont="1" applyAlignment="1">
      <alignment horizontal="left"/>
    </xf>
    <xf numFmtId="166" fontId="6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66" fontId="2" fillId="0" borderId="0" xfId="0" applyNumberFormat="1" applyFont="1" applyAlignment="1">
      <alignment horizontal="left"/>
    </xf>
    <xf numFmtId="165" fontId="2" fillId="3" borderId="0" xfId="0" applyNumberFormat="1" applyFont="1" applyFill="1" applyAlignment="1">
      <alignment horizontal="left"/>
    </xf>
    <xf numFmtId="169" fontId="2" fillId="3" borderId="0" xfId="0" applyNumberFormat="1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174" fontId="0" fillId="0" borderId="0" xfId="0" applyNumberFormat="1" applyAlignment="1">
      <alignment horizontal="left"/>
    </xf>
    <xf numFmtId="0" fontId="0" fillId="0" borderId="0" xfId="0" applyAlignment="1">
      <alignment horizontal="right" vertical="center"/>
    </xf>
    <xf numFmtId="0" fontId="8" fillId="0" borderId="0" xfId="0" applyFont="1"/>
    <xf numFmtId="176" fontId="0" fillId="2" borderId="0" xfId="0" applyNumberFormat="1" applyFill="1" applyAlignment="1">
      <alignment horizontal="left"/>
    </xf>
    <xf numFmtId="177" fontId="0" fillId="0" borderId="0" xfId="0" applyNumberFormat="1" applyAlignment="1">
      <alignment horizontal="left"/>
    </xf>
    <xf numFmtId="178" fontId="0" fillId="0" borderId="0" xfId="0" applyNumberFormat="1" applyAlignment="1">
      <alignment horizontal="left"/>
    </xf>
    <xf numFmtId="10" fontId="0" fillId="0" borderId="0" xfId="1" applyNumberFormat="1" applyFont="1"/>
    <xf numFmtId="175" fontId="2" fillId="0" borderId="0" xfId="0" applyNumberFormat="1" applyFont="1" applyAlignment="1">
      <alignment horizontal="left"/>
    </xf>
    <xf numFmtId="179" fontId="2" fillId="0" borderId="0" xfId="0" applyNumberFormat="1" applyFont="1" applyAlignment="1">
      <alignment horizontal="left"/>
    </xf>
    <xf numFmtId="180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80" fontId="0" fillId="2" borderId="0" xfId="0" applyNumberFormat="1" applyFill="1" applyAlignment="1">
      <alignment horizontal="left"/>
    </xf>
    <xf numFmtId="0" fontId="10" fillId="0" borderId="0" xfId="0" applyFont="1"/>
    <xf numFmtId="0" fontId="2" fillId="0" borderId="0" xfId="0" applyFont="1" applyProtection="1">
      <protection locked="0"/>
    </xf>
    <xf numFmtId="0" fontId="6" fillId="0" borderId="0" xfId="0" applyFont="1" applyAlignment="1">
      <alignment horizontal="right"/>
    </xf>
    <xf numFmtId="0" fontId="0" fillId="0" borderId="0" xfId="0" applyProtection="1">
      <protection locked="0"/>
    </xf>
    <xf numFmtId="0" fontId="12" fillId="0" borderId="0" xfId="0" applyFont="1" applyAlignment="1">
      <alignment horizontal="left"/>
    </xf>
    <xf numFmtId="174" fontId="0" fillId="0" borderId="0" xfId="0" applyNumberFormat="1"/>
    <xf numFmtId="181" fontId="0" fillId="2" borderId="0" xfId="0" applyNumberFormat="1" applyFill="1" applyAlignment="1">
      <alignment horizontal="left"/>
    </xf>
    <xf numFmtId="0" fontId="13" fillId="0" borderId="0" xfId="0" applyFont="1" applyAlignment="1">
      <alignment horizontal="right"/>
    </xf>
    <xf numFmtId="0" fontId="0" fillId="2" borderId="0" xfId="0" applyFill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81" fontId="0" fillId="0" borderId="0" xfId="0" applyNumberFormat="1" applyAlignment="1" applyProtection="1">
      <alignment horizontal="left"/>
      <protection locked="0"/>
    </xf>
    <xf numFmtId="0" fontId="5" fillId="0" borderId="0" xfId="0" applyFont="1" applyAlignment="1">
      <alignment horizontal="right"/>
    </xf>
    <xf numFmtId="169" fontId="2" fillId="2" borderId="0" xfId="0" applyNumberFormat="1" applyFont="1" applyFill="1" applyAlignment="1">
      <alignment horizontal="left"/>
    </xf>
    <xf numFmtId="179" fontId="0" fillId="0" borderId="0" xfId="0" applyNumberFormat="1" applyAlignment="1">
      <alignment horizontal="left"/>
    </xf>
    <xf numFmtId="182" fontId="0" fillId="0" borderId="0" xfId="0" applyNumberFormat="1" applyAlignment="1">
      <alignment horizontal="left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right"/>
    </xf>
    <xf numFmtId="183" fontId="0" fillId="0" borderId="0" xfId="0" applyNumberFormat="1" applyAlignment="1">
      <alignment horizontal="center"/>
    </xf>
    <xf numFmtId="184" fontId="2" fillId="0" borderId="0" xfId="0" applyNumberFormat="1" applyFont="1" applyAlignment="1">
      <alignment horizontal="left"/>
    </xf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165" fontId="0" fillId="4" borderId="0" xfId="0" applyNumberFormat="1" applyFill="1" applyAlignment="1">
      <alignment horizontal="left"/>
    </xf>
    <xf numFmtId="0" fontId="0" fillId="0" borderId="0" xfId="0" applyFill="1"/>
    <xf numFmtId="165" fontId="0" fillId="3" borderId="0" xfId="0" applyNumberFormat="1" applyFill="1" applyAlignment="1">
      <alignment horizontal="left"/>
    </xf>
    <xf numFmtId="173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84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104321</xdr:colOff>
      <xdr:row>14</xdr:row>
      <xdr:rowOff>117929</xdr:rowOff>
    </xdr:from>
    <xdr:to>
      <xdr:col>16</xdr:col>
      <xdr:colOff>502335</xdr:colOff>
      <xdr:row>27</xdr:row>
      <xdr:rowOff>102506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DB2F10-BF11-4DE6-9DE7-C7BE3BFE7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/>
        <a:stretch/>
      </xdr:blipFill>
      <xdr:spPr>
        <a:xfrm>
          <a:off x="5711371" y="2696029"/>
          <a:ext cx="4665214" cy="2378527"/>
        </a:xfrm>
        <a:prstGeom prst="rect">
          <a:avLst/>
        </a:prstGeom>
      </xdr:spPr>
    </xdr:pic>
    <xdr:clientData/>
  </xdr:twoCellAnchor>
  <xdr:twoCellAnchor editAs="oneCell">
    <xdr:from>
      <xdr:col>9</xdr:col>
      <xdr:colOff>97971</xdr:colOff>
      <xdr:row>4</xdr:row>
      <xdr:rowOff>5443</xdr:rowOff>
    </xdr:from>
    <xdr:to>
      <xdr:col>14</xdr:col>
      <xdr:colOff>179614</xdr:colOff>
      <xdr:row>14</xdr:row>
      <xdr:rowOff>59320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17E3C0-E311-47BB-B683-A5BD463F9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4114" y="745672"/>
          <a:ext cx="3129643" cy="1904448"/>
        </a:xfrm>
        <a:prstGeom prst="rect">
          <a:avLst/>
        </a:prstGeom>
      </xdr:spPr>
    </xdr:pic>
    <xdr:clientData/>
  </xdr:twoCellAnchor>
  <xdr:twoCellAnchor>
    <xdr:from>
      <xdr:col>10</xdr:col>
      <xdr:colOff>185058</xdr:colOff>
      <xdr:row>9</xdr:row>
      <xdr:rowOff>141515</xdr:rowOff>
    </xdr:from>
    <xdr:to>
      <xdr:col>10</xdr:col>
      <xdr:colOff>185058</xdr:colOff>
      <xdr:row>11</xdr:row>
      <xdr:rowOff>97972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A15117F-75DD-4F86-871E-525030164157}"/>
            </a:ext>
          </a:extLst>
        </xdr:cNvPr>
        <xdr:cNvCxnSpPr/>
      </xdr:nvCxnSpPr>
      <xdr:spPr>
        <a:xfrm flipV="1">
          <a:off x="6404429" y="1774372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68944</xdr:colOff>
      <xdr:row>9</xdr:row>
      <xdr:rowOff>141515</xdr:rowOff>
    </xdr:from>
    <xdr:to>
      <xdr:col>11</xdr:col>
      <xdr:colOff>68944</xdr:colOff>
      <xdr:row>11</xdr:row>
      <xdr:rowOff>97972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9CA6F82-1945-4F2B-96CF-BE160263BC70}"/>
            </a:ext>
          </a:extLst>
        </xdr:cNvPr>
        <xdr:cNvCxnSpPr/>
      </xdr:nvCxnSpPr>
      <xdr:spPr>
        <a:xfrm flipV="1">
          <a:off x="6897915" y="1774372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159658</xdr:colOff>
      <xdr:row>5</xdr:row>
      <xdr:rowOff>21773</xdr:rowOff>
    </xdr:from>
    <xdr:to>
      <xdr:col>13</xdr:col>
      <xdr:colOff>159658</xdr:colOff>
      <xdr:row>6</xdr:row>
      <xdr:rowOff>159659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27FB3AC-45AF-475B-830E-7D9182155D1B}"/>
            </a:ext>
          </a:extLst>
        </xdr:cNvPr>
        <xdr:cNvCxnSpPr/>
      </xdr:nvCxnSpPr>
      <xdr:spPr>
        <a:xfrm flipV="1">
          <a:off x="8207829" y="928916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587830</xdr:colOff>
      <xdr:row>5</xdr:row>
      <xdr:rowOff>25401</xdr:rowOff>
    </xdr:from>
    <xdr:to>
      <xdr:col>13</xdr:col>
      <xdr:colOff>587830</xdr:colOff>
      <xdr:row>6</xdr:row>
      <xdr:rowOff>163287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AA02D8E-8595-4D77-9B27-C32B820D3F1B}"/>
            </a:ext>
          </a:extLst>
        </xdr:cNvPr>
        <xdr:cNvCxnSpPr/>
      </xdr:nvCxnSpPr>
      <xdr:spPr>
        <a:xfrm flipV="1">
          <a:off x="8636001" y="932544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188686</xdr:colOff>
      <xdr:row>10</xdr:row>
      <xdr:rowOff>36285</xdr:rowOff>
    </xdr:from>
    <xdr:to>
      <xdr:col>11</xdr:col>
      <xdr:colOff>61686</xdr:colOff>
      <xdr:row>10</xdr:row>
      <xdr:rowOff>39914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F0F9475-F8B7-4CEB-A823-99A958D86ABA}"/>
            </a:ext>
          </a:extLst>
        </xdr:cNvPr>
        <xdr:cNvCxnSpPr/>
      </xdr:nvCxnSpPr>
      <xdr:spPr>
        <a:xfrm flipV="1">
          <a:off x="6408057" y="1850571"/>
          <a:ext cx="482600" cy="36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156029</xdr:colOff>
      <xdr:row>5</xdr:row>
      <xdr:rowOff>72571</xdr:rowOff>
    </xdr:from>
    <xdr:to>
      <xdr:col>13</xdr:col>
      <xdr:colOff>598715</xdr:colOff>
      <xdr:row>5</xdr:row>
      <xdr:rowOff>76201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F633677-5774-4E18-AF22-50AB1941847A}"/>
            </a:ext>
          </a:extLst>
        </xdr:cNvPr>
        <xdr:cNvCxnSpPr/>
      </xdr:nvCxnSpPr>
      <xdr:spPr>
        <a:xfrm flipV="1">
          <a:off x="8204200" y="979714"/>
          <a:ext cx="442686" cy="36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275772</xdr:colOff>
      <xdr:row>8</xdr:row>
      <xdr:rowOff>123371</xdr:rowOff>
    </xdr:from>
    <xdr:to>
      <xdr:col>11</xdr:col>
      <xdr:colOff>14515</xdr:colOff>
      <xdr:row>10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86044A1-9D44-44B6-8CA4-679373C18BDD}"/>
            </a:ext>
          </a:extLst>
        </xdr:cNvPr>
        <xdr:cNvSpPr txBox="1"/>
      </xdr:nvSpPr>
      <xdr:spPr>
        <a:xfrm>
          <a:off x="6495143" y="1574800"/>
          <a:ext cx="348343" cy="239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L1</a:t>
          </a:r>
        </a:p>
      </xdr:txBody>
    </xdr:sp>
    <xdr:clientData/>
  </xdr:twoCellAnchor>
  <xdr:twoCellAnchor>
    <xdr:from>
      <xdr:col>13</xdr:col>
      <xdr:colOff>221343</xdr:colOff>
      <xdr:row>3</xdr:row>
      <xdr:rowOff>174171</xdr:rowOff>
    </xdr:from>
    <xdr:to>
      <xdr:col>13</xdr:col>
      <xdr:colOff>569686</xdr:colOff>
      <xdr:row>5</xdr:row>
      <xdr:rowOff>50800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21E0397-93BD-4FDB-9FC1-4004C875D3C2}"/>
            </a:ext>
          </a:extLst>
        </xdr:cNvPr>
        <xdr:cNvSpPr txBox="1"/>
      </xdr:nvSpPr>
      <xdr:spPr>
        <a:xfrm>
          <a:off x="8269514" y="718457"/>
          <a:ext cx="348343" cy="239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L2</a:t>
          </a:r>
        </a:p>
      </xdr:txBody>
    </xdr:sp>
    <xdr:clientData/>
  </xdr:twoCellAnchor>
  <xdr:twoCellAnchor editAs="oneCell">
    <xdr:from>
      <xdr:col>9</xdr:col>
      <xdr:colOff>70758</xdr:colOff>
      <xdr:row>0</xdr:row>
      <xdr:rowOff>0</xdr:rowOff>
    </xdr:from>
    <xdr:to>
      <xdr:col>12</xdr:col>
      <xdr:colOff>326572</xdr:colOff>
      <xdr:row>8</xdr:row>
      <xdr:rowOff>47100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968C619-4CA5-4AF5-AE1D-62C96E795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6901" y="0"/>
          <a:ext cx="2084614" cy="15275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66221</xdr:colOff>
      <xdr:row>16</xdr:row>
      <xdr:rowOff>96158</xdr:rowOff>
    </xdr:from>
    <xdr:to>
      <xdr:col>16</xdr:col>
      <xdr:colOff>464235</xdr:colOff>
      <xdr:row>28</xdr:row>
      <xdr:rowOff>58965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02AAE-AB6B-4951-9EED-42AD75BE8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/>
        <a:stretch/>
      </xdr:blipFill>
      <xdr:spPr>
        <a:xfrm>
          <a:off x="6178550" y="3067958"/>
          <a:ext cx="4665214" cy="2390321"/>
        </a:xfrm>
        <a:prstGeom prst="rect">
          <a:avLst/>
        </a:prstGeom>
      </xdr:spPr>
    </xdr:pic>
    <xdr:clientData/>
  </xdr:twoCellAnchor>
  <xdr:twoCellAnchor editAs="oneCell">
    <xdr:from>
      <xdr:col>9</xdr:col>
      <xdr:colOff>97971</xdr:colOff>
      <xdr:row>4</xdr:row>
      <xdr:rowOff>5443</xdr:rowOff>
    </xdr:from>
    <xdr:to>
      <xdr:col>14</xdr:col>
      <xdr:colOff>179614</xdr:colOff>
      <xdr:row>14</xdr:row>
      <xdr:rowOff>59321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237519-F817-4E70-B26C-5915D034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6291" y="736963"/>
          <a:ext cx="3129643" cy="1882677"/>
        </a:xfrm>
        <a:prstGeom prst="rect">
          <a:avLst/>
        </a:prstGeom>
      </xdr:spPr>
    </xdr:pic>
    <xdr:clientData/>
  </xdr:twoCellAnchor>
  <xdr:twoCellAnchor>
    <xdr:from>
      <xdr:col>10</xdr:col>
      <xdr:colOff>185058</xdr:colOff>
      <xdr:row>9</xdr:row>
      <xdr:rowOff>141515</xdr:rowOff>
    </xdr:from>
    <xdr:to>
      <xdr:col>10</xdr:col>
      <xdr:colOff>185058</xdr:colOff>
      <xdr:row>11</xdr:row>
      <xdr:rowOff>97972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E9C0992-86B2-476D-A4CE-13DD999DEB61}"/>
            </a:ext>
          </a:extLst>
        </xdr:cNvPr>
        <xdr:cNvCxnSpPr/>
      </xdr:nvCxnSpPr>
      <xdr:spPr>
        <a:xfrm flipV="1">
          <a:off x="6402978" y="1787435"/>
          <a:ext cx="0" cy="3222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68944</xdr:colOff>
      <xdr:row>9</xdr:row>
      <xdr:rowOff>141515</xdr:rowOff>
    </xdr:from>
    <xdr:to>
      <xdr:col>11</xdr:col>
      <xdr:colOff>68944</xdr:colOff>
      <xdr:row>11</xdr:row>
      <xdr:rowOff>97972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C20183C-1F2A-4788-BEB5-0DD0EC31DBBB}"/>
            </a:ext>
          </a:extLst>
        </xdr:cNvPr>
        <xdr:cNvCxnSpPr/>
      </xdr:nvCxnSpPr>
      <xdr:spPr>
        <a:xfrm flipV="1">
          <a:off x="6896464" y="1787435"/>
          <a:ext cx="0" cy="3222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159658</xdr:colOff>
      <xdr:row>5</xdr:row>
      <xdr:rowOff>21773</xdr:rowOff>
    </xdr:from>
    <xdr:to>
      <xdr:col>13</xdr:col>
      <xdr:colOff>159658</xdr:colOff>
      <xdr:row>6</xdr:row>
      <xdr:rowOff>159659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2D15EE2-58CD-46C6-AB98-23ABFF7984DD}"/>
            </a:ext>
          </a:extLst>
        </xdr:cNvPr>
        <xdr:cNvCxnSpPr/>
      </xdr:nvCxnSpPr>
      <xdr:spPr>
        <a:xfrm flipV="1">
          <a:off x="8206378" y="936173"/>
          <a:ext cx="0" cy="3207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587830</xdr:colOff>
      <xdr:row>5</xdr:row>
      <xdr:rowOff>25401</xdr:rowOff>
    </xdr:from>
    <xdr:to>
      <xdr:col>13</xdr:col>
      <xdr:colOff>587830</xdr:colOff>
      <xdr:row>6</xdr:row>
      <xdr:rowOff>163287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A53F98E-2CD3-4F1F-8D12-ED174A431D14}"/>
            </a:ext>
          </a:extLst>
        </xdr:cNvPr>
        <xdr:cNvCxnSpPr/>
      </xdr:nvCxnSpPr>
      <xdr:spPr>
        <a:xfrm flipV="1">
          <a:off x="8634550" y="939801"/>
          <a:ext cx="0" cy="3207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188686</xdr:colOff>
      <xdr:row>10</xdr:row>
      <xdr:rowOff>36285</xdr:rowOff>
    </xdr:from>
    <xdr:to>
      <xdr:col>11</xdr:col>
      <xdr:colOff>61686</xdr:colOff>
      <xdr:row>10</xdr:row>
      <xdr:rowOff>39914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CB64271-5D4F-4C26-B01A-63C2964BC37E}"/>
            </a:ext>
          </a:extLst>
        </xdr:cNvPr>
        <xdr:cNvCxnSpPr/>
      </xdr:nvCxnSpPr>
      <xdr:spPr>
        <a:xfrm flipV="1">
          <a:off x="6406606" y="1865085"/>
          <a:ext cx="482600" cy="36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156029</xdr:colOff>
      <xdr:row>5</xdr:row>
      <xdr:rowOff>72571</xdr:rowOff>
    </xdr:from>
    <xdr:to>
      <xdr:col>13</xdr:col>
      <xdr:colOff>598715</xdr:colOff>
      <xdr:row>5</xdr:row>
      <xdr:rowOff>76201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02DE4A4-74B7-4C14-9F65-6A28344D0EEB}"/>
            </a:ext>
          </a:extLst>
        </xdr:cNvPr>
        <xdr:cNvCxnSpPr/>
      </xdr:nvCxnSpPr>
      <xdr:spPr>
        <a:xfrm flipV="1">
          <a:off x="8202749" y="986971"/>
          <a:ext cx="442686" cy="36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275772</xdr:colOff>
      <xdr:row>8</xdr:row>
      <xdr:rowOff>123371</xdr:rowOff>
    </xdr:from>
    <xdr:to>
      <xdr:col>11</xdr:col>
      <xdr:colOff>14515</xdr:colOff>
      <xdr:row>10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15E6ADD-3FC0-479D-B5C0-2504C8016C13}"/>
            </a:ext>
          </a:extLst>
        </xdr:cNvPr>
        <xdr:cNvSpPr txBox="1"/>
      </xdr:nvSpPr>
      <xdr:spPr>
        <a:xfrm>
          <a:off x="6493692" y="1586411"/>
          <a:ext cx="348343" cy="2423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L1</a:t>
          </a:r>
        </a:p>
      </xdr:txBody>
    </xdr:sp>
    <xdr:clientData/>
  </xdr:twoCellAnchor>
  <xdr:twoCellAnchor>
    <xdr:from>
      <xdr:col>13</xdr:col>
      <xdr:colOff>221343</xdr:colOff>
      <xdr:row>3</xdr:row>
      <xdr:rowOff>174171</xdr:rowOff>
    </xdr:from>
    <xdr:to>
      <xdr:col>13</xdr:col>
      <xdr:colOff>569686</xdr:colOff>
      <xdr:row>5</xdr:row>
      <xdr:rowOff>50800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7FEB357-DEBD-4FFD-BA1E-DD2BCEB3BBAE}"/>
            </a:ext>
          </a:extLst>
        </xdr:cNvPr>
        <xdr:cNvSpPr txBox="1"/>
      </xdr:nvSpPr>
      <xdr:spPr>
        <a:xfrm>
          <a:off x="8268063" y="722811"/>
          <a:ext cx="348343" cy="2423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L2</a:t>
          </a:r>
        </a:p>
      </xdr:txBody>
    </xdr:sp>
    <xdr:clientData/>
  </xdr:twoCellAnchor>
  <xdr:twoCellAnchor editAs="oneCell">
    <xdr:from>
      <xdr:col>9</xdr:col>
      <xdr:colOff>70758</xdr:colOff>
      <xdr:row>0</xdr:row>
      <xdr:rowOff>0</xdr:rowOff>
    </xdr:from>
    <xdr:to>
      <xdr:col>12</xdr:col>
      <xdr:colOff>326572</xdr:colOff>
      <xdr:row>8</xdr:row>
      <xdr:rowOff>30167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49CBEB-625F-431B-849E-AA6546620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9078" y="0"/>
          <a:ext cx="2084614" cy="1510140"/>
        </a:xfrm>
        <a:prstGeom prst="rect">
          <a:avLst/>
        </a:prstGeom>
      </xdr:spPr>
    </xdr:pic>
    <xdr:clientData/>
  </xdr:twoCellAnchor>
  <xdr:twoCellAnchor>
    <xdr:from>
      <xdr:col>3</xdr:col>
      <xdr:colOff>125185</xdr:colOff>
      <xdr:row>22</xdr:row>
      <xdr:rowOff>13607</xdr:rowOff>
    </xdr:from>
    <xdr:to>
      <xdr:col>3</xdr:col>
      <xdr:colOff>605894</xdr:colOff>
      <xdr:row>22</xdr:row>
      <xdr:rowOff>335426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95C93E2-AF6F-4B2B-B84D-9148858132C3}"/>
                </a:ext>
              </a:extLst>
            </xdr:cNvPr>
            <xdr:cNvSpPr txBox="1"/>
          </xdr:nvSpPr>
          <xdr:spPr>
            <a:xfrm>
              <a:off x="1953985" y="3540578"/>
              <a:ext cx="480709" cy="3218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𝐿𝑒𝑓𝑓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95C93E2-AF6F-4B2B-B84D-9148858132C3}"/>
                </a:ext>
              </a:extLst>
            </xdr:cNvPr>
            <xdr:cNvSpPr txBox="1"/>
          </xdr:nvSpPr>
          <xdr:spPr>
            <a:xfrm>
              <a:off x="1953985" y="3540578"/>
              <a:ext cx="480709" cy="3218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𝐿𝑒𝑓𝑓/𝑑=</a:t>
              </a:r>
              <a:endParaRPr lang="en-US" sz="1100"/>
            </a:p>
          </xdr:txBody>
        </xdr:sp>
      </mc:Fallback>
    </mc:AlternateContent>
    <xdr:clientData/>
  </xdr:twoCellAnchor>
  <xdr:oneCellAnchor>
    <xdr:from>
      <xdr:col>10</xdr:col>
      <xdr:colOff>84765</xdr:colOff>
      <xdr:row>32</xdr:row>
      <xdr:rowOff>174557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2C2A0F4-7855-4754-8A90-AC27CDF50445}"/>
                </a:ext>
              </a:extLst>
            </xdr:cNvPr>
            <xdr:cNvSpPr txBox="1"/>
          </xdr:nvSpPr>
          <xdr:spPr>
            <a:xfrm>
              <a:off x="6300508" y="5933100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2C2A0F4-7855-4754-8A90-AC27CDF50445}"/>
                </a:ext>
              </a:extLst>
            </xdr:cNvPr>
            <xdr:cNvSpPr txBox="1"/>
          </xdr:nvSpPr>
          <xdr:spPr>
            <a:xfrm>
              <a:off x="6300508" y="5933100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9</xdr:col>
      <xdr:colOff>468549</xdr:colOff>
      <xdr:row>30</xdr:row>
      <xdr:rowOff>121834</xdr:rowOff>
    </xdr:from>
    <xdr:to>
      <xdr:col>10</xdr:col>
      <xdr:colOff>548033</xdr:colOff>
      <xdr:row>34</xdr:row>
      <xdr:rowOff>144961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7C1EDE53-2018-40C9-955D-8DA8AFCABF2A}"/>
            </a:ext>
          </a:extLst>
        </xdr:cNvPr>
        <xdr:cNvSpPr/>
      </xdr:nvSpPr>
      <xdr:spPr>
        <a:xfrm flipV="1">
          <a:off x="6074692" y="5510263"/>
          <a:ext cx="689084" cy="785127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315686</xdr:colOff>
      <xdr:row>32</xdr:row>
      <xdr:rowOff>24888</xdr:rowOff>
    </xdr:from>
    <xdr:ext cx="1258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909A366-6EB5-40EE-96B5-DA3AE96CC2B1}"/>
                </a:ext>
              </a:extLst>
            </xdr:cNvPr>
            <xdr:cNvSpPr txBox="1"/>
          </xdr:nvSpPr>
          <xdr:spPr>
            <a:xfrm>
              <a:off x="5921829" y="5783431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909A366-6EB5-40EE-96B5-DA3AE96CC2B1}"/>
                </a:ext>
              </a:extLst>
            </xdr:cNvPr>
            <xdr:cNvSpPr txBox="1"/>
          </xdr:nvSpPr>
          <xdr:spPr>
            <a:xfrm>
              <a:off x="5921829" y="5783431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525069</xdr:colOff>
      <xdr:row>29</xdr:row>
      <xdr:rowOff>103415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1C25147-C9BC-4382-AC4E-23625B86756E}"/>
                </a:ext>
              </a:extLst>
            </xdr:cNvPr>
            <xdr:cNvSpPr txBox="1"/>
          </xdr:nvSpPr>
          <xdr:spPr>
            <a:xfrm>
              <a:off x="6131212" y="5306786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1C25147-C9BC-4382-AC4E-23625B86756E}"/>
                </a:ext>
              </a:extLst>
            </xdr:cNvPr>
            <xdr:cNvSpPr txBox="1"/>
          </xdr:nvSpPr>
          <xdr:spPr>
            <a:xfrm>
              <a:off x="6131212" y="5306786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582387</xdr:colOff>
      <xdr:row>41</xdr:row>
      <xdr:rowOff>21769</xdr:rowOff>
    </xdr:from>
    <xdr:to>
      <xdr:col>12</xdr:col>
      <xdr:colOff>190501</xdr:colOff>
      <xdr:row>45</xdr:row>
      <xdr:rowOff>146956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E73E9C5F-8018-47B5-BA0F-5203DB7AD1B5}"/>
            </a:ext>
          </a:extLst>
        </xdr:cNvPr>
        <xdr:cNvSpPr/>
      </xdr:nvSpPr>
      <xdr:spPr>
        <a:xfrm flipV="1">
          <a:off x="6798130" y="7467598"/>
          <a:ext cx="827314" cy="865415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306303</xdr:colOff>
      <xdr:row>40</xdr:row>
      <xdr:rowOff>99931</xdr:rowOff>
    </xdr:from>
    <xdr:to>
      <xdr:col>10</xdr:col>
      <xdr:colOff>582387</xdr:colOff>
      <xdr:row>45</xdr:row>
      <xdr:rowOff>146956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D290921-C36E-44B8-A265-F5952CF9AAB2}"/>
            </a:ext>
          </a:extLst>
        </xdr:cNvPr>
        <xdr:cNvCxnSpPr>
          <a:stCxn id="19" idx="0"/>
          <a:endCxn id="22" idx="0"/>
        </xdr:cNvCxnSpPr>
      </xdr:nvCxnSpPr>
      <xdr:spPr>
        <a:xfrm flipH="1" flipV="1">
          <a:off x="5912446" y="7360702"/>
          <a:ext cx="885684" cy="9723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322635</xdr:colOff>
      <xdr:row>36</xdr:row>
      <xdr:rowOff>76201</xdr:rowOff>
    </xdr:from>
    <xdr:to>
      <xdr:col>10</xdr:col>
      <xdr:colOff>582387</xdr:colOff>
      <xdr:row>41</xdr:row>
      <xdr:rowOff>21769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5E80509-2912-4A2D-BBEF-0CB6E6D5CA62}"/>
            </a:ext>
          </a:extLst>
        </xdr:cNvPr>
        <xdr:cNvCxnSpPr>
          <a:stCxn id="19" idx="2"/>
        </xdr:cNvCxnSpPr>
      </xdr:nvCxnSpPr>
      <xdr:spPr>
        <a:xfrm flipH="1" flipV="1">
          <a:off x="5928778" y="6596744"/>
          <a:ext cx="869352" cy="8708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306303</xdr:colOff>
      <xdr:row>36</xdr:row>
      <xdr:rowOff>76200</xdr:rowOff>
    </xdr:from>
    <xdr:to>
      <xdr:col>10</xdr:col>
      <xdr:colOff>601899</xdr:colOff>
      <xdr:row>40</xdr:row>
      <xdr:rowOff>99931</xdr:rowOff>
    </xdr:to>
    <xdr:sp macro="" textlink="">
      <xdr:nvSpPr>
        <xdr:cNvPr id="22" name="Right Triangle 21">
          <a:extLst>
            <a:ext uri="{FF2B5EF4-FFF2-40B4-BE49-F238E27FC236}">
              <a16:creationId xmlns:a16="http://schemas.microsoft.com/office/drawing/2014/main" id="{24D35910-84FF-4765-AEE9-B5DD1FC5CC6E}"/>
            </a:ext>
          </a:extLst>
        </xdr:cNvPr>
        <xdr:cNvSpPr/>
      </xdr:nvSpPr>
      <xdr:spPr>
        <a:xfrm flipV="1">
          <a:off x="5912446" y="6596743"/>
          <a:ext cx="905196" cy="763959"/>
        </a:xfrm>
        <a:prstGeom prst="rtTriangle">
          <a:avLst/>
        </a:prstGeom>
        <a:noFill/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601899</xdr:colOff>
      <xdr:row>36</xdr:row>
      <xdr:rowOff>76200</xdr:rowOff>
    </xdr:from>
    <xdr:to>
      <xdr:col>12</xdr:col>
      <xdr:colOff>190501</xdr:colOff>
      <xdr:row>41</xdr:row>
      <xdr:rowOff>21769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8C1F1667-50E4-407D-BE9B-9871F83BDE79}"/>
            </a:ext>
          </a:extLst>
        </xdr:cNvPr>
        <xdr:cNvCxnSpPr>
          <a:stCxn id="19" idx="4"/>
          <a:endCxn id="22" idx="4"/>
        </xdr:cNvCxnSpPr>
      </xdr:nvCxnSpPr>
      <xdr:spPr>
        <a:xfrm flipH="1" flipV="1">
          <a:off x="6817642" y="6596743"/>
          <a:ext cx="807802" cy="8708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288743</xdr:colOff>
      <xdr:row>40</xdr:row>
      <xdr:rowOff>50106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61668BB-2CD5-4D80-822B-8D8152444313}"/>
                </a:ext>
              </a:extLst>
            </xdr:cNvPr>
            <xdr:cNvSpPr txBox="1"/>
          </xdr:nvSpPr>
          <xdr:spPr>
            <a:xfrm>
              <a:off x="7114086" y="731087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61668BB-2CD5-4D80-822B-8D8152444313}"/>
                </a:ext>
              </a:extLst>
            </xdr:cNvPr>
            <xdr:cNvSpPr txBox="1"/>
          </xdr:nvSpPr>
          <xdr:spPr>
            <a:xfrm>
              <a:off x="7114086" y="731087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457121</xdr:colOff>
      <xdr:row>43</xdr:row>
      <xdr:rowOff>16276</xdr:rowOff>
    </xdr:from>
    <xdr:ext cx="1258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92055ED-7C7C-4FAB-97F3-C6E5F863D12C}"/>
                </a:ext>
              </a:extLst>
            </xdr:cNvPr>
            <xdr:cNvSpPr txBox="1"/>
          </xdr:nvSpPr>
          <xdr:spPr>
            <a:xfrm>
              <a:off x="6672864" y="7832219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92055ED-7C7C-4FAB-97F3-C6E5F863D12C}"/>
                </a:ext>
              </a:extLst>
            </xdr:cNvPr>
            <xdr:cNvSpPr txBox="1"/>
          </xdr:nvSpPr>
          <xdr:spPr>
            <a:xfrm>
              <a:off x="6672864" y="7832219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416673</xdr:colOff>
      <xdr:row>43</xdr:row>
      <xdr:rowOff>108475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8BED276-566E-4D33-A681-D0FFAFAF3A3B}"/>
                </a:ext>
              </a:extLst>
            </xdr:cNvPr>
            <xdr:cNvSpPr txBox="1"/>
          </xdr:nvSpPr>
          <xdr:spPr>
            <a:xfrm>
              <a:off x="7242016" y="7924418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8BED276-566E-4D33-A681-D0FFAFAF3A3B}"/>
                </a:ext>
              </a:extLst>
            </xdr:cNvPr>
            <xdr:cNvSpPr txBox="1"/>
          </xdr:nvSpPr>
          <xdr:spPr>
            <a:xfrm>
              <a:off x="7242016" y="7924418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255815</xdr:colOff>
      <xdr:row>42</xdr:row>
      <xdr:rowOff>52068</xdr:rowOff>
    </xdr:from>
    <xdr:ext cx="429027" cy="502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4AA15FB-9E60-4781-822D-98A587ABE054}"/>
                </a:ext>
              </a:extLst>
            </xdr:cNvPr>
            <xdr:cNvSpPr txBox="1"/>
          </xdr:nvSpPr>
          <xdr:spPr>
            <a:xfrm>
              <a:off x="5861958" y="7682954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𝑖𝑑𝑡h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𝑠𝑡𝑎𝑖𝑟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4AA15FB-9E60-4781-822D-98A587ABE054}"/>
                </a:ext>
              </a:extLst>
            </xdr:cNvPr>
            <xdr:cNvSpPr txBox="1"/>
          </xdr:nvSpPr>
          <xdr:spPr>
            <a:xfrm>
              <a:off x="5861958" y="7682954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latin typeface="Cambria Math" panose="02040503050406030204" pitchFamily="18" charset="0"/>
                </a:rPr>
                <a:t>𝑖𝑑𝑡ℎ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𝑜𝑓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𝑠𝑡𝑎𝑖𝑟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255814</xdr:colOff>
      <xdr:row>31</xdr:row>
      <xdr:rowOff>163285</xdr:rowOff>
    </xdr:from>
    <xdr:to>
      <xdr:col>11</xdr:col>
      <xdr:colOff>337457</xdr:colOff>
      <xdr:row>36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B44B64C-0B74-41B1-A4B7-1A60651CCAD4}"/>
            </a:ext>
          </a:extLst>
        </xdr:cNvPr>
        <xdr:cNvCxnSpPr/>
      </xdr:nvCxnSpPr>
      <xdr:spPr>
        <a:xfrm flipV="1">
          <a:off x="6471557" y="5736771"/>
          <a:ext cx="691243" cy="783772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548033</xdr:colOff>
      <xdr:row>30</xdr:row>
      <xdr:rowOff>121834</xdr:rowOff>
    </xdr:from>
    <xdr:to>
      <xdr:col>11</xdr:col>
      <xdr:colOff>304800</xdr:colOff>
      <xdr:row>32</xdr:row>
      <xdr:rowOff>43543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2209DD8-1FD7-4F48-B60D-04D763C13114}"/>
            </a:ext>
          </a:extLst>
        </xdr:cNvPr>
        <xdr:cNvCxnSpPr>
          <a:endCxn id="16" idx="4"/>
        </xdr:cNvCxnSpPr>
      </xdr:nvCxnSpPr>
      <xdr:spPr>
        <a:xfrm flipH="1" flipV="1">
          <a:off x="6763776" y="5510263"/>
          <a:ext cx="366367" cy="29182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73879</xdr:colOff>
      <xdr:row>30</xdr:row>
      <xdr:rowOff>65700</xdr:rowOff>
    </xdr:from>
    <xdr:ext cx="1336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25057F6D-9FF1-4A32-A03B-9009CFDBC1C1}"/>
                </a:ext>
              </a:extLst>
            </xdr:cNvPr>
            <xdr:cNvSpPr txBox="1"/>
          </xdr:nvSpPr>
          <xdr:spPr>
            <a:xfrm>
              <a:off x="6899222" y="5454129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25057F6D-9FF1-4A32-A03B-9009CFDBC1C1}"/>
                </a:ext>
              </a:extLst>
            </xdr:cNvPr>
            <xdr:cNvSpPr txBox="1"/>
          </xdr:nvSpPr>
          <xdr:spPr>
            <a:xfrm>
              <a:off x="6899222" y="5454129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𝐷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478971</xdr:colOff>
      <xdr:row>35</xdr:row>
      <xdr:rowOff>84364</xdr:rowOff>
    </xdr:from>
    <xdr:ext cx="1752600" cy="3476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B65C88B-8A0E-4FAA-9776-AF3A28639DB8}"/>
                </a:ext>
              </a:extLst>
            </xdr:cNvPr>
            <xdr:cNvSpPr txBox="1"/>
          </xdr:nvSpPr>
          <xdr:spPr>
            <a:xfrm>
              <a:off x="7913914" y="6419850"/>
              <a:ext cx="1752600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600" b="0" i="1">
                      <a:latin typeface="Cambria Math" panose="02040503050406030204" pitchFamily="18" charset="0"/>
                    </a:rPr>
                    <m:t>{(</m:t>
                  </m:r>
                  <m:f>
                    <m:f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n-US" sz="16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n-US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𝑇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)∗</m:t>
                  </m:r>
                  <m:r>
                    <m:rPr>
                      <m:sty m:val="p"/>
                    </m:rPr>
                    <a:rPr lang="el-GR" sz="1600" b="0" i="1">
                      <a:latin typeface="Cambria Math" panose="02040503050406030204" pitchFamily="18" charset="0"/>
                    </a:rPr>
                    <m:t>ϒ</m:t>
                  </m:r>
                  <m:r>
                    <a:rPr lang="en-US" sz="1600" b="0" i="0">
                      <a:latin typeface="Cambria Math" panose="02040503050406030204" pitchFamily="18" charset="0"/>
                    </a:rPr>
                    <m:t>}</m:t>
                  </m:r>
                </m:oMath>
              </a14:m>
              <a:r>
                <a:rPr lang="en-US" sz="1600"/>
                <a:t>/T</a:t>
              </a: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B65C88B-8A0E-4FAA-9776-AF3A28639DB8}"/>
                </a:ext>
              </a:extLst>
            </xdr:cNvPr>
            <xdr:cNvSpPr txBox="1"/>
          </xdr:nvSpPr>
          <xdr:spPr>
            <a:xfrm>
              <a:off x="7913914" y="6419850"/>
              <a:ext cx="1752600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{(1/2∗𝑅∗𝑇)∗</a:t>
              </a:r>
              <a:r>
                <a:rPr lang="el-GR" sz="1600" b="0" i="0">
                  <a:latin typeface="Cambria Math" panose="02040503050406030204" pitchFamily="18" charset="0"/>
                </a:rPr>
                <a:t>ϒ</a:t>
              </a:r>
              <a:r>
                <a:rPr lang="en-US" sz="1600" b="0" i="0">
                  <a:latin typeface="Cambria Math" panose="02040503050406030204" pitchFamily="18" charset="0"/>
                </a:rPr>
                <a:t>}</a:t>
              </a:r>
              <a:r>
                <a:rPr lang="en-US" sz="1600"/>
                <a:t>/T</a:t>
              </a:r>
            </a:p>
          </xdr:txBody>
        </xdr:sp>
      </mc:Fallback>
    </mc:AlternateContent>
    <xdr:clientData/>
  </xdr:oneCellAnchor>
  <xdr:twoCellAnchor>
    <xdr:from>
      <xdr:col>1</xdr:col>
      <xdr:colOff>530</xdr:colOff>
      <xdr:row>50</xdr:row>
      <xdr:rowOff>2418</xdr:rowOff>
    </xdr:from>
    <xdr:to>
      <xdr:col>7</xdr:col>
      <xdr:colOff>605367</xdr:colOff>
      <xdr:row>56</xdr:row>
      <xdr:rowOff>177800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2BABFB8B-0D49-40CB-87F6-DF8801766AB4}"/>
            </a:ext>
          </a:extLst>
        </xdr:cNvPr>
        <xdr:cNvGrpSpPr/>
      </xdr:nvGrpSpPr>
      <xdr:grpSpPr>
        <a:xfrm>
          <a:off x="608665" y="9791187"/>
          <a:ext cx="4803164" cy="1318382"/>
          <a:chOff x="610130" y="9362318"/>
          <a:chExt cx="4618037" cy="1267582"/>
        </a:xfrm>
      </xdr:grpSpPr>
      <xdr:cxnSp macro="">
        <xdr:nvCxnSpPr>
          <xdr:cNvPr id="64" name="Straight Arrow Connector 63">
            <a:extLst>
              <a:ext uri="{FF2B5EF4-FFF2-40B4-BE49-F238E27FC236}">
                <a16:creationId xmlns:a16="http://schemas.microsoft.com/office/drawing/2014/main" id="{11604E97-4DC5-4984-A637-34154F7632D9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Straight Arrow Connector 66">
            <a:extLst>
              <a:ext uri="{FF2B5EF4-FFF2-40B4-BE49-F238E27FC236}">
                <a16:creationId xmlns:a16="http://schemas.microsoft.com/office/drawing/2014/main" id="{B0AACC03-18B8-45CB-836A-1ABD41B07070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Arrow Connector 68">
            <a:extLst>
              <a:ext uri="{FF2B5EF4-FFF2-40B4-BE49-F238E27FC236}">
                <a16:creationId xmlns:a16="http://schemas.microsoft.com/office/drawing/2014/main" id="{35AF9006-0E69-49BF-A2FD-A0CCB38F10A0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E282B216-340C-476A-ADCC-FB8ACC9BFDBF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Straight Arrow Connector 70">
            <a:extLst>
              <a:ext uri="{FF2B5EF4-FFF2-40B4-BE49-F238E27FC236}">
                <a16:creationId xmlns:a16="http://schemas.microsoft.com/office/drawing/2014/main" id="{44335227-3E26-41CF-BFE0-50DA7329583C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0C16416D-8B30-4E4F-9961-80F823DA0667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Straight Arrow Connector 72">
            <a:extLst>
              <a:ext uri="{FF2B5EF4-FFF2-40B4-BE49-F238E27FC236}">
                <a16:creationId xmlns:a16="http://schemas.microsoft.com/office/drawing/2014/main" id="{4E64BD0A-C730-456A-BA90-21A1318F773F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Straight Arrow Connector 73">
            <a:extLst>
              <a:ext uri="{FF2B5EF4-FFF2-40B4-BE49-F238E27FC236}">
                <a16:creationId xmlns:a16="http://schemas.microsoft.com/office/drawing/2014/main" id="{C6A19F4C-9334-444B-BFC8-A27DBA7899CE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Straight Arrow Connector 74">
            <a:extLst>
              <a:ext uri="{FF2B5EF4-FFF2-40B4-BE49-F238E27FC236}">
                <a16:creationId xmlns:a16="http://schemas.microsoft.com/office/drawing/2014/main" id="{73D9937B-F162-400A-9E95-0C54576C1313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Straight Arrow Connector 78">
            <a:extLst>
              <a:ext uri="{FF2B5EF4-FFF2-40B4-BE49-F238E27FC236}">
                <a16:creationId xmlns:a16="http://schemas.microsoft.com/office/drawing/2014/main" id="{F6C61CB6-ACB8-4231-9C5B-19E233D225FA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Straight Arrow Connector 79">
            <a:extLst>
              <a:ext uri="{FF2B5EF4-FFF2-40B4-BE49-F238E27FC236}">
                <a16:creationId xmlns:a16="http://schemas.microsoft.com/office/drawing/2014/main" id="{F3A7EE9B-9A3E-410E-BD57-17A0A31FDA89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" name="Straight Arrow Connector 81">
            <a:extLst>
              <a:ext uri="{FF2B5EF4-FFF2-40B4-BE49-F238E27FC236}">
                <a16:creationId xmlns:a16="http://schemas.microsoft.com/office/drawing/2014/main" id="{FF042103-D662-40F7-9EE8-8C4BDF9653DE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D7E7388A-63A4-4354-8D5C-FB7F23EF6D65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" name="Straight Arrow Connector 83">
            <a:extLst>
              <a:ext uri="{FF2B5EF4-FFF2-40B4-BE49-F238E27FC236}">
                <a16:creationId xmlns:a16="http://schemas.microsoft.com/office/drawing/2014/main" id="{C71B3BD8-EBDD-4456-ACAF-5C9AB5749E28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Arrow Connector 84">
            <a:extLst>
              <a:ext uri="{FF2B5EF4-FFF2-40B4-BE49-F238E27FC236}">
                <a16:creationId xmlns:a16="http://schemas.microsoft.com/office/drawing/2014/main" id="{5DA8AB82-B09B-412B-BF02-19A06F280D58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" name="Straight Arrow Connector 85">
            <a:extLst>
              <a:ext uri="{FF2B5EF4-FFF2-40B4-BE49-F238E27FC236}">
                <a16:creationId xmlns:a16="http://schemas.microsoft.com/office/drawing/2014/main" id="{D7003A40-5141-40F5-BBB4-E698810057F6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" name="Straight Arrow Connector 86">
            <a:extLst>
              <a:ext uri="{FF2B5EF4-FFF2-40B4-BE49-F238E27FC236}">
                <a16:creationId xmlns:a16="http://schemas.microsoft.com/office/drawing/2014/main" id="{74F855CB-7999-4422-B5BB-4B6691BEA581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" name="Straight Arrow Connector 87">
            <a:extLst>
              <a:ext uri="{FF2B5EF4-FFF2-40B4-BE49-F238E27FC236}">
                <a16:creationId xmlns:a16="http://schemas.microsoft.com/office/drawing/2014/main" id="{2ED1BB4B-1BAD-4409-9A5C-BF772E28E4A8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" name="Straight Arrow Connector 88">
            <a:extLst>
              <a:ext uri="{FF2B5EF4-FFF2-40B4-BE49-F238E27FC236}">
                <a16:creationId xmlns:a16="http://schemas.microsoft.com/office/drawing/2014/main" id="{A8F2D348-F013-4AF7-BF24-8D7668C44A32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Straight Arrow Connector 89">
            <a:extLst>
              <a:ext uri="{FF2B5EF4-FFF2-40B4-BE49-F238E27FC236}">
                <a16:creationId xmlns:a16="http://schemas.microsoft.com/office/drawing/2014/main" id="{F815041A-213A-4521-84E4-36EEAADE3DA7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" name="Straight Arrow Connector 90">
            <a:extLst>
              <a:ext uri="{FF2B5EF4-FFF2-40B4-BE49-F238E27FC236}">
                <a16:creationId xmlns:a16="http://schemas.microsoft.com/office/drawing/2014/main" id="{61CED6DF-0405-4315-9759-B00C89D154AD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Arrow Connector 91">
            <a:extLst>
              <a:ext uri="{FF2B5EF4-FFF2-40B4-BE49-F238E27FC236}">
                <a16:creationId xmlns:a16="http://schemas.microsoft.com/office/drawing/2014/main" id="{64F1F2C7-78C5-4EC4-AE1C-1E4CCE41543F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Straight Arrow Connector 92">
            <a:extLst>
              <a:ext uri="{FF2B5EF4-FFF2-40B4-BE49-F238E27FC236}">
                <a16:creationId xmlns:a16="http://schemas.microsoft.com/office/drawing/2014/main" id="{AEED7E1F-ECFB-4125-A052-EAF17D493EE5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" name="Straight Arrow Connector 93">
            <a:extLst>
              <a:ext uri="{FF2B5EF4-FFF2-40B4-BE49-F238E27FC236}">
                <a16:creationId xmlns:a16="http://schemas.microsoft.com/office/drawing/2014/main" id="{6F7FD2BE-87B3-4492-802C-E4CFA6250FF9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B76844F3-2D6C-4431-A0A7-E960C1554399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243C3A02-F795-4450-AD63-F108F0FECF72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AF739ED9-6DEB-4E74-8C59-0579D1C615D6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AC489F24-BA92-40EA-B780-46269070C505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" name="Straight Arrow Connector 105">
            <a:extLst>
              <a:ext uri="{FF2B5EF4-FFF2-40B4-BE49-F238E27FC236}">
                <a16:creationId xmlns:a16="http://schemas.microsoft.com/office/drawing/2014/main" id="{DAB04C91-FC69-45D3-B251-6439F15230BD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Arrow Connector 108">
            <a:extLst>
              <a:ext uri="{FF2B5EF4-FFF2-40B4-BE49-F238E27FC236}">
                <a16:creationId xmlns:a16="http://schemas.microsoft.com/office/drawing/2014/main" id="{4A6D7DB1-C147-4F4E-B7D5-C879838E3CDE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1F095AD8-D7AE-4E15-A585-233D7BF98D20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Straight Arrow Connector 111">
            <a:extLst>
              <a:ext uri="{FF2B5EF4-FFF2-40B4-BE49-F238E27FC236}">
                <a16:creationId xmlns:a16="http://schemas.microsoft.com/office/drawing/2014/main" id="{758DC1F9-A595-4611-8731-383DA8C56AD3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" name="Straight Arrow Connector 114">
            <a:extLst>
              <a:ext uri="{FF2B5EF4-FFF2-40B4-BE49-F238E27FC236}">
                <a16:creationId xmlns:a16="http://schemas.microsoft.com/office/drawing/2014/main" id="{1935E2ED-C24C-4A81-9793-9D9D3E75DFDC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603250</xdr:colOff>
      <xdr:row>58</xdr:row>
      <xdr:rowOff>0</xdr:rowOff>
    </xdr:from>
    <xdr:to>
      <xdr:col>8</xdr:col>
      <xdr:colOff>6350</xdr:colOff>
      <xdr:row>58</xdr:row>
      <xdr:rowOff>12700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80CE45DA-2926-45C9-8F7E-E17FAA580112}"/>
            </a:ext>
          </a:extLst>
        </xdr:cNvPr>
        <xdr:cNvCxnSpPr/>
      </xdr:nvCxnSpPr>
      <xdr:spPr>
        <a:xfrm flipV="1">
          <a:off x="603250" y="10922000"/>
          <a:ext cx="4641850" cy="12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26670</xdr:colOff>
      <xdr:row>70</xdr:row>
      <xdr:rowOff>24765</xdr:rowOff>
    </xdr:from>
    <xdr:ext cx="380040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18C76D31-9A2D-4186-99AD-AB5EAF78FF19}"/>
                </a:ext>
              </a:extLst>
            </xdr:cNvPr>
            <xdr:cNvSpPr txBox="1"/>
          </xdr:nvSpPr>
          <xdr:spPr>
            <a:xfrm>
              <a:off x="1291590" y="13077825"/>
              <a:ext cx="38004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18C76D31-9A2D-4186-99AD-AB5EAF78FF19}"/>
                </a:ext>
              </a:extLst>
            </xdr:cNvPr>
            <xdr:cNvSpPr txBox="1"/>
          </xdr:nvSpPr>
          <xdr:spPr>
            <a:xfrm>
              <a:off x="1291590" y="13077825"/>
              <a:ext cx="38004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𝑊∗𝐿)/2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9</xdr:col>
      <xdr:colOff>445030</xdr:colOff>
      <xdr:row>50</xdr:row>
      <xdr:rowOff>34168</xdr:rowOff>
    </xdr:from>
    <xdr:to>
      <xdr:col>17</xdr:col>
      <xdr:colOff>237067</xdr:colOff>
      <xdr:row>57</xdr:row>
      <xdr:rowOff>25400</xdr:rowOff>
    </xdr:to>
    <xdr:grpSp>
      <xdr:nvGrpSpPr>
        <xdr:cNvPr id="146" name="Group 145">
          <a:extLst>
            <a:ext uri="{FF2B5EF4-FFF2-40B4-BE49-F238E27FC236}">
              <a16:creationId xmlns:a16="http://schemas.microsoft.com/office/drawing/2014/main" id="{2DD3B8B4-89AC-4E1D-A7C7-F9050E2C57C3}"/>
            </a:ext>
          </a:extLst>
        </xdr:cNvPr>
        <xdr:cNvGrpSpPr/>
      </xdr:nvGrpSpPr>
      <xdr:grpSpPr>
        <a:xfrm>
          <a:off x="6467761" y="9822937"/>
          <a:ext cx="4657114" cy="1324732"/>
          <a:chOff x="610130" y="9362318"/>
          <a:chExt cx="4618037" cy="1267582"/>
        </a:xfrm>
      </xdr:grpSpPr>
      <xdr:cxnSp macro="">
        <xdr:nvCxnSpPr>
          <xdr:cNvPr id="147" name="Straight Arrow Connector 146">
            <a:extLst>
              <a:ext uri="{FF2B5EF4-FFF2-40B4-BE49-F238E27FC236}">
                <a16:creationId xmlns:a16="http://schemas.microsoft.com/office/drawing/2014/main" id="{6F3AFDB5-5873-4086-98DA-2874457664CB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" name="Straight Arrow Connector 147">
            <a:extLst>
              <a:ext uri="{FF2B5EF4-FFF2-40B4-BE49-F238E27FC236}">
                <a16:creationId xmlns:a16="http://schemas.microsoft.com/office/drawing/2014/main" id="{56937E2D-7C4B-4BFC-84A5-C6FECD6753F8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92B3E396-D900-430B-9FAA-A572845A79FC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" name="Straight Arrow Connector 149">
            <a:extLst>
              <a:ext uri="{FF2B5EF4-FFF2-40B4-BE49-F238E27FC236}">
                <a16:creationId xmlns:a16="http://schemas.microsoft.com/office/drawing/2014/main" id="{741AAADC-F4D2-43EF-968D-80ABB363FA06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" name="Straight Arrow Connector 150">
            <a:extLst>
              <a:ext uri="{FF2B5EF4-FFF2-40B4-BE49-F238E27FC236}">
                <a16:creationId xmlns:a16="http://schemas.microsoft.com/office/drawing/2014/main" id="{667A97AE-748C-4366-AAEC-D8E3CF430E19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Arrow Connector 151">
            <a:extLst>
              <a:ext uri="{FF2B5EF4-FFF2-40B4-BE49-F238E27FC236}">
                <a16:creationId xmlns:a16="http://schemas.microsoft.com/office/drawing/2014/main" id="{9D47C7FA-DE0A-4A3C-A4F9-B1FAC1DB8C53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" name="Straight Arrow Connector 152">
            <a:extLst>
              <a:ext uri="{FF2B5EF4-FFF2-40B4-BE49-F238E27FC236}">
                <a16:creationId xmlns:a16="http://schemas.microsoft.com/office/drawing/2014/main" id="{213472C5-DE53-49BF-9DC8-63C220B90583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" name="Straight Arrow Connector 153">
            <a:extLst>
              <a:ext uri="{FF2B5EF4-FFF2-40B4-BE49-F238E27FC236}">
                <a16:creationId xmlns:a16="http://schemas.microsoft.com/office/drawing/2014/main" id="{42DBC822-07A5-4A97-A5F0-F4060417AD96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Straight Arrow Connector 154">
            <a:extLst>
              <a:ext uri="{FF2B5EF4-FFF2-40B4-BE49-F238E27FC236}">
                <a16:creationId xmlns:a16="http://schemas.microsoft.com/office/drawing/2014/main" id="{83DE7A8F-68AE-4C64-A55C-09FD2B5502B7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" name="Straight Arrow Connector 155">
            <a:extLst>
              <a:ext uri="{FF2B5EF4-FFF2-40B4-BE49-F238E27FC236}">
                <a16:creationId xmlns:a16="http://schemas.microsoft.com/office/drawing/2014/main" id="{B0B9A09C-FBEB-495B-9985-E15DDB087CF6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" name="Straight Arrow Connector 156">
            <a:extLst>
              <a:ext uri="{FF2B5EF4-FFF2-40B4-BE49-F238E27FC236}">
                <a16:creationId xmlns:a16="http://schemas.microsoft.com/office/drawing/2014/main" id="{98D6D6EA-6F4F-4F5F-BFB0-29AA143B0FCD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" name="Straight Arrow Connector 157">
            <a:extLst>
              <a:ext uri="{FF2B5EF4-FFF2-40B4-BE49-F238E27FC236}">
                <a16:creationId xmlns:a16="http://schemas.microsoft.com/office/drawing/2014/main" id="{1F5D796A-AEF9-4D41-AB1E-19FDADBAAB46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Arrow Connector 158">
            <a:extLst>
              <a:ext uri="{FF2B5EF4-FFF2-40B4-BE49-F238E27FC236}">
                <a16:creationId xmlns:a16="http://schemas.microsoft.com/office/drawing/2014/main" id="{DEE7713D-1112-4EC0-BBD5-B3BA720971E4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" name="Straight Arrow Connector 159">
            <a:extLst>
              <a:ext uri="{FF2B5EF4-FFF2-40B4-BE49-F238E27FC236}">
                <a16:creationId xmlns:a16="http://schemas.microsoft.com/office/drawing/2014/main" id="{3E82CC0C-CCF9-4FAE-9DD8-BF2C1B29C3F4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" name="Straight Arrow Connector 160">
            <a:extLst>
              <a:ext uri="{FF2B5EF4-FFF2-40B4-BE49-F238E27FC236}">
                <a16:creationId xmlns:a16="http://schemas.microsoft.com/office/drawing/2014/main" id="{E8FB92A2-7637-4ECB-A3AD-F461E225F2A4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BA844AEB-B070-4830-A1BE-130C4E03ED4B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" name="Straight Arrow Connector 162">
            <a:extLst>
              <a:ext uri="{FF2B5EF4-FFF2-40B4-BE49-F238E27FC236}">
                <a16:creationId xmlns:a16="http://schemas.microsoft.com/office/drawing/2014/main" id="{30672F72-0158-43FE-B9DC-29CDCE53A7F9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" name="Straight Arrow Connector 163">
            <a:extLst>
              <a:ext uri="{FF2B5EF4-FFF2-40B4-BE49-F238E27FC236}">
                <a16:creationId xmlns:a16="http://schemas.microsoft.com/office/drawing/2014/main" id="{230BF114-261E-4638-A66C-2692E709D210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" name="Straight Arrow Connector 164">
            <a:extLst>
              <a:ext uri="{FF2B5EF4-FFF2-40B4-BE49-F238E27FC236}">
                <a16:creationId xmlns:a16="http://schemas.microsoft.com/office/drawing/2014/main" id="{A290EA9C-0ADB-4194-8ADA-BFD07298B3EB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Arrow Connector 165">
            <a:extLst>
              <a:ext uri="{FF2B5EF4-FFF2-40B4-BE49-F238E27FC236}">
                <a16:creationId xmlns:a16="http://schemas.microsoft.com/office/drawing/2014/main" id="{C47DB533-A4A5-461B-BBBE-582135C8BE48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" name="Straight Arrow Connector 166">
            <a:extLst>
              <a:ext uri="{FF2B5EF4-FFF2-40B4-BE49-F238E27FC236}">
                <a16:creationId xmlns:a16="http://schemas.microsoft.com/office/drawing/2014/main" id="{027680D4-E661-4632-A926-5844E5040499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" name="Straight Arrow Connector 167">
            <a:extLst>
              <a:ext uri="{FF2B5EF4-FFF2-40B4-BE49-F238E27FC236}">
                <a16:creationId xmlns:a16="http://schemas.microsoft.com/office/drawing/2014/main" id="{AEA3F2E8-6498-4A98-83A1-1C8A78012F5E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" name="Straight Arrow Connector 168">
            <a:extLst>
              <a:ext uri="{FF2B5EF4-FFF2-40B4-BE49-F238E27FC236}">
                <a16:creationId xmlns:a16="http://schemas.microsoft.com/office/drawing/2014/main" id="{72D58FB6-2E97-482D-9D08-9C56A674BDDF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" name="Straight Arrow Connector 169">
            <a:extLst>
              <a:ext uri="{FF2B5EF4-FFF2-40B4-BE49-F238E27FC236}">
                <a16:creationId xmlns:a16="http://schemas.microsoft.com/office/drawing/2014/main" id="{56E8CB1A-D5F9-43A5-8023-F6F9E6DC0B54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" name="Straight Connector 170">
            <a:extLst>
              <a:ext uri="{FF2B5EF4-FFF2-40B4-BE49-F238E27FC236}">
                <a16:creationId xmlns:a16="http://schemas.microsoft.com/office/drawing/2014/main" id="{BF762A1C-8C32-4DEE-8976-9F29AC9090FB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741CBB7F-3390-456F-82E1-001C6CC7EF6C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172">
            <a:extLst>
              <a:ext uri="{FF2B5EF4-FFF2-40B4-BE49-F238E27FC236}">
                <a16:creationId xmlns:a16="http://schemas.microsoft.com/office/drawing/2014/main" id="{CBA46FCE-CC50-422D-BC35-F3A3F08FCAFD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" name="Straight Connector 173">
            <a:extLst>
              <a:ext uri="{FF2B5EF4-FFF2-40B4-BE49-F238E27FC236}">
                <a16:creationId xmlns:a16="http://schemas.microsoft.com/office/drawing/2014/main" id="{96EDE9C1-3770-43C2-B44C-49E00D3B5E6C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" name="Straight Arrow Connector 174">
            <a:extLst>
              <a:ext uri="{FF2B5EF4-FFF2-40B4-BE49-F238E27FC236}">
                <a16:creationId xmlns:a16="http://schemas.microsoft.com/office/drawing/2014/main" id="{E45C5912-6D80-4BBE-8252-C6A8EB5FB84A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6" name="Straight Arrow Connector 175">
            <a:extLst>
              <a:ext uri="{FF2B5EF4-FFF2-40B4-BE49-F238E27FC236}">
                <a16:creationId xmlns:a16="http://schemas.microsoft.com/office/drawing/2014/main" id="{077FF04C-BB2F-4DCE-A5E7-A0D99446FB22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7" name="Straight Arrow Connector 176">
            <a:extLst>
              <a:ext uri="{FF2B5EF4-FFF2-40B4-BE49-F238E27FC236}">
                <a16:creationId xmlns:a16="http://schemas.microsoft.com/office/drawing/2014/main" id="{81709DED-5972-4BC3-9467-D924B4E78625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8" name="Straight Arrow Connector 177">
            <a:extLst>
              <a:ext uri="{FF2B5EF4-FFF2-40B4-BE49-F238E27FC236}">
                <a16:creationId xmlns:a16="http://schemas.microsoft.com/office/drawing/2014/main" id="{A66CD4C5-D3A8-4A70-B870-13D6D91D9DEB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" name="Straight Arrow Connector 178">
            <a:extLst>
              <a:ext uri="{FF2B5EF4-FFF2-40B4-BE49-F238E27FC236}">
                <a16:creationId xmlns:a16="http://schemas.microsoft.com/office/drawing/2014/main" id="{9E6F98FD-C8FC-45DC-BE87-BE3689A50B23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4409</xdr:colOff>
      <xdr:row>59</xdr:row>
      <xdr:rowOff>133534</xdr:rowOff>
    </xdr:from>
    <xdr:to>
      <xdr:col>17</xdr:col>
      <xdr:colOff>206045</xdr:colOff>
      <xdr:row>59</xdr:row>
      <xdr:rowOff>182887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F28D8890-6FCF-41E7-85D8-246813968E95}"/>
            </a:ext>
          </a:extLst>
        </xdr:cNvPr>
        <xdr:cNvCxnSpPr>
          <a:stCxn id="181" idx="2"/>
          <a:endCxn id="181" idx="0"/>
        </xdr:cNvCxnSpPr>
      </xdr:nvCxnSpPr>
      <xdr:spPr>
        <a:xfrm flipV="1">
          <a:off x="6726338" y="11291391"/>
          <a:ext cx="4468836" cy="4935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313760</xdr:colOff>
      <xdr:row>40</xdr:row>
      <xdr:rowOff>98388</xdr:rowOff>
    </xdr:from>
    <xdr:to>
      <xdr:col>18</xdr:col>
      <xdr:colOff>78490</xdr:colOff>
      <xdr:row>66</xdr:row>
      <xdr:rowOff>51785</xdr:rowOff>
    </xdr:to>
    <xdr:sp macro="" textlink="">
      <xdr:nvSpPr>
        <xdr:cNvPr id="181" name="Arc 180">
          <a:extLst>
            <a:ext uri="{FF2B5EF4-FFF2-40B4-BE49-F238E27FC236}">
              <a16:creationId xmlns:a16="http://schemas.microsoft.com/office/drawing/2014/main" id="{E23892A4-3EC4-4CD1-A0D6-C17F81EB5688}"/>
            </a:ext>
          </a:extLst>
        </xdr:cNvPr>
        <xdr:cNvSpPr/>
      </xdr:nvSpPr>
      <xdr:spPr>
        <a:xfrm rot="8996223">
          <a:off x="6426089" y="7740159"/>
          <a:ext cx="5251130" cy="4764883"/>
        </a:xfrm>
        <a:prstGeom prst="arc">
          <a:avLst>
            <a:gd name="adj1" fmla="val 14319907"/>
            <a:gd name="adj2" fmla="val 144879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342900</xdr:colOff>
      <xdr:row>46</xdr:row>
      <xdr:rowOff>95250</xdr:rowOff>
    </xdr:from>
    <xdr:to>
      <xdr:col>13</xdr:col>
      <xdr:colOff>355600</xdr:colOff>
      <xdr:row>66</xdr:row>
      <xdr:rowOff>158750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D4E07B19-CF7B-4C48-A815-FA5459DA8C39}"/>
            </a:ext>
          </a:extLst>
        </xdr:cNvPr>
        <xdr:cNvCxnSpPr/>
      </xdr:nvCxnSpPr>
      <xdr:spPr>
        <a:xfrm>
          <a:off x="8674100" y="8807450"/>
          <a:ext cx="12700" cy="3746500"/>
        </a:xfrm>
        <a:prstGeom prst="line">
          <a:avLst/>
        </a:prstGeom>
        <a:ln w="19050"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142875</xdr:colOff>
      <xdr:row>85</xdr:row>
      <xdr:rowOff>1</xdr:rowOff>
    </xdr:from>
    <xdr:to>
      <xdr:col>9</xdr:col>
      <xdr:colOff>528637</xdr:colOff>
      <xdr:row>87</xdr:row>
      <xdr:rowOff>92511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50B7F143-02FF-43ED-B771-064306A35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48388" y="15849601"/>
          <a:ext cx="385762" cy="45446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19051</xdr:colOff>
      <xdr:row>87</xdr:row>
      <xdr:rowOff>161925</xdr:rowOff>
    </xdr:from>
    <xdr:to>
      <xdr:col>14</xdr:col>
      <xdr:colOff>95250</xdr:colOff>
      <xdr:row>89</xdr:row>
      <xdr:rowOff>149178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E1583FD8-9E8D-4A72-B8E6-43838B81A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24564" y="16373475"/>
          <a:ext cx="3124199" cy="349203"/>
        </a:xfrm>
        <a:prstGeom prst="rect">
          <a:avLst/>
        </a:prstGeom>
      </xdr:spPr>
    </xdr:pic>
    <xdr:clientData/>
  </xdr:twoCellAnchor>
  <xdr:twoCellAnchor>
    <xdr:from>
      <xdr:col>1</xdr:col>
      <xdr:colOff>642938</xdr:colOff>
      <xdr:row>84</xdr:row>
      <xdr:rowOff>30956</xdr:rowOff>
    </xdr:from>
    <xdr:to>
      <xdr:col>5</xdr:col>
      <xdr:colOff>636309</xdr:colOff>
      <xdr:row>84</xdr:row>
      <xdr:rowOff>382462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DF369259-F9C2-49E8-AA53-071AACCF4C2C}"/>
                </a:ext>
              </a:extLst>
            </xdr:cNvPr>
            <xdr:cNvSpPr txBox="1"/>
          </xdr:nvSpPr>
          <xdr:spPr>
            <a:xfrm>
              <a:off x="1252538" y="15699581"/>
              <a:ext cx="2912784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0.87∗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𝑓𝑦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𝐴𝑠𝑡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𝑑𝑝𝑟𝑜𝑣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.∗(1−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𝐴𝑠𝑡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𝑓𝑐𝑘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𝑑𝑝𝑟𝑜𝑣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DF369259-F9C2-49E8-AA53-071AACCF4C2C}"/>
                </a:ext>
              </a:extLst>
            </xdr:cNvPr>
            <xdr:cNvSpPr txBox="1"/>
          </xdr:nvSpPr>
          <xdr:spPr>
            <a:xfrm>
              <a:off x="1252538" y="15699581"/>
              <a:ext cx="2912784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0.87∗𝑓𝑦∗𝐴𝑠𝑡∗𝑑𝑝𝑟𝑜𝑣.∗(1−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𝑓𝑦∗𝐴𝑠𝑡)/(𝑓𝑐𝑘∗𝑏∗𝑑𝑝𝑟𝑜𝑣.))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2</xdr:col>
      <xdr:colOff>33337</xdr:colOff>
      <xdr:row>101</xdr:row>
      <xdr:rowOff>11906</xdr:rowOff>
    </xdr:from>
    <xdr:to>
      <xdr:col>2</xdr:col>
      <xdr:colOff>429664</xdr:colOff>
      <xdr:row>101</xdr:row>
      <xdr:rowOff>327698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8D3B1B8D-4AD3-4038-8D58-49097F87F454}"/>
                </a:ext>
              </a:extLst>
            </xdr:cNvPr>
            <xdr:cNvSpPr txBox="1"/>
          </xdr:nvSpPr>
          <xdr:spPr>
            <a:xfrm>
              <a:off x="1300162" y="18428494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𝑉𝑚𝑎𝑥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8D3B1B8D-4AD3-4038-8D58-49097F87F454}"/>
                </a:ext>
              </a:extLst>
            </xdr:cNvPr>
            <xdr:cNvSpPr txBox="1"/>
          </xdr:nvSpPr>
          <xdr:spPr>
            <a:xfrm>
              <a:off x="1300162" y="18428494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𝑉𝑚𝑎𝑥/𝑏𝑑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144780</xdr:colOff>
      <xdr:row>93</xdr:row>
      <xdr:rowOff>53340</xdr:rowOff>
    </xdr:from>
    <xdr:to>
      <xdr:col>18</xdr:col>
      <xdr:colOff>581346</xdr:colOff>
      <xdr:row>114</xdr:row>
      <xdr:rowOff>114777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8B965998-3132-4C09-B0E8-D88BE231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56020" y="17724120"/>
          <a:ext cx="5922966" cy="4061937"/>
        </a:xfrm>
        <a:prstGeom prst="rect">
          <a:avLst/>
        </a:prstGeom>
      </xdr:spPr>
    </xdr:pic>
    <xdr:clientData/>
  </xdr:twoCellAnchor>
  <xdr:twoCellAnchor>
    <xdr:from>
      <xdr:col>4</xdr:col>
      <xdr:colOff>5862</xdr:colOff>
      <xdr:row>117</xdr:row>
      <xdr:rowOff>23447</xdr:rowOff>
    </xdr:from>
    <xdr:to>
      <xdr:col>10</xdr:col>
      <xdr:colOff>478628</xdr:colOff>
      <xdr:row>118</xdr:row>
      <xdr:rowOff>89484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7D81A376-3D7E-4822-B7F8-9AFF31AE41D5}"/>
                </a:ext>
              </a:extLst>
            </xdr:cNvPr>
            <xdr:cNvSpPr txBox="1"/>
          </xdr:nvSpPr>
          <xdr:spPr>
            <a:xfrm>
              <a:off x="2713893" y="22297293"/>
              <a:ext cx="4487920" cy="35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𝑟𝑒𝑞𝑢𝑖𝑟𝑒𝑑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𝑝𝑟𝑜𝑣𝑖𝑑𝑒𝑑</m:t>
                      </m:r>
                    </m:den>
                  </m:f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7D81A376-3D7E-4822-B7F8-9AFF31AE41D5}"/>
                </a:ext>
              </a:extLst>
            </xdr:cNvPr>
            <xdr:cNvSpPr txBox="1"/>
          </xdr:nvSpPr>
          <xdr:spPr>
            <a:xfrm>
              <a:off x="2713893" y="22297293"/>
              <a:ext cx="4487920" cy="35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𝐴𝑟𝑒𝑎 𝑜𝑓 𝑐𝑟𝑜𝑠𝑠−𝑠𝑒𝑐𝑡𝑖𝑜𝑛 𝑜𝑓 𝑠𝑡𝑒𝑒𝑙 𝑟𝑒𝑞𝑢𝑖𝑟𝑒𝑑)/(𝐴𝑟𝑒𝑎 𝑜𝑓 𝑐𝑟𝑜𝑠𝑠−𝑠𝑒𝑐𝑡𝑖𝑜𝑛 𝑜𝑓 𝑠𝑡𝑒𝑒𝑙 𝑝𝑟𝑜𝑣𝑖𝑑𝑒𝑑)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251461</xdr:colOff>
      <xdr:row>118</xdr:row>
      <xdr:rowOff>15240</xdr:rowOff>
    </xdr:from>
    <xdr:to>
      <xdr:col>16</xdr:col>
      <xdr:colOff>68581</xdr:colOff>
      <xdr:row>132</xdr:row>
      <xdr:rowOff>134484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4E5B22F4-B073-4632-9A63-8753B1094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62701" y="22692360"/>
          <a:ext cx="4084320" cy="2908164"/>
        </a:xfrm>
        <a:prstGeom prst="rect">
          <a:avLst/>
        </a:prstGeom>
      </xdr:spPr>
    </xdr:pic>
    <xdr:clientData/>
  </xdr:twoCellAnchor>
  <xdr:twoCellAnchor>
    <xdr:from>
      <xdr:col>3</xdr:col>
      <xdr:colOff>553720</xdr:colOff>
      <xdr:row>128</xdr:row>
      <xdr:rowOff>25400</xdr:rowOff>
    </xdr:from>
    <xdr:to>
      <xdr:col>4</xdr:col>
      <xdr:colOff>591238</xdr:colOff>
      <xdr:row>129</xdr:row>
      <xdr:rowOff>40641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FFC610F1-2B8C-4B5B-A0C5-C7ED48C5A20E}"/>
                </a:ext>
              </a:extLst>
            </xdr:cNvPr>
            <xdr:cNvSpPr txBox="1"/>
          </xdr:nvSpPr>
          <xdr:spPr>
            <a:xfrm>
              <a:off x="2651760" y="24384000"/>
              <a:ext cx="647118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4∗</m:t>
                        </m:r>
                        <m:r>
                          <a:rPr lang="el-GR" sz="1100" b="0" i="1">
                            <a:latin typeface="Cambria Math" panose="02040503050406030204" pitchFamily="18" charset="0"/>
                          </a:rPr>
                          <m:t>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FFC610F1-2B8C-4B5B-A0C5-C7ED48C5A20E}"/>
                </a:ext>
              </a:extLst>
            </xdr:cNvPr>
            <xdr:cNvSpPr txBox="1"/>
          </xdr:nvSpPr>
          <xdr:spPr>
            <a:xfrm>
              <a:off x="2651760" y="24384000"/>
              <a:ext cx="647118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l-GR" sz="1100" i="0">
                  <a:latin typeface="Cambria Math" panose="02040503050406030204" pitchFamily="18" charset="0"/>
                </a:rPr>
                <a:t>𝛷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r>
                <a:rPr lang="el-GR" sz="1100" b="0" i="0">
                  <a:latin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</a:rPr>
                <a:t>𝑠)/(4∗</a:t>
              </a:r>
              <a:r>
                <a:rPr lang="el-GR" sz="1100" b="0" i="0">
                  <a:latin typeface="Cambria Math" panose="02040503050406030204" pitchFamily="18" charset="0"/>
                </a:rPr>
                <a:t>𝜏</a:t>
              </a:r>
              <a:r>
                <a:rPr lang="en-US" sz="1100" b="0" i="0">
                  <a:latin typeface="Cambria Math" panose="02040503050406030204" pitchFamily="18" charset="0"/>
                </a:rPr>
                <a:t>𝑏𝑑)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4</xdr:col>
      <xdr:colOff>594360</xdr:colOff>
      <xdr:row>128</xdr:row>
      <xdr:rowOff>40640</xdr:rowOff>
    </xdr:from>
    <xdr:to>
      <xdr:col>5</xdr:col>
      <xdr:colOff>706120</xdr:colOff>
      <xdr:row>129</xdr:row>
      <xdr:rowOff>55881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41809782-ED5C-4731-9AE1-A743CFC9BB28}"/>
                </a:ext>
              </a:extLst>
            </xdr:cNvPr>
            <xdr:cNvSpPr txBox="1"/>
          </xdr:nvSpPr>
          <xdr:spPr>
            <a:xfrm>
              <a:off x="3302000" y="24399240"/>
              <a:ext cx="934720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/>
                <a:t>=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l-GR" sz="1400" i="1">
                          <a:latin typeface="Cambria Math" panose="02040503050406030204" pitchFamily="18" charset="0"/>
                        </a:rPr>
                        <m:t>𝛷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∗0.87∗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𝑓𝑦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4∗</m:t>
                      </m:r>
                      <m:r>
                        <a:rPr lang="el-GR" sz="1400" b="0" i="1">
                          <a:latin typeface="Cambria Math" panose="02040503050406030204" pitchFamily="18" charset="0"/>
                        </a:rPr>
                        <m:t>𝜏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𝑏𝑑</m:t>
                      </m:r>
                    </m:den>
                  </m:f>
                </m:oMath>
              </a14:m>
              <a:endParaRPr lang="en-US" sz="1400"/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41809782-ED5C-4731-9AE1-A743CFC9BB28}"/>
                </a:ext>
              </a:extLst>
            </xdr:cNvPr>
            <xdr:cNvSpPr txBox="1"/>
          </xdr:nvSpPr>
          <xdr:spPr>
            <a:xfrm>
              <a:off x="3302000" y="24399240"/>
              <a:ext cx="934720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/>
                <a:t>=</a:t>
              </a:r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l-GR" sz="1400" i="0">
                  <a:latin typeface="Cambria Math" panose="02040503050406030204" pitchFamily="18" charset="0"/>
                </a:rPr>
                <a:t>𝛷</a:t>
              </a:r>
              <a:r>
                <a:rPr lang="en-US" sz="1400" b="0" i="0">
                  <a:latin typeface="Cambria Math" panose="02040503050406030204" pitchFamily="18" charset="0"/>
                </a:rPr>
                <a:t>∗0.87∗𝑓𝑦)/(4∗</a:t>
              </a:r>
              <a:r>
                <a:rPr lang="el-GR" sz="1400" b="0" i="0">
                  <a:latin typeface="Cambria Math" panose="02040503050406030204" pitchFamily="18" charset="0"/>
                </a:rPr>
                <a:t>𝜏</a:t>
              </a:r>
              <a:r>
                <a:rPr lang="en-US" sz="1400" b="0" i="0">
                  <a:latin typeface="Cambria Math" panose="02040503050406030204" pitchFamily="18" charset="0"/>
                </a:rPr>
                <a:t>𝑏𝑑)</a:t>
              </a:r>
              <a:endParaRPr lang="en-US" sz="1400"/>
            </a:p>
          </xdr:txBody>
        </xdr:sp>
      </mc:Fallback>
    </mc:AlternateContent>
    <xdr:clientData/>
  </xdr:twoCellAnchor>
  <xdr:twoCellAnchor editAs="oneCell">
    <xdr:from>
      <xdr:col>9</xdr:col>
      <xdr:colOff>1</xdr:colOff>
      <xdr:row>133</xdr:row>
      <xdr:rowOff>1</xdr:rowOff>
    </xdr:from>
    <xdr:to>
      <xdr:col>12</xdr:col>
      <xdr:colOff>76299</xdr:colOff>
      <xdr:row>142</xdr:row>
      <xdr:rowOff>60961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DBA314EB-CE98-499D-A11C-189ACCF09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16321" y="25486361"/>
          <a:ext cx="1905098" cy="1706880"/>
        </a:xfrm>
        <a:prstGeom prst="rect">
          <a:avLst/>
        </a:prstGeom>
      </xdr:spPr>
    </xdr:pic>
    <xdr:clientData/>
  </xdr:twoCellAnchor>
  <xdr:twoCellAnchor editAs="oneCell">
    <xdr:from>
      <xdr:col>9</xdr:col>
      <xdr:colOff>20320</xdr:colOff>
      <xdr:row>142</xdr:row>
      <xdr:rowOff>69838</xdr:rowOff>
    </xdr:from>
    <xdr:to>
      <xdr:col>15</xdr:col>
      <xdr:colOff>155616</xdr:colOff>
      <xdr:row>149</xdr:row>
      <xdr:rowOff>68807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AC3E64FB-241B-4D0A-A0B9-FA800C6E3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36640" y="27202118"/>
          <a:ext cx="3792896" cy="1279129"/>
        </a:xfrm>
        <a:prstGeom prst="rect">
          <a:avLst/>
        </a:prstGeom>
      </xdr:spPr>
    </xdr:pic>
    <xdr:clientData/>
  </xdr:twoCellAnchor>
  <xdr:twoCellAnchor editAs="oneCell">
    <xdr:from>
      <xdr:col>2</xdr:col>
      <xdr:colOff>81280</xdr:colOff>
      <xdr:row>142</xdr:row>
      <xdr:rowOff>40640</xdr:rowOff>
    </xdr:from>
    <xdr:to>
      <xdr:col>5</xdr:col>
      <xdr:colOff>25400</xdr:colOff>
      <xdr:row>157</xdr:row>
      <xdr:rowOff>130287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D4D46B95-914E-41CD-8DCC-24750E864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46200" y="27172920"/>
          <a:ext cx="2209800" cy="28328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66221</xdr:colOff>
      <xdr:row>23</xdr:row>
      <xdr:rowOff>96158</xdr:rowOff>
    </xdr:from>
    <xdr:to>
      <xdr:col>16</xdr:col>
      <xdr:colOff>464235</xdr:colOff>
      <xdr:row>35</xdr:row>
      <xdr:rowOff>58965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458804-ABEB-41FF-9D75-0211424B1D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/>
        <a:stretch/>
      </xdr:blipFill>
      <xdr:spPr>
        <a:xfrm>
          <a:off x="6095546" y="3153683"/>
          <a:ext cx="4665214" cy="2477407"/>
        </a:xfrm>
        <a:prstGeom prst="rect">
          <a:avLst/>
        </a:prstGeom>
      </xdr:spPr>
    </xdr:pic>
    <xdr:clientData/>
  </xdr:twoCellAnchor>
  <xdr:twoCellAnchor editAs="oneCell">
    <xdr:from>
      <xdr:col>9</xdr:col>
      <xdr:colOff>97971</xdr:colOff>
      <xdr:row>4</xdr:row>
      <xdr:rowOff>5443</xdr:rowOff>
    </xdr:from>
    <xdr:to>
      <xdr:col>14</xdr:col>
      <xdr:colOff>179614</xdr:colOff>
      <xdr:row>12</xdr:row>
      <xdr:rowOff>153865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137641-8870-4A4D-B6EA-1E117C5F3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4623"/>
        <a:stretch/>
      </xdr:blipFill>
      <xdr:spPr>
        <a:xfrm>
          <a:off x="6120702" y="774770"/>
          <a:ext cx="3122316" cy="1672422"/>
        </a:xfrm>
        <a:prstGeom prst="rect">
          <a:avLst/>
        </a:prstGeom>
      </xdr:spPr>
    </xdr:pic>
    <xdr:clientData/>
  </xdr:twoCellAnchor>
  <xdr:twoCellAnchor>
    <xdr:from>
      <xdr:col>10</xdr:col>
      <xdr:colOff>192385</xdr:colOff>
      <xdr:row>9</xdr:row>
      <xdr:rowOff>148843</xdr:rowOff>
    </xdr:from>
    <xdr:to>
      <xdr:col>10</xdr:col>
      <xdr:colOff>192385</xdr:colOff>
      <xdr:row>11</xdr:row>
      <xdr:rowOff>105300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4EE8CA8-2572-4081-A966-113F522E0D64}"/>
            </a:ext>
          </a:extLst>
        </xdr:cNvPr>
        <xdr:cNvCxnSpPr/>
      </xdr:nvCxnSpPr>
      <xdr:spPr>
        <a:xfrm flipV="1">
          <a:off x="6823250" y="1870670"/>
          <a:ext cx="0" cy="3374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76271</xdr:colOff>
      <xdr:row>9</xdr:row>
      <xdr:rowOff>148843</xdr:rowOff>
    </xdr:from>
    <xdr:to>
      <xdr:col>11</xdr:col>
      <xdr:colOff>76271</xdr:colOff>
      <xdr:row>11</xdr:row>
      <xdr:rowOff>105300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E4806CB-CF43-4861-8954-96E4813F82EE}"/>
            </a:ext>
          </a:extLst>
        </xdr:cNvPr>
        <xdr:cNvCxnSpPr/>
      </xdr:nvCxnSpPr>
      <xdr:spPr>
        <a:xfrm flipV="1">
          <a:off x="7315271" y="1870670"/>
          <a:ext cx="0" cy="3374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159658</xdr:colOff>
      <xdr:row>5</xdr:row>
      <xdr:rowOff>21773</xdr:rowOff>
    </xdr:from>
    <xdr:to>
      <xdr:col>13</xdr:col>
      <xdr:colOff>159658</xdr:colOff>
      <xdr:row>7</xdr:row>
      <xdr:rowOff>159659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AA6FD64-F355-45C8-A385-3A3D613AF267}"/>
            </a:ext>
          </a:extLst>
        </xdr:cNvPr>
        <xdr:cNvCxnSpPr/>
      </xdr:nvCxnSpPr>
      <xdr:spPr>
        <a:xfrm flipV="1">
          <a:off x="8627383" y="983798"/>
          <a:ext cx="0" cy="3283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587830</xdr:colOff>
      <xdr:row>5</xdr:row>
      <xdr:rowOff>25401</xdr:rowOff>
    </xdr:from>
    <xdr:to>
      <xdr:col>13</xdr:col>
      <xdr:colOff>587830</xdr:colOff>
      <xdr:row>7</xdr:row>
      <xdr:rowOff>163287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D0C034F-8E5E-4680-8DDD-C36263F9B16B}"/>
            </a:ext>
          </a:extLst>
        </xdr:cNvPr>
        <xdr:cNvCxnSpPr/>
      </xdr:nvCxnSpPr>
      <xdr:spPr>
        <a:xfrm flipV="1">
          <a:off x="9055555" y="987426"/>
          <a:ext cx="0" cy="3283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156029</xdr:colOff>
      <xdr:row>5</xdr:row>
      <xdr:rowOff>72571</xdr:rowOff>
    </xdr:from>
    <xdr:to>
      <xdr:col>13</xdr:col>
      <xdr:colOff>598715</xdr:colOff>
      <xdr:row>5</xdr:row>
      <xdr:rowOff>76201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60F089F-14ED-4A68-924A-B55DC904A26A}"/>
            </a:ext>
          </a:extLst>
        </xdr:cNvPr>
        <xdr:cNvCxnSpPr/>
      </xdr:nvCxnSpPr>
      <xdr:spPr>
        <a:xfrm flipV="1">
          <a:off x="8623754" y="1034596"/>
          <a:ext cx="442686" cy="36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283099</xdr:colOff>
      <xdr:row>9</xdr:row>
      <xdr:rowOff>35448</xdr:rowOff>
    </xdr:from>
    <xdr:to>
      <xdr:col>11</xdr:col>
      <xdr:colOff>21842</xdr:colOff>
      <xdr:row>11</xdr:row>
      <xdr:rowOff>102577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F4505C7-F8A3-4E8C-A71A-663C9AD8D3FF}"/>
            </a:ext>
          </a:extLst>
        </xdr:cNvPr>
        <xdr:cNvSpPr txBox="1"/>
      </xdr:nvSpPr>
      <xdr:spPr>
        <a:xfrm>
          <a:off x="6913964" y="1757275"/>
          <a:ext cx="346878" cy="4481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L1</a:t>
          </a:r>
        </a:p>
      </xdr:txBody>
    </xdr:sp>
    <xdr:clientData/>
  </xdr:twoCellAnchor>
  <xdr:twoCellAnchor>
    <xdr:from>
      <xdr:col>13</xdr:col>
      <xdr:colOff>221343</xdr:colOff>
      <xdr:row>3</xdr:row>
      <xdr:rowOff>174171</xdr:rowOff>
    </xdr:from>
    <xdr:to>
      <xdr:col>13</xdr:col>
      <xdr:colOff>569686</xdr:colOff>
      <xdr:row>5</xdr:row>
      <xdr:rowOff>50800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131036C-E45E-4B6A-8557-7AE79FB3E199}"/>
            </a:ext>
          </a:extLst>
        </xdr:cNvPr>
        <xdr:cNvSpPr txBox="1"/>
      </xdr:nvSpPr>
      <xdr:spPr>
        <a:xfrm>
          <a:off x="8689068" y="755196"/>
          <a:ext cx="348343" cy="2576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L2</a:t>
          </a:r>
        </a:p>
      </xdr:txBody>
    </xdr:sp>
    <xdr:clientData/>
  </xdr:twoCellAnchor>
  <xdr:twoCellAnchor editAs="oneCell">
    <xdr:from>
      <xdr:col>9</xdr:col>
      <xdr:colOff>70758</xdr:colOff>
      <xdr:row>0</xdr:row>
      <xdr:rowOff>0</xdr:rowOff>
    </xdr:from>
    <xdr:to>
      <xdr:col>12</xdr:col>
      <xdr:colOff>326573</xdr:colOff>
      <xdr:row>8</xdr:row>
      <xdr:rowOff>30167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D93A9C7-DDB3-464A-80AE-B5D7D57CF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0083" y="0"/>
          <a:ext cx="2084614" cy="1563692"/>
        </a:xfrm>
        <a:prstGeom prst="rect">
          <a:avLst/>
        </a:prstGeom>
      </xdr:spPr>
    </xdr:pic>
    <xdr:clientData/>
  </xdr:twoCellAnchor>
  <xdr:twoCellAnchor>
    <xdr:from>
      <xdr:col>3</xdr:col>
      <xdr:colOff>125185</xdr:colOff>
      <xdr:row>29</xdr:row>
      <xdr:rowOff>13607</xdr:rowOff>
    </xdr:from>
    <xdr:to>
      <xdr:col>3</xdr:col>
      <xdr:colOff>605894</xdr:colOff>
      <xdr:row>29</xdr:row>
      <xdr:rowOff>335426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16962CE-586A-421E-A66C-8606836BEE52}"/>
                </a:ext>
              </a:extLst>
            </xdr:cNvPr>
            <xdr:cNvSpPr txBox="1"/>
          </xdr:nvSpPr>
          <xdr:spPr>
            <a:xfrm>
              <a:off x="2182585" y="4252232"/>
              <a:ext cx="480709" cy="3218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𝐿𝑒𝑓𝑓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16962CE-586A-421E-A66C-8606836BEE52}"/>
                </a:ext>
              </a:extLst>
            </xdr:cNvPr>
            <xdr:cNvSpPr txBox="1"/>
          </xdr:nvSpPr>
          <xdr:spPr>
            <a:xfrm>
              <a:off x="2182585" y="4252232"/>
              <a:ext cx="480709" cy="3218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𝐿𝑒𝑓𝑓/𝑑=</a:t>
              </a:r>
              <a:endParaRPr lang="en-US" sz="1100"/>
            </a:p>
          </xdr:txBody>
        </xdr:sp>
      </mc:Fallback>
    </mc:AlternateContent>
    <xdr:clientData/>
  </xdr:twoCellAnchor>
  <xdr:oneCellAnchor>
    <xdr:from>
      <xdr:col>10</xdr:col>
      <xdr:colOff>84765</xdr:colOff>
      <xdr:row>39</xdr:row>
      <xdr:rowOff>174557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A6E7181-663B-4E68-91C3-15736314C30C}"/>
                </a:ext>
              </a:extLst>
            </xdr:cNvPr>
            <xdr:cNvSpPr txBox="1"/>
          </xdr:nvSpPr>
          <xdr:spPr>
            <a:xfrm>
              <a:off x="6723690" y="6508682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A6E7181-663B-4E68-91C3-15736314C30C}"/>
                </a:ext>
              </a:extLst>
            </xdr:cNvPr>
            <xdr:cNvSpPr txBox="1"/>
          </xdr:nvSpPr>
          <xdr:spPr>
            <a:xfrm>
              <a:off x="6723690" y="6508682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9</xdr:col>
      <xdr:colOff>468549</xdr:colOff>
      <xdr:row>37</xdr:row>
      <xdr:rowOff>121834</xdr:rowOff>
    </xdr:from>
    <xdr:to>
      <xdr:col>10</xdr:col>
      <xdr:colOff>548033</xdr:colOff>
      <xdr:row>41</xdr:row>
      <xdr:rowOff>144961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80DA16F4-25A3-44DC-A35B-E4FC34C0CC4C}"/>
            </a:ext>
          </a:extLst>
        </xdr:cNvPr>
        <xdr:cNvSpPr/>
      </xdr:nvSpPr>
      <xdr:spPr>
        <a:xfrm flipV="1">
          <a:off x="6497874" y="6074959"/>
          <a:ext cx="689084" cy="813702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315686</xdr:colOff>
      <xdr:row>39</xdr:row>
      <xdr:rowOff>24888</xdr:rowOff>
    </xdr:from>
    <xdr:ext cx="1258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57B67E2-1DCD-44D6-8E75-19906A2DDC11}"/>
                </a:ext>
              </a:extLst>
            </xdr:cNvPr>
            <xdr:cNvSpPr txBox="1"/>
          </xdr:nvSpPr>
          <xdr:spPr>
            <a:xfrm>
              <a:off x="6345011" y="6359013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57B67E2-1DCD-44D6-8E75-19906A2DDC11}"/>
                </a:ext>
              </a:extLst>
            </xdr:cNvPr>
            <xdr:cNvSpPr txBox="1"/>
          </xdr:nvSpPr>
          <xdr:spPr>
            <a:xfrm>
              <a:off x="6345011" y="6359013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525069</xdr:colOff>
      <xdr:row>36</xdr:row>
      <xdr:rowOff>103415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7B591C7-7F59-4A80-995D-5FB4067B2CA6}"/>
                </a:ext>
              </a:extLst>
            </xdr:cNvPr>
            <xdr:cNvSpPr txBox="1"/>
          </xdr:nvSpPr>
          <xdr:spPr>
            <a:xfrm>
              <a:off x="6554394" y="5866040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7B591C7-7F59-4A80-995D-5FB4067B2CA6}"/>
                </a:ext>
              </a:extLst>
            </xdr:cNvPr>
            <xdr:cNvSpPr txBox="1"/>
          </xdr:nvSpPr>
          <xdr:spPr>
            <a:xfrm>
              <a:off x="6554394" y="5866040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582387</xdr:colOff>
      <xdr:row>48</xdr:row>
      <xdr:rowOff>21769</xdr:rowOff>
    </xdr:from>
    <xdr:to>
      <xdr:col>12</xdr:col>
      <xdr:colOff>190501</xdr:colOff>
      <xdr:row>52</xdr:row>
      <xdr:rowOff>146956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2D22D4C7-12E7-468E-9D16-553ED2B1CA7D}"/>
            </a:ext>
          </a:extLst>
        </xdr:cNvPr>
        <xdr:cNvSpPr/>
      </xdr:nvSpPr>
      <xdr:spPr>
        <a:xfrm flipV="1">
          <a:off x="7221312" y="8098969"/>
          <a:ext cx="827314" cy="887187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306303</xdr:colOff>
      <xdr:row>47</xdr:row>
      <xdr:rowOff>99931</xdr:rowOff>
    </xdr:from>
    <xdr:to>
      <xdr:col>10</xdr:col>
      <xdr:colOff>582387</xdr:colOff>
      <xdr:row>52</xdr:row>
      <xdr:rowOff>146956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268CB80-3538-47AC-AC63-155D599BE350}"/>
            </a:ext>
          </a:extLst>
        </xdr:cNvPr>
        <xdr:cNvCxnSpPr>
          <a:stCxn id="18" idx="0"/>
          <a:endCxn id="21" idx="0"/>
        </xdr:cNvCxnSpPr>
      </xdr:nvCxnSpPr>
      <xdr:spPr>
        <a:xfrm flipH="1" flipV="1">
          <a:off x="6335628" y="7986631"/>
          <a:ext cx="885684" cy="99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322635</xdr:colOff>
      <xdr:row>43</xdr:row>
      <xdr:rowOff>76201</xdr:rowOff>
    </xdr:from>
    <xdr:to>
      <xdr:col>10</xdr:col>
      <xdr:colOff>582387</xdr:colOff>
      <xdr:row>48</xdr:row>
      <xdr:rowOff>21769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277228A-22B3-4EA8-B5E8-50FAD59BC673}"/>
            </a:ext>
          </a:extLst>
        </xdr:cNvPr>
        <xdr:cNvCxnSpPr>
          <a:stCxn id="18" idx="2"/>
        </xdr:cNvCxnSpPr>
      </xdr:nvCxnSpPr>
      <xdr:spPr>
        <a:xfrm flipH="1" flipV="1">
          <a:off x="6351960" y="7200901"/>
          <a:ext cx="869352" cy="8980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306303</xdr:colOff>
      <xdr:row>43</xdr:row>
      <xdr:rowOff>76200</xdr:rowOff>
    </xdr:from>
    <xdr:to>
      <xdr:col>10</xdr:col>
      <xdr:colOff>601899</xdr:colOff>
      <xdr:row>47</xdr:row>
      <xdr:rowOff>99931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82806C7E-CD7A-43CF-9EB5-18D6777CA4B0}"/>
            </a:ext>
          </a:extLst>
        </xdr:cNvPr>
        <xdr:cNvSpPr/>
      </xdr:nvSpPr>
      <xdr:spPr>
        <a:xfrm flipV="1">
          <a:off x="6335628" y="7200900"/>
          <a:ext cx="905196" cy="785731"/>
        </a:xfrm>
        <a:prstGeom prst="rtTriangle">
          <a:avLst/>
        </a:prstGeom>
        <a:noFill/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601899</xdr:colOff>
      <xdr:row>43</xdr:row>
      <xdr:rowOff>76200</xdr:rowOff>
    </xdr:from>
    <xdr:to>
      <xdr:col>12</xdr:col>
      <xdr:colOff>190501</xdr:colOff>
      <xdr:row>48</xdr:row>
      <xdr:rowOff>21769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FFA6699-9F2D-48C5-B66C-31603097F8BE}"/>
            </a:ext>
          </a:extLst>
        </xdr:cNvPr>
        <xdr:cNvCxnSpPr>
          <a:stCxn id="18" idx="4"/>
          <a:endCxn id="21" idx="4"/>
        </xdr:cNvCxnSpPr>
      </xdr:nvCxnSpPr>
      <xdr:spPr>
        <a:xfrm flipH="1" flipV="1">
          <a:off x="7240824" y="7200900"/>
          <a:ext cx="807802" cy="8980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288743</xdr:colOff>
      <xdr:row>47</xdr:row>
      <xdr:rowOff>50106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ECD0B1-599B-4CB5-B035-B7C68185F46B}"/>
                </a:ext>
              </a:extLst>
            </xdr:cNvPr>
            <xdr:cNvSpPr txBox="1"/>
          </xdr:nvSpPr>
          <xdr:spPr>
            <a:xfrm>
              <a:off x="7537268" y="7936806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ECD0B1-599B-4CB5-B035-B7C68185F46B}"/>
                </a:ext>
              </a:extLst>
            </xdr:cNvPr>
            <xdr:cNvSpPr txBox="1"/>
          </xdr:nvSpPr>
          <xdr:spPr>
            <a:xfrm>
              <a:off x="7537268" y="7936806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457121</xdr:colOff>
      <xdr:row>50</xdr:row>
      <xdr:rowOff>16276</xdr:rowOff>
    </xdr:from>
    <xdr:ext cx="1258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FB592F5-A82C-4E98-B6F5-1224DCA0B5E1}"/>
                </a:ext>
              </a:extLst>
            </xdr:cNvPr>
            <xdr:cNvSpPr txBox="1"/>
          </xdr:nvSpPr>
          <xdr:spPr>
            <a:xfrm>
              <a:off x="7096046" y="8474476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FB592F5-A82C-4E98-B6F5-1224DCA0B5E1}"/>
                </a:ext>
              </a:extLst>
            </xdr:cNvPr>
            <xdr:cNvSpPr txBox="1"/>
          </xdr:nvSpPr>
          <xdr:spPr>
            <a:xfrm>
              <a:off x="7096046" y="8474476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416673</xdr:colOff>
      <xdr:row>50</xdr:row>
      <xdr:rowOff>108475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70C7272D-17ED-486B-A007-B1013752181D}"/>
                </a:ext>
              </a:extLst>
            </xdr:cNvPr>
            <xdr:cNvSpPr txBox="1"/>
          </xdr:nvSpPr>
          <xdr:spPr>
            <a:xfrm>
              <a:off x="7665198" y="8566675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70C7272D-17ED-486B-A007-B1013752181D}"/>
                </a:ext>
              </a:extLst>
            </xdr:cNvPr>
            <xdr:cNvSpPr txBox="1"/>
          </xdr:nvSpPr>
          <xdr:spPr>
            <a:xfrm>
              <a:off x="7665198" y="8566675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255815</xdr:colOff>
      <xdr:row>49</xdr:row>
      <xdr:rowOff>52068</xdr:rowOff>
    </xdr:from>
    <xdr:ext cx="429027" cy="502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AD460B3-4D02-45DC-950C-BEC9007DC392}"/>
                </a:ext>
              </a:extLst>
            </xdr:cNvPr>
            <xdr:cNvSpPr txBox="1"/>
          </xdr:nvSpPr>
          <xdr:spPr>
            <a:xfrm>
              <a:off x="6285140" y="8319768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𝑖𝑑𝑡h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𝑠𝑡𝑎𝑖𝑟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AD460B3-4D02-45DC-950C-BEC9007DC392}"/>
                </a:ext>
              </a:extLst>
            </xdr:cNvPr>
            <xdr:cNvSpPr txBox="1"/>
          </xdr:nvSpPr>
          <xdr:spPr>
            <a:xfrm>
              <a:off x="6285140" y="8319768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latin typeface="Cambria Math" panose="02040503050406030204" pitchFamily="18" charset="0"/>
                </a:rPr>
                <a:t>𝑖𝑑𝑡ℎ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𝑜𝑓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𝑠𝑡𝑎𝑖𝑟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255814</xdr:colOff>
      <xdr:row>38</xdr:row>
      <xdr:rowOff>163285</xdr:rowOff>
    </xdr:from>
    <xdr:to>
      <xdr:col>11</xdr:col>
      <xdr:colOff>337457</xdr:colOff>
      <xdr:row>43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9E9EA29-BB40-423E-8897-803223E8643E}"/>
            </a:ext>
          </a:extLst>
        </xdr:cNvPr>
        <xdr:cNvCxnSpPr/>
      </xdr:nvCxnSpPr>
      <xdr:spPr>
        <a:xfrm flipV="1">
          <a:off x="6894739" y="6306910"/>
          <a:ext cx="691243" cy="81779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548033</xdr:colOff>
      <xdr:row>37</xdr:row>
      <xdr:rowOff>121834</xdr:rowOff>
    </xdr:from>
    <xdr:to>
      <xdr:col>11</xdr:col>
      <xdr:colOff>304800</xdr:colOff>
      <xdr:row>39</xdr:row>
      <xdr:rowOff>43543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E89EF2A2-5792-4F49-9D07-AD15921DAEAF}"/>
            </a:ext>
          </a:extLst>
        </xdr:cNvPr>
        <xdr:cNvCxnSpPr>
          <a:endCxn id="15" idx="4"/>
        </xdr:cNvCxnSpPr>
      </xdr:nvCxnSpPr>
      <xdr:spPr>
        <a:xfrm flipH="1" flipV="1">
          <a:off x="7186958" y="6074959"/>
          <a:ext cx="366367" cy="30270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73879</xdr:colOff>
      <xdr:row>37</xdr:row>
      <xdr:rowOff>65700</xdr:rowOff>
    </xdr:from>
    <xdr:ext cx="1336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D6F9778-3740-4751-90FF-21032E34E4A6}"/>
                </a:ext>
              </a:extLst>
            </xdr:cNvPr>
            <xdr:cNvSpPr txBox="1"/>
          </xdr:nvSpPr>
          <xdr:spPr>
            <a:xfrm>
              <a:off x="7322404" y="6018825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D6F9778-3740-4751-90FF-21032E34E4A6}"/>
                </a:ext>
              </a:extLst>
            </xdr:cNvPr>
            <xdr:cNvSpPr txBox="1"/>
          </xdr:nvSpPr>
          <xdr:spPr>
            <a:xfrm>
              <a:off x="7322404" y="6018825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𝐷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478971</xdr:colOff>
      <xdr:row>42</xdr:row>
      <xdr:rowOff>84364</xdr:rowOff>
    </xdr:from>
    <xdr:ext cx="1752600" cy="3476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6D94D83-2AF9-40BD-8700-E85C965F6783}"/>
                </a:ext>
              </a:extLst>
            </xdr:cNvPr>
            <xdr:cNvSpPr txBox="1"/>
          </xdr:nvSpPr>
          <xdr:spPr>
            <a:xfrm>
              <a:off x="8337096" y="7018564"/>
              <a:ext cx="1752600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600" b="0" i="1">
                      <a:latin typeface="Cambria Math" panose="02040503050406030204" pitchFamily="18" charset="0"/>
                    </a:rPr>
                    <m:t>{(</m:t>
                  </m:r>
                  <m:f>
                    <m:f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n-US" sz="16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n-US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𝑇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)∗</m:t>
                  </m:r>
                  <m:r>
                    <m:rPr>
                      <m:sty m:val="p"/>
                    </m:rPr>
                    <a:rPr lang="el-GR" sz="1600" b="0" i="1">
                      <a:latin typeface="Cambria Math" panose="02040503050406030204" pitchFamily="18" charset="0"/>
                    </a:rPr>
                    <m:t>ϒ</m:t>
                  </m:r>
                  <m:r>
                    <a:rPr lang="en-US" sz="1600" b="0" i="0">
                      <a:latin typeface="Cambria Math" panose="02040503050406030204" pitchFamily="18" charset="0"/>
                    </a:rPr>
                    <m:t>}</m:t>
                  </m:r>
                </m:oMath>
              </a14:m>
              <a:r>
                <a:rPr lang="en-US" sz="1600"/>
                <a:t>/T</a:t>
              </a: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6D94D83-2AF9-40BD-8700-E85C965F6783}"/>
                </a:ext>
              </a:extLst>
            </xdr:cNvPr>
            <xdr:cNvSpPr txBox="1"/>
          </xdr:nvSpPr>
          <xdr:spPr>
            <a:xfrm>
              <a:off x="8337096" y="7018564"/>
              <a:ext cx="1752600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{(1/2∗𝑅∗𝑇)∗</a:t>
              </a:r>
              <a:r>
                <a:rPr lang="el-GR" sz="1600" b="0" i="0">
                  <a:latin typeface="Cambria Math" panose="02040503050406030204" pitchFamily="18" charset="0"/>
                </a:rPr>
                <a:t>ϒ</a:t>
              </a:r>
              <a:r>
                <a:rPr lang="en-US" sz="1600" b="0" i="0">
                  <a:latin typeface="Cambria Math" panose="02040503050406030204" pitchFamily="18" charset="0"/>
                </a:rPr>
                <a:t>}</a:t>
              </a:r>
              <a:r>
                <a:rPr lang="en-US" sz="1600"/>
                <a:t>/T</a:t>
              </a:r>
            </a:p>
          </xdr:txBody>
        </xdr:sp>
      </mc:Fallback>
    </mc:AlternateContent>
    <xdr:clientData/>
  </xdr:oneCellAnchor>
  <xdr:twoCellAnchor>
    <xdr:from>
      <xdr:col>1</xdr:col>
      <xdr:colOff>530</xdr:colOff>
      <xdr:row>57</xdr:row>
      <xdr:rowOff>2418</xdr:rowOff>
    </xdr:from>
    <xdr:to>
      <xdr:col>7</xdr:col>
      <xdr:colOff>605367</xdr:colOff>
      <xdr:row>63</xdr:row>
      <xdr:rowOff>177800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B730B347-F8BF-417A-9C0B-3B7D6C38796A}"/>
            </a:ext>
          </a:extLst>
        </xdr:cNvPr>
        <xdr:cNvGrpSpPr/>
      </xdr:nvGrpSpPr>
      <xdr:grpSpPr>
        <a:xfrm>
          <a:off x="610130" y="10617664"/>
          <a:ext cx="4913068" cy="1265628"/>
          <a:chOff x="610130" y="9362318"/>
          <a:chExt cx="4618037" cy="1267582"/>
        </a:xfrm>
      </xdr:grpSpPr>
      <xdr:cxnSp macro="">
        <xdr:nvCxnSpPr>
          <xdr:cNvPr id="32" name="Straight Arrow Connector 31">
            <a:extLst>
              <a:ext uri="{FF2B5EF4-FFF2-40B4-BE49-F238E27FC236}">
                <a16:creationId xmlns:a16="http://schemas.microsoft.com/office/drawing/2014/main" id="{6B7535E2-D6F5-4581-A1EA-D3A45D70FC40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Arrow Connector 32">
            <a:extLst>
              <a:ext uri="{FF2B5EF4-FFF2-40B4-BE49-F238E27FC236}">
                <a16:creationId xmlns:a16="http://schemas.microsoft.com/office/drawing/2014/main" id="{C8309B8F-BF70-458C-A68E-B96D5F2ABD19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67FE43B0-B589-4AEB-8B64-814ADC1A469D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A4650D58-E076-4598-95C4-1AF3880CD8A1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EFEAEBF5-49B8-4BBD-8277-FF605E4B0251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BAA9255B-8769-4992-B37F-CCFE593D4DA5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Arrow Connector 37">
            <a:extLst>
              <a:ext uri="{FF2B5EF4-FFF2-40B4-BE49-F238E27FC236}">
                <a16:creationId xmlns:a16="http://schemas.microsoft.com/office/drawing/2014/main" id="{D7A710B3-CF36-49B0-8D3F-EFF7CE4BC7DA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Arrow Connector 38">
            <a:extLst>
              <a:ext uri="{FF2B5EF4-FFF2-40B4-BE49-F238E27FC236}">
                <a16:creationId xmlns:a16="http://schemas.microsoft.com/office/drawing/2014/main" id="{996D4389-B33D-43EE-A427-8F9DC1378533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Arrow Connector 39">
            <a:extLst>
              <a:ext uri="{FF2B5EF4-FFF2-40B4-BE49-F238E27FC236}">
                <a16:creationId xmlns:a16="http://schemas.microsoft.com/office/drawing/2014/main" id="{B010EF2F-C061-45CE-98DC-6E51C43AFCA3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Arrow Connector 40">
            <a:extLst>
              <a:ext uri="{FF2B5EF4-FFF2-40B4-BE49-F238E27FC236}">
                <a16:creationId xmlns:a16="http://schemas.microsoft.com/office/drawing/2014/main" id="{D2B28706-E2AF-4834-A364-6CEB21773527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Arrow Connector 41">
            <a:extLst>
              <a:ext uri="{FF2B5EF4-FFF2-40B4-BE49-F238E27FC236}">
                <a16:creationId xmlns:a16="http://schemas.microsoft.com/office/drawing/2014/main" id="{91F2B820-4213-48B9-82C0-922551CF6A4E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Arrow Connector 42">
            <a:extLst>
              <a:ext uri="{FF2B5EF4-FFF2-40B4-BE49-F238E27FC236}">
                <a16:creationId xmlns:a16="http://schemas.microsoft.com/office/drawing/2014/main" id="{93FB4AD0-605E-4664-A559-0BF21C201635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7C5B2227-6DAE-4498-B1F3-F502DC03B2BF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A1A24D3C-7209-4468-B3A9-8B8E5BB2FED6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Arrow Connector 45">
            <a:extLst>
              <a:ext uri="{FF2B5EF4-FFF2-40B4-BE49-F238E27FC236}">
                <a16:creationId xmlns:a16="http://schemas.microsoft.com/office/drawing/2014/main" id="{1C93EAAA-5838-48D4-9A5C-76BBD9110534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Arrow Connector 46">
            <a:extLst>
              <a:ext uri="{FF2B5EF4-FFF2-40B4-BE49-F238E27FC236}">
                <a16:creationId xmlns:a16="http://schemas.microsoft.com/office/drawing/2014/main" id="{109FDE18-F496-4706-B9D4-C30E419FD4F3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1496E3DC-A61B-4F73-A93B-B6D7F8B5029B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Arrow Connector 48">
            <a:extLst>
              <a:ext uri="{FF2B5EF4-FFF2-40B4-BE49-F238E27FC236}">
                <a16:creationId xmlns:a16="http://schemas.microsoft.com/office/drawing/2014/main" id="{3212DDCD-52D4-497E-BD7F-A9BC1BC8C1BE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Arrow Connector 49">
            <a:extLst>
              <a:ext uri="{FF2B5EF4-FFF2-40B4-BE49-F238E27FC236}">
                <a16:creationId xmlns:a16="http://schemas.microsoft.com/office/drawing/2014/main" id="{E63FBC0B-806B-4E92-8D87-37C515BF6FE3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" name="Straight Arrow Connector 50">
            <a:extLst>
              <a:ext uri="{FF2B5EF4-FFF2-40B4-BE49-F238E27FC236}">
                <a16:creationId xmlns:a16="http://schemas.microsoft.com/office/drawing/2014/main" id="{6FFF1C3F-9465-404A-AC07-424255AE72F4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Straight Arrow Connector 51">
            <a:extLst>
              <a:ext uri="{FF2B5EF4-FFF2-40B4-BE49-F238E27FC236}">
                <a16:creationId xmlns:a16="http://schemas.microsoft.com/office/drawing/2014/main" id="{665C0A8E-E191-406C-A29D-7059A613B825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Arrow Connector 52">
            <a:extLst>
              <a:ext uri="{FF2B5EF4-FFF2-40B4-BE49-F238E27FC236}">
                <a16:creationId xmlns:a16="http://schemas.microsoft.com/office/drawing/2014/main" id="{19F37790-883D-49CA-939D-3AE907EA050C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953E114D-2DD9-43FF-B30C-83AC03EA0348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Arrow Connector 54">
            <a:extLst>
              <a:ext uri="{FF2B5EF4-FFF2-40B4-BE49-F238E27FC236}">
                <a16:creationId xmlns:a16="http://schemas.microsoft.com/office/drawing/2014/main" id="{0B1C173D-DE11-4025-9A55-5178855D852E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48D00279-CF6B-4A47-86BE-DB7CE477BCFA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45871122-61AD-4655-8F2E-039B4C175D54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542CFDF3-3C42-4169-B8BB-206C60111023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BC17305C-7E9A-4B85-A760-417196BAC92E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Arrow Connector 59">
            <a:extLst>
              <a:ext uri="{FF2B5EF4-FFF2-40B4-BE49-F238E27FC236}">
                <a16:creationId xmlns:a16="http://schemas.microsoft.com/office/drawing/2014/main" id="{F56F1E08-C3A0-451E-8AF4-E6C12C820F0B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Straight Arrow Connector 60">
            <a:extLst>
              <a:ext uri="{FF2B5EF4-FFF2-40B4-BE49-F238E27FC236}">
                <a16:creationId xmlns:a16="http://schemas.microsoft.com/office/drawing/2014/main" id="{1B08F437-11B1-475A-880F-521856BDC8E1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Arrow Connector 61">
            <a:extLst>
              <a:ext uri="{FF2B5EF4-FFF2-40B4-BE49-F238E27FC236}">
                <a16:creationId xmlns:a16="http://schemas.microsoft.com/office/drawing/2014/main" id="{75FA23D6-A485-40BA-BD0A-07EDA030B436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Straight Arrow Connector 62">
            <a:extLst>
              <a:ext uri="{FF2B5EF4-FFF2-40B4-BE49-F238E27FC236}">
                <a16:creationId xmlns:a16="http://schemas.microsoft.com/office/drawing/2014/main" id="{C9AB48BB-5A91-4A26-8065-F2C48DBF902D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Straight Arrow Connector 63">
            <a:extLst>
              <a:ext uri="{FF2B5EF4-FFF2-40B4-BE49-F238E27FC236}">
                <a16:creationId xmlns:a16="http://schemas.microsoft.com/office/drawing/2014/main" id="{00B63DCD-989C-42F6-8781-097AD9BC9B88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603250</xdr:colOff>
      <xdr:row>65</xdr:row>
      <xdr:rowOff>0</xdr:rowOff>
    </xdr:from>
    <xdr:to>
      <xdr:col>8</xdr:col>
      <xdr:colOff>6350</xdr:colOff>
      <xdr:row>65</xdr:row>
      <xdr:rowOff>12700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95B5805B-676E-4BA7-BB4F-4309A6E03F08}"/>
            </a:ext>
          </a:extLst>
        </xdr:cNvPr>
        <xdr:cNvCxnSpPr/>
      </xdr:nvCxnSpPr>
      <xdr:spPr>
        <a:xfrm flipV="1">
          <a:off x="603250" y="11315700"/>
          <a:ext cx="4822825" cy="12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445030</xdr:colOff>
      <xdr:row>57</xdr:row>
      <xdr:rowOff>34168</xdr:rowOff>
    </xdr:from>
    <xdr:to>
      <xdr:col>17</xdr:col>
      <xdr:colOff>237067</xdr:colOff>
      <xdr:row>64</xdr:row>
      <xdr:rowOff>25400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6AEADCD7-C563-4163-BBE7-D596D7F146C2}"/>
            </a:ext>
          </a:extLst>
        </xdr:cNvPr>
        <xdr:cNvGrpSpPr/>
      </xdr:nvGrpSpPr>
      <xdr:grpSpPr>
        <a:xfrm>
          <a:off x="6582061" y="10649414"/>
          <a:ext cx="4668837" cy="1263186"/>
          <a:chOff x="610130" y="9362318"/>
          <a:chExt cx="4618037" cy="1267582"/>
        </a:xfrm>
      </xdr:grpSpPr>
      <xdr:cxnSp macro="">
        <xdr:nvCxnSpPr>
          <xdr:cNvPr id="68" name="Straight Arrow Connector 67">
            <a:extLst>
              <a:ext uri="{FF2B5EF4-FFF2-40B4-BE49-F238E27FC236}">
                <a16:creationId xmlns:a16="http://schemas.microsoft.com/office/drawing/2014/main" id="{A28CE350-2310-4E4E-8AE7-75F7E035631B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Arrow Connector 68">
            <a:extLst>
              <a:ext uri="{FF2B5EF4-FFF2-40B4-BE49-F238E27FC236}">
                <a16:creationId xmlns:a16="http://schemas.microsoft.com/office/drawing/2014/main" id="{1A292E7B-4193-4D36-9172-3DFDDFE17290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E36B3C4E-489D-415E-BA63-DDB4E815615A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Straight Arrow Connector 70">
            <a:extLst>
              <a:ext uri="{FF2B5EF4-FFF2-40B4-BE49-F238E27FC236}">
                <a16:creationId xmlns:a16="http://schemas.microsoft.com/office/drawing/2014/main" id="{542992DC-7D98-49A6-A3CB-E90AB03BA4C9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78F7C86E-574D-4CD1-8E43-77DCB30FF30D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Straight Arrow Connector 72">
            <a:extLst>
              <a:ext uri="{FF2B5EF4-FFF2-40B4-BE49-F238E27FC236}">
                <a16:creationId xmlns:a16="http://schemas.microsoft.com/office/drawing/2014/main" id="{130DEB79-366D-4607-B6F2-4C2507518691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Straight Arrow Connector 73">
            <a:extLst>
              <a:ext uri="{FF2B5EF4-FFF2-40B4-BE49-F238E27FC236}">
                <a16:creationId xmlns:a16="http://schemas.microsoft.com/office/drawing/2014/main" id="{7F71C2FE-DF62-4574-AA2A-5B69D7279ED1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Straight Arrow Connector 74">
            <a:extLst>
              <a:ext uri="{FF2B5EF4-FFF2-40B4-BE49-F238E27FC236}">
                <a16:creationId xmlns:a16="http://schemas.microsoft.com/office/drawing/2014/main" id="{E48C0846-99DF-42BA-AE3E-56B493A6CDE7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" name="Straight Arrow Connector 75">
            <a:extLst>
              <a:ext uri="{FF2B5EF4-FFF2-40B4-BE49-F238E27FC236}">
                <a16:creationId xmlns:a16="http://schemas.microsoft.com/office/drawing/2014/main" id="{5ADF666B-052B-4C90-9B0D-2ECDE63546D3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" name="Straight Arrow Connector 76">
            <a:extLst>
              <a:ext uri="{FF2B5EF4-FFF2-40B4-BE49-F238E27FC236}">
                <a16:creationId xmlns:a16="http://schemas.microsoft.com/office/drawing/2014/main" id="{0519FED9-04F0-4707-8572-FBD968C5C5B7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Arrow Connector 77">
            <a:extLst>
              <a:ext uri="{FF2B5EF4-FFF2-40B4-BE49-F238E27FC236}">
                <a16:creationId xmlns:a16="http://schemas.microsoft.com/office/drawing/2014/main" id="{DB743149-64FE-4BE3-9C76-B2A8A7268525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Straight Arrow Connector 78">
            <a:extLst>
              <a:ext uri="{FF2B5EF4-FFF2-40B4-BE49-F238E27FC236}">
                <a16:creationId xmlns:a16="http://schemas.microsoft.com/office/drawing/2014/main" id="{78885255-1804-4A00-AD29-1B2445EBD80B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Straight Arrow Connector 79">
            <a:extLst>
              <a:ext uri="{FF2B5EF4-FFF2-40B4-BE49-F238E27FC236}">
                <a16:creationId xmlns:a16="http://schemas.microsoft.com/office/drawing/2014/main" id="{DC413AF3-526D-4E2E-9F16-43E8F2C09E63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" name="Straight Arrow Connector 80">
            <a:extLst>
              <a:ext uri="{FF2B5EF4-FFF2-40B4-BE49-F238E27FC236}">
                <a16:creationId xmlns:a16="http://schemas.microsoft.com/office/drawing/2014/main" id="{B3CD6BF7-758C-401B-A1C1-D4A49E8F02A0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" name="Straight Arrow Connector 81">
            <a:extLst>
              <a:ext uri="{FF2B5EF4-FFF2-40B4-BE49-F238E27FC236}">
                <a16:creationId xmlns:a16="http://schemas.microsoft.com/office/drawing/2014/main" id="{FE924F20-C2D9-4247-9501-990054285BB1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F44CF4FD-3284-475D-AB83-46ECF38600BB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" name="Straight Arrow Connector 83">
            <a:extLst>
              <a:ext uri="{FF2B5EF4-FFF2-40B4-BE49-F238E27FC236}">
                <a16:creationId xmlns:a16="http://schemas.microsoft.com/office/drawing/2014/main" id="{AE9FE0F7-221C-44AF-A1D1-BCF8802CD13E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Arrow Connector 84">
            <a:extLst>
              <a:ext uri="{FF2B5EF4-FFF2-40B4-BE49-F238E27FC236}">
                <a16:creationId xmlns:a16="http://schemas.microsoft.com/office/drawing/2014/main" id="{14C3E243-1F14-498D-9895-1A14697B36CE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" name="Straight Arrow Connector 85">
            <a:extLst>
              <a:ext uri="{FF2B5EF4-FFF2-40B4-BE49-F238E27FC236}">
                <a16:creationId xmlns:a16="http://schemas.microsoft.com/office/drawing/2014/main" id="{20095EA0-5165-474E-BB95-A043087C1DA9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" name="Straight Arrow Connector 86">
            <a:extLst>
              <a:ext uri="{FF2B5EF4-FFF2-40B4-BE49-F238E27FC236}">
                <a16:creationId xmlns:a16="http://schemas.microsoft.com/office/drawing/2014/main" id="{11D97178-4B36-4B79-89E9-EB84E3007287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" name="Straight Arrow Connector 87">
            <a:extLst>
              <a:ext uri="{FF2B5EF4-FFF2-40B4-BE49-F238E27FC236}">
                <a16:creationId xmlns:a16="http://schemas.microsoft.com/office/drawing/2014/main" id="{0C81EBD9-AC83-49B1-BAAD-FFC11B8F26AD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" name="Straight Arrow Connector 88">
            <a:extLst>
              <a:ext uri="{FF2B5EF4-FFF2-40B4-BE49-F238E27FC236}">
                <a16:creationId xmlns:a16="http://schemas.microsoft.com/office/drawing/2014/main" id="{94679DD5-2D31-41ED-A0E9-E867E506F72C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Straight Arrow Connector 89">
            <a:extLst>
              <a:ext uri="{FF2B5EF4-FFF2-40B4-BE49-F238E27FC236}">
                <a16:creationId xmlns:a16="http://schemas.microsoft.com/office/drawing/2014/main" id="{6EE3154E-F88C-4417-903E-6C95E18CCC36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" name="Straight Arrow Connector 90">
            <a:extLst>
              <a:ext uri="{FF2B5EF4-FFF2-40B4-BE49-F238E27FC236}">
                <a16:creationId xmlns:a16="http://schemas.microsoft.com/office/drawing/2014/main" id="{7039C43A-6D30-4487-A716-EEA3514AAD71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91">
            <a:extLst>
              <a:ext uri="{FF2B5EF4-FFF2-40B4-BE49-F238E27FC236}">
                <a16:creationId xmlns:a16="http://schemas.microsoft.com/office/drawing/2014/main" id="{668564A2-EE4E-4B9C-A99B-61647F9190F9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Straight Connector 92">
            <a:extLst>
              <a:ext uri="{FF2B5EF4-FFF2-40B4-BE49-F238E27FC236}">
                <a16:creationId xmlns:a16="http://schemas.microsoft.com/office/drawing/2014/main" id="{C5144221-E10B-4459-9A7F-42D4223A85AB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" name="Straight Connector 93">
            <a:extLst>
              <a:ext uri="{FF2B5EF4-FFF2-40B4-BE49-F238E27FC236}">
                <a16:creationId xmlns:a16="http://schemas.microsoft.com/office/drawing/2014/main" id="{98A3A31D-F5F8-4C0B-AF47-4CB8C40BFF9D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825550BD-A81E-4276-BB5E-0C375418F24D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D9BB44F8-2E62-4D99-B983-293E8A01E7B2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Straight Arrow Connector 96">
            <a:extLst>
              <a:ext uri="{FF2B5EF4-FFF2-40B4-BE49-F238E27FC236}">
                <a16:creationId xmlns:a16="http://schemas.microsoft.com/office/drawing/2014/main" id="{C46A127E-B0B1-44A5-96EA-3BD3AFB5E2D3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Straight Arrow Connector 97">
            <a:extLst>
              <a:ext uri="{FF2B5EF4-FFF2-40B4-BE49-F238E27FC236}">
                <a16:creationId xmlns:a16="http://schemas.microsoft.com/office/drawing/2014/main" id="{FAB8D710-7D8D-491B-AAA6-EEB881DC8450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Arrow Connector 98">
            <a:extLst>
              <a:ext uri="{FF2B5EF4-FFF2-40B4-BE49-F238E27FC236}">
                <a16:creationId xmlns:a16="http://schemas.microsoft.com/office/drawing/2014/main" id="{D19DF9B7-420A-4CD1-BBF6-6B0CEC83D8FB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" name="Straight Arrow Connector 99">
            <a:extLst>
              <a:ext uri="{FF2B5EF4-FFF2-40B4-BE49-F238E27FC236}">
                <a16:creationId xmlns:a16="http://schemas.microsoft.com/office/drawing/2014/main" id="{1D0F7CCB-AAA7-4BF9-888A-5C44C0118303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4409</xdr:colOff>
      <xdr:row>66</xdr:row>
      <xdr:rowOff>133534</xdr:rowOff>
    </xdr:from>
    <xdr:to>
      <xdr:col>17</xdr:col>
      <xdr:colOff>206045</xdr:colOff>
      <xdr:row>66</xdr:row>
      <xdr:rowOff>182887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340F9446-F7AC-4D33-94AB-A168DE433051}"/>
            </a:ext>
          </a:extLst>
        </xdr:cNvPr>
        <xdr:cNvCxnSpPr>
          <a:stCxn id="102" idx="2"/>
          <a:endCxn id="102" idx="0"/>
        </xdr:cNvCxnSpPr>
      </xdr:nvCxnSpPr>
      <xdr:spPr>
        <a:xfrm flipV="1">
          <a:off x="6643334" y="11639734"/>
          <a:ext cx="4468836" cy="4935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313760</xdr:colOff>
      <xdr:row>47</xdr:row>
      <xdr:rowOff>98388</xdr:rowOff>
    </xdr:from>
    <xdr:to>
      <xdr:col>18</xdr:col>
      <xdr:colOff>78490</xdr:colOff>
      <xdr:row>73</xdr:row>
      <xdr:rowOff>51785</xdr:rowOff>
    </xdr:to>
    <xdr:sp macro="" textlink="">
      <xdr:nvSpPr>
        <xdr:cNvPr id="102" name="Arc 101">
          <a:extLst>
            <a:ext uri="{FF2B5EF4-FFF2-40B4-BE49-F238E27FC236}">
              <a16:creationId xmlns:a16="http://schemas.microsoft.com/office/drawing/2014/main" id="{C687A9E1-A0DC-40BE-BAFB-6133314A96B6}"/>
            </a:ext>
          </a:extLst>
        </xdr:cNvPr>
        <xdr:cNvSpPr/>
      </xdr:nvSpPr>
      <xdr:spPr>
        <a:xfrm rot="8996223">
          <a:off x="6343085" y="7985088"/>
          <a:ext cx="5251130" cy="4906397"/>
        </a:xfrm>
        <a:prstGeom prst="arc">
          <a:avLst>
            <a:gd name="adj1" fmla="val 14319907"/>
            <a:gd name="adj2" fmla="val 144879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342900</xdr:colOff>
      <xdr:row>53</xdr:row>
      <xdr:rowOff>95250</xdr:rowOff>
    </xdr:from>
    <xdr:to>
      <xdr:col>13</xdr:col>
      <xdr:colOff>355600</xdr:colOff>
      <xdr:row>73</xdr:row>
      <xdr:rowOff>158750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47D14903-6825-4F7D-BA93-9D95145DCDE1}"/>
            </a:ext>
          </a:extLst>
        </xdr:cNvPr>
        <xdr:cNvCxnSpPr/>
      </xdr:nvCxnSpPr>
      <xdr:spPr>
        <a:xfrm>
          <a:off x="8810625" y="9124950"/>
          <a:ext cx="12700" cy="3873500"/>
        </a:xfrm>
        <a:prstGeom prst="line">
          <a:avLst/>
        </a:prstGeom>
        <a:ln w="19050"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142875</xdr:colOff>
      <xdr:row>92</xdr:row>
      <xdr:rowOff>1</xdr:rowOff>
    </xdr:from>
    <xdr:to>
      <xdr:col>9</xdr:col>
      <xdr:colOff>528637</xdr:colOff>
      <xdr:row>94</xdr:row>
      <xdr:rowOff>92511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536721AB-96AE-48D7-935F-854D3B468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0" y="16868776"/>
          <a:ext cx="385762" cy="47351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19051</xdr:colOff>
      <xdr:row>94</xdr:row>
      <xdr:rowOff>161925</xdr:rowOff>
    </xdr:from>
    <xdr:to>
      <xdr:col>14</xdr:col>
      <xdr:colOff>95250</xdr:colOff>
      <xdr:row>96</xdr:row>
      <xdr:rowOff>149178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3422ED83-8369-4E0C-9FAE-3084EE955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48376" y="17411700"/>
          <a:ext cx="3124199" cy="368253"/>
        </a:xfrm>
        <a:prstGeom prst="rect">
          <a:avLst/>
        </a:prstGeom>
      </xdr:spPr>
    </xdr:pic>
    <xdr:clientData/>
  </xdr:twoCellAnchor>
  <xdr:twoCellAnchor>
    <xdr:from>
      <xdr:col>1</xdr:col>
      <xdr:colOff>642938</xdr:colOff>
      <xdr:row>91</xdr:row>
      <xdr:rowOff>30956</xdr:rowOff>
    </xdr:from>
    <xdr:to>
      <xdr:col>5</xdr:col>
      <xdr:colOff>636309</xdr:colOff>
      <xdr:row>91</xdr:row>
      <xdr:rowOff>382462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9A42F37-21B8-455E-AF85-5C8993F053A6}"/>
                </a:ext>
              </a:extLst>
            </xdr:cNvPr>
            <xdr:cNvSpPr txBox="1"/>
          </xdr:nvSpPr>
          <xdr:spPr>
            <a:xfrm>
              <a:off x="1243013" y="16509206"/>
              <a:ext cx="2860396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0.87∗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𝑓𝑦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𝐴𝑠𝑡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𝑑𝑝𝑟𝑜𝑣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.∗(1−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𝐴𝑠𝑡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𝑓𝑐𝑘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𝑑𝑝𝑟𝑜𝑣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9A42F37-21B8-455E-AF85-5C8993F053A6}"/>
                </a:ext>
              </a:extLst>
            </xdr:cNvPr>
            <xdr:cNvSpPr txBox="1"/>
          </xdr:nvSpPr>
          <xdr:spPr>
            <a:xfrm>
              <a:off x="1243013" y="16509206"/>
              <a:ext cx="2860396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0.87∗𝑓𝑦∗𝐴𝑠𝑡∗𝑑𝑝𝑟𝑜𝑣.∗(1−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𝑓𝑦∗𝐴𝑠𝑡)/(𝑓𝑐𝑘∗𝑏∗𝑑𝑝𝑟𝑜𝑣.))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2</xdr:col>
      <xdr:colOff>33337</xdr:colOff>
      <xdr:row>108</xdr:row>
      <xdr:rowOff>11906</xdr:rowOff>
    </xdr:from>
    <xdr:to>
      <xdr:col>2</xdr:col>
      <xdr:colOff>429664</xdr:colOff>
      <xdr:row>108</xdr:row>
      <xdr:rowOff>327698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16FABCC1-AE58-43AA-9A70-50D8D1F2D0AB}"/>
                </a:ext>
              </a:extLst>
            </xdr:cNvPr>
            <xdr:cNvSpPr txBox="1"/>
          </xdr:nvSpPr>
          <xdr:spPr>
            <a:xfrm>
              <a:off x="1281112" y="19928681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𝑉𝑚𝑎𝑥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16FABCC1-AE58-43AA-9A70-50D8D1F2D0AB}"/>
                </a:ext>
              </a:extLst>
            </xdr:cNvPr>
            <xdr:cNvSpPr txBox="1"/>
          </xdr:nvSpPr>
          <xdr:spPr>
            <a:xfrm>
              <a:off x="1281112" y="19928681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𝑉𝑚𝑎𝑥/𝑏𝑑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144780</xdr:colOff>
      <xdr:row>100</xdr:row>
      <xdr:rowOff>53340</xdr:rowOff>
    </xdr:from>
    <xdr:to>
      <xdr:col>18</xdr:col>
      <xdr:colOff>581346</xdr:colOff>
      <xdr:row>121</xdr:row>
      <xdr:rowOff>114777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C010E1-6499-42EE-A168-EEE8E800D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74105" y="18446115"/>
          <a:ext cx="5922966" cy="4214337"/>
        </a:xfrm>
        <a:prstGeom prst="rect">
          <a:avLst/>
        </a:prstGeom>
      </xdr:spPr>
    </xdr:pic>
    <xdr:clientData/>
  </xdr:twoCellAnchor>
  <xdr:twoCellAnchor>
    <xdr:from>
      <xdr:col>4</xdr:col>
      <xdr:colOff>5862</xdr:colOff>
      <xdr:row>124</xdr:row>
      <xdr:rowOff>23447</xdr:rowOff>
    </xdr:from>
    <xdr:to>
      <xdr:col>10</xdr:col>
      <xdr:colOff>478628</xdr:colOff>
      <xdr:row>125</xdr:row>
      <xdr:rowOff>89484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D2C2281F-8822-4191-B62F-3EF5653FED7C}"/>
                </a:ext>
              </a:extLst>
            </xdr:cNvPr>
            <xdr:cNvSpPr txBox="1"/>
          </xdr:nvSpPr>
          <xdr:spPr>
            <a:xfrm>
              <a:off x="2672862" y="23140622"/>
              <a:ext cx="4444691" cy="3517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𝑟𝑒𝑞𝑢𝑖𝑟𝑒𝑑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𝑝𝑟𝑜𝑣𝑖𝑑𝑒𝑑</m:t>
                      </m:r>
                    </m:den>
                  </m:f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D2C2281F-8822-4191-B62F-3EF5653FED7C}"/>
                </a:ext>
              </a:extLst>
            </xdr:cNvPr>
            <xdr:cNvSpPr txBox="1"/>
          </xdr:nvSpPr>
          <xdr:spPr>
            <a:xfrm>
              <a:off x="2672862" y="23140622"/>
              <a:ext cx="4444691" cy="3517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𝐴𝑟𝑒𝑎 𝑜𝑓 𝑐𝑟𝑜𝑠𝑠−𝑠𝑒𝑐𝑡𝑖𝑜𝑛 𝑜𝑓 𝑠𝑡𝑒𝑒𝑙 𝑟𝑒𝑞𝑢𝑖𝑟𝑒𝑑)/(𝐴𝑟𝑒𝑎 𝑜𝑓 𝑐𝑟𝑜𝑠𝑠−𝑠𝑒𝑐𝑡𝑖𝑜𝑛 𝑜𝑓 𝑠𝑡𝑒𝑒𝑙 𝑝𝑟𝑜𝑣𝑖𝑑𝑒𝑑)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141557</xdr:colOff>
      <xdr:row>122</xdr:row>
      <xdr:rowOff>95836</xdr:rowOff>
    </xdr:from>
    <xdr:to>
      <xdr:col>15</xdr:col>
      <xdr:colOff>566812</xdr:colOff>
      <xdr:row>136</xdr:row>
      <xdr:rowOff>119830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8A7CC18D-3D10-4796-ADC3-5D3EF57D2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78942" y="23988932"/>
          <a:ext cx="4074062" cy="2991398"/>
        </a:xfrm>
        <a:prstGeom prst="rect">
          <a:avLst/>
        </a:prstGeom>
      </xdr:spPr>
    </xdr:pic>
    <xdr:clientData/>
  </xdr:twoCellAnchor>
  <xdr:twoCellAnchor>
    <xdr:from>
      <xdr:col>3</xdr:col>
      <xdr:colOff>553720</xdr:colOff>
      <xdr:row>135</xdr:row>
      <xdr:rowOff>25400</xdr:rowOff>
    </xdr:from>
    <xdr:to>
      <xdr:col>4</xdr:col>
      <xdr:colOff>591238</xdr:colOff>
      <xdr:row>136</xdr:row>
      <xdr:rowOff>40641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C66BED8B-95E2-4550-9A2E-C782C06F87A0}"/>
                </a:ext>
              </a:extLst>
            </xdr:cNvPr>
            <xdr:cNvSpPr txBox="1"/>
          </xdr:nvSpPr>
          <xdr:spPr>
            <a:xfrm>
              <a:off x="2611120" y="25342850"/>
              <a:ext cx="647118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4∗</m:t>
                        </m:r>
                        <m:r>
                          <a:rPr lang="el-GR" sz="1100" b="0" i="1">
                            <a:latin typeface="Cambria Math" panose="02040503050406030204" pitchFamily="18" charset="0"/>
                          </a:rPr>
                          <m:t>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C66BED8B-95E2-4550-9A2E-C782C06F87A0}"/>
                </a:ext>
              </a:extLst>
            </xdr:cNvPr>
            <xdr:cNvSpPr txBox="1"/>
          </xdr:nvSpPr>
          <xdr:spPr>
            <a:xfrm>
              <a:off x="2611120" y="25342850"/>
              <a:ext cx="647118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l-GR" sz="1100" i="0">
                  <a:latin typeface="Cambria Math" panose="02040503050406030204" pitchFamily="18" charset="0"/>
                </a:rPr>
                <a:t>𝛷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r>
                <a:rPr lang="el-GR" sz="1100" b="0" i="0">
                  <a:latin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</a:rPr>
                <a:t>𝑠)/(4∗</a:t>
              </a:r>
              <a:r>
                <a:rPr lang="el-GR" sz="1100" b="0" i="0">
                  <a:latin typeface="Cambria Math" panose="02040503050406030204" pitchFamily="18" charset="0"/>
                </a:rPr>
                <a:t>𝜏</a:t>
              </a:r>
              <a:r>
                <a:rPr lang="en-US" sz="1100" b="0" i="0">
                  <a:latin typeface="Cambria Math" panose="02040503050406030204" pitchFamily="18" charset="0"/>
                </a:rPr>
                <a:t>𝑏𝑑)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4</xdr:col>
      <xdr:colOff>594360</xdr:colOff>
      <xdr:row>135</xdr:row>
      <xdr:rowOff>40640</xdr:rowOff>
    </xdr:from>
    <xdr:to>
      <xdr:col>5</xdr:col>
      <xdr:colOff>706120</xdr:colOff>
      <xdr:row>136</xdr:row>
      <xdr:rowOff>55881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3BBBB01-99EC-45D9-A3DD-7B961AAE5A59}"/>
                </a:ext>
              </a:extLst>
            </xdr:cNvPr>
            <xdr:cNvSpPr txBox="1"/>
          </xdr:nvSpPr>
          <xdr:spPr>
            <a:xfrm>
              <a:off x="3261360" y="25358090"/>
              <a:ext cx="911860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/>
                <a:t>=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l-GR" sz="1400" i="1">
                          <a:latin typeface="Cambria Math" panose="02040503050406030204" pitchFamily="18" charset="0"/>
                        </a:rPr>
                        <m:t>𝛷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∗0.87∗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𝑓𝑦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4∗</m:t>
                      </m:r>
                      <m:r>
                        <a:rPr lang="el-GR" sz="1400" b="0" i="1">
                          <a:latin typeface="Cambria Math" panose="02040503050406030204" pitchFamily="18" charset="0"/>
                        </a:rPr>
                        <m:t>𝜏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𝑏𝑑</m:t>
                      </m:r>
                    </m:den>
                  </m:f>
                </m:oMath>
              </a14:m>
              <a:endParaRPr lang="en-US" sz="1400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3BBBB01-99EC-45D9-A3DD-7B961AAE5A59}"/>
                </a:ext>
              </a:extLst>
            </xdr:cNvPr>
            <xdr:cNvSpPr txBox="1"/>
          </xdr:nvSpPr>
          <xdr:spPr>
            <a:xfrm>
              <a:off x="3261360" y="25358090"/>
              <a:ext cx="911860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/>
                <a:t>=</a:t>
              </a:r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l-GR" sz="1400" i="0">
                  <a:latin typeface="Cambria Math" panose="02040503050406030204" pitchFamily="18" charset="0"/>
                </a:rPr>
                <a:t>𝛷</a:t>
              </a:r>
              <a:r>
                <a:rPr lang="en-US" sz="1400" b="0" i="0">
                  <a:latin typeface="Cambria Math" panose="02040503050406030204" pitchFamily="18" charset="0"/>
                </a:rPr>
                <a:t>∗0.87∗𝑓𝑦)/(4∗</a:t>
              </a:r>
              <a:r>
                <a:rPr lang="el-GR" sz="1400" b="0" i="0">
                  <a:latin typeface="Cambria Math" panose="02040503050406030204" pitchFamily="18" charset="0"/>
                </a:rPr>
                <a:t>𝜏</a:t>
              </a:r>
              <a:r>
                <a:rPr lang="en-US" sz="1400" b="0" i="0">
                  <a:latin typeface="Cambria Math" panose="02040503050406030204" pitchFamily="18" charset="0"/>
                </a:rPr>
                <a:t>𝑏𝑑)</a:t>
              </a:r>
              <a:endParaRPr lang="en-US" sz="1400"/>
            </a:p>
          </xdr:txBody>
        </xdr:sp>
      </mc:Fallback>
    </mc:AlternateContent>
    <xdr:clientData/>
  </xdr:twoCellAnchor>
  <xdr:twoCellAnchor editAs="oneCell">
    <xdr:from>
      <xdr:col>9</xdr:col>
      <xdr:colOff>175846</xdr:colOff>
      <xdr:row>137</xdr:row>
      <xdr:rowOff>73269</xdr:rowOff>
    </xdr:from>
    <xdr:to>
      <xdr:col>13</xdr:col>
      <xdr:colOff>53457</xdr:colOff>
      <xdr:row>148</xdr:row>
      <xdr:rowOff>86081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1467E98-21CC-47D9-AD14-60D24C27A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13231" y="27124269"/>
          <a:ext cx="2310149" cy="2108312"/>
        </a:xfrm>
        <a:prstGeom prst="rect">
          <a:avLst/>
        </a:prstGeom>
      </xdr:spPr>
    </xdr:pic>
    <xdr:clientData/>
  </xdr:twoCellAnchor>
  <xdr:twoCellAnchor editAs="oneCell">
    <xdr:from>
      <xdr:col>9</xdr:col>
      <xdr:colOff>100916</xdr:colOff>
      <xdr:row>148</xdr:row>
      <xdr:rowOff>128454</xdr:rowOff>
    </xdr:from>
    <xdr:to>
      <xdr:col>15</xdr:col>
      <xdr:colOff>236212</xdr:colOff>
      <xdr:row>154</xdr:row>
      <xdr:rowOff>90788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AA885DEB-6769-4E87-BDCA-321A5BD01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38301" y="29274954"/>
          <a:ext cx="3784103" cy="1141969"/>
        </a:xfrm>
        <a:prstGeom prst="rect">
          <a:avLst/>
        </a:prstGeom>
      </xdr:spPr>
    </xdr:pic>
    <xdr:clientData/>
  </xdr:twoCellAnchor>
  <xdr:twoCellAnchor editAs="oneCell">
    <xdr:from>
      <xdr:col>9</xdr:col>
      <xdr:colOff>59299</xdr:colOff>
      <xdr:row>157</xdr:row>
      <xdr:rowOff>179852</xdr:rowOff>
    </xdr:from>
    <xdr:to>
      <xdr:col>12</xdr:col>
      <xdr:colOff>399074</xdr:colOff>
      <xdr:row>173</xdr:row>
      <xdr:rowOff>51785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B6D0E6B9-D5E1-4BD1-9258-4FFD5A4EA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684" y="31040852"/>
          <a:ext cx="2164178" cy="2947147"/>
        </a:xfrm>
        <a:prstGeom prst="rect">
          <a:avLst/>
        </a:prstGeom>
      </xdr:spPr>
    </xdr:pic>
    <xdr:clientData/>
  </xdr:twoCellAnchor>
  <xdr:twoCellAnchor editAs="oneCell">
    <xdr:from>
      <xdr:col>5</xdr:col>
      <xdr:colOff>36635</xdr:colOff>
      <xdr:row>2</xdr:row>
      <xdr:rowOff>65942</xdr:rowOff>
    </xdr:from>
    <xdr:to>
      <xdr:col>8</xdr:col>
      <xdr:colOff>556846</xdr:colOff>
      <xdr:row>18</xdr:row>
      <xdr:rowOff>45871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483CA88E-37DD-4A86-B61B-1A74A9D4D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02270" y="454269"/>
          <a:ext cx="2469173" cy="3027929"/>
        </a:xfrm>
        <a:prstGeom prst="rect">
          <a:avLst/>
        </a:prstGeom>
      </xdr:spPr>
    </xdr:pic>
    <xdr:clientData/>
  </xdr:twoCellAnchor>
  <xdr:twoCellAnchor>
    <xdr:from>
      <xdr:col>10</xdr:col>
      <xdr:colOff>175847</xdr:colOff>
      <xdr:row>10</xdr:row>
      <xdr:rowOff>109904</xdr:rowOff>
    </xdr:from>
    <xdr:to>
      <xdr:col>11</xdr:col>
      <xdr:colOff>95250</xdr:colOff>
      <xdr:row>10</xdr:row>
      <xdr:rowOff>109904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30024000-3095-45E7-82F8-BD96DF42730A}"/>
            </a:ext>
          </a:extLst>
        </xdr:cNvPr>
        <xdr:cNvCxnSpPr/>
      </xdr:nvCxnSpPr>
      <xdr:spPr>
        <a:xfrm>
          <a:off x="6806712" y="2022231"/>
          <a:ext cx="527538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147794</xdr:colOff>
      <xdr:row>13</xdr:row>
      <xdr:rowOff>190498</xdr:rowOff>
    </xdr:from>
    <xdr:to>
      <xdr:col>14</xdr:col>
      <xdr:colOff>229437</xdr:colOff>
      <xdr:row>21</xdr:row>
      <xdr:rowOff>73269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A6CB601E-7966-455C-A602-6F75D0DE0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4759" b="13426"/>
        <a:stretch/>
      </xdr:blipFill>
      <xdr:spPr>
        <a:xfrm>
          <a:off x="6170525" y="2674325"/>
          <a:ext cx="3122316" cy="1406771"/>
        </a:xfrm>
        <a:prstGeom prst="rect">
          <a:avLst/>
        </a:prstGeom>
      </xdr:spPr>
    </xdr:pic>
    <xdr:clientData/>
  </xdr:twoCellAnchor>
  <xdr:twoCellAnchor>
    <xdr:from>
      <xdr:col>10</xdr:col>
      <xdr:colOff>432289</xdr:colOff>
      <xdr:row>19</xdr:row>
      <xdr:rowOff>73269</xdr:rowOff>
    </xdr:from>
    <xdr:to>
      <xdr:col>10</xdr:col>
      <xdr:colOff>432289</xdr:colOff>
      <xdr:row>23</xdr:row>
      <xdr:rowOff>51288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469C7EB-F9D5-4293-8114-4C319DCC491D}"/>
            </a:ext>
          </a:extLst>
        </xdr:cNvPr>
        <xdr:cNvCxnSpPr/>
      </xdr:nvCxnSpPr>
      <xdr:spPr>
        <a:xfrm>
          <a:off x="7063154" y="3700096"/>
          <a:ext cx="0" cy="549519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474785</xdr:colOff>
      <xdr:row>14</xdr:row>
      <xdr:rowOff>5861</xdr:rowOff>
    </xdr:from>
    <xdr:to>
      <xdr:col>13</xdr:col>
      <xdr:colOff>490904</xdr:colOff>
      <xdr:row>23</xdr:row>
      <xdr:rowOff>29308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19871CD1-AA1A-489A-A056-E15BC2AA7805}"/>
            </a:ext>
          </a:extLst>
        </xdr:cNvPr>
        <xdr:cNvCxnSpPr/>
      </xdr:nvCxnSpPr>
      <xdr:spPr>
        <a:xfrm>
          <a:off x="8930054" y="2680188"/>
          <a:ext cx="16119" cy="154744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451338</xdr:colOff>
      <xdr:row>5</xdr:row>
      <xdr:rowOff>128953</xdr:rowOff>
    </xdr:from>
    <xdr:to>
      <xdr:col>13</xdr:col>
      <xdr:colOff>467457</xdr:colOff>
      <xdr:row>13</xdr:row>
      <xdr:rowOff>152400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7B03B376-9F14-47B7-876F-13DC315C4A7D}"/>
            </a:ext>
          </a:extLst>
        </xdr:cNvPr>
        <xdr:cNvCxnSpPr/>
      </xdr:nvCxnSpPr>
      <xdr:spPr>
        <a:xfrm>
          <a:off x="8906607" y="1088780"/>
          <a:ext cx="16119" cy="154744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109904</xdr:colOff>
      <xdr:row>13</xdr:row>
      <xdr:rowOff>21981</xdr:rowOff>
    </xdr:from>
    <xdr:to>
      <xdr:col>13</xdr:col>
      <xdr:colOff>474784</xdr:colOff>
      <xdr:row>13</xdr:row>
      <xdr:rowOff>27843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72752F90-27DE-4588-840A-10190240C468}"/>
            </a:ext>
          </a:extLst>
        </xdr:cNvPr>
        <xdr:cNvCxnSpPr/>
      </xdr:nvCxnSpPr>
      <xdr:spPr>
        <a:xfrm>
          <a:off x="6740769" y="2505808"/>
          <a:ext cx="2189284" cy="58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424962</xdr:colOff>
      <xdr:row>22</xdr:row>
      <xdr:rowOff>41032</xdr:rowOff>
    </xdr:from>
    <xdr:to>
      <xdr:col>13</xdr:col>
      <xdr:colOff>495299</xdr:colOff>
      <xdr:row>22</xdr:row>
      <xdr:rowOff>43961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85C31C4B-A87C-4E3D-BA48-707E32F33913}"/>
            </a:ext>
          </a:extLst>
        </xdr:cNvPr>
        <xdr:cNvCxnSpPr/>
      </xdr:nvCxnSpPr>
      <xdr:spPr>
        <a:xfrm flipV="1">
          <a:off x="7055827" y="4239359"/>
          <a:ext cx="1894741" cy="29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637442</xdr:colOff>
      <xdr:row>61</xdr:row>
      <xdr:rowOff>183173</xdr:rowOff>
    </xdr:from>
    <xdr:to>
      <xdr:col>4</xdr:col>
      <xdr:colOff>271096</xdr:colOff>
      <xdr:row>61</xdr:row>
      <xdr:rowOff>183173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A42AE86-10C0-46F8-83BA-86FAEB4F78FD}"/>
            </a:ext>
          </a:extLst>
        </xdr:cNvPr>
        <xdr:cNvCxnSpPr/>
      </xdr:nvCxnSpPr>
      <xdr:spPr>
        <a:xfrm>
          <a:off x="1883019" y="12067442"/>
          <a:ext cx="105507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592666</xdr:colOff>
      <xdr:row>177</xdr:row>
      <xdr:rowOff>0</xdr:rowOff>
    </xdr:from>
    <xdr:to>
      <xdr:col>7</xdr:col>
      <xdr:colOff>580495</xdr:colOff>
      <xdr:row>183</xdr:row>
      <xdr:rowOff>175382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B547F6E6-8FC5-4FAE-B522-353E694650F3}"/>
            </a:ext>
          </a:extLst>
        </xdr:cNvPr>
        <xdr:cNvGrpSpPr/>
      </xdr:nvGrpSpPr>
      <xdr:grpSpPr>
        <a:xfrm>
          <a:off x="592666" y="33176308"/>
          <a:ext cx="4905660" cy="1265628"/>
          <a:chOff x="610130" y="9362318"/>
          <a:chExt cx="4618037" cy="1267582"/>
        </a:xfrm>
      </xdr:grpSpPr>
      <xdr:cxnSp macro="">
        <xdr:nvCxnSpPr>
          <xdr:cNvPr id="124" name="Straight Arrow Connector 123">
            <a:extLst>
              <a:ext uri="{FF2B5EF4-FFF2-40B4-BE49-F238E27FC236}">
                <a16:creationId xmlns:a16="http://schemas.microsoft.com/office/drawing/2014/main" id="{9FF329DE-2C13-48F9-A746-DEAB331260FE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" name="Straight Arrow Connector 124">
            <a:extLst>
              <a:ext uri="{FF2B5EF4-FFF2-40B4-BE49-F238E27FC236}">
                <a16:creationId xmlns:a16="http://schemas.microsoft.com/office/drawing/2014/main" id="{328C62C7-37A0-4567-9181-7105B85984DF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" name="Straight Arrow Connector 126">
            <a:extLst>
              <a:ext uri="{FF2B5EF4-FFF2-40B4-BE49-F238E27FC236}">
                <a16:creationId xmlns:a16="http://schemas.microsoft.com/office/drawing/2014/main" id="{DDD85BC0-109E-4780-8362-A4228A155137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" name="Straight Arrow Connector 127">
            <a:extLst>
              <a:ext uri="{FF2B5EF4-FFF2-40B4-BE49-F238E27FC236}">
                <a16:creationId xmlns:a16="http://schemas.microsoft.com/office/drawing/2014/main" id="{5F8444BD-5BE3-4DD2-BC3E-CD2F9CD71ADF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" name="Straight Arrow Connector 128">
            <a:extLst>
              <a:ext uri="{FF2B5EF4-FFF2-40B4-BE49-F238E27FC236}">
                <a16:creationId xmlns:a16="http://schemas.microsoft.com/office/drawing/2014/main" id="{963C87C0-BEB3-4569-B068-23A76938CD4E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Arrow Connector 130">
            <a:extLst>
              <a:ext uri="{FF2B5EF4-FFF2-40B4-BE49-F238E27FC236}">
                <a16:creationId xmlns:a16="http://schemas.microsoft.com/office/drawing/2014/main" id="{291D0360-597E-408C-B7A9-9288D251A589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" name="Straight Arrow Connector 131">
            <a:extLst>
              <a:ext uri="{FF2B5EF4-FFF2-40B4-BE49-F238E27FC236}">
                <a16:creationId xmlns:a16="http://schemas.microsoft.com/office/drawing/2014/main" id="{2BB6BD61-6031-48D8-BF46-C420AAE18802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" name="Straight Arrow Connector 133">
            <a:extLst>
              <a:ext uri="{FF2B5EF4-FFF2-40B4-BE49-F238E27FC236}">
                <a16:creationId xmlns:a16="http://schemas.microsoft.com/office/drawing/2014/main" id="{91F0D87E-2942-430B-B937-A3BA76AAFC8F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" name="Straight Arrow Connector 135">
            <a:extLst>
              <a:ext uri="{FF2B5EF4-FFF2-40B4-BE49-F238E27FC236}">
                <a16:creationId xmlns:a16="http://schemas.microsoft.com/office/drawing/2014/main" id="{4DB5B926-C633-4A2A-85C7-F0A27A7994E5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Arrow Connector 137">
            <a:extLst>
              <a:ext uri="{FF2B5EF4-FFF2-40B4-BE49-F238E27FC236}">
                <a16:creationId xmlns:a16="http://schemas.microsoft.com/office/drawing/2014/main" id="{366D3360-8BBB-44E6-82A9-FCCA86885BBF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" name="Straight Arrow Connector 140">
            <a:extLst>
              <a:ext uri="{FF2B5EF4-FFF2-40B4-BE49-F238E27FC236}">
                <a16:creationId xmlns:a16="http://schemas.microsoft.com/office/drawing/2014/main" id="{D5A6B864-B2AF-4A1B-B2AD-9636456830B0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" name="Straight Arrow Connector 142">
            <a:extLst>
              <a:ext uri="{FF2B5EF4-FFF2-40B4-BE49-F238E27FC236}">
                <a16:creationId xmlns:a16="http://schemas.microsoft.com/office/drawing/2014/main" id="{19825DF9-FADA-454B-B9E6-E9989063815E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Arrow Connector 144">
            <a:extLst>
              <a:ext uri="{FF2B5EF4-FFF2-40B4-BE49-F238E27FC236}">
                <a16:creationId xmlns:a16="http://schemas.microsoft.com/office/drawing/2014/main" id="{7668F3A9-60E0-4C3E-8355-6DE8B001D6FB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" name="Straight Arrow Connector 145">
            <a:extLst>
              <a:ext uri="{FF2B5EF4-FFF2-40B4-BE49-F238E27FC236}">
                <a16:creationId xmlns:a16="http://schemas.microsoft.com/office/drawing/2014/main" id="{2347AE52-95C8-4935-9BCA-62C38FEFC9A9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" name="Straight Arrow Connector 146">
            <a:extLst>
              <a:ext uri="{FF2B5EF4-FFF2-40B4-BE49-F238E27FC236}">
                <a16:creationId xmlns:a16="http://schemas.microsoft.com/office/drawing/2014/main" id="{9AC70BDE-2019-4B4B-A5A3-08F664A6B465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" name="Straight Arrow Connector 147">
            <a:extLst>
              <a:ext uri="{FF2B5EF4-FFF2-40B4-BE49-F238E27FC236}">
                <a16:creationId xmlns:a16="http://schemas.microsoft.com/office/drawing/2014/main" id="{12F4FBDE-F061-4552-B751-EF8826D7E07B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1AEEA1F3-FBDF-40B5-A512-B6E56E4BD259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" name="Straight Arrow Connector 149">
            <a:extLst>
              <a:ext uri="{FF2B5EF4-FFF2-40B4-BE49-F238E27FC236}">
                <a16:creationId xmlns:a16="http://schemas.microsoft.com/office/drawing/2014/main" id="{9EC415AE-FDF8-4524-A5B4-D83298FE6929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" name="Straight Arrow Connector 150">
            <a:extLst>
              <a:ext uri="{FF2B5EF4-FFF2-40B4-BE49-F238E27FC236}">
                <a16:creationId xmlns:a16="http://schemas.microsoft.com/office/drawing/2014/main" id="{00C2FBBE-CAB4-4D19-B966-A25FC3079044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Arrow Connector 151">
            <a:extLst>
              <a:ext uri="{FF2B5EF4-FFF2-40B4-BE49-F238E27FC236}">
                <a16:creationId xmlns:a16="http://schemas.microsoft.com/office/drawing/2014/main" id="{96576CEE-43C8-4165-B7D8-FA1C680FA404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" name="Straight Arrow Connector 152">
            <a:extLst>
              <a:ext uri="{FF2B5EF4-FFF2-40B4-BE49-F238E27FC236}">
                <a16:creationId xmlns:a16="http://schemas.microsoft.com/office/drawing/2014/main" id="{9CD906C8-266F-4881-A82A-18F0B05F9CFF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" name="Straight Arrow Connector 153">
            <a:extLst>
              <a:ext uri="{FF2B5EF4-FFF2-40B4-BE49-F238E27FC236}">
                <a16:creationId xmlns:a16="http://schemas.microsoft.com/office/drawing/2014/main" id="{01C3BAD1-525B-4085-ACB1-93788F341106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Straight Arrow Connector 154">
            <a:extLst>
              <a:ext uri="{FF2B5EF4-FFF2-40B4-BE49-F238E27FC236}">
                <a16:creationId xmlns:a16="http://schemas.microsoft.com/office/drawing/2014/main" id="{82AF61E7-4D48-4005-B5A9-EC4DD4020FE4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" name="Straight Arrow Connector 155">
            <a:extLst>
              <a:ext uri="{FF2B5EF4-FFF2-40B4-BE49-F238E27FC236}">
                <a16:creationId xmlns:a16="http://schemas.microsoft.com/office/drawing/2014/main" id="{02705EF6-B6C5-4307-B1D4-B4CD35267647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" name="Straight Connector 156">
            <a:extLst>
              <a:ext uri="{FF2B5EF4-FFF2-40B4-BE49-F238E27FC236}">
                <a16:creationId xmlns:a16="http://schemas.microsoft.com/office/drawing/2014/main" id="{16ECEB06-1B84-43CA-8D32-4B6A489194F1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B4723187-CBE1-4B44-BD9C-E34769D27D9E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158">
            <a:extLst>
              <a:ext uri="{FF2B5EF4-FFF2-40B4-BE49-F238E27FC236}">
                <a16:creationId xmlns:a16="http://schemas.microsoft.com/office/drawing/2014/main" id="{E807ACDA-46DD-44F3-8D25-3D49EC216238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" name="Straight Connector 159">
            <a:extLst>
              <a:ext uri="{FF2B5EF4-FFF2-40B4-BE49-F238E27FC236}">
                <a16:creationId xmlns:a16="http://schemas.microsoft.com/office/drawing/2014/main" id="{7521D135-AEB0-4705-BC4F-B64E020DFDB1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" name="Straight Arrow Connector 160">
            <a:extLst>
              <a:ext uri="{FF2B5EF4-FFF2-40B4-BE49-F238E27FC236}">
                <a16:creationId xmlns:a16="http://schemas.microsoft.com/office/drawing/2014/main" id="{7C91B64F-E0DE-48FE-B1B6-F78949139996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4CBBDBCB-F25D-4EAE-84FF-A96C41BCDBEB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3" name="Straight Arrow Connector 162">
            <a:extLst>
              <a:ext uri="{FF2B5EF4-FFF2-40B4-BE49-F238E27FC236}">
                <a16:creationId xmlns:a16="http://schemas.microsoft.com/office/drawing/2014/main" id="{B534E09B-9901-4303-9161-7EFF9A23FE92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4" name="Straight Arrow Connector 163">
            <a:extLst>
              <a:ext uri="{FF2B5EF4-FFF2-40B4-BE49-F238E27FC236}">
                <a16:creationId xmlns:a16="http://schemas.microsoft.com/office/drawing/2014/main" id="{D76648ED-6A8D-443E-983C-6CC5A4D05364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" name="Straight Arrow Connector 164">
            <a:extLst>
              <a:ext uri="{FF2B5EF4-FFF2-40B4-BE49-F238E27FC236}">
                <a16:creationId xmlns:a16="http://schemas.microsoft.com/office/drawing/2014/main" id="{CB29EBE3-7D10-4388-8BF9-39BFD00C7F7B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582083</xdr:colOff>
      <xdr:row>185</xdr:row>
      <xdr:rowOff>0</xdr:rowOff>
    </xdr:from>
    <xdr:to>
      <xdr:col>7</xdr:col>
      <xdr:colOff>587375</xdr:colOff>
      <xdr:row>185</xdr:row>
      <xdr:rowOff>12700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15B379EB-B1D7-4BBB-BF08-4D01A7F4C9F1}"/>
            </a:ext>
          </a:extLst>
        </xdr:cNvPr>
        <xdr:cNvCxnSpPr/>
      </xdr:nvCxnSpPr>
      <xdr:spPr>
        <a:xfrm flipV="1">
          <a:off x="582083" y="36258500"/>
          <a:ext cx="4841875" cy="12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31750</xdr:colOff>
      <xdr:row>189</xdr:row>
      <xdr:rowOff>10584</xdr:rowOff>
    </xdr:from>
    <xdr:ext cx="380040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A6E2342-4443-47CC-B721-ED3E3AD4FBA8}"/>
                </a:ext>
              </a:extLst>
            </xdr:cNvPr>
            <xdr:cNvSpPr txBox="1"/>
          </xdr:nvSpPr>
          <xdr:spPr>
            <a:xfrm>
              <a:off x="2719917" y="37031084"/>
              <a:ext cx="38004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A6E2342-4443-47CC-B721-ED3E3AD4FBA8}"/>
                </a:ext>
              </a:extLst>
            </xdr:cNvPr>
            <xdr:cNvSpPr txBox="1"/>
          </xdr:nvSpPr>
          <xdr:spPr>
            <a:xfrm>
              <a:off x="2719917" y="37031084"/>
              <a:ext cx="38004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𝑊∗𝐿)/2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0</xdr:colOff>
      <xdr:row>200</xdr:row>
      <xdr:rowOff>0</xdr:rowOff>
    </xdr:from>
    <xdr:to>
      <xdr:col>5</xdr:col>
      <xdr:colOff>635779</xdr:colOff>
      <xdr:row>201</xdr:row>
      <xdr:rowOff>161006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B6C9ECB7-DF55-450B-9401-2F6BA7C40397}"/>
                </a:ext>
              </a:extLst>
            </xdr:cNvPr>
            <xdr:cNvSpPr txBox="1"/>
          </xdr:nvSpPr>
          <xdr:spPr>
            <a:xfrm>
              <a:off x="1248833" y="39338250"/>
              <a:ext cx="2879446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0.87∗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𝑓𝑦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𝐴𝑠𝑡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𝑑𝑝𝑟𝑜𝑣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.∗(1−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𝐴𝑠𝑡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𝑓𝑐𝑘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𝑑𝑝𝑟𝑜𝑣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B6C9ECB7-DF55-450B-9401-2F6BA7C40397}"/>
                </a:ext>
              </a:extLst>
            </xdr:cNvPr>
            <xdr:cNvSpPr txBox="1"/>
          </xdr:nvSpPr>
          <xdr:spPr>
            <a:xfrm>
              <a:off x="1248833" y="39338250"/>
              <a:ext cx="2879446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0.87∗𝑓𝑦∗𝐴𝑠𝑡∗𝑑𝑝𝑟𝑜𝑣.∗(1−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𝑓𝑦∗𝐴𝑠𝑡)/(𝑓𝑐𝑘∗𝑏∗𝑑𝑝𝑟𝑜𝑣.))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2</xdr:col>
      <xdr:colOff>33337</xdr:colOff>
      <xdr:row>217</xdr:row>
      <xdr:rowOff>11906</xdr:rowOff>
    </xdr:from>
    <xdr:to>
      <xdr:col>2</xdr:col>
      <xdr:colOff>429664</xdr:colOff>
      <xdr:row>217</xdr:row>
      <xdr:rowOff>327698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BF9334DB-0D8E-47F4-BE25-6CFE02F51C2F}"/>
                </a:ext>
              </a:extLst>
            </xdr:cNvPr>
            <xdr:cNvSpPr txBox="1"/>
          </xdr:nvSpPr>
          <xdr:spPr>
            <a:xfrm>
              <a:off x="1281112" y="21090731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𝑉𝑚𝑎𝑥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BF9334DB-0D8E-47F4-BE25-6CFE02F51C2F}"/>
                </a:ext>
              </a:extLst>
            </xdr:cNvPr>
            <xdr:cNvSpPr txBox="1"/>
          </xdr:nvSpPr>
          <xdr:spPr>
            <a:xfrm>
              <a:off x="1281112" y="21090731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𝑉𝑚𝑎𝑥/𝑏𝑑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4</xdr:col>
      <xdr:colOff>5862</xdr:colOff>
      <xdr:row>233</xdr:row>
      <xdr:rowOff>23447</xdr:rowOff>
    </xdr:from>
    <xdr:to>
      <xdr:col>10</xdr:col>
      <xdr:colOff>478628</xdr:colOff>
      <xdr:row>234</xdr:row>
      <xdr:rowOff>89484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12AE781-3EF1-4166-A955-6DA11B70A53B}"/>
                </a:ext>
              </a:extLst>
            </xdr:cNvPr>
            <xdr:cNvSpPr txBox="1"/>
          </xdr:nvSpPr>
          <xdr:spPr>
            <a:xfrm>
              <a:off x="2691912" y="24302672"/>
              <a:ext cx="4444691" cy="3517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𝑟𝑒𝑞𝑢𝑖𝑟𝑒𝑑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𝑝𝑟𝑜𝑣𝑖𝑑𝑒𝑑</m:t>
                      </m:r>
                    </m:den>
                  </m:f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12AE781-3EF1-4166-A955-6DA11B70A53B}"/>
                </a:ext>
              </a:extLst>
            </xdr:cNvPr>
            <xdr:cNvSpPr txBox="1"/>
          </xdr:nvSpPr>
          <xdr:spPr>
            <a:xfrm>
              <a:off x="2691912" y="24302672"/>
              <a:ext cx="4444691" cy="3517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𝐴𝑟𝑒𝑎 𝑜𝑓 𝑐𝑟𝑜𝑠𝑠−𝑠𝑒𝑐𝑡𝑖𝑜𝑛 𝑜𝑓 𝑠𝑡𝑒𝑒𝑙 𝑟𝑒𝑞𝑢𝑖𝑟𝑒𝑑)/(𝐴𝑟𝑒𝑎 𝑜𝑓 𝑐𝑟𝑜𝑠𝑠−𝑠𝑒𝑐𝑡𝑖𝑜𝑛 𝑜𝑓 𝑠𝑡𝑒𝑒𝑙 𝑝𝑟𝑜𝑣𝑖𝑑𝑒𝑑)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141557</xdr:colOff>
      <xdr:row>231</xdr:row>
      <xdr:rowOff>95836</xdr:rowOff>
    </xdr:from>
    <xdr:to>
      <xdr:col>15</xdr:col>
      <xdr:colOff>566812</xdr:colOff>
      <xdr:row>247</xdr:row>
      <xdr:rowOff>43630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9982EA9E-9397-437E-AF87-0D6DCE61C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89932" y="23994061"/>
          <a:ext cx="4082855" cy="2995794"/>
        </a:xfrm>
        <a:prstGeom prst="rect">
          <a:avLst/>
        </a:prstGeom>
      </xdr:spPr>
    </xdr:pic>
    <xdr:clientData/>
  </xdr:twoCellAnchor>
  <xdr:twoCellAnchor>
    <xdr:from>
      <xdr:col>3</xdr:col>
      <xdr:colOff>553720</xdr:colOff>
      <xdr:row>244</xdr:row>
      <xdr:rowOff>25400</xdr:rowOff>
    </xdr:from>
    <xdr:to>
      <xdr:col>4</xdr:col>
      <xdr:colOff>591238</xdr:colOff>
      <xdr:row>245</xdr:row>
      <xdr:rowOff>40641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9941CEAE-0FCB-4092-996E-ECCC2914ADF0}"/>
                </a:ext>
              </a:extLst>
            </xdr:cNvPr>
            <xdr:cNvSpPr txBox="1"/>
          </xdr:nvSpPr>
          <xdr:spPr>
            <a:xfrm>
              <a:off x="2630170" y="26504900"/>
              <a:ext cx="647118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4∗</m:t>
                        </m:r>
                        <m:r>
                          <a:rPr lang="el-GR" sz="1100" b="0" i="1">
                            <a:latin typeface="Cambria Math" panose="02040503050406030204" pitchFamily="18" charset="0"/>
                          </a:rPr>
                          <m:t>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9941CEAE-0FCB-4092-996E-ECCC2914ADF0}"/>
                </a:ext>
              </a:extLst>
            </xdr:cNvPr>
            <xdr:cNvSpPr txBox="1"/>
          </xdr:nvSpPr>
          <xdr:spPr>
            <a:xfrm>
              <a:off x="2630170" y="26504900"/>
              <a:ext cx="647118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l-GR" sz="1100" i="0">
                  <a:latin typeface="Cambria Math" panose="02040503050406030204" pitchFamily="18" charset="0"/>
                </a:rPr>
                <a:t>𝛷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r>
                <a:rPr lang="el-GR" sz="1100" b="0" i="0">
                  <a:latin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</a:rPr>
                <a:t>𝑠)/(4∗</a:t>
              </a:r>
              <a:r>
                <a:rPr lang="el-GR" sz="1100" b="0" i="0">
                  <a:latin typeface="Cambria Math" panose="02040503050406030204" pitchFamily="18" charset="0"/>
                </a:rPr>
                <a:t>𝜏</a:t>
              </a:r>
              <a:r>
                <a:rPr lang="en-US" sz="1100" b="0" i="0">
                  <a:latin typeface="Cambria Math" panose="02040503050406030204" pitchFamily="18" charset="0"/>
                </a:rPr>
                <a:t>𝑏𝑑)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4</xdr:col>
      <xdr:colOff>594360</xdr:colOff>
      <xdr:row>244</xdr:row>
      <xdr:rowOff>40640</xdr:rowOff>
    </xdr:from>
    <xdr:to>
      <xdr:col>5</xdr:col>
      <xdr:colOff>706120</xdr:colOff>
      <xdr:row>245</xdr:row>
      <xdr:rowOff>55881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D5432C4-1BBB-4216-9F1A-7EEF4C3B21CD}"/>
                </a:ext>
              </a:extLst>
            </xdr:cNvPr>
            <xdr:cNvSpPr txBox="1"/>
          </xdr:nvSpPr>
          <xdr:spPr>
            <a:xfrm>
              <a:off x="3280410" y="26520140"/>
              <a:ext cx="911860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/>
                <a:t>=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l-GR" sz="1400" i="1">
                          <a:latin typeface="Cambria Math" panose="02040503050406030204" pitchFamily="18" charset="0"/>
                        </a:rPr>
                        <m:t>𝛷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∗0.87∗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𝑓𝑦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4∗</m:t>
                      </m:r>
                      <m:r>
                        <a:rPr lang="el-GR" sz="1400" b="0" i="1">
                          <a:latin typeface="Cambria Math" panose="02040503050406030204" pitchFamily="18" charset="0"/>
                        </a:rPr>
                        <m:t>𝜏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𝑏𝑑</m:t>
                      </m:r>
                    </m:den>
                  </m:f>
                </m:oMath>
              </a14:m>
              <a:endParaRPr lang="en-US" sz="1400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D5432C4-1BBB-4216-9F1A-7EEF4C3B21CD}"/>
                </a:ext>
              </a:extLst>
            </xdr:cNvPr>
            <xdr:cNvSpPr txBox="1"/>
          </xdr:nvSpPr>
          <xdr:spPr>
            <a:xfrm>
              <a:off x="3280410" y="26520140"/>
              <a:ext cx="911860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/>
                <a:t>=</a:t>
              </a:r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l-GR" sz="1400" i="0">
                  <a:latin typeface="Cambria Math" panose="02040503050406030204" pitchFamily="18" charset="0"/>
                </a:rPr>
                <a:t>𝛷</a:t>
              </a:r>
              <a:r>
                <a:rPr lang="en-US" sz="1400" b="0" i="0">
                  <a:latin typeface="Cambria Math" panose="02040503050406030204" pitchFamily="18" charset="0"/>
                </a:rPr>
                <a:t>∗0.87∗𝑓𝑦)/(4∗</a:t>
              </a:r>
              <a:r>
                <a:rPr lang="el-GR" sz="1400" b="0" i="0">
                  <a:latin typeface="Cambria Math" panose="02040503050406030204" pitchFamily="18" charset="0"/>
                </a:rPr>
                <a:t>𝜏</a:t>
              </a:r>
              <a:r>
                <a:rPr lang="en-US" sz="1400" b="0" i="0">
                  <a:latin typeface="Cambria Math" panose="02040503050406030204" pitchFamily="18" charset="0"/>
                </a:rPr>
                <a:t>𝑏𝑑)</a:t>
              </a:r>
              <a:endParaRPr lang="en-US" sz="1400"/>
            </a:p>
          </xdr:txBody>
        </xdr:sp>
      </mc:Fallback>
    </mc:AlternateContent>
    <xdr:clientData/>
  </xdr:twoCellAnchor>
  <xdr:twoCellAnchor editAs="oneCell">
    <xdr:from>
      <xdr:col>9</xdr:col>
      <xdr:colOff>102577</xdr:colOff>
      <xdr:row>210</xdr:row>
      <xdr:rowOff>7327</xdr:rowOff>
    </xdr:from>
    <xdr:to>
      <xdr:col>18</xdr:col>
      <xdr:colOff>539143</xdr:colOff>
      <xdr:row>231</xdr:row>
      <xdr:rowOff>32129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CEE2BEB1-FAA2-4348-A510-4D174695A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9962" y="41411769"/>
          <a:ext cx="5909777" cy="4215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6" zoomScale="130" zoomScaleNormal="130" workbookViewId="0">
      <selection activeCell="E18" sqref="E18"/>
    </sheetView>
  </sheetViews>
  <sheetFormatPr defaultRowHeight="14.4" x14ac:dyDescent="0.3"/>
  <cols>
    <col min="5" max="5" width="10.6640625" style="8" bestFit="1" customWidth="1"/>
  </cols>
  <sheetData>
    <row r="1" spans="1:5" x14ac:dyDescent="0.3">
      <c r="A1" s="11" t="s">
        <v>0</v>
      </c>
    </row>
    <row r="3" spans="1:5" x14ac:dyDescent="0.3">
      <c r="D3" s="1" t="s">
        <v>1</v>
      </c>
      <c r="E3" s="3">
        <v>3</v>
      </c>
    </row>
    <row r="4" spans="1:5" x14ac:dyDescent="0.3">
      <c r="D4" s="1" t="s">
        <v>2</v>
      </c>
      <c r="E4" s="4">
        <v>150</v>
      </c>
    </row>
    <row r="5" spans="1:5" x14ac:dyDescent="0.3">
      <c r="D5" s="1" t="s">
        <v>5</v>
      </c>
      <c r="E5" s="4">
        <v>250</v>
      </c>
    </row>
    <row r="6" spans="1:5" x14ac:dyDescent="0.3">
      <c r="D6" s="1" t="s">
        <v>8</v>
      </c>
      <c r="E6" s="4">
        <v>1250</v>
      </c>
    </row>
    <row r="7" spans="1:5" x14ac:dyDescent="0.3">
      <c r="D7" s="1" t="s">
        <v>9</v>
      </c>
      <c r="E7" s="4">
        <v>1250</v>
      </c>
    </row>
    <row r="8" spans="1:5" x14ac:dyDescent="0.3">
      <c r="D8" s="1" t="s">
        <v>21</v>
      </c>
      <c r="E8" s="7">
        <v>10</v>
      </c>
    </row>
    <row r="9" spans="1:5" x14ac:dyDescent="0.3">
      <c r="D9" s="1" t="s">
        <v>6</v>
      </c>
      <c r="E9" s="4">
        <v>1250</v>
      </c>
    </row>
    <row r="10" spans="1:5" x14ac:dyDescent="0.3">
      <c r="D10" s="1" t="s">
        <v>4</v>
      </c>
      <c r="E10" s="5">
        <v>4</v>
      </c>
    </row>
    <row r="11" spans="1:5" x14ac:dyDescent="0.3">
      <c r="D11" s="1" t="s">
        <v>3</v>
      </c>
      <c r="E11" s="6">
        <v>0.6</v>
      </c>
    </row>
    <row r="12" spans="1:5" x14ac:dyDescent="0.3">
      <c r="D12" s="1" t="s">
        <v>12</v>
      </c>
      <c r="E12" s="4">
        <v>230</v>
      </c>
    </row>
    <row r="13" spans="1:5" x14ac:dyDescent="0.3">
      <c r="A13" s="9" t="s">
        <v>19</v>
      </c>
    </row>
    <row r="14" spans="1:5" x14ac:dyDescent="0.3">
      <c r="D14" s="1" t="s">
        <v>7</v>
      </c>
      <c r="E14" s="2" t="s">
        <v>11</v>
      </c>
    </row>
    <row r="15" spans="1:5" x14ac:dyDescent="0.3">
      <c r="D15" s="1" t="s">
        <v>10</v>
      </c>
      <c r="E15" s="2" t="str">
        <f>CONCATENATE("{(",E8,"-1)*",E5,"}+",E6,"+",E7,"+",E12)</f>
        <v>{(10-1)*250}+1250+1250+230</v>
      </c>
    </row>
    <row r="16" spans="1:5" x14ac:dyDescent="0.3">
      <c r="D16" s="1" t="s">
        <v>10</v>
      </c>
      <c r="E16" s="4">
        <f>((E8-1)*E5)+E6+E7+E12</f>
        <v>4980</v>
      </c>
    </row>
    <row r="17" spans="1:6" x14ac:dyDescent="0.3">
      <c r="D17" s="1" t="s">
        <v>13</v>
      </c>
      <c r="E17" s="8" t="s">
        <v>32</v>
      </c>
      <c r="F17" t="s">
        <v>17</v>
      </c>
    </row>
    <row r="18" spans="1:6" x14ac:dyDescent="0.3">
      <c r="D18" s="1"/>
      <c r="E18" s="8" t="s">
        <v>33</v>
      </c>
      <c r="F18" t="s">
        <v>27</v>
      </c>
    </row>
    <row r="19" spans="1:6" x14ac:dyDescent="0.3">
      <c r="D19" s="1" t="s">
        <v>10</v>
      </c>
      <c r="E19" s="2" t="str">
        <f>CONCATENATE("(",E16,"/20)")</f>
        <v>(4980/20)</v>
      </c>
    </row>
    <row r="20" spans="1:6" x14ac:dyDescent="0.3">
      <c r="D20" s="1" t="s">
        <v>10</v>
      </c>
      <c r="E20" s="2">
        <f>E16/20</f>
        <v>249</v>
      </c>
      <c r="F20" s="14">
        <f>CEILING(E20,25)</f>
        <v>250</v>
      </c>
    </row>
    <row r="21" spans="1:6" x14ac:dyDescent="0.3">
      <c r="A21" s="9" t="s">
        <v>20</v>
      </c>
      <c r="D21" s="1"/>
      <c r="E21" s="2"/>
      <c r="F21" s="10"/>
    </row>
    <row r="22" spans="1:6" x14ac:dyDescent="0.3">
      <c r="D22" s="1" t="s">
        <v>14</v>
      </c>
      <c r="E22" s="4">
        <v>20</v>
      </c>
      <c r="F22" s="9" t="s">
        <v>15</v>
      </c>
    </row>
    <row r="23" spans="1:6" x14ac:dyDescent="0.3">
      <c r="D23" s="1" t="s">
        <v>22</v>
      </c>
      <c r="E23" s="4">
        <v>12</v>
      </c>
    </row>
    <row r="24" spans="1:6" x14ac:dyDescent="0.3">
      <c r="D24" s="1" t="s">
        <v>16</v>
      </c>
      <c r="E24" s="2" t="str">
        <f>CONCATENATE(F20,"-",E22,"-(",E23,"/2)")</f>
        <v>250-20-(12/2)</v>
      </c>
    </row>
    <row r="25" spans="1:6" x14ac:dyDescent="0.3">
      <c r="D25" s="1" t="s">
        <v>10</v>
      </c>
      <c r="E25" s="2">
        <f>F20-E22-(E23/2)</f>
        <v>224</v>
      </c>
    </row>
    <row r="26" spans="1:6" x14ac:dyDescent="0.3">
      <c r="D26" s="1" t="s">
        <v>18</v>
      </c>
      <c r="E26" s="4">
        <v>200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8"/>
  <sheetViews>
    <sheetView topLeftCell="A56" zoomScale="130" zoomScaleNormal="130" workbookViewId="0">
      <selection activeCell="C73" activeCellId="2" sqref="C65 C69 C73"/>
    </sheetView>
  </sheetViews>
  <sheetFormatPr defaultRowHeight="14.4" x14ac:dyDescent="0.3"/>
  <cols>
    <col min="2" max="2" width="9.5546875" bestFit="1" customWidth="1"/>
    <col min="3" max="3" width="12.109375" bestFit="1" customWidth="1"/>
    <col min="5" max="5" width="12" style="8" bestFit="1" customWidth="1"/>
    <col min="6" max="6" width="11" bestFit="1" customWidth="1"/>
  </cols>
  <sheetData>
    <row r="1" spans="1:9" ht="15.6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3" spans="1:9" x14ac:dyDescent="0.3">
      <c r="D3" s="1" t="s">
        <v>1</v>
      </c>
      <c r="E3" s="3">
        <v>2.8450000000000002</v>
      </c>
    </row>
    <row r="4" spans="1:9" x14ac:dyDescent="0.3">
      <c r="D4" s="1" t="s">
        <v>2</v>
      </c>
      <c r="E4" s="4">
        <v>175</v>
      </c>
    </row>
    <row r="5" spans="1:9" x14ac:dyDescent="0.3">
      <c r="D5" s="1" t="s">
        <v>5</v>
      </c>
      <c r="E5" s="4">
        <v>250</v>
      </c>
    </row>
    <row r="6" spans="1:9" x14ac:dyDescent="0.3">
      <c r="D6" s="1" t="s">
        <v>8</v>
      </c>
      <c r="E6" s="4">
        <v>1000</v>
      </c>
    </row>
    <row r="7" spans="1:9" x14ac:dyDescent="0.3">
      <c r="D7" s="1" t="s">
        <v>9</v>
      </c>
      <c r="E7" s="4">
        <v>1000</v>
      </c>
    </row>
    <row r="8" spans="1:9" x14ac:dyDescent="0.3">
      <c r="D8" s="1" t="s">
        <v>21</v>
      </c>
      <c r="E8" s="7">
        <v>8</v>
      </c>
    </row>
    <row r="9" spans="1:9" x14ac:dyDescent="0.3">
      <c r="D9" s="1" t="s">
        <v>6</v>
      </c>
      <c r="E9" s="4">
        <v>1000</v>
      </c>
    </row>
    <row r="10" spans="1:9" x14ac:dyDescent="0.3">
      <c r="D10" s="1" t="s">
        <v>4</v>
      </c>
      <c r="E10" s="5">
        <v>3</v>
      </c>
    </row>
    <row r="11" spans="1:9" x14ac:dyDescent="0.3">
      <c r="D11" s="1" t="s">
        <v>3</v>
      </c>
      <c r="E11" s="6">
        <v>1.25</v>
      </c>
    </row>
    <row r="12" spans="1:9" x14ac:dyDescent="0.3">
      <c r="D12" s="1" t="s">
        <v>12</v>
      </c>
      <c r="E12" s="4">
        <v>230</v>
      </c>
    </row>
    <row r="13" spans="1:9" x14ac:dyDescent="0.3">
      <c r="D13" s="1" t="s">
        <v>41</v>
      </c>
      <c r="E13" s="17">
        <v>25</v>
      </c>
    </row>
    <row r="14" spans="1:9" x14ac:dyDescent="0.3">
      <c r="D14" s="1" t="s">
        <v>63</v>
      </c>
      <c r="E14" s="32">
        <v>500</v>
      </c>
    </row>
    <row r="15" spans="1:9" x14ac:dyDescent="0.3">
      <c r="D15" s="1" t="s">
        <v>62</v>
      </c>
      <c r="E15" s="32">
        <v>20</v>
      </c>
    </row>
    <row r="16" spans="1:9" x14ac:dyDescent="0.3">
      <c r="A16" s="9" t="s">
        <v>19</v>
      </c>
    </row>
    <row r="17" spans="1:6" ht="15.6" x14ac:dyDescent="0.35">
      <c r="D17" s="1" t="s">
        <v>23</v>
      </c>
      <c r="E17" s="2" t="s">
        <v>11</v>
      </c>
    </row>
    <row r="18" spans="1:6" x14ac:dyDescent="0.3">
      <c r="D18" s="1" t="s">
        <v>10</v>
      </c>
      <c r="E18" s="2" t="str">
        <f>CONCATENATE("{(",E8,"-1)*",E5,"}+",E6,"+",E7,"+",E12)</f>
        <v>{(8-1)*250}+1000+1000+230</v>
      </c>
    </row>
    <row r="19" spans="1:6" x14ac:dyDescent="0.3">
      <c r="D19" s="1" t="s">
        <v>10</v>
      </c>
      <c r="E19" s="4">
        <f>((E8-1)*E5)+E6+E7+E12</f>
        <v>3980</v>
      </c>
    </row>
    <row r="20" spans="1:6" x14ac:dyDescent="0.3">
      <c r="A20" s="9" t="s">
        <v>34</v>
      </c>
      <c r="D20" s="1"/>
      <c r="E20" s="2"/>
      <c r="F20" s="10"/>
    </row>
    <row r="21" spans="1:6" x14ac:dyDescent="0.3">
      <c r="D21" s="1" t="s">
        <v>30</v>
      </c>
      <c r="E21" s="4">
        <v>15</v>
      </c>
      <c r="F21" s="9" t="s">
        <v>15</v>
      </c>
    </row>
    <row r="22" spans="1:6" x14ac:dyDescent="0.3">
      <c r="D22" s="1" t="s">
        <v>24</v>
      </c>
      <c r="E22" s="4">
        <v>12</v>
      </c>
    </row>
    <row r="23" spans="1:6" ht="30" customHeight="1" x14ac:dyDescent="0.3">
      <c r="E23" s="13">
        <v>30</v>
      </c>
      <c r="F23" s="12" t="s">
        <v>26</v>
      </c>
    </row>
    <row r="24" spans="1:6" x14ac:dyDescent="0.3">
      <c r="D24" s="1" t="s">
        <v>25</v>
      </c>
      <c r="E24" s="2" t="str">
        <f>CONCATENATE("(Leff/",E23,")")</f>
        <v>(Leff/30)</v>
      </c>
    </row>
    <row r="25" spans="1:6" x14ac:dyDescent="0.3">
      <c r="D25" s="1" t="s">
        <v>10</v>
      </c>
      <c r="E25" s="2">
        <f>E19/E23</f>
        <v>132.66666666666666</v>
      </c>
    </row>
    <row r="26" spans="1:6" x14ac:dyDescent="0.3">
      <c r="D26" s="1" t="s">
        <v>28</v>
      </c>
      <c r="E26" s="8" t="s">
        <v>29</v>
      </c>
    </row>
    <row r="27" spans="1:6" x14ac:dyDescent="0.3">
      <c r="D27" s="1" t="s">
        <v>10</v>
      </c>
      <c r="E27" s="8" t="str">
        <f>CONCATENATE(ROUND(E25,3),"+(",E22,"/2)+",E21)</f>
        <v>132.667+(12/2)+15</v>
      </c>
    </row>
    <row r="28" spans="1:6" x14ac:dyDescent="0.3">
      <c r="D28" s="1" t="s">
        <v>10</v>
      </c>
      <c r="E28" s="2">
        <f>E25+(E22/2)+E21</f>
        <v>153.66666666666666</v>
      </c>
      <c r="F28" s="26">
        <f>CEILING(E28,5)</f>
        <v>155</v>
      </c>
    </row>
    <row r="29" spans="1:6" x14ac:dyDescent="0.3">
      <c r="D29" s="1" t="s">
        <v>31</v>
      </c>
      <c r="E29" s="25">
        <f>F28-(E22/2)-E21</f>
        <v>134</v>
      </c>
    </row>
    <row r="30" spans="1:6" x14ac:dyDescent="0.3">
      <c r="A30" s="9" t="s">
        <v>35</v>
      </c>
    </row>
    <row r="31" spans="1:6" x14ac:dyDescent="0.3">
      <c r="A31" s="15" t="s">
        <v>36</v>
      </c>
    </row>
    <row r="32" spans="1:6" x14ac:dyDescent="0.3">
      <c r="D32" s="1" t="s">
        <v>37</v>
      </c>
      <c r="E32" s="8" t="str">
        <f>CONCATENATE(E10,"*1")</f>
        <v>3*1</v>
      </c>
      <c r="F32" s="16">
        <f>E10*1</f>
        <v>3</v>
      </c>
    </row>
    <row r="33" spans="1:6" x14ac:dyDescent="0.3">
      <c r="D33" s="1" t="s">
        <v>38</v>
      </c>
      <c r="E33" s="8" t="str">
        <f>CONCATENATE(E11,"*1")</f>
        <v>1.25*1</v>
      </c>
      <c r="F33" s="22">
        <f>E11*1</f>
        <v>1.25</v>
      </c>
    </row>
    <row r="34" spans="1:6" ht="16.2" x14ac:dyDescent="0.3">
      <c r="D34" s="1" t="s">
        <v>39</v>
      </c>
      <c r="E34" s="18" t="s">
        <v>42</v>
      </c>
    </row>
    <row r="35" spans="1:6" x14ac:dyDescent="0.3">
      <c r="D35" s="1" t="s">
        <v>10</v>
      </c>
      <c r="E35" s="19">
        <f>(E13*(F28/1000)*SQRT(((E4/1000)^2)+((E5/1000)^2)))/(E5/1000)</f>
        <v>4.7300403010968095</v>
      </c>
    </row>
    <row r="36" spans="1:6" x14ac:dyDescent="0.3">
      <c r="D36" s="1" t="s">
        <v>40</v>
      </c>
      <c r="E36" s="8" t="s">
        <v>43</v>
      </c>
    </row>
    <row r="37" spans="1:6" x14ac:dyDescent="0.3">
      <c r="D37" s="1" t="s">
        <v>10</v>
      </c>
      <c r="E37" s="19">
        <f>E13*0.5*(E4/1000)</f>
        <v>2.1875</v>
      </c>
    </row>
    <row r="38" spans="1:6" x14ac:dyDescent="0.3">
      <c r="D38" s="1" t="s">
        <v>44</v>
      </c>
      <c r="E38" s="23">
        <f>F32+F33+E35+E37</f>
        <v>11.16754030109681</v>
      </c>
    </row>
    <row r="39" spans="1:6" x14ac:dyDescent="0.3">
      <c r="D39" s="1" t="s">
        <v>45</v>
      </c>
      <c r="E39" s="20" t="str">
        <f>CONCATENATE("1.5*",ROUND(E38,2))</f>
        <v>1.5*11.17</v>
      </c>
    </row>
    <row r="40" spans="1:6" x14ac:dyDescent="0.3">
      <c r="D40" s="1" t="s">
        <v>10</v>
      </c>
      <c r="E40" s="24">
        <f>1.5*E38</f>
        <v>16.751310451645217</v>
      </c>
    </row>
    <row r="41" spans="1:6" x14ac:dyDescent="0.3">
      <c r="A41" s="15" t="s">
        <v>46</v>
      </c>
    </row>
    <row r="42" spans="1:6" x14ac:dyDescent="0.3">
      <c r="D42" s="1" t="s">
        <v>37</v>
      </c>
      <c r="E42" s="8" t="str">
        <f>CONCATENATE(E10,"*1")</f>
        <v>3*1</v>
      </c>
      <c r="F42" s="22">
        <f>E10*1</f>
        <v>3</v>
      </c>
    </row>
    <row r="43" spans="1:6" x14ac:dyDescent="0.3">
      <c r="D43" s="1" t="s">
        <v>38</v>
      </c>
      <c r="E43" s="8" t="str">
        <f>CONCATENATE(E11,"*1")</f>
        <v>1.25*1</v>
      </c>
      <c r="F43" s="22">
        <f>E11*1</f>
        <v>1.25</v>
      </c>
    </row>
    <row r="44" spans="1:6" x14ac:dyDescent="0.3">
      <c r="D44" s="1" t="s">
        <v>47</v>
      </c>
      <c r="E44" s="8" t="s">
        <v>48</v>
      </c>
    </row>
    <row r="45" spans="1:6" x14ac:dyDescent="0.3">
      <c r="D45" s="1" t="s">
        <v>10</v>
      </c>
      <c r="E45" s="20">
        <f>E13*(F28/1000)*1</f>
        <v>3.875</v>
      </c>
    </row>
    <row r="46" spans="1:6" x14ac:dyDescent="0.3">
      <c r="D46" s="1" t="s">
        <v>49</v>
      </c>
      <c r="E46" s="20">
        <f>E45+F43+F42</f>
        <v>8.125</v>
      </c>
    </row>
    <row r="47" spans="1:6" x14ac:dyDescent="0.3">
      <c r="D47" s="1" t="s">
        <v>45</v>
      </c>
      <c r="E47" s="8" t="str">
        <f>CONCATENATE("1.5*",ROUND(E46,2))</f>
        <v>1.5*8.13</v>
      </c>
    </row>
    <row r="48" spans="1:6" x14ac:dyDescent="0.3">
      <c r="D48" s="1" t="s">
        <v>10</v>
      </c>
      <c r="E48" s="24">
        <f>1.5*E46</f>
        <v>12.1875</v>
      </c>
    </row>
    <row r="50" spans="1:9" x14ac:dyDescent="0.3">
      <c r="E50" s="23">
        <f>+E40</f>
        <v>16.751310451645217</v>
      </c>
    </row>
    <row r="52" spans="1:9" x14ac:dyDescent="0.3">
      <c r="B52" s="72">
        <f>+E48</f>
        <v>12.1875</v>
      </c>
      <c r="C52" s="72"/>
      <c r="G52" s="72">
        <f>+E48</f>
        <v>12.1875</v>
      </c>
      <c r="H52" s="72"/>
    </row>
    <row r="54" spans="1:9" x14ac:dyDescent="0.3">
      <c r="A54" s="28" t="s">
        <v>55</v>
      </c>
      <c r="D54" s="8"/>
      <c r="E54"/>
      <c r="I54" s="9" t="s">
        <v>54</v>
      </c>
    </row>
    <row r="55" spans="1:9" x14ac:dyDescent="0.3">
      <c r="D55" s="8"/>
      <c r="E55"/>
    </row>
    <row r="56" spans="1:9" x14ac:dyDescent="0.3">
      <c r="D56" s="8"/>
      <c r="E56"/>
    </row>
    <row r="57" spans="1:9" x14ac:dyDescent="0.3">
      <c r="B57" s="73">
        <f>(E6+(E12/2))/1000</f>
        <v>1.115</v>
      </c>
      <c r="C57" s="73"/>
      <c r="D57" s="8"/>
      <c r="E57" s="27">
        <f>((E8-1)*E5)/1000</f>
        <v>1.75</v>
      </c>
      <c r="G57" s="73">
        <f>(E7+(E12/2))/1000</f>
        <v>1.115</v>
      </c>
      <c r="H57" s="73"/>
    </row>
    <row r="58" spans="1:9" x14ac:dyDescent="0.3">
      <c r="A58" s="71" t="s">
        <v>50</v>
      </c>
      <c r="B58" s="71"/>
      <c r="H58" s="71" t="s">
        <v>51</v>
      </c>
      <c r="I58" s="71"/>
    </row>
    <row r="59" spans="1:9" x14ac:dyDescent="0.3">
      <c r="E59" s="27">
        <f>B57+E57+G57</f>
        <v>3.9800000000000004</v>
      </c>
    </row>
    <row r="60" spans="1:9" x14ac:dyDescent="0.3">
      <c r="A60" s="9" t="s">
        <v>52</v>
      </c>
    </row>
    <row r="61" spans="1:9" x14ac:dyDescent="0.3">
      <c r="A61" t="s">
        <v>53</v>
      </c>
    </row>
    <row r="62" spans="1:9" x14ac:dyDescent="0.3">
      <c r="B62" s="1" t="str">
        <f>CONCATENATE(A58,"*",(B57+E57+G57),"=")</f>
        <v>Ra*3.98=</v>
      </c>
      <c r="C62" s="8" t="str">
        <f>CONCATENATE("[{(",ROUND(B52,2),"*",B57,"*(",B57,"/2+",E57,"+",G57,")}+{",ROUND(E50,2),"*",E57,"*(",E57,"/2+",G57,")}")</f>
        <v>[{(12.19*1.115*(1.115/2+1.75+1.115)}+{16.75*1.75*(1.75/2+1.115)}</v>
      </c>
    </row>
    <row r="63" spans="1:9" x14ac:dyDescent="0.3">
      <c r="B63" s="1"/>
      <c r="C63" s="8" t="str">
        <f>CONCATENATE("+{",ROUND(G52,2),"*",G57,"*",G57,"/2)}]")</f>
        <v>+{12.19*1.115*1.115/2)}]</v>
      </c>
    </row>
    <row r="64" spans="1:9" x14ac:dyDescent="0.3">
      <c r="B64" s="1" t="str">
        <f>+B62</f>
        <v>Ra*3.98=</v>
      </c>
      <c r="C64" s="29">
        <f>((B52*B57*(B57/2+E57+G57))+(E50*E57*(E57/2+G57))+(G52*G57*G57/2))</f>
        <v>112.42090739785446</v>
      </c>
    </row>
    <row r="65" spans="1:3" x14ac:dyDescent="0.3">
      <c r="B65" s="1" t="s">
        <v>56</v>
      </c>
      <c r="C65" s="54">
        <f>C64/E59</f>
        <v>28.246459145189561</v>
      </c>
    </row>
    <row r="67" spans="1:3" x14ac:dyDescent="0.3">
      <c r="B67" s="1" t="s">
        <v>57</v>
      </c>
      <c r="C67" t="str">
        <f>CONCATENATE("(",ROUND(B52,2),"*",B57,")+(",ROUND(E50,2),"*",E57,")+(",ROUND(G52,2),"*",G57,")")</f>
        <v>(12.19*1.115)+(16.75*1.75)+(12.19*1.115)</v>
      </c>
    </row>
    <row r="68" spans="1:3" x14ac:dyDescent="0.3">
      <c r="B68" t="str">
        <f>CONCATENATE(ROUND(C65,2),"+Rb=")</f>
        <v>28.25+Rb=</v>
      </c>
      <c r="C68" s="29">
        <f>(B52*B57)+(E50*E57)+(G52*G57)</f>
        <v>56.492918290379123</v>
      </c>
    </row>
    <row r="69" spans="1:3" x14ac:dyDescent="0.3">
      <c r="B69" s="1" t="s">
        <v>58</v>
      </c>
      <c r="C69" s="54">
        <f>C68-C65</f>
        <v>28.246459145189561</v>
      </c>
    </row>
    <row r="71" spans="1:3" ht="28.95" customHeight="1" x14ac:dyDescent="0.3">
      <c r="B71" s="30" t="s">
        <v>59</v>
      </c>
    </row>
    <row r="72" spans="1:3" x14ac:dyDescent="0.3">
      <c r="B72" s="1" t="s">
        <v>10</v>
      </c>
      <c r="C72" t="str">
        <f>CONCATENATE("{",B52,"*(",B57,"+",G57,")}+(",ROUND(E50,2),"*",E57,"))/2")</f>
        <v>{12.1875*(1.115+1.115)}+(16.75*1.75))/2</v>
      </c>
    </row>
    <row r="73" spans="1:3" x14ac:dyDescent="0.3">
      <c r="B73" s="1" t="s">
        <v>10</v>
      </c>
      <c r="C73" s="37">
        <f>((B52*(B57+G57))+(E50*E57))/2</f>
        <v>28.246459145189565</v>
      </c>
    </row>
    <row r="75" spans="1:3" x14ac:dyDescent="0.3">
      <c r="B75" s="1" t="s">
        <v>60</v>
      </c>
      <c r="C75" t="str">
        <f>CONCATENATE("-[",ROUND(B52,2),"*",B57,"*{(",B57,"/2)+(",E57,"/2)}]-[",ROUND(E50,2),"*(",E57,"/2)*(",E57,"/2*2)]")</f>
        <v>-[12.19*1.115*{(1.115/2)+(1.75/2)}]-[16.75*(1.75/2)*(1.75/2*2)]</v>
      </c>
    </row>
    <row r="76" spans="1:3" x14ac:dyDescent="0.3">
      <c r="B76" s="1"/>
      <c r="C76" t="str">
        <f>CONCATENATE("+[",ROUND(C73,2),"*{",B57,"+(",E57,"/2)}]")</f>
        <v>+[28.25*{1.115+(1.75/2)}]</v>
      </c>
    </row>
    <row r="77" spans="1:3" x14ac:dyDescent="0.3">
      <c r="B77" s="1" t="s">
        <v>10</v>
      </c>
      <c r="C77" s="36">
        <f>-(B52*B57*((B57/2)+(E57/2)))-(E50*(E57/2)*(E57/4))+(C73*(B57+(E57/2)))</f>
        <v>30.331510635406797</v>
      </c>
    </row>
    <row r="79" spans="1:3" x14ac:dyDescent="0.3">
      <c r="A79" s="9" t="s">
        <v>61</v>
      </c>
    </row>
    <row r="80" spans="1:3" x14ac:dyDescent="0.3">
      <c r="B80" s="1" t="s">
        <v>60</v>
      </c>
      <c r="C80" t="str">
        <f>CONCATENATE(IF(E14=500,0.133,0.138),"*fck*b*dreq^2")</f>
        <v>0.133*fck*b*dreq^2</v>
      </c>
    </row>
    <row r="81" spans="1:6" x14ac:dyDescent="0.3">
      <c r="B81" s="1" t="str">
        <f>CONCATENATE(ROUND(C77,2),"*10^6=")</f>
        <v>30.33*10^6=</v>
      </c>
      <c r="C81" t="str">
        <f>CONCATENATE(IF(E14=500,0.133,0.138),"*",E15,"*1000*dreq^2")</f>
        <v>0.133*20*1000*dreq^2</v>
      </c>
    </row>
    <row r="82" spans="1:6" ht="15.6" x14ac:dyDescent="0.35">
      <c r="B82" s="1" t="s">
        <v>64</v>
      </c>
      <c r="C82" s="33">
        <f>SQRT((C77*10^6)/(IF(E14=500,0.133,0.138)*E15*1000))</f>
        <v>106.78400417265412</v>
      </c>
      <c r="D82" s="71" t="str">
        <f>IF(C82&lt;E29,"(dreq&lt;dprov). Hence OK", "(dreq&gt;dprov.) Increase depth")</f>
        <v>(dreq&lt;dprov). Hence OK</v>
      </c>
      <c r="E82" s="71"/>
      <c r="F82" s="71"/>
    </row>
    <row r="84" spans="1:6" x14ac:dyDescent="0.3">
      <c r="A84" s="9" t="s">
        <v>65</v>
      </c>
    </row>
    <row r="85" spans="1:6" ht="31.2" customHeight="1" x14ac:dyDescent="0.3">
      <c r="B85" s="30" t="s">
        <v>60</v>
      </c>
    </row>
    <row r="86" spans="1:6" x14ac:dyDescent="0.3">
      <c r="B86" s="1" t="str">
        <f>+B81</f>
        <v>30.33*10^6=</v>
      </c>
      <c r="C86" t="str">
        <f>CONCATENATE("0.87*",E14,"*Ast*",E29,"*[1-{(",E14,"*Ast)/(",E15,"*1000*",E29,")}]",)</f>
        <v>0.87*500*Ast*134*[1-{(500*Ast)/(20*1000*134)}]</v>
      </c>
    </row>
    <row r="87" spans="1:6" x14ac:dyDescent="0.3">
      <c r="B87" s="1" t="s">
        <v>66</v>
      </c>
      <c r="C87" s="34">
        <f>(1-(SQRT((-1)^2-(4*(E14/(E15*1000*E29))*((C77*10^6)/(0.87*E14*E29))))))/(2*(E14/(E15*1000*E29)))</f>
        <v>583.98101779690523</v>
      </c>
    </row>
    <row r="89" spans="1:6" x14ac:dyDescent="0.3">
      <c r="B89" s="1" t="s">
        <v>67</v>
      </c>
      <c r="C89" s="35" t="s">
        <v>68</v>
      </c>
    </row>
    <row r="90" spans="1:6" x14ac:dyDescent="0.3">
      <c r="B90" s="1" t="s">
        <v>10</v>
      </c>
      <c r="C90" t="str">
        <f>CONCATENATE("(0.12/100)*1000*",F28)</f>
        <v>(0.12/100)*1000*155</v>
      </c>
    </row>
    <row r="91" spans="1:6" x14ac:dyDescent="0.3">
      <c r="B91" s="1" t="s">
        <v>10</v>
      </c>
      <c r="C91" s="34">
        <f>(0.12/100)*1000*F28</f>
        <v>186</v>
      </c>
    </row>
    <row r="93" spans="1:6" x14ac:dyDescent="0.3">
      <c r="B93" s="1" t="s">
        <v>69</v>
      </c>
      <c r="C93" t="str">
        <f>CONCATENATE("[1000/{",MAX(ROUND(C87,2),C91),"/(",ROUND(PI(),3),"*",E22,"^2)/4}]")</f>
        <v>[1000/{583.98/(3.142*12^2)/4}]</v>
      </c>
    </row>
    <row r="94" spans="1:6" x14ac:dyDescent="0.3">
      <c r="B94" s="1" t="s">
        <v>10</v>
      </c>
      <c r="C94" s="2">
        <f>1000/(MAX(C87,C91)/((PI()*E22^2)/4))</f>
        <v>193.66611599105971</v>
      </c>
      <c r="D94" s="53">
        <v>150</v>
      </c>
    </row>
    <row r="95" spans="1:6" x14ac:dyDescent="0.3">
      <c r="A95" s="9" t="str">
        <f>CONCATENATE("Provide ",E22, "mm dia. bar @ ",D94, "c/c")</f>
        <v>Provide 12mm dia. bar @ 150c/c</v>
      </c>
    </row>
    <row r="96" spans="1:6" x14ac:dyDescent="0.3">
      <c r="B96" s="1" t="s">
        <v>70</v>
      </c>
      <c r="C96" t="str">
        <f>CONCATENATE("[1000/{",D94,"/(",ROUND(PI(),3),"*",E22,"^2)/4}]")</f>
        <v>[1000/{150/(3.142*12^2)/4}]</v>
      </c>
    </row>
    <row r="97" spans="1:7" x14ac:dyDescent="0.3">
      <c r="B97" s="1" t="s">
        <v>10</v>
      </c>
      <c r="C97" s="34">
        <f>(1000*PI()*E22^2)/(4*D94)</f>
        <v>753.98223686155029</v>
      </c>
    </row>
    <row r="98" spans="1:7" x14ac:dyDescent="0.3">
      <c r="B98" s="1" t="s">
        <v>94</v>
      </c>
      <c r="C98" s="55">
        <f>(C97*100)/(1000*E29)</f>
        <v>0.56267331109070917</v>
      </c>
    </row>
    <row r="99" spans="1:7" x14ac:dyDescent="0.3">
      <c r="A99" s="9" t="s">
        <v>71</v>
      </c>
    </row>
    <row r="100" spans="1:7" x14ac:dyDescent="0.3">
      <c r="A100" t="str">
        <f>CONCATENATE("For M",E15, " concrete")</f>
        <v>For M20 concrete</v>
      </c>
    </row>
    <row r="101" spans="1:7" x14ac:dyDescent="0.3">
      <c r="A101" s="9"/>
      <c r="B101" s="1" t="s">
        <v>74</v>
      </c>
      <c r="C101" s="40">
        <v>0.28000000000000003</v>
      </c>
      <c r="E101" s="39" t="s">
        <v>73</v>
      </c>
    </row>
    <row r="102" spans="1:7" ht="27" customHeight="1" x14ac:dyDescent="0.3">
      <c r="B102" s="30" t="s">
        <v>72</v>
      </c>
    </row>
    <row r="103" spans="1:7" x14ac:dyDescent="0.3">
      <c r="B103" s="1" t="s">
        <v>10</v>
      </c>
      <c r="C103" t="str">
        <f>CONCATENATE("(",ROUND(C73,2),"*10^3)/(1000*",E29,")")</f>
        <v>(28.25*10^3)/(1000*134)</v>
      </c>
    </row>
    <row r="104" spans="1:7" x14ac:dyDescent="0.3">
      <c r="B104" s="1" t="s">
        <v>10</v>
      </c>
      <c r="C104" s="38">
        <f>(C73*10^3)/(1000*E29)</f>
        <v>0.21079447123275794</v>
      </c>
      <c r="E104" s="39" t="str">
        <f>IF(C104&lt;C101,"OK","Increase depth")</f>
        <v>OK</v>
      </c>
    </row>
    <row r="106" spans="1:7" x14ac:dyDescent="0.3">
      <c r="A106" s="9" t="s">
        <v>75</v>
      </c>
    </row>
    <row r="107" spans="1:7" x14ac:dyDescent="0.3">
      <c r="B107" s="1" t="s">
        <v>95</v>
      </c>
      <c r="C107" t="str">
        <f>CONCATENATE(E19,"/",E29)</f>
        <v>3980/134</v>
      </c>
    </row>
    <row r="108" spans="1:7" x14ac:dyDescent="0.3">
      <c r="B108" s="1" t="s">
        <v>10</v>
      </c>
      <c r="C108" s="21">
        <f>E19/E29</f>
        <v>29.701492537313431</v>
      </c>
    </row>
    <row r="110" spans="1:7" x14ac:dyDescent="0.3">
      <c r="D110" s="1" t="s">
        <v>76</v>
      </c>
      <c r="E110" s="44"/>
      <c r="F110" s="44"/>
      <c r="G110" s="8"/>
    </row>
    <row r="111" spans="1:7" x14ac:dyDescent="0.3">
      <c r="D111" s="48" t="s">
        <v>91</v>
      </c>
      <c r="E111" s="49">
        <v>20</v>
      </c>
      <c r="F111" s="9" t="s">
        <v>77</v>
      </c>
      <c r="G111" s="8"/>
    </row>
    <row r="112" spans="1:7" x14ac:dyDescent="0.3">
      <c r="D112" s="48" t="s">
        <v>78</v>
      </c>
      <c r="E112" s="50"/>
      <c r="G112" s="8"/>
    </row>
    <row r="113" spans="1:7" x14ac:dyDescent="0.3">
      <c r="D113" s="48" t="s">
        <v>79</v>
      </c>
      <c r="E113" s="49">
        <v>1</v>
      </c>
      <c r="F113" s="9" t="s">
        <v>80</v>
      </c>
      <c r="G113" s="8"/>
    </row>
    <row r="114" spans="1:7" x14ac:dyDescent="0.3">
      <c r="D114" s="1" t="s">
        <v>81</v>
      </c>
      <c r="E114" s="51">
        <f>+E123</f>
        <v>1.5</v>
      </c>
      <c r="F114" s="9" t="s">
        <v>82</v>
      </c>
      <c r="G114" s="8"/>
    </row>
    <row r="115" spans="1:7" x14ac:dyDescent="0.3">
      <c r="D115" s="1" t="s">
        <v>83</v>
      </c>
      <c r="E115" s="49">
        <v>1</v>
      </c>
      <c r="F115" s="9" t="s">
        <v>84</v>
      </c>
      <c r="G115" s="8"/>
    </row>
    <row r="116" spans="1:7" x14ac:dyDescent="0.3">
      <c r="D116" s="1" t="s">
        <v>85</v>
      </c>
      <c r="E116" s="49">
        <v>1</v>
      </c>
      <c r="F116" s="9" t="s">
        <v>86</v>
      </c>
      <c r="G116" s="8"/>
    </row>
    <row r="117" spans="1:7" x14ac:dyDescent="0.3">
      <c r="D117" s="52" t="s">
        <v>87</v>
      </c>
      <c r="E117"/>
      <c r="F117" s="44"/>
      <c r="G117" s="8"/>
    </row>
    <row r="118" spans="1:7" ht="22.95" customHeight="1" x14ac:dyDescent="0.3">
      <c r="D118" s="30" t="s">
        <v>88</v>
      </c>
      <c r="E118"/>
      <c r="F118" s="44"/>
      <c r="G118" s="8"/>
    </row>
    <row r="119" spans="1:7" x14ac:dyDescent="0.3">
      <c r="D119" s="1" t="s">
        <v>10</v>
      </c>
      <c r="E119" s="46" t="str">
        <f>CONCATENATE("0.58*",E14,"*[(Ast.req.)/(Ast.provided)]")</f>
        <v>0.58*500*[(Ast.req.)/(Ast.provided)]</v>
      </c>
      <c r="F119" s="42"/>
      <c r="G119" s="8"/>
    </row>
    <row r="120" spans="1:7" x14ac:dyDescent="0.3">
      <c r="D120" s="1" t="s">
        <v>10</v>
      </c>
      <c r="E120" s="29">
        <f>0.58*E14*(C87/C97)</f>
        <v>224.61337533101616</v>
      </c>
      <c r="F120" s="42"/>
      <c r="G120" s="8"/>
    </row>
    <row r="121" spans="1:7" x14ac:dyDescent="0.3">
      <c r="D121" s="1" t="s">
        <v>93</v>
      </c>
      <c r="E121" s="29" t="str">
        <f>CONCATENATE("[",ROUND(C97,3),"/(1000*",E29,")]*100")</f>
        <v>[753.982/(1000*134)]*100</v>
      </c>
      <c r="F121" s="42"/>
      <c r="G121" s="8"/>
    </row>
    <row r="122" spans="1:7" x14ac:dyDescent="0.3">
      <c r="D122" s="1"/>
      <c r="E122" s="29">
        <f>(ROUND(C97,3)/(1000*E29))*100</f>
        <v>0.56267313432835819</v>
      </c>
      <c r="F122" s="42"/>
      <c r="G122" s="8"/>
    </row>
    <row r="123" spans="1:7" x14ac:dyDescent="0.3">
      <c r="D123" s="1" t="s">
        <v>92</v>
      </c>
      <c r="E123" s="47">
        <v>1.5</v>
      </c>
      <c r="F123" s="42"/>
      <c r="G123" s="8"/>
    </row>
    <row r="124" spans="1:7" x14ac:dyDescent="0.3">
      <c r="D124" s="1" t="s">
        <v>89</v>
      </c>
      <c r="E124" s="46"/>
      <c r="F124" s="42"/>
      <c r="G124" s="8"/>
    </row>
    <row r="125" spans="1:7" x14ac:dyDescent="0.3">
      <c r="D125" s="1" t="s">
        <v>90</v>
      </c>
      <c r="E125" t="str">
        <f>CONCATENATE(E111,"*",E113,"*",E114,"*",E115,"*",E116)</f>
        <v>20*1*1.5*1*1</v>
      </c>
      <c r="F125" s="42"/>
      <c r="G125" s="8"/>
    </row>
    <row r="126" spans="1:7" x14ac:dyDescent="0.3">
      <c r="D126" s="1" t="s">
        <v>10</v>
      </c>
      <c r="E126" s="8">
        <f>E111*E113*E114*E115*E116</f>
        <v>30</v>
      </c>
      <c r="F126" s="42" t="str">
        <f>IF(C108&lt;E126,"(l/d)&lt;αβγδλ   OK","(l/d)&gt;αβγδλ   NOT OK")</f>
        <v>(l/d)&lt;αβγδλ   OK</v>
      </c>
      <c r="G126" s="8"/>
    </row>
    <row r="127" spans="1:7" ht="15.6" x14ac:dyDescent="0.3">
      <c r="A127" s="9" t="s">
        <v>100</v>
      </c>
      <c r="D127" s="43"/>
      <c r="E127" s="41"/>
      <c r="F127" s="42"/>
      <c r="G127" s="8"/>
    </row>
    <row r="128" spans="1:7" x14ac:dyDescent="0.3">
      <c r="D128" s="43"/>
      <c r="E128" s="21"/>
      <c r="F128" s="42"/>
      <c r="G128" s="8"/>
    </row>
    <row r="129" spans="1:7" ht="31.2" customHeight="1" x14ac:dyDescent="0.3">
      <c r="D129" s="56" t="s">
        <v>96</v>
      </c>
      <c r="E129" s="45"/>
      <c r="F129" s="44"/>
      <c r="G129" s="8"/>
    </row>
    <row r="130" spans="1:7" x14ac:dyDescent="0.3">
      <c r="D130" s="43" t="s">
        <v>10</v>
      </c>
      <c r="E130" s="8" t="str" cm="1">
        <f t="array" ref="E130">CONCATENATE("(",E22,"*0.87*",E14,")/(4*",_xlfn.IFS(E15=20,1.2,E15=25,1.4,E15=30,1.5,E15=35,1.7,AND(E15=40,E15&gt;40),1.9),"*1.6))")</f>
        <v>(12*0.87*500)/(4*1.2*1.6))</v>
      </c>
    </row>
    <row r="131" spans="1:7" x14ac:dyDescent="0.3">
      <c r="D131" s="43" t="s">
        <v>10</v>
      </c>
      <c r="E131" s="2" cm="1">
        <f t="array" ref="E131">(E22*0.87*E14)/(4*_xlfn.IFS(E15=20,1.2,E15=25,1.4,E15=30,1.5,E15=35,1.7,AND(E15=40,E15&gt;40),1.9)*1.6)</f>
        <v>679.6875</v>
      </c>
    </row>
    <row r="132" spans="1:7" x14ac:dyDescent="0.3">
      <c r="A132" s="9" t="s">
        <v>97</v>
      </c>
    </row>
    <row r="133" spans="1:7" x14ac:dyDescent="0.3">
      <c r="D133" s="43" t="s">
        <v>69</v>
      </c>
      <c r="E133" s="8" t="str">
        <f>CONCATENATE("1000/{",C91,"/(",ROUND(PI(),3),"/4*",E22,"^2)}")</f>
        <v>1000/{186/(3.142/4*12^2)}</v>
      </c>
    </row>
    <row r="134" spans="1:7" x14ac:dyDescent="0.3">
      <c r="D134" s="43" t="s">
        <v>10</v>
      </c>
      <c r="E134" s="2">
        <f>(1000*PI()*E22^2)/(4*C91)</f>
        <v>608.05019101737923</v>
      </c>
    </row>
    <row r="135" spans="1:7" x14ac:dyDescent="0.3">
      <c r="D135" s="43" t="s">
        <v>98</v>
      </c>
      <c r="E135" s="2">
        <v>450</v>
      </c>
    </row>
    <row r="136" spans="1:7" x14ac:dyDescent="0.3">
      <c r="D136" s="43" t="s">
        <v>98</v>
      </c>
      <c r="E136" s="2">
        <f>5*E29</f>
        <v>670</v>
      </c>
    </row>
    <row r="137" spans="1:7" x14ac:dyDescent="0.3">
      <c r="D137" s="43" t="s">
        <v>99</v>
      </c>
      <c r="E137" s="4">
        <v>250</v>
      </c>
    </row>
    <row r="138" spans="1:7" x14ac:dyDescent="0.3">
      <c r="A138" s="9" t="str">
        <f>CONCATENATE("Provide a distribution bar of ",E22,"mm dia. @", E137, "c/c")</f>
        <v>Provide a distribution bar of 12mm dia. @250c/c</v>
      </c>
    </row>
  </sheetData>
  <mergeCells count="7">
    <mergeCell ref="D82:F82"/>
    <mergeCell ref="B52:C52"/>
    <mergeCell ref="G52:H52"/>
    <mergeCell ref="B57:C57"/>
    <mergeCell ref="G57:H57"/>
    <mergeCell ref="A58:B58"/>
    <mergeCell ref="H58:I58"/>
  </mergeCells>
  <conditionalFormatting sqref="D82">
    <cfRule type="containsText" dxfId="20" priority="6" operator="containsText" text="(dreq&gt;dprov.) Increase depth">
      <formula>NOT(ISERROR(SEARCH("(dreq&gt;dprov.) Increase depth",D82)))</formula>
    </cfRule>
    <cfRule type="containsText" dxfId="19" priority="7" operator="containsText" text="(dreq&lt;dprov). Hence OK">
      <formula>NOT(ISERROR(SEARCH("(dreq&lt;dprov). Hence OK",D82)))</formula>
    </cfRule>
  </conditionalFormatting>
  <conditionalFormatting sqref="E104">
    <cfRule type="containsText" dxfId="18" priority="4" operator="containsText" text="Increase depth">
      <formula>NOT(ISERROR(SEARCH("Increase depth",E104)))</formula>
    </cfRule>
    <cfRule type="containsText" dxfId="17" priority="5" operator="containsText" text="OK">
      <formula>NOT(ISERROR(SEARCH("OK",E104)))</formula>
    </cfRule>
  </conditionalFormatting>
  <conditionalFormatting sqref="E129">
    <cfRule type="containsText" dxfId="16" priority="3" operator="containsText" text="(l/d)&gt;αβγδλ   NOT OK">
      <formula>NOT(ISERROR(SEARCH("(l/d)&gt;αβγδλ   NOT OK",E129)))</formula>
    </cfRule>
  </conditionalFormatting>
  <conditionalFormatting sqref="F126">
    <cfRule type="containsText" dxfId="15" priority="1" operator="containsText" text="(l/d)&gt;αβγδλ   NOT OK">
      <formula>NOT(ISERROR(SEARCH("(l/d)&gt;αβγδλ   NOT OK",F126)))</formula>
    </cfRule>
    <cfRule type="containsText" dxfId="14" priority="2" operator="containsText" text="(l/d)&lt;αβγδλ   OK">
      <formula>NOT(ISERROR(SEARCH("(l/d)&lt;αβγδλ   OK",F126)))</formula>
    </cfRule>
  </conditionalFormatting>
  <pageMargins left="0.7" right="0.7" top="0.75" bottom="0.75" header="0.3" footer="0.3"/>
  <pageSetup paperSize="9" scale="98" orientation="portrait" blackAndWhite="1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3"/>
  <sheetViews>
    <sheetView tabSelected="1" topLeftCell="A64" zoomScale="130" zoomScaleNormal="130" zoomScaleSheetLayoutView="130" workbookViewId="0">
      <selection activeCell="C70" sqref="C70"/>
    </sheetView>
  </sheetViews>
  <sheetFormatPr defaultRowHeight="14.4" x14ac:dyDescent="0.3"/>
  <cols>
    <col min="2" max="2" width="9.5546875" bestFit="1" customWidth="1"/>
    <col min="3" max="3" width="12.44140625" bestFit="1" customWidth="1"/>
    <col min="5" max="5" width="12" style="8" bestFit="1" customWidth="1"/>
    <col min="6" max="6" width="11" bestFit="1" customWidth="1"/>
  </cols>
  <sheetData>
    <row r="1" spans="1:9" ht="15.6" x14ac:dyDescent="0.3">
      <c r="B1" s="31"/>
      <c r="C1" s="31"/>
      <c r="D1" s="31" t="s">
        <v>101</v>
      </c>
      <c r="F1" s="31"/>
      <c r="G1" s="31"/>
      <c r="H1" s="31"/>
      <c r="I1" s="31"/>
    </row>
    <row r="3" spans="1:9" x14ac:dyDescent="0.3">
      <c r="D3" s="1" t="s">
        <v>1</v>
      </c>
      <c r="E3" s="3">
        <v>2.7431999999999999</v>
      </c>
    </row>
    <row r="4" spans="1:9" x14ac:dyDescent="0.3">
      <c r="D4" s="1" t="s">
        <v>2</v>
      </c>
      <c r="E4" s="4">
        <v>177.8</v>
      </c>
    </row>
    <row r="5" spans="1:9" x14ac:dyDescent="0.3">
      <c r="D5" s="1" t="s">
        <v>5</v>
      </c>
      <c r="E5" s="4">
        <v>254</v>
      </c>
    </row>
    <row r="6" spans="1:9" x14ac:dyDescent="0.3">
      <c r="D6" s="1" t="s">
        <v>103</v>
      </c>
      <c r="E6" s="4">
        <v>914.4</v>
      </c>
    </row>
    <row r="7" spans="1:9" x14ac:dyDescent="0.3">
      <c r="D7" s="1" t="s">
        <v>110</v>
      </c>
      <c r="E7" s="4">
        <v>1016</v>
      </c>
    </row>
    <row r="8" spans="1:9" x14ac:dyDescent="0.3">
      <c r="D8" s="1" t="s">
        <v>104</v>
      </c>
      <c r="E8" s="4">
        <v>1066.8</v>
      </c>
    </row>
    <row r="9" spans="1:9" x14ac:dyDescent="0.3">
      <c r="D9" s="1" t="s">
        <v>109</v>
      </c>
      <c r="E9" s="4">
        <f>E5*(E14-1)</f>
        <v>1270</v>
      </c>
    </row>
    <row r="10" spans="1:9" x14ac:dyDescent="0.3">
      <c r="A10" t="s">
        <v>105</v>
      </c>
      <c r="D10" s="1" t="s">
        <v>106</v>
      </c>
      <c r="E10" s="4">
        <v>1066.8</v>
      </c>
    </row>
    <row r="11" spans="1:9" x14ac:dyDescent="0.3">
      <c r="D11" s="1" t="s">
        <v>108</v>
      </c>
      <c r="E11" s="4">
        <f>+E7</f>
        <v>1016</v>
      </c>
    </row>
    <row r="12" spans="1:9" x14ac:dyDescent="0.3">
      <c r="D12" s="1" t="s">
        <v>107</v>
      </c>
      <c r="E12" s="4">
        <v>914.4</v>
      </c>
    </row>
    <row r="13" spans="1:9" x14ac:dyDescent="0.3">
      <c r="D13" s="58" t="s">
        <v>111</v>
      </c>
      <c r="E13" s="7">
        <v>5</v>
      </c>
    </row>
    <row r="14" spans="1:9" x14ac:dyDescent="0.3">
      <c r="D14" s="58" t="s">
        <v>112</v>
      </c>
      <c r="E14" s="7">
        <v>6</v>
      </c>
    </row>
    <row r="15" spans="1:9" x14ac:dyDescent="0.3">
      <c r="D15" s="1" t="s">
        <v>6</v>
      </c>
      <c r="E15" s="4">
        <v>1066.8</v>
      </c>
    </row>
    <row r="16" spans="1:9" x14ac:dyDescent="0.3">
      <c r="D16" s="1" t="s">
        <v>4</v>
      </c>
      <c r="E16" s="5">
        <v>3</v>
      </c>
    </row>
    <row r="17" spans="1:6" x14ac:dyDescent="0.3">
      <c r="D17" s="1" t="s">
        <v>3</v>
      </c>
      <c r="E17" s="6">
        <v>1.25</v>
      </c>
    </row>
    <row r="18" spans="1:6" x14ac:dyDescent="0.3">
      <c r="D18" s="1" t="s">
        <v>102</v>
      </c>
      <c r="E18" s="4">
        <v>230</v>
      </c>
    </row>
    <row r="19" spans="1:6" x14ac:dyDescent="0.3">
      <c r="D19" s="1" t="s">
        <v>41</v>
      </c>
      <c r="E19" s="17">
        <v>25</v>
      </c>
    </row>
    <row r="20" spans="1:6" x14ac:dyDescent="0.3">
      <c r="D20" s="1" t="s">
        <v>63</v>
      </c>
      <c r="E20" s="32">
        <v>500</v>
      </c>
    </row>
    <row r="21" spans="1:6" x14ac:dyDescent="0.3">
      <c r="D21" s="1" t="s">
        <v>62</v>
      </c>
      <c r="E21" s="32">
        <v>20</v>
      </c>
    </row>
    <row r="22" spans="1:6" x14ac:dyDescent="0.3">
      <c r="A22" s="11" t="s">
        <v>114</v>
      </c>
      <c r="D22" s="1"/>
      <c r="E22" s="32"/>
    </row>
    <row r="23" spans="1:6" s="62" customFormat="1" x14ac:dyDescent="0.3">
      <c r="A23" s="61" t="s">
        <v>19</v>
      </c>
      <c r="E23" s="63"/>
    </row>
    <row r="24" spans="1:6" s="62" customFormat="1" ht="15.6" x14ac:dyDescent="0.35">
      <c r="D24" s="64" t="s">
        <v>23</v>
      </c>
      <c r="E24" s="65" t="s">
        <v>113</v>
      </c>
    </row>
    <row r="25" spans="1:6" s="62" customFormat="1" x14ac:dyDescent="0.3">
      <c r="D25" s="64" t="s">
        <v>10</v>
      </c>
      <c r="E25" s="65" t="str">
        <f>CONCATENATE("{(",E13,"-1)*",E5,"}+",E6,"+",E8/2,"+",E18/2)</f>
        <v>{(5-1)*254}+914.4+533.4+115</v>
      </c>
    </row>
    <row r="26" spans="1:6" x14ac:dyDescent="0.3">
      <c r="D26" s="1" t="s">
        <v>10</v>
      </c>
      <c r="E26" s="4">
        <f>((E13-1)*E5)+E6+E8/2+E18/2</f>
        <v>2578.8000000000002</v>
      </c>
    </row>
    <row r="27" spans="1:6" x14ac:dyDescent="0.3">
      <c r="A27" s="9" t="s">
        <v>34</v>
      </c>
      <c r="D27" s="1"/>
      <c r="E27" s="2"/>
      <c r="F27" s="10"/>
    </row>
    <row r="28" spans="1:6" x14ac:dyDescent="0.3">
      <c r="D28" s="1" t="s">
        <v>30</v>
      </c>
      <c r="E28" s="4">
        <v>15</v>
      </c>
      <c r="F28" s="9" t="s">
        <v>15</v>
      </c>
    </row>
    <row r="29" spans="1:6" x14ac:dyDescent="0.3">
      <c r="D29" s="1" t="s">
        <v>24</v>
      </c>
      <c r="E29" s="4">
        <v>12</v>
      </c>
    </row>
    <row r="30" spans="1:6" ht="30" customHeight="1" x14ac:dyDescent="0.3">
      <c r="E30" s="13">
        <v>30</v>
      </c>
      <c r="F30" s="12" t="s">
        <v>26</v>
      </c>
    </row>
    <row r="31" spans="1:6" x14ac:dyDescent="0.3">
      <c r="D31" s="1" t="s">
        <v>25</v>
      </c>
      <c r="E31" s="2" t="str">
        <f>CONCATENATE("(Leff/",E30,")")</f>
        <v>(Leff/30)</v>
      </c>
    </row>
    <row r="32" spans="1:6" x14ac:dyDescent="0.3">
      <c r="D32" s="1" t="s">
        <v>10</v>
      </c>
      <c r="E32" s="2">
        <f>E26/E30</f>
        <v>85.960000000000008</v>
      </c>
    </row>
    <row r="33" spans="1:6" x14ac:dyDescent="0.3">
      <c r="D33" s="1" t="s">
        <v>28</v>
      </c>
      <c r="E33" s="8" t="s">
        <v>29</v>
      </c>
    </row>
    <row r="34" spans="1:6" x14ac:dyDescent="0.3">
      <c r="D34" s="1" t="s">
        <v>10</v>
      </c>
      <c r="E34" s="8" t="str">
        <f>CONCATENATE(ROUND(E32,3),"+(",E29,"/2)+",E28)</f>
        <v>85.96+(12/2)+15</v>
      </c>
    </row>
    <row r="35" spans="1:6" x14ac:dyDescent="0.3">
      <c r="D35" s="1" t="s">
        <v>10</v>
      </c>
      <c r="E35" s="2">
        <f>E32+(E29/2)+E28</f>
        <v>106.96000000000001</v>
      </c>
      <c r="F35" s="26">
        <f>CEILING(E35,5)</f>
        <v>110</v>
      </c>
    </row>
    <row r="36" spans="1:6" x14ac:dyDescent="0.3">
      <c r="D36" s="1" t="s">
        <v>31</v>
      </c>
      <c r="E36" s="25">
        <f>F35-(E29/2)-E28</f>
        <v>89</v>
      </c>
    </row>
    <row r="37" spans="1:6" x14ac:dyDescent="0.3">
      <c r="A37" s="9" t="s">
        <v>35</v>
      </c>
    </row>
    <row r="38" spans="1:6" x14ac:dyDescent="0.3">
      <c r="A38" s="15" t="s">
        <v>36</v>
      </c>
    </row>
    <row r="39" spans="1:6" x14ac:dyDescent="0.3">
      <c r="D39" s="1" t="s">
        <v>37</v>
      </c>
      <c r="E39" s="8" t="str">
        <f>CONCATENATE(E16,"*1")</f>
        <v>3*1</v>
      </c>
      <c r="F39" s="16">
        <f>E16*1</f>
        <v>3</v>
      </c>
    </row>
    <row r="40" spans="1:6" x14ac:dyDescent="0.3">
      <c r="D40" s="1" t="s">
        <v>38</v>
      </c>
      <c r="E40" s="8" t="str">
        <f>CONCATENATE(E17,"*1")</f>
        <v>1.25*1</v>
      </c>
      <c r="F40" s="22">
        <f>E17*1</f>
        <v>1.25</v>
      </c>
    </row>
    <row r="41" spans="1:6" ht="16.2" x14ac:dyDescent="0.3">
      <c r="D41" s="1" t="s">
        <v>39</v>
      </c>
      <c r="E41" s="18" t="s">
        <v>42</v>
      </c>
    </row>
    <row r="42" spans="1:6" x14ac:dyDescent="0.3">
      <c r="D42" s="1" t="s">
        <v>10</v>
      </c>
      <c r="E42" s="19">
        <f>(E19*(F35/1000)*SQRT(((E4/1000)^2)+((E5/1000)^2)))/(E5/1000)</f>
        <v>3.3568027943267684</v>
      </c>
    </row>
    <row r="43" spans="1:6" x14ac:dyDescent="0.3">
      <c r="D43" s="1" t="s">
        <v>40</v>
      </c>
      <c r="E43" s="8" t="s">
        <v>43</v>
      </c>
    </row>
    <row r="44" spans="1:6" x14ac:dyDescent="0.3">
      <c r="D44" s="1" t="s">
        <v>10</v>
      </c>
      <c r="E44" s="19">
        <f>E19*0.5*(E4/1000)</f>
        <v>2.2225000000000001</v>
      </c>
    </row>
    <row r="45" spans="1:6" x14ac:dyDescent="0.3">
      <c r="D45" s="1" t="s">
        <v>44</v>
      </c>
      <c r="E45" s="23">
        <f>F39+F40+E42+E44</f>
        <v>9.8293027943267681</v>
      </c>
    </row>
    <row r="46" spans="1:6" x14ac:dyDescent="0.3">
      <c r="D46" s="1" t="s">
        <v>45</v>
      </c>
      <c r="E46" s="20" t="str">
        <f>CONCATENATE("1.5*",ROUND(E45,2))</f>
        <v>1.5*9.83</v>
      </c>
    </row>
    <row r="47" spans="1:6" x14ac:dyDescent="0.3">
      <c r="D47" s="1" t="s">
        <v>10</v>
      </c>
      <c r="E47" s="24">
        <f>1.5*E45</f>
        <v>14.743954191490152</v>
      </c>
    </row>
    <row r="48" spans="1:6" x14ac:dyDescent="0.3">
      <c r="A48" s="15" t="s">
        <v>135</v>
      </c>
    </row>
    <row r="49" spans="1:9" x14ac:dyDescent="0.3">
      <c r="D49" s="1" t="s">
        <v>37</v>
      </c>
      <c r="E49" s="8" t="str">
        <f>CONCATENATE(E16,"*1")</f>
        <v>3*1</v>
      </c>
      <c r="F49" s="22">
        <f>E16*1</f>
        <v>3</v>
      </c>
    </row>
    <row r="50" spans="1:9" x14ac:dyDescent="0.3">
      <c r="D50" s="1" t="s">
        <v>38</v>
      </c>
      <c r="E50" s="8" t="str">
        <f>CONCATENATE(E17,"*1")</f>
        <v>1.25*1</v>
      </c>
      <c r="F50" s="22">
        <f>E17*1</f>
        <v>1.25</v>
      </c>
    </row>
    <row r="51" spans="1:9" x14ac:dyDescent="0.3">
      <c r="D51" s="1" t="s">
        <v>47</v>
      </c>
      <c r="E51" s="8" t="s">
        <v>48</v>
      </c>
    </row>
    <row r="52" spans="1:9" x14ac:dyDescent="0.3">
      <c r="D52" s="1" t="s">
        <v>10</v>
      </c>
      <c r="E52" s="20">
        <f>E19*(F35/1000)*1</f>
        <v>2.75</v>
      </c>
    </row>
    <row r="53" spans="1:9" x14ac:dyDescent="0.3">
      <c r="D53" s="1" t="s">
        <v>49</v>
      </c>
      <c r="E53" s="20">
        <f>E52+F50+F49</f>
        <v>7</v>
      </c>
    </row>
    <row r="54" spans="1:9" x14ac:dyDescent="0.3">
      <c r="D54" s="1" t="s">
        <v>45</v>
      </c>
      <c r="E54" s="8" t="str">
        <f>CONCATENATE("1.5*",ROUND(E53,2))</f>
        <v>1.5*7</v>
      </c>
    </row>
    <row r="55" spans="1:9" x14ac:dyDescent="0.3">
      <c r="D55" s="1" t="s">
        <v>10</v>
      </c>
      <c r="E55" s="24">
        <f>1.5*E53</f>
        <v>10.5</v>
      </c>
    </row>
    <row r="57" spans="1:9" x14ac:dyDescent="0.3">
      <c r="E57" s="23">
        <f>+E47</f>
        <v>14.743954191490152</v>
      </c>
    </row>
    <row r="59" spans="1:9" x14ac:dyDescent="0.3">
      <c r="B59" s="72">
        <f>+E55/2</f>
        <v>5.25</v>
      </c>
      <c r="C59" s="72"/>
      <c r="G59" s="72">
        <f>+E55</f>
        <v>10.5</v>
      </c>
      <c r="H59" s="72"/>
    </row>
    <row r="61" spans="1:9" x14ac:dyDescent="0.3">
      <c r="A61" s="28" t="s">
        <v>55</v>
      </c>
      <c r="D61" s="8"/>
      <c r="E61"/>
      <c r="I61" s="9" t="s">
        <v>54</v>
      </c>
    </row>
    <row r="62" spans="1:9" x14ac:dyDescent="0.3">
      <c r="C62" s="9" t="s">
        <v>115</v>
      </c>
      <c r="D62" s="57"/>
      <c r="E62" s="9" t="s">
        <v>116</v>
      </c>
    </row>
    <row r="63" spans="1:9" x14ac:dyDescent="0.3">
      <c r="D63" s="57" t="s">
        <v>118</v>
      </c>
      <c r="E63"/>
    </row>
    <row r="64" spans="1:9" x14ac:dyDescent="0.3">
      <c r="B64" s="74">
        <f>(E8/2)/1000</f>
        <v>0.53339999999999999</v>
      </c>
      <c r="C64" s="74"/>
      <c r="D64" s="8"/>
      <c r="E64" s="59">
        <f>((E13-1)*E5)/1000</f>
        <v>1.016</v>
      </c>
      <c r="G64" s="74">
        <f>(E6+(E18/2))/1000</f>
        <v>1.0294000000000001</v>
      </c>
      <c r="H64" s="74"/>
    </row>
    <row r="65" spans="1:9" x14ac:dyDescent="0.3">
      <c r="A65" s="71" t="s">
        <v>50</v>
      </c>
      <c r="B65" s="71"/>
      <c r="H65" s="71" t="s">
        <v>51</v>
      </c>
      <c r="I65" s="71"/>
    </row>
    <row r="66" spans="1:9" x14ac:dyDescent="0.3">
      <c r="E66" s="27">
        <f>B64+E64+G64</f>
        <v>2.5788000000000002</v>
      </c>
    </row>
    <row r="67" spans="1:9" x14ac:dyDescent="0.3">
      <c r="A67" s="9" t="s">
        <v>52</v>
      </c>
    </row>
    <row r="68" spans="1:9" x14ac:dyDescent="0.3">
      <c r="A68" t="s">
        <v>53</v>
      </c>
    </row>
    <row r="69" spans="1:9" x14ac:dyDescent="0.3">
      <c r="B69" s="1" t="str">
        <f>CONCATENATE(A65,"*",(B64+E64+G64),"=")</f>
        <v>Ra*2.5788=</v>
      </c>
      <c r="C69" s="8" t="str">
        <f>CONCATENATE("[{(",ROUND(B59,2),"*",B64,"*(",B64,"/2+",E64,"+",G64,")}+{",ROUND(E57,2),"*",E64,"*(",E64,"/2+",G64,")}")</f>
        <v>[{(5.25*0.5334*(0.5334/2+1.016+1.0294)}+{14.74*1.016*(1.016/2+1.0294)}</v>
      </c>
    </row>
    <row r="70" spans="1:9" x14ac:dyDescent="0.3">
      <c r="B70" s="1"/>
      <c r="C70" s="8" t="str">
        <f>CONCATENATE("+{",ROUND(G59,2),"*",G64,"*",G64,"/2)}]")</f>
        <v>+{10.5*1.0294*1.0294/2)}]</v>
      </c>
    </row>
    <row r="71" spans="1:9" x14ac:dyDescent="0.3">
      <c r="B71" s="1" t="str">
        <f>+B69</f>
        <v>Ra*2.5788=</v>
      </c>
      <c r="C71" s="29">
        <f>((B59*B64*(B64/2+E64+G64))+(E57*E64*(E64/2+G64))+(G59*G64*G64/2))</f>
        <v>35.067959981780916</v>
      </c>
    </row>
    <row r="72" spans="1:9" x14ac:dyDescent="0.3">
      <c r="B72" s="28" t="s">
        <v>56</v>
      </c>
      <c r="C72" s="37">
        <f>C71/E66</f>
        <v>13.598557461525095</v>
      </c>
    </row>
    <row r="74" spans="1:9" x14ac:dyDescent="0.3">
      <c r="B74" s="1" t="s">
        <v>57</v>
      </c>
      <c r="C74" t="str">
        <f>CONCATENATE("(",ROUND(B59,2),"*",B64,")+(",ROUND(E57,2),"*",E64,")+(",ROUND(G59,2),"*",G64,")")</f>
        <v>(5.25*0.5334)+(14.74*1.016)+(10.5*1.0294)</v>
      </c>
    </row>
    <row r="75" spans="1:9" x14ac:dyDescent="0.3">
      <c r="B75" t="str">
        <f>CONCATENATE(ROUND(C72,2),"+Rb=")</f>
        <v>13.6+Rb=</v>
      </c>
      <c r="C75" s="29">
        <f>(B59*B64)+(E57*E64)+(G59*G64)</f>
        <v>28.588907458553997</v>
      </c>
    </row>
    <row r="76" spans="1:9" x14ac:dyDescent="0.3">
      <c r="B76" s="28" t="s">
        <v>58</v>
      </c>
      <c r="C76" s="37">
        <f>C75-C72</f>
        <v>14.990349997028902</v>
      </c>
    </row>
    <row r="77" spans="1:9" x14ac:dyDescent="0.3">
      <c r="A77" s="11" t="s">
        <v>117</v>
      </c>
      <c r="B77" s="1"/>
      <c r="C77" s="54"/>
    </row>
    <row r="78" spans="1:9" x14ac:dyDescent="0.3">
      <c r="B78" s="1"/>
      <c r="C78" s="54"/>
    </row>
    <row r="79" spans="1:9" x14ac:dyDescent="0.3">
      <c r="B79" s="1" t="s">
        <v>119</v>
      </c>
      <c r="C79" s="54" t="str">
        <f>CONCATENATE("{",ROUND(C72,3),"-(",ROUND(B59,3),"*",ROUND(B64,3),")}/",ROUND(E57,3))</f>
        <v>{13.599-(5.25*0.533)}/14.744</v>
      </c>
    </row>
    <row r="80" spans="1:9" x14ac:dyDescent="0.3">
      <c r="B80" s="28" t="s">
        <v>119</v>
      </c>
      <c r="C80" s="60">
        <f>(C72-(B59*B64))/E57</f>
        <v>0.73238205445304183</v>
      </c>
    </row>
    <row r="81" spans="1:6" x14ac:dyDescent="0.3">
      <c r="B81" s="1"/>
      <c r="C81" s="54"/>
    </row>
    <row r="82" spans="1:6" x14ac:dyDescent="0.3">
      <c r="A82" t="s">
        <v>120</v>
      </c>
      <c r="B82" s="1"/>
      <c r="C82" s="54"/>
    </row>
    <row r="83" spans="1:6" x14ac:dyDescent="0.3">
      <c r="B83" s="1" t="s">
        <v>121</v>
      </c>
      <c r="C83" s="8" t="str">
        <f>CONCATENATE("(",ROUND(C72,3),"*(",ROUND(B64,3),"+",ROUND(C80,3),"))-(",ROUND(B59,3),"*",ROUND(B64,3),"*(",ROUND(B64,3),"/2+",ROUND(C80,2),"))-(",ROUND(E57,2),"*",ROUND(C80,3),"*",ROUND(C80,3),"/2)")</f>
        <v>(13.599*(0.533+0.732))-(5.25*0.533*(0.533/2+0.73))-(14.74*0.732*0.732/2)</v>
      </c>
    </row>
    <row r="84" spans="1:6" x14ac:dyDescent="0.3">
      <c r="B84" s="28" t="s">
        <v>60</v>
      </c>
      <c r="C84" s="37">
        <f>(C72*(B64+C80))-(B59*B64*(B64/2+C80))-(E57*C80*C80/2)</f>
        <v>10.460823887518444</v>
      </c>
    </row>
    <row r="85" spans="1:6" x14ac:dyDescent="0.3">
      <c r="B85" s="1"/>
      <c r="C85" s="54"/>
    </row>
    <row r="86" spans="1:6" x14ac:dyDescent="0.3">
      <c r="A86" s="9" t="s">
        <v>61</v>
      </c>
    </row>
    <row r="87" spans="1:6" x14ac:dyDescent="0.3">
      <c r="B87" s="1" t="s">
        <v>60</v>
      </c>
      <c r="C87" t="str">
        <f>CONCATENATE(IF(E20=500,0.133,0.138),"*fck*b*dreq^2")</f>
        <v>0.133*fck*b*dreq^2</v>
      </c>
    </row>
    <row r="88" spans="1:6" x14ac:dyDescent="0.3">
      <c r="B88" s="1" t="str">
        <f>CONCATENATE(ROUND(C84,2),"*10^6=")</f>
        <v>10.46*10^6=</v>
      </c>
      <c r="C88" t="str">
        <f>CONCATENATE(IF(E20=500,0.133,0.138),"*",E21,"*1000*dreq^2")</f>
        <v>0.133*20*1000*dreq^2</v>
      </c>
    </row>
    <row r="89" spans="1:6" ht="15.6" x14ac:dyDescent="0.35">
      <c r="B89" s="1" t="s">
        <v>64</v>
      </c>
      <c r="C89" s="33">
        <f>SQRT((C84*10^6)/(IF(E20=500,0.133,0.138)*E21*1000))</f>
        <v>62.710769084882543</v>
      </c>
      <c r="D89" s="71" t="str">
        <f>IF(C89&lt;E36,"(dreq&lt;dprov). Hence OK", "(dreq&gt;dprov.) Increase depth")</f>
        <v>(dreq&lt;dprov). Hence OK</v>
      </c>
      <c r="E89" s="71"/>
      <c r="F89" s="71"/>
    </row>
    <row r="91" spans="1:6" x14ac:dyDescent="0.3">
      <c r="A91" s="9" t="s">
        <v>65</v>
      </c>
    </row>
    <row r="92" spans="1:6" ht="31.2" customHeight="1" x14ac:dyDescent="0.3">
      <c r="B92" s="30" t="s">
        <v>60</v>
      </c>
    </row>
    <row r="93" spans="1:6" x14ac:dyDescent="0.3">
      <c r="B93" s="1" t="str">
        <f>+B88</f>
        <v>10.46*10^6=</v>
      </c>
      <c r="C93" t="str">
        <f>CONCATENATE("0.87*",E20,"*Ast*",E36,"*[1-{(",E20,"*Ast)/(",E21,"*1000*",E36,")}]",)</f>
        <v>0.87*500*Ast*89*[1-{(500*Ast)/(20*1000*89)}]</v>
      </c>
    </row>
    <row r="94" spans="1:6" x14ac:dyDescent="0.3">
      <c r="B94" s="1" t="s">
        <v>66</v>
      </c>
      <c r="C94" s="34">
        <f>(1-(SQRT((-1)^2-(4*(E20/(E21*1000*E36))*((C84*10^6)/(0.87*E20*E36))))))/(2*(E20/(E21*1000*E36)))</f>
        <v>294.57576437961035</v>
      </c>
    </row>
    <row r="96" spans="1:6" x14ac:dyDescent="0.3">
      <c r="B96" s="1" t="s">
        <v>67</v>
      </c>
      <c r="C96" s="35" t="s">
        <v>68</v>
      </c>
    </row>
    <row r="97" spans="1:5" x14ac:dyDescent="0.3">
      <c r="B97" s="1" t="s">
        <v>10</v>
      </c>
      <c r="C97" t="str">
        <f>CONCATENATE("(0.12/100)*1000*",F35)</f>
        <v>(0.12/100)*1000*110</v>
      </c>
    </row>
    <row r="98" spans="1:5" x14ac:dyDescent="0.3">
      <c r="B98" s="1" t="s">
        <v>10</v>
      </c>
      <c r="C98" s="34">
        <f>(0.12/100)*1000*F35</f>
        <v>132</v>
      </c>
    </row>
    <row r="100" spans="1:5" x14ac:dyDescent="0.3">
      <c r="B100" s="1" t="s">
        <v>69</v>
      </c>
      <c r="C100" t="str">
        <f>CONCATENATE("[1000/{",MAX(ROUND(C94,2),C98),"/(",ROUND(PI(),3),"*",E29,"^2)/4}]")</f>
        <v>[1000/{294.58/(3.142*12^2)/4}]</v>
      </c>
    </row>
    <row r="101" spans="1:5" x14ac:dyDescent="0.3">
      <c r="B101" s="1" t="s">
        <v>10</v>
      </c>
      <c r="C101" s="2">
        <f>1000/(MAX(C94,C98)/((PI()*E29^2)/4))</f>
        <v>383.93292729773805</v>
      </c>
      <c r="D101" s="53">
        <v>150</v>
      </c>
    </row>
    <row r="102" spans="1:5" x14ac:dyDescent="0.3">
      <c r="A102" s="9" t="str">
        <f>CONCATENATE("Provide ",E29, "mm dia. bar @ ",D101, "c/c")</f>
        <v>Provide 12mm dia. bar @ 150c/c</v>
      </c>
    </row>
    <row r="103" spans="1:5" x14ac:dyDescent="0.3">
      <c r="B103" s="1" t="s">
        <v>70</v>
      </c>
      <c r="C103" t="str">
        <f>CONCATENATE("[1000/{",D101,"/(",ROUND(PI(),3),"*",E29,"^2)/4}]")</f>
        <v>[1000/{150/(3.142*12^2)/4}]</v>
      </c>
    </row>
    <row r="104" spans="1:5" x14ac:dyDescent="0.3">
      <c r="B104" s="1" t="s">
        <v>10</v>
      </c>
      <c r="C104" s="34">
        <f>(1000*PI()*E29^2)/(4*D101)</f>
        <v>753.98223686155029</v>
      </c>
    </row>
    <row r="105" spans="1:5" x14ac:dyDescent="0.3">
      <c r="B105" s="1" t="s">
        <v>134</v>
      </c>
      <c r="C105" s="55">
        <f>(C104*100)/(1000*E36)</f>
        <v>0.84717105265342729</v>
      </c>
    </row>
    <row r="106" spans="1:5" x14ac:dyDescent="0.3">
      <c r="A106" s="9" t="s">
        <v>71</v>
      </c>
    </row>
    <row r="107" spans="1:5" x14ac:dyDescent="0.3">
      <c r="A107" t="str">
        <f>CONCATENATE("For M",E21, " concrete")</f>
        <v>For M20 concrete</v>
      </c>
    </row>
    <row r="108" spans="1:5" x14ac:dyDescent="0.3">
      <c r="A108" s="9"/>
      <c r="B108" s="1" t="s">
        <v>74</v>
      </c>
      <c r="C108" s="40">
        <v>0.28000000000000003</v>
      </c>
      <c r="E108" s="39" t="s">
        <v>73</v>
      </c>
    </row>
    <row r="109" spans="1:5" ht="27" customHeight="1" x14ac:dyDescent="0.3">
      <c r="B109" s="30" t="s">
        <v>72</v>
      </c>
    </row>
    <row r="110" spans="1:5" x14ac:dyDescent="0.3">
      <c r="B110" s="1" t="s">
        <v>10</v>
      </c>
      <c r="C110" t="str">
        <f>CONCATENATE("(",ROUND(MAX(C72,C76),2),"*10^3)/(1000*",E36,")")</f>
        <v>(14.99*10^3)/(1000*89)</v>
      </c>
    </row>
    <row r="111" spans="1:5" x14ac:dyDescent="0.3">
      <c r="B111" s="1" t="s">
        <v>10</v>
      </c>
      <c r="C111" s="38">
        <f>(MAX(C72,C76)*10^3)/(1000*E36)</f>
        <v>0.16843089884302137</v>
      </c>
      <c r="E111" s="39" t="str">
        <f>IF(C111&lt;C108,"OK","Increase depth")</f>
        <v>OK</v>
      </c>
    </row>
    <row r="113" spans="1:7" x14ac:dyDescent="0.3">
      <c r="A113" s="9" t="s">
        <v>75</v>
      </c>
    </row>
    <row r="114" spans="1:7" x14ac:dyDescent="0.3">
      <c r="B114" s="1" t="s">
        <v>95</v>
      </c>
      <c r="C114" t="str">
        <f>CONCATENATE(E26,"/",E36)</f>
        <v>2578.8/89</v>
      </c>
    </row>
    <row r="115" spans="1:7" x14ac:dyDescent="0.3">
      <c r="B115" s="1" t="s">
        <v>10</v>
      </c>
      <c r="C115" s="21">
        <f>E26/E36</f>
        <v>28.975280898876406</v>
      </c>
    </row>
    <row r="117" spans="1:7" x14ac:dyDescent="0.3">
      <c r="D117" s="1" t="s">
        <v>76</v>
      </c>
      <c r="E117" s="44"/>
      <c r="F117" s="44"/>
      <c r="G117" s="8"/>
    </row>
    <row r="118" spans="1:7" x14ac:dyDescent="0.3">
      <c r="D118" s="48" t="s">
        <v>91</v>
      </c>
      <c r="E118" s="49">
        <v>20</v>
      </c>
      <c r="F118" s="9" t="s">
        <v>77</v>
      </c>
      <c r="G118" s="8"/>
    </row>
    <row r="119" spans="1:7" x14ac:dyDescent="0.3">
      <c r="D119" s="48" t="s">
        <v>78</v>
      </c>
      <c r="E119" s="50"/>
      <c r="G119" s="8"/>
    </row>
    <row r="120" spans="1:7" x14ac:dyDescent="0.3">
      <c r="D120" s="48" t="s">
        <v>79</v>
      </c>
      <c r="E120" s="49">
        <v>1</v>
      </c>
      <c r="F120" s="9" t="s">
        <v>80</v>
      </c>
      <c r="G120" s="8"/>
    </row>
    <row r="121" spans="1:7" x14ac:dyDescent="0.3">
      <c r="D121" s="1" t="s">
        <v>81</v>
      </c>
      <c r="E121" s="51">
        <f>+E130</f>
        <v>1.7</v>
      </c>
      <c r="F121" s="9" t="s">
        <v>82</v>
      </c>
      <c r="G121" s="8"/>
    </row>
    <row r="122" spans="1:7" x14ac:dyDescent="0.3">
      <c r="D122" s="1" t="s">
        <v>83</v>
      </c>
      <c r="E122" s="49">
        <v>1</v>
      </c>
      <c r="F122" s="9" t="s">
        <v>84</v>
      </c>
      <c r="G122" s="8"/>
    </row>
    <row r="123" spans="1:7" x14ac:dyDescent="0.3">
      <c r="D123" s="1" t="s">
        <v>85</v>
      </c>
      <c r="E123" s="49">
        <v>1</v>
      </c>
      <c r="F123" s="9" t="s">
        <v>86</v>
      </c>
      <c r="G123" s="8"/>
    </row>
    <row r="124" spans="1:7" x14ac:dyDescent="0.3">
      <c r="D124" s="52" t="s">
        <v>87</v>
      </c>
      <c r="E124"/>
      <c r="F124" s="44"/>
      <c r="G124" s="8"/>
    </row>
    <row r="125" spans="1:7" ht="22.95" customHeight="1" x14ac:dyDescent="0.3">
      <c r="D125" s="30" t="s">
        <v>88</v>
      </c>
      <c r="E125"/>
      <c r="F125" s="44"/>
      <c r="G125" s="8"/>
    </row>
    <row r="126" spans="1:7" x14ac:dyDescent="0.3">
      <c r="D126" s="1" t="s">
        <v>10</v>
      </c>
      <c r="E126" s="46" t="str">
        <f>CONCATENATE("0.58*",E20,"*[(Ast.req.)/(Ast.provided)]")</f>
        <v>0.58*500*[(Ast.req.)/(Ast.provided)]</v>
      </c>
      <c r="F126" s="42"/>
      <c r="G126" s="8"/>
    </row>
    <row r="127" spans="1:7" x14ac:dyDescent="0.3">
      <c r="D127" s="1" t="s">
        <v>10</v>
      </c>
      <c r="E127" s="29">
        <f>0.58*E20*(C94/C104)</f>
        <v>113.30104012221378</v>
      </c>
      <c r="F127" s="42"/>
      <c r="G127" s="8"/>
    </row>
    <row r="128" spans="1:7" x14ac:dyDescent="0.3">
      <c r="D128" s="1" t="s">
        <v>93</v>
      </c>
      <c r="E128" s="29" t="str">
        <f>CONCATENATE("[",ROUND(C104,3),"/(1000*",E36,")]*100")</f>
        <v>[753.982/(1000*89)]*100</v>
      </c>
      <c r="F128" s="42"/>
      <c r="G128" s="8"/>
    </row>
    <row r="129" spans="1:7" x14ac:dyDescent="0.3">
      <c r="D129" s="1"/>
      <c r="E129" s="29">
        <f>(ROUND(C104,3)/(1000*E36))*100</f>
        <v>0.84717078651685396</v>
      </c>
      <c r="F129" s="42"/>
      <c r="G129" s="8"/>
    </row>
    <row r="130" spans="1:7" x14ac:dyDescent="0.3">
      <c r="D130" s="1" t="s">
        <v>92</v>
      </c>
      <c r="E130" s="47">
        <v>1.7</v>
      </c>
      <c r="F130" s="42"/>
      <c r="G130" s="8"/>
    </row>
    <row r="131" spans="1:7" x14ac:dyDescent="0.3">
      <c r="D131" s="1" t="s">
        <v>89</v>
      </c>
      <c r="E131" s="46"/>
      <c r="F131" s="42"/>
      <c r="G131" s="8"/>
    </row>
    <row r="132" spans="1:7" x14ac:dyDescent="0.3">
      <c r="D132" s="1" t="s">
        <v>90</v>
      </c>
      <c r="E132" t="str">
        <f>CONCATENATE(E118,"*",E120,"*",E121,"*",E122,"*",E123)</f>
        <v>20*1*1.7*1*1</v>
      </c>
      <c r="F132" s="42"/>
      <c r="G132" s="8"/>
    </row>
    <row r="133" spans="1:7" x14ac:dyDescent="0.3">
      <c r="D133" s="1" t="s">
        <v>10</v>
      </c>
      <c r="E133" s="8">
        <f>E118*E120*E121*E122*E123</f>
        <v>34</v>
      </c>
      <c r="F133" s="42" t="str">
        <f>IF(C115&lt;E133,"(l/d)&lt;αβγδλ   OK","(l/d)&gt;αβγδλ   NOT OK (Increase Depth)")</f>
        <v>(l/d)&lt;αβγδλ   OK</v>
      </c>
      <c r="G133" s="8"/>
    </row>
    <row r="134" spans="1:7" ht="15.6" x14ac:dyDescent="0.3">
      <c r="A134" s="9" t="s">
        <v>100</v>
      </c>
      <c r="D134" s="43"/>
      <c r="E134" s="41"/>
      <c r="F134" s="42"/>
      <c r="G134" s="8"/>
    </row>
    <row r="135" spans="1:7" x14ac:dyDescent="0.3">
      <c r="D135" s="43"/>
      <c r="E135" s="21"/>
      <c r="F135" s="42"/>
      <c r="G135" s="8"/>
    </row>
    <row r="136" spans="1:7" ht="31.2" customHeight="1" x14ac:dyDescent="0.3">
      <c r="D136" s="56" t="s">
        <v>96</v>
      </c>
      <c r="E136" s="45"/>
      <c r="F136" s="44"/>
      <c r="G136" s="8"/>
    </row>
    <row r="137" spans="1:7" x14ac:dyDescent="0.3">
      <c r="D137" s="43" t="s">
        <v>10</v>
      </c>
      <c r="E137" s="8" t="str" cm="1">
        <f t="array" ref="E137">CONCATENATE("(",E29,"*0.87*",E20,")/(4*",_xlfn.IFS(E21=20,1.2,E21=25,1.4,E21=30,1.5,E21=35,1.7,AND(E21=40,E21&gt;40),1.9),"*1.6))")</f>
        <v>(12*0.87*500)/(4*1.2*1.6))</v>
      </c>
    </row>
    <row r="138" spans="1:7" x14ac:dyDescent="0.3">
      <c r="D138" s="43" t="s">
        <v>10</v>
      </c>
      <c r="E138" s="2" cm="1">
        <f t="array" ref="E138">(E29*0.87*E20)/(4*_xlfn.IFS(E21=20,1.2,E21=25,1.4,E21=30,1.5,E21=35,1.7,AND(E21=40,E21&gt;40),1.9)*1.6)</f>
        <v>679.6875</v>
      </c>
    </row>
    <row r="139" spans="1:7" x14ac:dyDescent="0.3">
      <c r="A139" s="9" t="s">
        <v>97</v>
      </c>
    </row>
    <row r="140" spans="1:7" x14ac:dyDescent="0.3">
      <c r="A140" s="9"/>
      <c r="D140" s="43" t="s">
        <v>136</v>
      </c>
      <c r="E140" s="7">
        <v>10</v>
      </c>
    </row>
    <row r="141" spans="1:7" x14ac:dyDescent="0.3">
      <c r="D141" s="43" t="s">
        <v>69</v>
      </c>
      <c r="E141" s="8" t="str">
        <f>CONCATENATE("1000/{",C98,"/(",ROUND(PI(),3),"/4*",E140,"^2)}")</f>
        <v>1000/{132/(3.142/4*10^2)}</v>
      </c>
    </row>
    <row r="142" spans="1:7" x14ac:dyDescent="0.3">
      <c r="D142" s="43" t="s">
        <v>10</v>
      </c>
      <c r="E142" s="2">
        <f>(1000*PI()*E140^2)/(4*C98)</f>
        <v>594.99860863443052</v>
      </c>
    </row>
    <row r="143" spans="1:7" x14ac:dyDescent="0.3">
      <c r="D143" s="43" t="s">
        <v>98</v>
      </c>
      <c r="E143" s="2">
        <v>450</v>
      </c>
    </row>
    <row r="144" spans="1:7" x14ac:dyDescent="0.3">
      <c r="D144" s="43" t="s">
        <v>98</v>
      </c>
      <c r="E144" s="2">
        <f>5*E36</f>
        <v>445</v>
      </c>
    </row>
    <row r="145" spans="1:6" x14ac:dyDescent="0.3">
      <c r="D145" s="43" t="s">
        <v>99</v>
      </c>
      <c r="E145" s="4">
        <v>150</v>
      </c>
    </row>
    <row r="146" spans="1:6" x14ac:dyDescent="0.3">
      <c r="A146" s="9" t="str">
        <f>CONCATENATE("Provide a distribution bar of ",E140,"mm dia. @", E145, "c/c")</f>
        <v>Provide a distribution bar of 10mm dia. @150c/c</v>
      </c>
    </row>
    <row r="148" spans="1:6" x14ac:dyDescent="0.3">
      <c r="A148" s="11" t="s">
        <v>123</v>
      </c>
    </row>
    <row r="149" spans="1:6" s="62" customFormat="1" x14ac:dyDescent="0.3">
      <c r="A149" s="61" t="s">
        <v>124</v>
      </c>
      <c r="E149" s="63"/>
    </row>
    <row r="150" spans="1:6" s="62" customFormat="1" ht="15.6" x14ac:dyDescent="0.35">
      <c r="D150" s="64" t="s">
        <v>23</v>
      </c>
      <c r="E150" s="63" t="s">
        <v>125</v>
      </c>
    </row>
    <row r="151" spans="1:6" s="62" customFormat="1" x14ac:dyDescent="0.3">
      <c r="E151" s="63" t="str">
        <f>CONCATENATE("{(",E14,"-1)*",E5,"}+",E6/2,"+",E8/2)</f>
        <v>{(6-1)*254}+457.2+533.4</v>
      </c>
    </row>
    <row r="152" spans="1:6" s="66" customFormat="1" x14ac:dyDescent="0.3">
      <c r="E152" s="4">
        <f>((E14-1)*E5)+E8/2+E6/2</f>
        <v>2260.6</v>
      </c>
    </row>
    <row r="154" spans="1:6" x14ac:dyDescent="0.3">
      <c r="A154" s="9" t="s">
        <v>126</v>
      </c>
    </row>
    <row r="155" spans="1:6" x14ac:dyDescent="0.3">
      <c r="D155" s="1" t="s">
        <v>25</v>
      </c>
      <c r="E155" s="8" t="str">
        <f>CONCATENATE("(Leff/",E30,")")</f>
        <v>(Leff/30)</v>
      </c>
    </row>
    <row r="156" spans="1:6" x14ac:dyDescent="0.3">
      <c r="D156" s="1" t="s">
        <v>10</v>
      </c>
      <c r="E156" s="2">
        <f>E152/E30</f>
        <v>75.353333333333325</v>
      </c>
    </row>
    <row r="157" spans="1:6" x14ac:dyDescent="0.3">
      <c r="D157" s="1" t="s">
        <v>28</v>
      </c>
      <c r="E157" s="8" t="s">
        <v>29</v>
      </c>
    </row>
    <row r="158" spans="1:6" x14ac:dyDescent="0.3">
      <c r="D158" s="1" t="s">
        <v>10</v>
      </c>
      <c r="E158" s="8" t="str">
        <f>CONCATENATE(ROUND(E156,3),"+(",E29,"/2)+",E28)</f>
        <v>75.353+(12/2)+15</v>
      </c>
    </row>
    <row r="159" spans="1:6" x14ac:dyDescent="0.3">
      <c r="D159" s="1" t="s">
        <v>10</v>
      </c>
      <c r="E159" s="2">
        <f>E156+(E29/2)+E28</f>
        <v>96.353333333333325</v>
      </c>
      <c r="F159" s="26">
        <f>CEILING(E159,5)</f>
        <v>100</v>
      </c>
    </row>
    <row r="160" spans="1:6" x14ac:dyDescent="0.3">
      <c r="D160" s="1" t="s">
        <v>31</v>
      </c>
      <c r="E160" s="67">
        <f>F159-(E29/2)-E28</f>
        <v>79</v>
      </c>
    </row>
    <row r="161" spans="1:5" x14ac:dyDescent="0.3">
      <c r="D161" s="1"/>
    </row>
    <row r="162" spans="1:5" x14ac:dyDescent="0.3">
      <c r="A162" s="9" t="s">
        <v>35</v>
      </c>
      <c r="D162" s="1"/>
    </row>
    <row r="163" spans="1:5" x14ac:dyDescent="0.3">
      <c r="A163" s="15" t="s">
        <v>36</v>
      </c>
      <c r="D163" s="1"/>
    </row>
    <row r="164" spans="1:5" x14ac:dyDescent="0.3">
      <c r="D164" s="1" t="s">
        <v>37</v>
      </c>
      <c r="E164" s="23">
        <f>+F39</f>
        <v>3</v>
      </c>
    </row>
    <row r="165" spans="1:5" x14ac:dyDescent="0.3">
      <c r="D165" s="1" t="s">
        <v>38</v>
      </c>
      <c r="E165" s="20">
        <f>+F40</f>
        <v>1.25</v>
      </c>
    </row>
    <row r="166" spans="1:5" x14ac:dyDescent="0.3">
      <c r="D166" s="1" t="s">
        <v>39</v>
      </c>
      <c r="E166" s="20">
        <f>(E19*(F159/1000)*SQRT(((E4/1000)^2)+((E5/1000)^2)))/(E5/1000)</f>
        <v>3.051638903933426</v>
      </c>
    </row>
    <row r="167" spans="1:5" x14ac:dyDescent="0.3">
      <c r="D167" s="1" t="s">
        <v>40</v>
      </c>
      <c r="E167" s="20">
        <f>+E44</f>
        <v>2.2225000000000001</v>
      </c>
    </row>
    <row r="168" spans="1:5" x14ac:dyDescent="0.3">
      <c r="D168" s="1" t="s">
        <v>44</v>
      </c>
      <c r="E168" s="23">
        <f>SUM(E164:E167)</f>
        <v>9.5241389039334265</v>
      </c>
    </row>
    <row r="169" spans="1:5" x14ac:dyDescent="0.3">
      <c r="D169" s="1" t="s">
        <v>45</v>
      </c>
      <c r="E169" s="68">
        <f>1.5*E168</f>
        <v>14.28620835590014</v>
      </c>
    </row>
    <row r="170" spans="1:5" x14ac:dyDescent="0.3">
      <c r="A170" s="15" t="s">
        <v>127</v>
      </c>
    </row>
    <row r="171" spans="1:5" x14ac:dyDescent="0.3">
      <c r="D171" s="1" t="s">
        <v>37</v>
      </c>
      <c r="E171" s="23">
        <f>+E164</f>
        <v>3</v>
      </c>
    </row>
    <row r="172" spans="1:5" x14ac:dyDescent="0.3">
      <c r="D172" s="1" t="s">
        <v>38</v>
      </c>
      <c r="E172" s="23">
        <f>+E165</f>
        <v>1.25</v>
      </c>
    </row>
    <row r="173" spans="1:5" x14ac:dyDescent="0.3">
      <c r="D173" s="1" t="s">
        <v>47</v>
      </c>
      <c r="E173" s="23">
        <f>E19*(F159/1000)*1</f>
        <v>2.5</v>
      </c>
    </row>
    <row r="174" spans="1:5" x14ac:dyDescent="0.3">
      <c r="D174" s="1" t="s">
        <v>44</v>
      </c>
      <c r="E174" s="23">
        <f>SUM(E171:E173)</f>
        <v>6.75</v>
      </c>
    </row>
    <row r="175" spans="1:5" x14ac:dyDescent="0.3">
      <c r="D175" s="1" t="s">
        <v>45</v>
      </c>
      <c r="E175" s="68">
        <f>1.5*E174</f>
        <v>10.125</v>
      </c>
    </row>
    <row r="177" spans="1:9" x14ac:dyDescent="0.3">
      <c r="E177" s="23">
        <f>+E169</f>
        <v>14.28620835590014</v>
      </c>
    </row>
    <row r="179" spans="1:9" x14ac:dyDescent="0.3">
      <c r="B179" s="72">
        <f>+E175/2</f>
        <v>5.0625</v>
      </c>
      <c r="C179" s="72"/>
      <c r="G179" s="72">
        <f>+E175/2</f>
        <v>5.0625</v>
      </c>
      <c r="H179" s="72"/>
    </row>
    <row r="181" spans="1:9" x14ac:dyDescent="0.3">
      <c r="A181" s="70" t="s">
        <v>129</v>
      </c>
      <c r="I181" s="9" t="s">
        <v>128</v>
      </c>
    </row>
    <row r="184" spans="1:9" x14ac:dyDescent="0.3">
      <c r="B184" s="74">
        <f>E8/2/1000</f>
        <v>0.53339999999999999</v>
      </c>
      <c r="C184" s="74"/>
      <c r="E184" s="27">
        <f>+E9/1000</f>
        <v>1.27</v>
      </c>
      <c r="G184" s="74">
        <f>E10/2/1000</f>
        <v>0.53339999999999999</v>
      </c>
      <c r="H184" s="74"/>
    </row>
    <row r="185" spans="1:9" x14ac:dyDescent="0.3">
      <c r="A185" s="71" t="s">
        <v>50</v>
      </c>
      <c r="B185" s="71"/>
      <c r="H185" s="71" t="s">
        <v>51</v>
      </c>
      <c r="I185" s="71"/>
    </row>
    <row r="186" spans="1:9" x14ac:dyDescent="0.3">
      <c r="E186" s="27">
        <f>B184+E184+G184</f>
        <v>2.3367999999999998</v>
      </c>
    </row>
    <row r="188" spans="1:9" x14ac:dyDescent="0.3">
      <c r="A188" s="9" t="s">
        <v>52</v>
      </c>
    </row>
    <row r="190" spans="1:9" ht="29.25" customHeight="1" x14ac:dyDescent="0.3">
      <c r="D190" s="30" t="s">
        <v>59</v>
      </c>
    </row>
    <row r="191" spans="1:9" x14ac:dyDescent="0.3">
      <c r="D191" s="69" t="s">
        <v>59</v>
      </c>
      <c r="E191" s="37">
        <f>((MAX(B179,G179)*(B184+G184))+(E177*E184))/2</f>
        <v>11.772079805996588</v>
      </c>
    </row>
    <row r="192" spans="1:9" x14ac:dyDescent="0.3">
      <c r="A192" t="s">
        <v>130</v>
      </c>
      <c r="D192" s="1"/>
    </row>
    <row r="193" spans="1:6" x14ac:dyDescent="0.3">
      <c r="D193" s="28" t="s">
        <v>60</v>
      </c>
      <c r="E193" s="36">
        <f>-(B179*B184*((B184/2)+(E184/2)))-(E177*(E184/2)*(E184/4))+(E191*(B184+(E184/2)))</f>
        <v>8.439325539422498</v>
      </c>
    </row>
    <row r="194" spans="1:6" x14ac:dyDescent="0.3">
      <c r="D194" s="1"/>
    </row>
    <row r="195" spans="1:6" x14ac:dyDescent="0.3">
      <c r="A195" s="9" t="s">
        <v>61</v>
      </c>
      <c r="D195" s="1"/>
    </row>
    <row r="196" spans="1:6" x14ac:dyDescent="0.3">
      <c r="B196" s="1" t="s">
        <v>60</v>
      </c>
      <c r="C196" t="str">
        <f>CONCATENATE(IF(E20=500,0.133,0.138),"*fck*b*dreq^2")</f>
        <v>0.133*fck*b*dreq^2</v>
      </c>
      <c r="D196" s="1"/>
    </row>
    <row r="197" spans="1:6" x14ac:dyDescent="0.3">
      <c r="B197" s="1" t="str">
        <f>CONCATENATE(ROUND(E193,2),"*10^6=")</f>
        <v>8.44*10^6=</v>
      </c>
      <c r="C197" t="str">
        <f>CONCATENATE(IF(E20=500,0.133,0.138),"*",E21,"*1000*dreq^2")</f>
        <v>0.133*20*1000*dreq^2</v>
      </c>
      <c r="D197" s="1"/>
    </row>
    <row r="198" spans="1:6" ht="15.6" x14ac:dyDescent="0.35">
      <c r="B198" s="1" t="s">
        <v>64</v>
      </c>
      <c r="C198" s="33">
        <f>SQRT((E193*10^6)/(IF(E20=500,0.133,0.138)*E21*1000))</f>
        <v>56.326537033790601</v>
      </c>
      <c r="D198" s="71" t="str">
        <f>IF(C198&lt;E160,"(dreq&lt;dprov). Hence OK", "(dreq&gt;dprov.) Increase depth")</f>
        <v>(dreq&lt;dprov). Hence OK</v>
      </c>
      <c r="E198" s="71"/>
      <c r="F198" s="71"/>
    </row>
    <row r="199" spans="1:6" x14ac:dyDescent="0.3">
      <c r="D199" s="1"/>
    </row>
    <row r="200" spans="1:6" x14ac:dyDescent="0.3">
      <c r="A200" s="9" t="s">
        <v>65</v>
      </c>
      <c r="D200" s="1"/>
    </row>
    <row r="201" spans="1:6" ht="30" customHeight="1" x14ac:dyDescent="0.3">
      <c r="B201" s="30" t="s">
        <v>60</v>
      </c>
      <c r="D201" s="1"/>
    </row>
    <row r="202" spans="1:6" x14ac:dyDescent="0.3">
      <c r="B202" s="1" t="str">
        <f>+B197</f>
        <v>8.44*10^6=</v>
      </c>
      <c r="C202" t="str">
        <f>CONCATENATE("0.87*",E20,"*Ast*",E160,"*[1-{(",E20,"*Ast)/(",E21,"*1000*",E160,")}]",)</f>
        <v>0.87*500*Ast*79*[1-{(500*Ast)/(20*1000*79)}]</v>
      </c>
      <c r="D202" s="1"/>
    </row>
    <row r="203" spans="1:6" x14ac:dyDescent="0.3">
      <c r="B203" s="1" t="s">
        <v>66</v>
      </c>
      <c r="C203" s="34">
        <f>(1-(SQRT((-1)^2-(4*(E20/(E21*1000*E160))*((E193*10^6)/(0.87*E20*E160))))))/(2*(E20/(E21*1000*E160)))</f>
        <v>268.3712166392275</v>
      </c>
      <c r="D203" s="1"/>
    </row>
    <row r="204" spans="1:6" x14ac:dyDescent="0.3">
      <c r="B204" s="1"/>
      <c r="D204" s="1"/>
    </row>
    <row r="205" spans="1:6" x14ac:dyDescent="0.3">
      <c r="B205" s="1" t="s">
        <v>67</v>
      </c>
      <c r="C205" s="35" t="s">
        <v>68</v>
      </c>
      <c r="D205" s="1"/>
    </row>
    <row r="206" spans="1:6" x14ac:dyDescent="0.3">
      <c r="B206" s="1" t="s">
        <v>10</v>
      </c>
      <c r="C206" s="34">
        <f>(0.12/100)*1000*F159</f>
        <v>120</v>
      </c>
      <c r="D206" s="1"/>
    </row>
    <row r="207" spans="1:6" x14ac:dyDescent="0.3">
      <c r="B207" s="1"/>
      <c r="D207" s="1"/>
    </row>
    <row r="208" spans="1:6" x14ac:dyDescent="0.3">
      <c r="B208" s="1" t="s">
        <v>69</v>
      </c>
      <c r="C208" t="str">
        <f>CONCATENATE("[1000/{",MAX(ROUND(C203,2),C206),"/(",ROUND(PI(),3),"*",E29,"^2)/4}]")</f>
        <v>[1000/{268.37/(3.142*12^2)/4}]</v>
      </c>
      <c r="D208" s="1"/>
    </row>
    <row r="209" spans="1:5" x14ac:dyDescent="0.3">
      <c r="B209" s="1" t="s">
        <v>10</v>
      </c>
      <c r="C209" s="2">
        <f>1000/(MAX(C203,C206)/((PI()*E29^2)/4))</f>
        <v>421.42125726273298</v>
      </c>
      <c r="D209" s="53">
        <v>150</v>
      </c>
    </row>
    <row r="210" spans="1:5" x14ac:dyDescent="0.3">
      <c r="A210" s="9" t="str">
        <f>CONCATENATE("Provide ",E29, "mm dia. bar @ ",D209, "c/c")</f>
        <v>Provide 12mm dia. bar @ 150c/c</v>
      </c>
      <c r="D210" s="1"/>
    </row>
    <row r="211" spans="1:5" x14ac:dyDescent="0.3">
      <c r="B211" s="1" t="s">
        <v>70</v>
      </c>
      <c r="C211" t="str">
        <f>CONCATENATE("[1000/{",D209,"/(",ROUND(PI(),3),"*",E29,"^2)/4}]")</f>
        <v>[1000/{150/(3.142*12^2)/4}]</v>
      </c>
    </row>
    <row r="212" spans="1:5" x14ac:dyDescent="0.3">
      <c r="B212" s="1" t="s">
        <v>10</v>
      </c>
      <c r="C212" s="34">
        <f>(1000*PI()*E29^2)/(4*D209)</f>
        <v>753.98223686155029</v>
      </c>
    </row>
    <row r="213" spans="1:5" x14ac:dyDescent="0.3">
      <c r="B213" s="1" t="s">
        <v>94</v>
      </c>
      <c r="C213" s="55">
        <f>(C212*100)/(1000*E160)</f>
        <v>0.95440789476145615</v>
      </c>
    </row>
    <row r="215" spans="1:5" x14ac:dyDescent="0.3">
      <c r="A215" s="9" t="s">
        <v>71</v>
      </c>
    </row>
    <row r="216" spans="1:5" x14ac:dyDescent="0.3">
      <c r="A216" t="str">
        <f>CONCATENATE("For M",E21, " concrete")</f>
        <v>For M20 concrete</v>
      </c>
    </row>
    <row r="217" spans="1:5" x14ac:dyDescent="0.3">
      <c r="B217" s="1" t="s">
        <v>74</v>
      </c>
      <c r="C217" s="40">
        <v>0.28000000000000003</v>
      </c>
      <c r="E217" s="39" t="s">
        <v>73</v>
      </c>
    </row>
    <row r="218" spans="1:5" ht="30" customHeight="1" x14ac:dyDescent="0.3">
      <c r="B218" s="30" t="s">
        <v>72</v>
      </c>
    </row>
    <row r="219" spans="1:5" x14ac:dyDescent="0.3">
      <c r="B219" s="1" t="s">
        <v>10</v>
      </c>
      <c r="C219" t="str">
        <f>CONCATENATE("(",ROUND(E191,2),"*10^3)/(1000*",E160,")")</f>
        <v>(11.77*10^3)/(1000*79)</v>
      </c>
    </row>
    <row r="220" spans="1:5" x14ac:dyDescent="0.3">
      <c r="B220" s="1" t="s">
        <v>10</v>
      </c>
      <c r="C220" s="38">
        <f>(E191*10^3)/(1000*E160)</f>
        <v>0.14901366843033656</v>
      </c>
      <c r="E220" s="39" t="str">
        <f>IF(C220&lt;C217,"OK","Increase depth")</f>
        <v>OK</v>
      </c>
    </row>
    <row r="221" spans="1:5" x14ac:dyDescent="0.3">
      <c r="B221" s="1"/>
    </row>
    <row r="222" spans="1:5" x14ac:dyDescent="0.3">
      <c r="A222" s="9" t="s">
        <v>75</v>
      </c>
      <c r="B222" s="1"/>
    </row>
    <row r="223" spans="1:5" x14ac:dyDescent="0.3">
      <c r="B223" s="1" t="s">
        <v>95</v>
      </c>
      <c r="C223" t="str">
        <f>CONCATENATE(E152,"/",E160)</f>
        <v>2260.6/79</v>
      </c>
    </row>
    <row r="224" spans="1:5" x14ac:dyDescent="0.3">
      <c r="B224" s="1" t="s">
        <v>10</v>
      </c>
      <c r="C224" s="21">
        <f>E152/E160</f>
        <v>28.615189873417719</v>
      </c>
    </row>
    <row r="225" spans="2:7" x14ac:dyDescent="0.3">
      <c r="B225" s="1"/>
    </row>
    <row r="226" spans="2:7" x14ac:dyDescent="0.3">
      <c r="D226" s="1" t="s">
        <v>76</v>
      </c>
      <c r="E226" s="44"/>
      <c r="F226" s="44"/>
      <c r="G226" s="8"/>
    </row>
    <row r="227" spans="2:7" x14ac:dyDescent="0.3">
      <c r="D227" s="48" t="s">
        <v>91</v>
      </c>
      <c r="E227" s="49">
        <v>20</v>
      </c>
      <c r="F227" s="9" t="s">
        <v>77</v>
      </c>
      <c r="G227" s="8"/>
    </row>
    <row r="228" spans="2:7" x14ac:dyDescent="0.3">
      <c r="D228" s="48" t="s">
        <v>78</v>
      </c>
      <c r="E228" s="50"/>
      <c r="G228" s="8"/>
    </row>
    <row r="229" spans="2:7" x14ac:dyDescent="0.3">
      <c r="D229" s="48" t="s">
        <v>79</v>
      </c>
      <c r="E229" s="49">
        <v>1</v>
      </c>
      <c r="F229" s="9" t="s">
        <v>80</v>
      </c>
      <c r="G229" s="8"/>
    </row>
    <row r="230" spans="2:7" x14ac:dyDescent="0.3">
      <c r="D230" s="1" t="s">
        <v>81</v>
      </c>
      <c r="E230" s="51">
        <f>+E239</f>
        <v>1.5</v>
      </c>
      <c r="F230" s="9" t="s">
        <v>82</v>
      </c>
      <c r="G230" s="8"/>
    </row>
    <row r="231" spans="2:7" x14ac:dyDescent="0.3">
      <c r="D231" s="1" t="s">
        <v>83</v>
      </c>
      <c r="E231" s="49">
        <v>1</v>
      </c>
      <c r="F231" s="9" t="s">
        <v>84</v>
      </c>
      <c r="G231" s="8"/>
    </row>
    <row r="232" spans="2:7" x14ac:dyDescent="0.3">
      <c r="D232" s="1" t="s">
        <v>85</v>
      </c>
      <c r="E232" s="49">
        <v>1</v>
      </c>
      <c r="F232" s="9" t="s">
        <v>86</v>
      </c>
      <c r="G232" s="8"/>
    </row>
    <row r="233" spans="2:7" x14ac:dyDescent="0.3">
      <c r="D233" s="52" t="s">
        <v>87</v>
      </c>
      <c r="E233"/>
      <c r="F233" s="44"/>
      <c r="G233" s="8"/>
    </row>
    <row r="234" spans="2:7" ht="22.95" customHeight="1" x14ac:dyDescent="0.3">
      <c r="D234" s="30" t="s">
        <v>88</v>
      </c>
      <c r="E234"/>
      <c r="F234" s="44"/>
      <c r="G234" s="8"/>
    </row>
    <row r="235" spans="2:7" x14ac:dyDescent="0.3">
      <c r="D235" s="1" t="s">
        <v>10</v>
      </c>
      <c r="E235" s="46" t="str">
        <f>CONCATENATE("0.58*",E20,"*[(Ast.req.)/(Ast.provided)]")</f>
        <v>0.58*500*[(Ast.req.)/(Ast.provided)]</v>
      </c>
      <c r="F235" s="42"/>
      <c r="G235" s="8"/>
    </row>
    <row r="236" spans="2:7" x14ac:dyDescent="0.3">
      <c r="D236" s="1" t="s">
        <v>10</v>
      </c>
      <c r="E236" s="29">
        <f>0.58*E20*(C203/C212)</f>
        <v>103.22213046998752</v>
      </c>
      <c r="F236" s="42"/>
      <c r="G236" s="8"/>
    </row>
    <row r="237" spans="2:7" x14ac:dyDescent="0.3">
      <c r="D237" s="1" t="s">
        <v>93</v>
      </c>
      <c r="E237" s="29" t="str">
        <f>CONCATENATE("[",ROUND(C212,3),"/(1000*",E160,")]*100")</f>
        <v>[753.982/(1000*79)]*100</v>
      </c>
      <c r="F237" s="42"/>
      <c r="G237" s="8"/>
    </row>
    <row r="238" spans="2:7" x14ac:dyDescent="0.3">
      <c r="D238" s="1"/>
      <c r="E238" s="29">
        <f>(ROUND(C212,3)/(1000*E160))*100</f>
        <v>0.95440759493670879</v>
      </c>
      <c r="F238" s="42"/>
      <c r="G238" s="8"/>
    </row>
    <row r="239" spans="2:7" x14ac:dyDescent="0.3">
      <c r="D239" s="1" t="s">
        <v>92</v>
      </c>
      <c r="E239" s="47">
        <v>1.5</v>
      </c>
      <c r="F239" s="42"/>
      <c r="G239" s="8"/>
    </row>
    <row r="240" spans="2:7" x14ac:dyDescent="0.3">
      <c r="D240" s="1" t="s">
        <v>89</v>
      </c>
      <c r="E240" s="46"/>
      <c r="F240" s="42"/>
      <c r="G240" s="8"/>
    </row>
    <row r="241" spans="1:7" x14ac:dyDescent="0.3">
      <c r="D241" s="1" t="s">
        <v>90</v>
      </c>
      <c r="E241" t="str">
        <f>CONCATENATE(E227,"*",E229,"*",E230,"*",E231,"*",E232)</f>
        <v>20*1*1.5*1*1</v>
      </c>
      <c r="F241" s="42"/>
      <c r="G241" s="8"/>
    </row>
    <row r="242" spans="1:7" x14ac:dyDescent="0.3">
      <c r="D242" s="1" t="s">
        <v>10</v>
      </c>
      <c r="E242" s="8">
        <f>E227*E229*E230*E231*E232</f>
        <v>30</v>
      </c>
      <c r="F242" s="42" t="str">
        <f>IF(C224&lt;E242,"(l/d)&lt;αβγδλ   OK","(l/d)&gt;αβγδλ   NOT OK (Increase Depth)")</f>
        <v>(l/d)&lt;αβγδλ   OK</v>
      </c>
      <c r="G242" s="8"/>
    </row>
    <row r="243" spans="1:7" ht="15.6" x14ac:dyDescent="0.3">
      <c r="A243" s="9" t="s">
        <v>100</v>
      </c>
      <c r="D243" s="43"/>
      <c r="E243" s="41"/>
      <c r="F243" s="42"/>
      <c r="G243" s="8"/>
    </row>
    <row r="244" spans="1:7" x14ac:dyDescent="0.3">
      <c r="D244" s="43"/>
      <c r="E244" s="21"/>
      <c r="F244" s="42"/>
      <c r="G244" s="8"/>
    </row>
    <row r="245" spans="1:7" ht="31.2" customHeight="1" x14ac:dyDescent="0.3">
      <c r="D245" s="56" t="s">
        <v>96</v>
      </c>
      <c r="E245" s="45"/>
      <c r="F245" s="44"/>
      <c r="G245" s="8"/>
    </row>
    <row r="246" spans="1:7" x14ac:dyDescent="0.3">
      <c r="D246" s="43" t="s">
        <v>10</v>
      </c>
      <c r="E246" s="8" t="str" cm="1">
        <f t="array" ref="E246">CONCATENATE("(",E29,"*0.87*",E20,")/(4*",_xlfn.IFS(E21=20,1.2,E21=25,1.4,E21=30,1.5,E21=35,1.7,AND(E21=40,E21&gt;40),1.9),"*1.6))")</f>
        <v>(12*0.87*500)/(4*1.2*1.6))</v>
      </c>
    </row>
    <row r="247" spans="1:7" x14ac:dyDescent="0.3">
      <c r="D247" s="43" t="s">
        <v>10</v>
      </c>
      <c r="E247" s="2" cm="1">
        <f t="array" ref="E247">(E29*0.87*E20)/(4*_xlfn.IFS(E21=20,1.2,E21=25,1.4,E21=30,1.5,E21=35,1.7,AND(E21=40,E21&gt;40),1.9)*1.6)</f>
        <v>679.6875</v>
      </c>
    </row>
    <row r="248" spans="1:7" x14ac:dyDescent="0.3">
      <c r="A248" s="9" t="s">
        <v>97</v>
      </c>
    </row>
    <row r="249" spans="1:7" x14ac:dyDescent="0.3">
      <c r="A249" s="9"/>
      <c r="D249" s="43" t="s">
        <v>122</v>
      </c>
      <c r="E249" s="7">
        <v>10</v>
      </c>
    </row>
    <row r="250" spans="1:7" x14ac:dyDescent="0.3">
      <c r="D250" s="43" t="s">
        <v>69</v>
      </c>
      <c r="E250" s="8" t="str">
        <f>CONCATENATE("1000/{",C206,"/(",ROUND(PI(),3),"/4*",E249,"^2)}")</f>
        <v>1000/{120/(3.142/4*10^2)}</v>
      </c>
    </row>
    <row r="251" spans="1:7" x14ac:dyDescent="0.3">
      <c r="D251" s="43" t="s">
        <v>10</v>
      </c>
      <c r="E251" s="2">
        <f>(1000*PI()*E249^2)/(4*C206)</f>
        <v>654.49846949787354</v>
      </c>
    </row>
    <row r="252" spans="1:7" x14ac:dyDescent="0.3">
      <c r="D252" s="43" t="s">
        <v>98</v>
      </c>
      <c r="E252" s="2">
        <v>450</v>
      </c>
    </row>
    <row r="253" spans="1:7" x14ac:dyDescent="0.3">
      <c r="D253" s="43" t="s">
        <v>98</v>
      </c>
      <c r="E253" s="2">
        <f>5*E160</f>
        <v>395</v>
      </c>
    </row>
    <row r="254" spans="1:7" x14ac:dyDescent="0.3">
      <c r="D254" s="43" t="s">
        <v>99</v>
      </c>
      <c r="E254" s="4">
        <v>150</v>
      </c>
    </row>
    <row r="255" spans="1:7" x14ac:dyDescent="0.3">
      <c r="A255" s="9" t="str">
        <f>CONCATENATE("Provide a distribution bar of ",E249,"mm dia. @", E254, "c/c")</f>
        <v>Provide a distribution bar of 10mm dia. @150c/c</v>
      </c>
    </row>
    <row r="257" spans="1:1" x14ac:dyDescent="0.3">
      <c r="A257" s="9" t="s">
        <v>131</v>
      </c>
    </row>
    <row r="258" spans="1:1" x14ac:dyDescent="0.3">
      <c r="A258" s="15" t="s">
        <v>132</v>
      </c>
    </row>
    <row r="259" spans="1:1" x14ac:dyDescent="0.3">
      <c r="A259" s="9" t="str">
        <f>+A102</f>
        <v>Provide 12mm dia. bar @ 150c/c</v>
      </c>
    </row>
    <row r="260" spans="1:1" x14ac:dyDescent="0.3">
      <c r="A260" s="9" t="str">
        <f>+A146</f>
        <v>Provide a distribution bar of 10mm dia. @150c/c</v>
      </c>
    </row>
    <row r="261" spans="1:1" x14ac:dyDescent="0.3">
      <c r="A261" s="15" t="s">
        <v>133</v>
      </c>
    </row>
    <row r="262" spans="1:1" x14ac:dyDescent="0.3">
      <c r="A262" s="9" t="str">
        <f>+A210</f>
        <v>Provide 12mm dia. bar @ 150c/c</v>
      </c>
    </row>
    <row r="263" spans="1:1" x14ac:dyDescent="0.3">
      <c r="A263" s="9" t="str">
        <f>+A255</f>
        <v>Provide a distribution bar of 10mm dia. @150c/c</v>
      </c>
    </row>
  </sheetData>
  <mergeCells count="14">
    <mergeCell ref="B179:C179"/>
    <mergeCell ref="G179:H179"/>
    <mergeCell ref="D89:F89"/>
    <mergeCell ref="B59:C59"/>
    <mergeCell ref="G59:H59"/>
    <mergeCell ref="B64:C64"/>
    <mergeCell ref="G64:H64"/>
    <mergeCell ref="A65:B65"/>
    <mergeCell ref="H65:I65"/>
    <mergeCell ref="D198:F198"/>
    <mergeCell ref="A185:B185"/>
    <mergeCell ref="H185:I185"/>
    <mergeCell ref="G184:H184"/>
    <mergeCell ref="B184:C184"/>
  </mergeCells>
  <conditionalFormatting sqref="D89">
    <cfRule type="containsText" dxfId="13" priority="13" operator="containsText" text="(dreq&gt;dprov.) Increase depth">
      <formula>NOT(ISERROR(SEARCH("(dreq&gt;dprov.) Increase depth",D89)))</formula>
    </cfRule>
    <cfRule type="containsText" dxfId="12" priority="14" operator="containsText" text="(dreq&lt;dprov). Hence OK">
      <formula>NOT(ISERROR(SEARCH("(dreq&lt;dprov). Hence OK",D89)))</formula>
    </cfRule>
  </conditionalFormatting>
  <conditionalFormatting sqref="E111">
    <cfRule type="containsText" dxfId="11" priority="11" operator="containsText" text="Increase depth">
      <formula>NOT(ISERROR(SEARCH("Increase depth",E111)))</formula>
    </cfRule>
    <cfRule type="containsText" dxfId="10" priority="12" operator="containsText" text="OK">
      <formula>NOT(ISERROR(SEARCH("OK",E111)))</formula>
    </cfRule>
  </conditionalFormatting>
  <conditionalFormatting sqref="E136">
    <cfRule type="containsText" dxfId="9" priority="10" operator="containsText" text="(l/d)&gt;αβγδλ   NOT OK">
      <formula>NOT(ISERROR(SEARCH("(l/d)&gt;αβγδλ   NOT OK",E136)))</formula>
    </cfRule>
  </conditionalFormatting>
  <conditionalFormatting sqref="F133">
    <cfRule type="containsText" dxfId="8" priority="8" operator="containsText" text="(l/d)&gt;αβγδλ   NOT OK">
      <formula>NOT(ISERROR(SEARCH("(l/d)&gt;αβγδλ   NOT OK",F133)))</formula>
    </cfRule>
    <cfRule type="containsText" dxfId="7" priority="9" operator="containsText" text="(l/d)&lt;αβγδλ   OK">
      <formula>NOT(ISERROR(SEARCH("(l/d)&lt;αβγδλ   OK",F133)))</formula>
    </cfRule>
  </conditionalFormatting>
  <conditionalFormatting sqref="D198">
    <cfRule type="containsText" dxfId="6" priority="6" operator="containsText" text="(dreq&gt;dprov.) Increase depth">
      <formula>NOT(ISERROR(SEARCH("(dreq&gt;dprov.) Increase depth",D198)))</formula>
    </cfRule>
    <cfRule type="containsText" dxfId="5" priority="7" operator="containsText" text="(dreq&lt;dprov). Hence OK">
      <formula>NOT(ISERROR(SEARCH("(dreq&lt;dprov). Hence OK",D198)))</formula>
    </cfRule>
  </conditionalFormatting>
  <conditionalFormatting sqref="E220">
    <cfRule type="containsText" dxfId="4" priority="4" operator="containsText" text="Increase depth">
      <formula>NOT(ISERROR(SEARCH("Increase depth",E220)))</formula>
    </cfRule>
    <cfRule type="containsText" dxfId="3" priority="5" operator="containsText" text="OK">
      <formula>NOT(ISERROR(SEARCH("OK",E220)))</formula>
    </cfRule>
  </conditionalFormatting>
  <conditionalFormatting sqref="E245">
    <cfRule type="containsText" dxfId="2" priority="3" operator="containsText" text="(l/d)&gt;αβγδλ   NOT OK">
      <formula>NOT(ISERROR(SEARCH("(l/d)&gt;αβγδλ   NOT OK",E245)))</formula>
    </cfRule>
  </conditionalFormatting>
  <conditionalFormatting sqref="F242">
    <cfRule type="containsText" dxfId="1" priority="1" operator="containsText" text="(l/d)&gt;αβγδλ   NOT OK">
      <formula>NOT(ISERROR(SEARCH("(l/d)&gt;αβγδλ   NOT OK",F242)))</formula>
    </cfRule>
    <cfRule type="containsText" dxfId="0" priority="2" operator="containsText" text="(l/d)&lt;αβγδλ   OK">
      <formula>NOT(ISERROR(SEARCH("(l/d)&lt;αβγδλ   OK",F242)))</formula>
    </cfRule>
  </conditionalFormatting>
  <pageMargins left="0.7" right="0.7" top="0.75" bottom="0.75" header="0.3" footer="0.3"/>
  <pageSetup paperSize="9" scale="87" orientation="portrait" blackAndWhite="1" r:id="rId1"/>
  <rowBreaks count="5" manualBreakCount="5">
    <brk id="52" max="8" man="1"/>
    <brk id="105" max="8" man="1"/>
    <brk id="156" max="8" man="1"/>
    <brk id="208" max="8" man="1"/>
    <brk id="263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dog-legged staircase</vt:lpstr>
      <vt:lpstr>openwell staircase </vt:lpstr>
      <vt:lpstr>'dog-legged staircase'!Print_Area</vt:lpstr>
      <vt:lpstr>'openwell staircase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summon balami</dc:creator>
  <cp:lastModifiedBy>DELL</cp:lastModifiedBy>
  <cp:lastPrinted>2023-07-29T09:57:56Z</cp:lastPrinted>
  <dcterms:created xsi:type="dcterms:W3CDTF">2015-06-05T18:17:20Z</dcterms:created>
  <dcterms:modified xsi:type="dcterms:W3CDTF">2026-05-31T11:40:30Z</dcterms:modified>
</cp:coreProperties>
</file>