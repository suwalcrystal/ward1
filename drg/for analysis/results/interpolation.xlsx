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H:\082_083\ward1\drg\for analysis\results\"/>
    </mc:Choice>
  </mc:AlternateContent>
  <bookViews>
    <workbookView xWindow="-120" yWindow="-120" windowWidth="20736" windowHeight="11040"/>
  </bookViews>
  <sheets>
    <sheet name="Interpolation for value of k" sheetId="1" r:id="rId1"/>
    <sheet name="Wall load calculation" sheetId="2" r:id="rId2"/>
    <sheet name="Modal mass participation ratios" sheetId="3" r:id="rId3"/>
  </sheet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F8" i="2" l="1"/>
  <c r="G6" i="2"/>
  <c r="F6" i="2"/>
  <c r="H6" i="2"/>
  <c r="I6" i="2"/>
  <c r="I4" i="2"/>
  <c r="H4" i="2"/>
  <c r="G4" i="2"/>
  <c r="F4" i="2"/>
  <c r="D3" i="1" l="1"/>
</calcChain>
</file>

<file path=xl/sharedStrings.xml><?xml version="1.0" encoding="utf-8"?>
<sst xmlns="http://schemas.openxmlformats.org/spreadsheetml/2006/main" count="53" uniqueCount="38">
  <si>
    <t>Wall type</t>
  </si>
  <si>
    <t>Breadth (m)</t>
  </si>
  <si>
    <t>Height (m)</t>
  </si>
  <si>
    <t>Unit weight (KN/m2)</t>
  </si>
  <si>
    <t>Load Intensity</t>
  </si>
  <si>
    <t>Without opening</t>
  </si>
  <si>
    <t>With 30% Opening</t>
  </si>
  <si>
    <t>9" wall</t>
  </si>
  <si>
    <t>upto beam</t>
  </si>
  <si>
    <t>upto slab</t>
  </si>
  <si>
    <t>4" wall</t>
  </si>
  <si>
    <t>parapet wall</t>
  </si>
  <si>
    <t>Modal</t>
  </si>
  <si>
    <t>TABLE:  Modal Periods And Frequencies</t>
  </si>
  <si>
    <t>Case</t>
  </si>
  <si>
    <t>Mode</t>
  </si>
  <si>
    <t>Period</t>
  </si>
  <si>
    <t>sec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</si>
  <si>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</si>
  <si>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</si>
  <si>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</si>
  <si>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</si>
  <si>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</si>
  <si>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</si>
  <si>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</si>
  <si>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</si>
  <si>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</si>
  <si>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</si>
  <si>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</si>
  <si>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</si>
  <si>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UX</t>
  </si>
  <si>
    <t>UY</t>
  </si>
  <si>
    <t>SumUX</t>
  </si>
  <si>
    <t>SumUY</t>
  </si>
  <si>
    <t>K</t>
  </si>
  <si>
    <t>value</t>
  </si>
  <si>
    <t>y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</si>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</sst>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vertical="center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0" borderId="0" xfId="0"/>
    <xf numFmtId="49" fontId="1" fillId="0" borderId="0" xfId="0" applyNumberFormat="1" applyFont="1" applyFill="1"/>
    <xf numFmtId="49" fontId="0" fillId="0" borderId="0" xfId="0" applyNumberFormat="1" applyFill="1"/>
    <xf numFmtId="0" fontId="0" fillId="0" borderId="0" xfId="0" applyFill="1"/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Border="1"/>
    <xf numFmtId="0" fontId="0" fillId="0" borderId="1" xfId="0" applyBorder="1" applyAlignment="1">
      <alignment vertical="center" wrapText="1"/>
    </xf>
    <xf numFmtId="11" fontId="0" fillId="0" borderId="1" xfId="0" applyNumberFormat="1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G4"/>
  <sheetViews>
    <sheetView tabSelected="1" workbookViewId="0">
      <selection activeCell="G3" sqref="G3"/>
    </sheetView>
  </sheetViews>
  <sheetFormatPr defaultRowHeight="14.4" x14ac:dyDescent="0.3"/>
  <sheetData>
    <row r="1" spans="3:7" x14ac:dyDescent="0.3">
      <c r="C1" s="1" t="s">
        <v>34</v>
      </c>
      <c r="D1" s="1" t="s">
        <v>35</v>
      </c>
      <c r="F1" t="s">
        <v>37</v>
      </c>
      <c r="G1" t="s">
        <v>36</v>
      </c>
    </row>
    <row r="2" spans="3:7" x14ac:dyDescent="0.3">
      <c r="C2" s="1">
        <v>0.5</v>
      </c>
      <c r="D2" s="1">
        <v>1</v>
      </c>
      <c r="F2" s="7">
        <v>0.25</v>
      </c>
      <c r="G2" s="7">
        <v>0.36</v>
      </c>
    </row>
    <row r="3" spans="3:7" x14ac:dyDescent="0.3">
      <c r="C3" s="1">
        <v>0.66700000000000004</v>
      </c>
      <c r="D3" s="1">
        <f>1+((D4-D2)/(C4-C2))*(C3-C2)</f>
        <v>1.0834999999999999</v>
      </c>
      <c r="F3" s="7">
        <v>0.33</v>
      </c>
      <c r="G3" s="7">
        <f>G2+((G4-G2)/(F4-F2))*(F3-F2)</f>
        <v>0.39839999999999998</v>
      </c>
    </row>
    <row r="4" spans="3:7" x14ac:dyDescent="0.3">
      <c r="C4" s="1">
        <v>2.5</v>
      </c>
      <c r="D4" s="1">
        <v>2</v>
      </c>
      <c r="F4" s="7">
        <v>0.5</v>
      </c>
      <c r="G4" s="7">
        <v>0.48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D4" sqref="D4"/>
    </sheetView>
  </sheetViews>
  <sheetFormatPr defaultRowHeight="14.4" x14ac:dyDescent="0.3"/>
  <cols>
    <col min="1" max="1" width="11.109375" bestFit="1" customWidth="1"/>
    <col min="2" max="2" width="10.5546875" bestFit="1" customWidth="1"/>
    <col min="3" max="3" width="9.33203125" bestFit="1" customWidth="1"/>
    <col min="4" max="4" width="9.33203125" customWidth="1"/>
    <col min="5" max="5" width="17.77734375" bestFit="1" customWidth="1"/>
    <col min="6" max="6" width="14.6640625" bestFit="1" customWidth="1"/>
    <col min="7" max="7" width="14.6640625" customWidth="1"/>
    <col min="8" max="8" width="16" bestFit="1" customWidth="1"/>
  </cols>
  <sheetData>
    <row r="1" spans="1:9" x14ac:dyDescent="0.3">
      <c r="A1" s="16" t="s">
        <v>0</v>
      </c>
      <c r="B1" s="16" t="s">
        <v>1</v>
      </c>
      <c r="C1" s="16" t="s">
        <v>2</v>
      </c>
      <c r="D1" s="16"/>
      <c r="E1" s="16" t="s">
        <v>3</v>
      </c>
      <c r="F1" s="16" t="s">
        <v>4</v>
      </c>
      <c r="G1" s="16"/>
      <c r="H1" s="16"/>
      <c r="I1" s="16"/>
    </row>
    <row r="2" spans="1:9" x14ac:dyDescent="0.3">
      <c r="A2" s="16"/>
      <c r="B2" s="16"/>
      <c r="C2" s="16"/>
      <c r="D2" s="16"/>
      <c r="E2" s="16"/>
      <c r="F2" s="16" t="s">
        <v>5</v>
      </c>
      <c r="G2" s="16"/>
      <c r="H2" s="16" t="s">
        <v>6</v>
      </c>
      <c r="I2" s="16"/>
    </row>
    <row r="3" spans="1:9" x14ac:dyDescent="0.3">
      <c r="A3" s="16"/>
      <c r="B3" s="16"/>
      <c r="C3" s="2" t="s">
        <v>8</v>
      </c>
      <c r="D3" s="2" t="s">
        <v>9</v>
      </c>
      <c r="E3" s="16"/>
      <c r="F3" s="3" t="s">
        <v>8</v>
      </c>
      <c r="G3" s="3" t="s">
        <v>9</v>
      </c>
      <c r="H3" s="3" t="s">
        <v>8</v>
      </c>
      <c r="I3" s="3" t="s">
        <v>9</v>
      </c>
    </row>
    <row r="4" spans="1:9" x14ac:dyDescent="0.3">
      <c r="A4" s="5" t="s">
        <v>7</v>
      </c>
      <c r="B4" s="5">
        <v>0.23</v>
      </c>
      <c r="C4" s="5">
        <v>2.3875999999999999</v>
      </c>
      <c r="D4" s="5">
        <v>2.6162000000000001</v>
      </c>
      <c r="E4" s="5">
        <v>19.2</v>
      </c>
      <c r="F4" s="5">
        <f>B4*C4*E4</f>
        <v>10.543641599999999</v>
      </c>
      <c r="G4" s="5">
        <f>B4*D4*E4</f>
        <v>11.553139200000002</v>
      </c>
      <c r="H4" s="5">
        <f>70%*F4</f>
        <v>7.3805491199999986</v>
      </c>
      <c r="I4" s="5">
        <f>70%*G4</f>
        <v>8.0871974400000006</v>
      </c>
    </row>
    <row r="5" spans="1:9" x14ac:dyDescent="0.3">
      <c r="A5" s="1"/>
      <c r="B5" s="1"/>
      <c r="C5" s="1"/>
      <c r="D5" s="1"/>
      <c r="E5" s="1"/>
      <c r="F5" s="1"/>
      <c r="G5" s="1"/>
      <c r="H5" s="1"/>
      <c r="I5" s="1"/>
    </row>
    <row r="6" spans="1:9" x14ac:dyDescent="0.3">
      <c r="A6" s="6" t="s">
        <v>10</v>
      </c>
      <c r="B6" s="6">
        <v>0.115</v>
      </c>
      <c r="C6" s="6">
        <v>2.3875999999999999</v>
      </c>
      <c r="D6" s="6">
        <v>2.6162000000000001</v>
      </c>
      <c r="E6" s="6">
        <v>19.2</v>
      </c>
      <c r="F6" s="6">
        <f>B6*C6*E6</f>
        <v>5.2718207999999995</v>
      </c>
      <c r="G6" s="6">
        <f>B6*D6*E6</f>
        <v>5.7765696000000011</v>
      </c>
      <c r="H6" s="6">
        <f>70%*F6</f>
        <v>3.6902745599999993</v>
      </c>
      <c r="I6" s="6">
        <f>70%*G6</f>
        <v>4.0435987200000003</v>
      </c>
    </row>
    <row r="7" spans="1:9" x14ac:dyDescent="0.3">
      <c r="A7" s="1"/>
      <c r="B7" s="1"/>
      <c r="C7" s="1"/>
      <c r="D7" s="1"/>
      <c r="E7" s="1"/>
      <c r="F7" s="1"/>
      <c r="G7" s="1"/>
      <c r="H7" s="1"/>
      <c r="I7" s="1"/>
    </row>
    <row r="8" spans="1:9" x14ac:dyDescent="0.3">
      <c r="A8" s="4" t="s">
        <v>11</v>
      </c>
      <c r="B8" s="4">
        <v>0.115</v>
      </c>
      <c r="C8" s="17">
        <v>1.0668</v>
      </c>
      <c r="D8" s="17"/>
      <c r="E8" s="4">
        <v>19.2</v>
      </c>
      <c r="F8" s="17">
        <f>B8*C8*E8</f>
        <v>2.3554944</v>
      </c>
      <c r="G8" s="17"/>
      <c r="H8" s="17"/>
      <c r="I8" s="17"/>
    </row>
  </sheetData>
  <mergeCells count="9">
    <mergeCell ref="A1:A3"/>
    <mergeCell ref="B1:B3"/>
    <mergeCell ref="E1:E3"/>
    <mergeCell ref="C8:D8"/>
    <mergeCell ref="F8:I8"/>
    <mergeCell ref="C1:D2"/>
    <mergeCell ref="F1:I1"/>
    <mergeCell ref="F2:G2"/>
    <mergeCell ref="H2:I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C4" sqref="C4:G15"/>
    </sheetView>
  </sheetViews>
  <sheetFormatPr defaultRowHeight="14.4" x14ac:dyDescent="0.3"/>
  <sheetData>
    <row r="1" spans="1:7" x14ac:dyDescent="0.3">
      <c r="A1" s="8" t="s">
        <v>13</v>
      </c>
      <c r="B1" s="9"/>
      <c r="C1" s="10"/>
      <c r="D1" s="10"/>
      <c r="E1" s="10"/>
      <c r="F1" s="10"/>
      <c r="G1" s="10"/>
    </row>
    <row r="2" spans="1:7" x14ac:dyDescent="0.3">
      <c r="A2" s="19" t="s">
        <v>14</v>
      </c>
      <c r="B2" s="19" t="s">
        <v>15</v>
      </c>
      <c r="C2" s="11" t="s">
        <v>16</v>
      </c>
      <c r="D2" s="18" t="s">
        <v>30</v>
      </c>
      <c r="E2" s="18" t="s">
        <v>31</v>
      </c>
      <c r="F2" s="18" t="s">
        <v>32</v>
      </c>
      <c r="G2" s="18" t="s">
        <v>33</v>
      </c>
    </row>
    <row r="3" spans="1:7" x14ac:dyDescent="0.3">
      <c r="A3" s="19"/>
      <c r="B3" s="19"/>
      <c r="C3" s="12" t="s">
        <v>17</v>
      </c>
      <c r="D3" s="18"/>
      <c r="E3" s="18"/>
      <c r="F3" s="18"/>
      <c r="G3" s="18"/>
    </row>
    <row r="4" spans="1:7" x14ac:dyDescent="0.3">
      <c r="A4" s="13" t="s">
        <v>12</v>
      </c>
      <c r="B4" s="13" t="s">
        <v>18</v>
      </c>
      <c r="C4" s="1">
        <v>0.98199999999999998</v>
      </c>
      <c r="D4" s="14">
        <v>0.7853</v>
      </c>
      <c r="E4" s="14">
        <v>1E-3</v>
      </c>
      <c r="F4" s="14">
        <v>0.7853</v>
      </c>
      <c r="G4" s="14">
        <v>1E-3</v>
      </c>
    </row>
    <row r="5" spans="1:7" x14ac:dyDescent="0.3">
      <c r="A5" s="13" t="s">
        <v>12</v>
      </c>
      <c r="B5" s="13" t="s">
        <v>19</v>
      </c>
      <c r="C5" s="1">
        <v>0.85499999999999998</v>
      </c>
      <c r="D5" s="14">
        <v>1.29E-2</v>
      </c>
      <c r="E5" s="14">
        <v>0.69110000000000005</v>
      </c>
      <c r="F5" s="14">
        <v>0.79810000000000003</v>
      </c>
      <c r="G5" s="14">
        <v>0.69199999999999995</v>
      </c>
    </row>
    <row r="6" spans="1:7" x14ac:dyDescent="0.3">
      <c r="A6" s="13" t="s">
        <v>12</v>
      </c>
      <c r="B6" s="13" t="s">
        <v>20</v>
      </c>
      <c r="C6" s="1">
        <v>0.82599999999999996</v>
      </c>
      <c r="D6" s="14">
        <v>2.9700000000000001E-2</v>
      </c>
      <c r="E6" s="14">
        <v>0.14949999999999999</v>
      </c>
      <c r="F6" s="14">
        <v>0.82779999999999998</v>
      </c>
      <c r="G6" s="14">
        <v>0.84150000000000003</v>
      </c>
    </row>
    <row r="7" spans="1:7" x14ac:dyDescent="0.3">
      <c r="A7" s="13" t="s">
        <v>12</v>
      </c>
      <c r="B7" s="13" t="s">
        <v>21</v>
      </c>
      <c r="C7" s="1">
        <v>0.30499999999999999</v>
      </c>
      <c r="D7" s="14">
        <v>0.1027</v>
      </c>
      <c r="E7" s="14">
        <v>2.0000000000000001E-4</v>
      </c>
      <c r="F7" s="14">
        <v>0.93049999999999999</v>
      </c>
      <c r="G7" s="14">
        <v>0.8417</v>
      </c>
    </row>
    <row r="8" spans="1:7" x14ac:dyDescent="0.3">
      <c r="A8" s="13" t="s">
        <v>12</v>
      </c>
      <c r="B8" s="13" t="s">
        <v>22</v>
      </c>
      <c r="C8" s="1">
        <v>0.27400000000000002</v>
      </c>
      <c r="D8" s="14">
        <v>1.6000000000000001E-3</v>
      </c>
      <c r="E8" s="14">
        <v>7.6999999999999999E-2</v>
      </c>
      <c r="F8" s="14">
        <v>0.93220000000000003</v>
      </c>
      <c r="G8" s="14">
        <v>0.91869999999999996</v>
      </c>
    </row>
    <row r="9" spans="1:7" x14ac:dyDescent="0.3">
      <c r="A9" s="13" t="s">
        <v>12</v>
      </c>
      <c r="B9" s="13" t="s">
        <v>23</v>
      </c>
      <c r="C9" s="1">
        <v>0.26100000000000001</v>
      </c>
      <c r="D9" s="14">
        <v>2E-3</v>
      </c>
      <c r="E9" s="14">
        <v>2.4400000000000002E-2</v>
      </c>
      <c r="F9" s="14">
        <v>0.93410000000000004</v>
      </c>
      <c r="G9" s="14">
        <v>0.94310000000000005</v>
      </c>
    </row>
    <row r="10" spans="1:7" x14ac:dyDescent="0.3">
      <c r="A10" s="13" t="s">
        <v>12</v>
      </c>
      <c r="B10" s="13" t="s">
        <v>24</v>
      </c>
      <c r="C10" s="1">
        <v>0.16500000000000001</v>
      </c>
      <c r="D10" s="14">
        <v>4.0099999999999997E-2</v>
      </c>
      <c r="E10" s="14">
        <v>2.0000000000000001E-4</v>
      </c>
      <c r="F10" s="14">
        <v>0.97419999999999995</v>
      </c>
      <c r="G10" s="14">
        <v>0.94330000000000003</v>
      </c>
    </row>
    <row r="11" spans="1:7" x14ac:dyDescent="0.3">
      <c r="A11" s="13" t="s">
        <v>12</v>
      </c>
      <c r="B11" s="13" t="s">
        <v>25</v>
      </c>
      <c r="C11" s="1">
        <v>0.158</v>
      </c>
      <c r="D11" s="14">
        <v>8.0000000000000004E-4</v>
      </c>
      <c r="E11" s="14">
        <v>2.24E-2</v>
      </c>
      <c r="F11" s="14">
        <v>0.97499999999999998</v>
      </c>
      <c r="G11" s="14">
        <v>0.9657</v>
      </c>
    </row>
    <row r="12" spans="1:7" x14ac:dyDescent="0.3">
      <c r="A12" s="13" t="s">
        <v>12</v>
      </c>
      <c r="B12" s="13" t="s">
        <v>26</v>
      </c>
      <c r="C12" s="1">
        <v>0.14399999999999999</v>
      </c>
      <c r="D12" s="14">
        <v>1E-4</v>
      </c>
      <c r="E12" s="14">
        <v>1.34E-2</v>
      </c>
      <c r="F12" s="14">
        <v>0.97509999999999997</v>
      </c>
      <c r="G12" s="14">
        <v>0.97909999999999997</v>
      </c>
    </row>
    <row r="13" spans="1:7" x14ac:dyDescent="0.3">
      <c r="A13" s="13" t="s">
        <v>12</v>
      </c>
      <c r="B13" s="13" t="s">
        <v>27</v>
      </c>
      <c r="C13" s="1">
        <v>0.112</v>
      </c>
      <c r="D13" s="14">
        <v>0</v>
      </c>
      <c r="E13" s="14">
        <v>9.4999999999999998E-3</v>
      </c>
      <c r="F13" s="14">
        <v>0.97509999999999997</v>
      </c>
      <c r="G13" s="14">
        <v>0.98860000000000003</v>
      </c>
    </row>
    <row r="14" spans="1:7" x14ac:dyDescent="0.3">
      <c r="A14" s="13" t="s">
        <v>12</v>
      </c>
      <c r="B14" s="13" t="s">
        <v>28</v>
      </c>
      <c r="C14" s="1">
        <v>0.11</v>
      </c>
      <c r="D14" s="14">
        <v>1.8200000000000001E-2</v>
      </c>
      <c r="E14" s="15">
        <v>7.5469999999999995E-7</v>
      </c>
      <c r="F14" s="14">
        <v>0.99329999999999996</v>
      </c>
      <c r="G14" s="14">
        <v>0.98860000000000003</v>
      </c>
    </row>
    <row r="15" spans="1:7" x14ac:dyDescent="0.3">
      <c r="A15" s="13" t="s">
        <v>12</v>
      </c>
      <c r="B15" s="13" t="s">
        <v>29</v>
      </c>
      <c r="C15" s="1">
        <v>9.8000000000000004E-2</v>
      </c>
      <c r="D15" s="14">
        <v>0</v>
      </c>
      <c r="E15" s="14">
        <v>6.3E-3</v>
      </c>
      <c r="F15" s="14">
        <v>0.99329999999999996</v>
      </c>
      <c r="G15" s="14">
        <v>0.99490000000000001</v>
      </c>
    </row>
  </sheetData>
  <mergeCells count="6">
    <mergeCell ref="D2:D3"/>
    <mergeCell ref="E2:E3"/>
    <mergeCell ref="F2:F3"/>
    <mergeCell ref="G2:G3"/>
    <mergeCell ref="A2:A3"/>
    <mergeCell ref="B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Interpolation for value of k</vt:lpstr>
      <vt:lpstr>Wall load calculation</vt:lpstr>
      <vt:lpstr>Modal mass participation ratios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DELL</cp:lastModifiedBy>
  <dcterms:created xsi:type="dcterms:W3CDTF">2015-06-05T18:17:20Z</dcterms:created>
  <dcterms:modified xsi:type="dcterms:W3CDTF">2026-05-31T01:53:54Z</dcterms:modified>
</cp:coreProperties>
</file>