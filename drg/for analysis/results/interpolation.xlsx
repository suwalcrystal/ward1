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082_083\ward1\drg\for analysis\results\"/>
    </mc:Choice>
  </mc:AlternateContent>
  <bookViews>
    <workbookView xWindow="-120" yWindow="-120" windowWidth="20736" windowHeight="1104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G6" i="2"/>
  <c r="F6" i="2"/>
  <c r="H6" i="2"/>
  <c r="I6" i="2"/>
  <c r="I4" i="2"/>
  <c r="H4" i="2"/>
  <c r="G4" i="2"/>
  <c r="F4" i="2"/>
  <c r="D3" i="1" l="1"/>
</calcChain>
</file>

<file path=xl/sharedStrings.xml><?xml version="1.0" encoding="utf-8"?>
<sst xmlns="http://schemas.openxmlformats.org/spreadsheetml/2006/main" count="16" uniqueCount="12">
  <si>
    <t>Wall type</t>
  </si>
  <si>
    <t>Breadth (m)</t>
  </si>
  <si>
    <t>Height (m)</t>
  </si>
  <si>
    <t>Unit weight (KN/m2)</t>
  </si>
  <si>
    <t>Load Intensity</t>
  </si>
  <si>
    <t>Without opening</t>
  </si>
  <si>
    <t>With 30% Opening</t>
  </si>
  <si>
    <t>9" wall</t>
  </si>
  <si>
    <t>upto beam</t>
  </si>
  <si>
    <t>upto slab</t>
  </si>
  <si>
    <t>4" wall</t>
  </si>
  <si>
    <t>parapet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</si>
</sst>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4"/>
  <sheetViews>
    <sheetView workbookViewId="0">
      <selection activeCell="D4" sqref="D4"/>
    </sheetView>
  </sheetViews>
  <sheetFormatPr defaultRowHeight="14.4" x14ac:dyDescent="0.3"/>
  <sheetData>
    <row r="2" spans="3:4" x14ac:dyDescent="0.3">
      <c r="C2">
        <v>0.5</v>
      </c>
      <c r="D2">
        <v>1</v>
      </c>
    </row>
    <row r="3" spans="3:4" x14ac:dyDescent="0.3">
      <c r="C3">
        <v>0.66700000000000004</v>
      </c>
      <c r="D3">
        <f>1+((D4-D2)/(C4-C2))*(C3-C2)</f>
        <v>1.0834999999999999</v>
      </c>
    </row>
    <row r="4" spans="3:4" x14ac:dyDescent="0.3">
      <c r="C4">
        <v>2.5</v>
      </c>
      <c r="D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E12" sqref="E12"/>
    </sheetView>
  </sheetViews>
  <sheetFormatPr defaultRowHeight="14.4" x14ac:dyDescent="0.3"/>
  <cols>
    <col min="1" max="1" width="11.109375" bestFit="1" customWidth="1"/>
    <col min="2" max="2" width="10.5546875" bestFit="1" customWidth="1"/>
    <col min="3" max="3" width="9.33203125" bestFit="1" customWidth="1"/>
    <col min="4" max="4" width="9.33203125" customWidth="1"/>
    <col min="5" max="5" width="17.77734375" bestFit="1" customWidth="1"/>
    <col min="6" max="6" width="14.6640625" bestFit="1" customWidth="1"/>
    <col min="7" max="7" width="14.6640625" customWidth="1"/>
    <col min="8" max="8" width="16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/>
      <c r="H1" s="2"/>
      <c r="I1" s="2"/>
    </row>
    <row r="2" spans="1:9" x14ac:dyDescent="0.3">
      <c r="A2" s="2"/>
      <c r="B2" s="2"/>
      <c r="C2" s="2"/>
      <c r="D2" s="2"/>
      <c r="E2" s="2"/>
      <c r="F2" s="2" t="s">
        <v>5</v>
      </c>
      <c r="G2" s="2"/>
      <c r="H2" s="2" t="s">
        <v>6</v>
      </c>
      <c r="I2" s="2"/>
    </row>
    <row r="3" spans="1:9" x14ac:dyDescent="0.3">
      <c r="A3" s="2"/>
      <c r="B3" s="2"/>
      <c r="C3" s="3" t="s">
        <v>8</v>
      </c>
      <c r="D3" s="3" t="s">
        <v>9</v>
      </c>
      <c r="E3" s="2"/>
      <c r="F3" s="4" t="s">
        <v>8</v>
      </c>
      <c r="G3" s="4" t="s">
        <v>9</v>
      </c>
      <c r="H3" s="4" t="s">
        <v>8</v>
      </c>
      <c r="I3" s="4" t="s">
        <v>9</v>
      </c>
    </row>
    <row r="4" spans="1:9" x14ac:dyDescent="0.3">
      <c r="A4" s="6" t="s">
        <v>7</v>
      </c>
      <c r="B4" s="6">
        <v>0.23</v>
      </c>
      <c r="C4" s="6">
        <v>2.3875999999999999</v>
      </c>
      <c r="D4" s="6">
        <v>2.6162000000000001</v>
      </c>
      <c r="E4" s="6">
        <v>19.2</v>
      </c>
      <c r="F4" s="6">
        <f>B4*C4*E4</f>
        <v>10.543641599999999</v>
      </c>
      <c r="G4" s="6">
        <f>B4*D4*E4</f>
        <v>11.553139200000002</v>
      </c>
      <c r="H4" s="6">
        <f>70%*F4</f>
        <v>7.3805491199999986</v>
      </c>
      <c r="I4" s="6">
        <f>70%*G4</f>
        <v>8.0871974400000006</v>
      </c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7" t="s">
        <v>10</v>
      </c>
      <c r="B6" s="7">
        <v>0.115</v>
      </c>
      <c r="C6" s="7">
        <v>2.3875999999999999</v>
      </c>
      <c r="D6" s="7">
        <v>2.6162000000000001</v>
      </c>
      <c r="E6" s="7">
        <v>19.2</v>
      </c>
      <c r="F6" s="7">
        <f>B6*C6*E6</f>
        <v>5.2718207999999995</v>
      </c>
      <c r="G6" s="7">
        <f>B6*D6*E6</f>
        <v>5.7765696000000011</v>
      </c>
      <c r="H6" s="7">
        <f>70%*F6</f>
        <v>3.6902745599999993</v>
      </c>
      <c r="I6" s="7">
        <f>70%*G6</f>
        <v>4.0435987200000003</v>
      </c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5" t="s">
        <v>11</v>
      </c>
      <c r="B8" s="5">
        <v>0.115</v>
      </c>
      <c r="C8" s="8">
        <v>1.0668</v>
      </c>
      <c r="D8" s="8"/>
      <c r="E8" s="5">
        <v>19.2</v>
      </c>
      <c r="F8" s="8">
        <f>B8*C8*E8</f>
        <v>2.3554944</v>
      </c>
      <c r="G8" s="8"/>
      <c r="H8" s="8"/>
      <c r="I8" s="8"/>
    </row>
  </sheetData>
  <mergeCells count="9">
    <mergeCell ref="A1:A3"/>
    <mergeCell ref="B1:B3"/>
    <mergeCell ref="E1:E3"/>
    <mergeCell ref="C8:D8"/>
    <mergeCell ref="F8:I8"/>
    <mergeCell ref="C1:D2"/>
    <mergeCell ref="F1:I1"/>
    <mergeCell ref="F2:G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2015-06-05T18:17:20Z</dcterms:created>
  <dcterms:modified xsi:type="dcterms:W3CDTF">2026-05-27T18:27:25Z</dcterms:modified>
</cp:coreProperties>
</file>