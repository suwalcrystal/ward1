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8" yWindow="-108" windowWidth="23256" windowHeight="12456"/>
  </bookViews>
  <sheets>
    <sheet name="WL(resting on beam and slab)" sheetId="1" r:id="rId1"/>
    <sheet name="Sheet1" sheetId="9" r:id="rId2"/>
    <sheet name="Sheet2" sheetId="2" state="hidden" r:id="rId3"/>
    <sheet name="Sheet3" sheetId="3" state="hidden" r:id="rId4"/>
  </sheets>
  <definedNames>
    <definedName name="_xlnm.Print_Area" localSheetId="1">Sheet1!$A$1:$L$36</definedName>
    <definedName name="_xlnm.Print_Area" localSheetId="0">'WL(resting on beam and slab)'!$A$1:$P$82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9" l="1"/>
  <c r="K9" i="9"/>
  <c r="K6" i="9"/>
  <c r="I9" i="9" l="1"/>
  <c r="C9" i="9" s="1"/>
  <c r="C7" i="1" l="1"/>
  <c r="C49" i="1"/>
  <c r="C56" i="1"/>
  <c r="B17" i="1"/>
  <c r="C3" i="1"/>
  <c r="C4" i="1"/>
  <c r="C6" i="9"/>
  <c r="C55" i="1"/>
  <c r="C54" i="1"/>
  <c r="C45" i="1"/>
  <c r="C44" i="1"/>
  <c r="C40" i="1"/>
  <c r="C38" i="1"/>
  <c r="C36" i="1"/>
  <c r="C5" i="9"/>
  <c r="C2" i="9"/>
  <c r="C3" i="9"/>
  <c r="C4" i="9"/>
  <c r="C39" i="1"/>
  <c r="C37" i="1"/>
  <c r="C35" i="1"/>
  <c r="C6" i="1"/>
  <c r="C5" i="1"/>
  <c r="C11" i="9" l="1"/>
  <c r="C60" i="1"/>
  <c r="C59" i="1"/>
  <c r="C47" i="1"/>
  <c r="C50" i="1" s="1"/>
  <c r="C46" i="1"/>
  <c r="C41" i="1"/>
  <c r="C10" i="9"/>
  <c r="C8" i="9"/>
  <c r="C51" i="1" l="1"/>
  <c r="C13" i="9"/>
  <c r="C17" i="9" s="1"/>
  <c r="C12" i="9"/>
  <c r="C14" i="9"/>
  <c r="C15" i="9"/>
  <c r="C16" i="9" l="1"/>
  <c r="C17" i="1"/>
  <c r="E17" i="1" s="1"/>
  <c r="D17" i="1"/>
  <c r="B21" i="2"/>
  <c r="F19" i="1" l="1"/>
  <c r="F17" i="1"/>
  <c r="C9" i="1"/>
  <c r="C19" i="1" s="1"/>
  <c r="E19" i="1" s="1"/>
  <c r="F18" i="1"/>
  <c r="C10" i="1"/>
  <c r="C11" i="1"/>
  <c r="C8" i="1"/>
  <c r="C21" i="1" l="1"/>
  <c r="E21" i="1" s="1"/>
  <c r="B20" i="1"/>
  <c r="C20" i="1"/>
  <c r="C18" i="1"/>
  <c r="E18" i="1"/>
  <c r="E20" i="1"/>
  <c r="B21" i="1"/>
  <c r="D21" i="1" s="1"/>
  <c r="B19" i="1"/>
  <c r="D19" i="1" s="1"/>
  <c r="B18" i="1"/>
  <c r="B22" i="2"/>
  <c r="B25" i="2" s="1"/>
  <c r="B13" i="2"/>
  <c r="D18" i="1" l="1"/>
  <c r="D20" i="1"/>
  <c r="D23" i="2"/>
  <c r="D25" i="2" s="1"/>
  <c r="B16" i="2"/>
  <c r="D3" i="3" l="1"/>
  <c r="D4" i="3" s="1"/>
  <c r="E4" i="3" s="1"/>
  <c r="B2" i="3"/>
  <c r="B3" i="3" s="1"/>
  <c r="B7" i="2" l="1"/>
  <c r="K14" i="2" l="1"/>
  <c r="E17" i="2"/>
  <c r="G16" i="2"/>
  <c r="B17" i="2"/>
</calcChain>
</file>

<file path=xl/sharedStrings.xml><?xml version="1.0" encoding="utf-8"?>
<sst xmlns="http://schemas.openxmlformats.org/spreadsheetml/2006/main" count="140" uniqueCount="99">
  <si>
    <t>m</t>
  </si>
  <si>
    <t>9"</t>
  </si>
  <si>
    <t>4.5"</t>
  </si>
  <si>
    <t>KN/m3</t>
  </si>
  <si>
    <t>height</t>
  </si>
  <si>
    <t>Calculation of area load</t>
  </si>
  <si>
    <t>Floor finish load</t>
  </si>
  <si>
    <t xml:space="preserve">screeding </t>
  </si>
  <si>
    <t>KN/M3</t>
  </si>
  <si>
    <t xml:space="preserve">thickness of screeding </t>
  </si>
  <si>
    <t>mm</t>
  </si>
  <si>
    <t>Area of screeding considered</t>
  </si>
  <si>
    <t>m2</t>
  </si>
  <si>
    <t>KN/m2</t>
  </si>
  <si>
    <t>Wall load</t>
  </si>
  <si>
    <t>unit weight of screeding</t>
  </si>
  <si>
    <t>unit weight of wall</t>
  </si>
  <si>
    <t xml:space="preserve">thickness of wall </t>
  </si>
  <si>
    <t>thickness of wall</t>
  </si>
  <si>
    <t xml:space="preserve">wall load </t>
  </si>
  <si>
    <t>11'+11'4"+1'5"</t>
  </si>
  <si>
    <t>Area of slab</t>
  </si>
  <si>
    <t>13'11"*12'9"</t>
  </si>
  <si>
    <t>length of wall 4.5"</t>
  </si>
  <si>
    <t>length of wall 9"</t>
  </si>
  <si>
    <t>Staircase load</t>
  </si>
  <si>
    <t>unit wt of concrete</t>
  </si>
  <si>
    <t>riser 7"</t>
  </si>
  <si>
    <t>waist slab area</t>
  </si>
  <si>
    <t>number of steps</t>
  </si>
  <si>
    <t>3KN/m2</t>
  </si>
  <si>
    <t xml:space="preserve">height of building </t>
  </si>
  <si>
    <t>Max displacement</t>
  </si>
  <si>
    <t>tread 11"</t>
  </si>
  <si>
    <t>resting on beam</t>
  </si>
  <si>
    <t>resting on slab</t>
  </si>
  <si>
    <t>WALL LOAD CALCULATION</t>
  </si>
  <si>
    <t>full brick wall thickness=</t>
  </si>
  <si>
    <t>half brick wall thickness=</t>
  </si>
  <si>
    <t>height of wall resting on beam=</t>
  </si>
  <si>
    <t>unit weight of brick masonry=</t>
  </si>
  <si>
    <t>parapet wall height=</t>
  </si>
  <si>
    <t>(full brick wall thickness)</t>
  </si>
  <si>
    <t>(half brick wall thickness)</t>
  </si>
  <si>
    <t>floor to floor height=</t>
  </si>
  <si>
    <t>beam depth=</t>
  </si>
  <si>
    <t>slab thickness=</t>
  </si>
  <si>
    <t>height of wall resting on slab=</t>
  </si>
  <si>
    <t>(floor to floor height)</t>
  </si>
  <si>
    <t>(beam depth)</t>
  </si>
  <si>
    <t>(slab thickness)</t>
  </si>
  <si>
    <t>feet</t>
  </si>
  <si>
    <t>inches</t>
  </si>
  <si>
    <t>=</t>
  </si>
  <si>
    <t>Wall</t>
  </si>
  <si>
    <t>WL (without opening)</t>
  </si>
  <si>
    <t>opening</t>
  </si>
  <si>
    <t xml:space="preserve">Parapet wall load </t>
  </si>
  <si>
    <t>Unit: KN/m</t>
  </si>
  <si>
    <t>Unit:KN/m</t>
  </si>
  <si>
    <t>AREA LOAD CALCULATION</t>
  </si>
  <si>
    <t>thickness of screeding=</t>
  </si>
  <si>
    <t>thickness of plaster on ceiling=</t>
  </si>
  <si>
    <t>unit weight of screeding/plaster=</t>
  </si>
  <si>
    <t>(i) Floor Finish</t>
  </si>
  <si>
    <t>flooring=</t>
  </si>
  <si>
    <t>area considered=</t>
  </si>
  <si>
    <r>
      <t>1 m</t>
    </r>
    <r>
      <rPr>
        <vertAlign val="superscript"/>
        <sz val="11"/>
        <color theme="1"/>
        <rFont val="Times New Roman"/>
        <family val="1"/>
      </rPr>
      <t>2</t>
    </r>
  </si>
  <si>
    <t>(screeding)=</t>
  </si>
  <si>
    <t>(flooring)=</t>
  </si>
  <si>
    <t>Floor Finish load</t>
  </si>
  <si>
    <t>Total Floor Finish load=</t>
  </si>
  <si>
    <t>IS: 875 (Part 1)-1987,Table-1 Item no. 36</t>
  </si>
  <si>
    <t>IS: 875 (Part 1)-1987,Table-1 Item no. 42</t>
  </si>
  <si>
    <t>unit weight of flooring=</t>
  </si>
  <si>
    <t>IS: 875 (Part 1)-1987,Table-2 Item no. 7</t>
  </si>
  <si>
    <t>(ceiling plaster)=</t>
  </si>
  <si>
    <t>wall thickness=</t>
  </si>
  <si>
    <t>wall height=</t>
  </si>
  <si>
    <t>wall length=</t>
  </si>
  <si>
    <t>Partition wall load on slab</t>
  </si>
  <si>
    <t>(ii) Water Tank Load</t>
  </si>
  <si>
    <t>slab length=</t>
  </si>
  <si>
    <t>slab bredth=</t>
  </si>
  <si>
    <t>slab area=</t>
  </si>
  <si>
    <t>unit weight of  brick masonry=</t>
  </si>
  <si>
    <t>wall area without opening=</t>
  </si>
  <si>
    <t>Load on slab without opening=</t>
  </si>
  <si>
    <t>Load on slab with opening=</t>
  </si>
  <si>
    <t>Water tank capacity=</t>
  </si>
  <si>
    <t>Water tank load=</t>
  </si>
  <si>
    <t>(iii) Waist slab (due to steps)</t>
  </si>
  <si>
    <t>Unit weight of concrete=</t>
  </si>
  <si>
    <t>Width of stair=</t>
  </si>
  <si>
    <t>Riser (R)=</t>
  </si>
  <si>
    <t>Tread (T)=</t>
  </si>
  <si>
    <t>Load on Waist slab=</t>
  </si>
  <si>
    <t>IS: 875 (Part 1)-1987,Table-1 Item no. 22</t>
  </si>
  <si>
    <t>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</si>
</sst>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164" formatCode="_(* #,##0.00_);_(* \(#,##0.00\);_(* &quot;-&quot;??_);_(@_)"/>
    <numFmt numFmtId="165" formatCode="_(* #,##0.000_);_(* \(#,##0.000\);_(* &quot;-&quot;??_);_(@_)"/>
    <numFmt numFmtId="166" formatCode="#,##0&quot;''&quot;"/>
    <numFmt numFmtId="167" formatCode="#,##0.0&quot;''&quot;"/>
    <numFmt numFmtId="168" formatCode="#0.00#&quot;m&quot;"/>
    <numFmt numFmtId="169" formatCode="0.000#&quot;m&quot;"/>
    <numFmt numFmtId="170" formatCode="0.000&quot;m&quot;"/>
    <numFmt numFmtId="171" formatCode="#,##0&quot;'&quot;"/>
    <numFmt numFmtId="172" formatCode="0%&quot; opening&quot;"/>
    <numFmt numFmtId="173" formatCode="#,##0&quot;'' wall  (KN/m)&quot;"/>
    <numFmt numFmtId="174" formatCode="#,##0.0&quot;'' wall  (KN/m)&quot;"/>
    <numFmt numFmtId="175" formatCode="&quot; WL (with&quot;\ 0%\ &quot;opening)&quot;\ &quot;Unit: KN&quot;"/>
    <numFmt numFmtId="176" formatCode="\ 0%"/>
    <numFmt numFmtId="177" formatCode="&quot;=&quot;0.00#"/>
    <numFmt numFmtId="178" formatCode="#&quot;mm&quot;"/>
    <numFmt numFmtId="179" formatCode="0.00#&quot;mm&quot;"/>
    <numFmt numFmtId="180" formatCode="0.0000"/>
    <numFmt numFmtId="181" formatCode="0.000#&quot; m&quot;"/>
    <numFmt numFmtId="182" formatCode="&quot; wall area with&quot;\ 0%\ &quot;opening=&quot;"/>
    <numFmt numFmtId="183" formatCode="#&quot; Ltr.&quot;"/>
    <numFmt numFmtId="184" formatCode="0.00#&quot; m²&quot;"/>
    <numFmt numFmtId="185" formatCode="0.0#&quot; KN/m²&quot;"/>
    <numFmt numFmtId="186" formatCode="0.00#&quot; KN/m²&quot;"/>
    <numFmt numFmtId="187" formatCode="0.0#&quot;KN/m³&quot;"/>
    <numFmt numFmtId="188" formatCode="#\ &quot;KN/m³&quot;"/>
    <numFmt numFmtId="189" formatCode="0.00#\ &quot;KN/m³&quot;"/>
    <numFmt numFmtId="190" formatCode="0#&quot; KN/m³&quot;"/>
    <numFmt numFmtId="191" formatCode="0.0#&quot; KN/m³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9.8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A2A9B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165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71" fontId="3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167" fontId="3" fillId="2" borderId="1" xfId="0" applyNumberFormat="1" applyFont="1" applyFill="1" applyBorder="1" applyAlignment="1">
      <alignment horizontal="center" vertical="center"/>
    </xf>
    <xf numFmtId="181" fontId="3" fillId="2" borderId="0" xfId="0" applyNumberFormat="1" applyFont="1" applyFill="1" applyAlignment="1">
      <alignment horizontal="left"/>
    </xf>
    <xf numFmtId="171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82" fontId="3" fillId="2" borderId="0" xfId="0" applyNumberFormat="1" applyFont="1" applyFill="1"/>
    <xf numFmtId="184" fontId="3" fillId="0" borderId="0" xfId="0" applyNumberFormat="1" applyFont="1" applyAlignment="1">
      <alignment horizontal="left"/>
    </xf>
    <xf numFmtId="186" fontId="6" fillId="0" borderId="0" xfId="0" applyNumberFormat="1" applyFont="1" applyAlignment="1">
      <alignment horizontal="left"/>
    </xf>
    <xf numFmtId="191" fontId="3" fillId="0" borderId="0" xfId="0" applyNumberFormat="1" applyFont="1" applyAlignment="1">
      <alignment horizontal="left"/>
    </xf>
    <xf numFmtId="0" fontId="8" fillId="0" borderId="11" xfId="0" applyFont="1" applyBorder="1" applyAlignment="1">
      <alignment vertical="center" wrapText="1"/>
    </xf>
    <xf numFmtId="0" fontId="3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168" fontId="3" fillId="0" borderId="0" xfId="0" applyNumberFormat="1" applyFont="1" applyAlignment="1" applyProtection="1">
      <alignment horizontal="left"/>
      <protection locked="0"/>
    </xf>
    <xf numFmtId="171" fontId="3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 applyProtection="1">
      <alignment horizontal="center" vertical="center"/>
      <protection locked="0"/>
    </xf>
    <xf numFmtId="167" fontId="3" fillId="0" borderId="1" xfId="0" applyNumberFormat="1" applyFont="1" applyBorder="1" applyAlignment="1" applyProtection="1">
      <alignment horizontal="center" vertical="center"/>
      <protection locked="0"/>
    </xf>
    <xf numFmtId="168" fontId="3" fillId="2" borderId="0" xfId="0" applyNumberFormat="1" applyFont="1" applyFill="1" applyAlignment="1" applyProtection="1">
      <alignment horizontal="left"/>
      <protection locked="0"/>
    </xf>
    <xf numFmtId="171" fontId="3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2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76" fontId="3" fillId="2" borderId="3" xfId="2" applyNumberFormat="1" applyFont="1" applyFill="1" applyBorder="1" applyAlignment="1" applyProtection="1">
      <alignment horizontal="centerContinuous" wrapText="1"/>
      <protection locked="0"/>
    </xf>
    <xf numFmtId="0" fontId="3" fillId="2" borderId="4" xfId="0" applyFont="1" applyFill="1" applyBorder="1" applyAlignment="1" applyProtection="1">
      <alignment horizontal="centerContinuous" vertical="top" wrapText="1"/>
      <protection locked="0"/>
    </xf>
    <xf numFmtId="0" fontId="3" fillId="0" borderId="0" xfId="0" applyFont="1" applyAlignment="1" applyProtection="1">
      <alignment vertical="top"/>
      <protection locked="0"/>
    </xf>
    <xf numFmtId="0" fontId="5" fillId="0" borderId="0" xfId="2" applyNumberFormat="1" applyFon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2" applyNumberFormat="1" applyFont="1" applyFill="1" applyBorder="1" applyAlignment="1" applyProtection="1">
      <alignment horizontal="center" vertical="top"/>
      <protection locked="0"/>
    </xf>
    <xf numFmtId="9" fontId="3" fillId="0" borderId="0" xfId="2" applyFont="1" applyBorder="1" applyAlignment="1" applyProtection="1">
      <alignment horizontal="center"/>
      <protection locked="0"/>
    </xf>
    <xf numFmtId="178" fontId="3" fillId="2" borderId="0" xfId="0" applyNumberFormat="1" applyFont="1" applyFill="1" applyAlignment="1" applyProtection="1">
      <alignment horizontal="left"/>
      <protection locked="0"/>
    </xf>
    <xf numFmtId="179" fontId="3" fillId="2" borderId="0" xfId="0" applyNumberFormat="1" applyFont="1" applyFill="1" applyAlignment="1" applyProtection="1">
      <alignment horizontal="left"/>
      <protection locked="0"/>
    </xf>
    <xf numFmtId="0" fontId="6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2" fontId="3" fillId="0" borderId="0" xfId="0" applyNumberFormat="1" applyFont="1" applyAlignment="1" applyProtection="1">
      <alignment horizontal="left"/>
      <protection locked="0"/>
    </xf>
    <xf numFmtId="180" fontId="3" fillId="0" borderId="0" xfId="0" applyNumberFormat="1" applyFont="1" applyAlignment="1" applyProtection="1">
      <alignment horizontal="left"/>
      <protection locked="0"/>
    </xf>
    <xf numFmtId="185" fontId="6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Continuous"/>
      <protection locked="0"/>
    </xf>
    <xf numFmtId="173" fontId="6" fillId="0" borderId="0" xfId="0" applyNumberFormat="1" applyFont="1" applyAlignment="1" applyProtection="1">
      <alignment horizontal="left"/>
      <protection locked="0"/>
    </xf>
    <xf numFmtId="174" fontId="3" fillId="0" borderId="0" xfId="0" applyNumberFormat="1" applyFont="1" applyAlignment="1" applyProtection="1">
      <alignment horizontal="center"/>
      <protection locked="0"/>
    </xf>
    <xf numFmtId="173" fontId="3" fillId="0" borderId="0" xfId="0" applyNumberFormat="1" applyFont="1" applyAlignment="1" applyProtection="1">
      <alignment horizontal="center"/>
      <protection locked="0"/>
    </xf>
    <xf numFmtId="181" fontId="3" fillId="2" borderId="0" xfId="0" applyNumberFormat="1" applyFont="1" applyFill="1" applyAlignment="1" applyProtection="1">
      <alignment horizontal="left"/>
      <protection locked="0"/>
    </xf>
    <xf numFmtId="172" fontId="3" fillId="0" borderId="0" xfId="0" applyNumberFormat="1" applyFont="1" applyAlignment="1" applyProtection="1">
      <alignment horizontal="left"/>
      <protection locked="0"/>
    </xf>
    <xf numFmtId="167" fontId="3" fillId="2" borderId="1" xfId="0" applyNumberFormat="1" applyFont="1" applyFill="1" applyBorder="1" applyAlignment="1" applyProtection="1">
      <alignment horizontal="center" vertical="center"/>
      <protection locked="0"/>
    </xf>
    <xf numFmtId="171" fontId="3" fillId="0" borderId="0" xfId="0" applyNumberFormat="1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83" fontId="3" fillId="2" borderId="0" xfId="0" applyNumberFormat="1" applyFont="1" applyFill="1" applyAlignment="1" applyProtection="1">
      <alignment horizontal="left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186" fontId="6" fillId="0" borderId="0" xfId="0" applyNumberFormat="1" applyFont="1" applyAlignment="1" applyProtection="1">
      <alignment horizontal="left"/>
      <protection locked="0"/>
    </xf>
    <xf numFmtId="168" fontId="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 applyProtection="1">
      <alignment horizontal="left"/>
    </xf>
    <xf numFmtId="187" fontId="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5" xfId="2" applyNumberFormat="1" applyFont="1" applyFill="1" applyBorder="1" applyAlignment="1" applyProtection="1">
      <alignment horizontal="centerContinuous" wrapText="1"/>
    </xf>
    <xf numFmtId="0" fontId="3" fillId="0" borderId="6" xfId="0" applyFont="1" applyBorder="1" applyAlignment="1">
      <alignment horizontal="centerContinuous" vertical="center" wrapText="1"/>
    </xf>
    <xf numFmtId="175" fontId="3" fillId="0" borderId="5" xfId="2" applyNumberFormat="1" applyFont="1" applyFill="1" applyBorder="1" applyAlignment="1" applyProtection="1">
      <alignment horizontal="centerContinuous" vertical="top"/>
    </xf>
    <xf numFmtId="0" fontId="3" fillId="0" borderId="6" xfId="0" applyFont="1" applyBorder="1" applyAlignment="1">
      <alignment horizontal="centerContinuous" vertical="top" wrapText="1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/>
    <xf numFmtId="166" fontId="3" fillId="0" borderId="2" xfId="0" applyNumberFormat="1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center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72" fontId="3" fillId="0" borderId="3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177" fontId="6" fillId="0" borderId="10" xfId="0" applyNumberFormat="1" applyFont="1" applyBorder="1" applyAlignment="1">
      <alignment horizontal="center"/>
    </xf>
    <xf numFmtId="177" fontId="6" fillId="0" borderId="7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 vertical="top" wrapText="1"/>
    </xf>
    <xf numFmtId="188" fontId="3" fillId="0" borderId="0" xfId="0" applyNumberFormat="1" applyFont="1" applyAlignment="1">
      <alignment horizontal="left"/>
    </xf>
    <xf numFmtId="18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90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3" fillId="2" borderId="0" xfId="0" applyFont="1" applyFill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52723</xdr:colOff>
      <xdr:row>54</xdr:row>
      <xdr:rowOff>59137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213F41-D359-460F-9452-2530A5079DF5}"/>
                </a:ext>
              </a:extLst>
            </xdr:cNvPr>
            <xdr:cNvSpPr txBox="1"/>
          </xdr:nvSpPr>
          <xdr:spPr>
            <a:xfrm>
              <a:off x="8153784" y="9853531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213F41-D359-460F-9452-2530A5079DF5}"/>
                </a:ext>
              </a:extLst>
            </xdr:cNvPr>
            <xdr:cNvSpPr txBox="1"/>
          </xdr:nvSpPr>
          <xdr:spPr>
            <a:xfrm>
              <a:off x="8153784" y="9853531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8</xdr:col>
      <xdr:colOff>1250758</xdr:colOff>
      <xdr:row>52</xdr:row>
      <xdr:rowOff>6415</xdr:rowOff>
    </xdr:from>
    <xdr:to>
      <xdr:col>10</xdr:col>
      <xdr:colOff>80562</xdr:colOff>
      <xdr:row>56</xdr:row>
      <xdr:rowOff>51313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0E0B4EDC-CD10-4CA7-A62D-54879FF8AC5F}"/>
            </a:ext>
          </a:extLst>
        </xdr:cNvPr>
        <xdr:cNvSpPr/>
      </xdr:nvSpPr>
      <xdr:spPr>
        <a:xfrm flipV="1">
          <a:off x="7812425" y="9441617"/>
          <a:ext cx="914400" cy="763282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1090275</xdr:colOff>
      <xdr:row>53</xdr:row>
      <xdr:rowOff>121739</xdr:rowOff>
    </xdr:from>
    <xdr:ext cx="125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5181A9-B123-42B9-A4DE-55DC6EEC180C}"/>
                </a:ext>
              </a:extLst>
            </xdr:cNvPr>
            <xdr:cNvSpPr txBox="1"/>
          </xdr:nvSpPr>
          <xdr:spPr>
            <a:xfrm>
              <a:off x="7651942" y="9736537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5181A9-B123-42B9-A4DE-55DC6EEC180C}"/>
                </a:ext>
              </a:extLst>
            </xdr:cNvPr>
            <xdr:cNvSpPr txBox="1"/>
          </xdr:nvSpPr>
          <xdr:spPr>
            <a:xfrm>
              <a:off x="7651942" y="9736537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57598</xdr:colOff>
      <xdr:row>50</xdr:row>
      <xdr:rowOff>173052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BA26C0-35A9-4B95-B5D7-762E5F1A8802}"/>
                </a:ext>
              </a:extLst>
            </xdr:cNvPr>
            <xdr:cNvSpPr txBox="1"/>
          </xdr:nvSpPr>
          <xdr:spPr>
            <a:xfrm>
              <a:off x="8158659" y="9249062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BA26C0-35A9-4B95-B5D7-762E5F1A8802}"/>
                </a:ext>
              </a:extLst>
            </xdr:cNvPr>
            <xdr:cNvSpPr txBox="1"/>
          </xdr:nvSpPr>
          <xdr:spPr>
            <a:xfrm>
              <a:off x="8158659" y="9249062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291041</xdr:colOff>
      <xdr:row>58</xdr:row>
      <xdr:rowOff>19049</xdr:rowOff>
    </xdr:from>
    <xdr:ext cx="5154083" cy="590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84B66A4-8448-4E7A-8F4B-44684669AF6E}"/>
                </a:ext>
              </a:extLst>
            </xdr:cNvPr>
            <xdr:cNvSpPr txBox="1"/>
          </xdr:nvSpPr>
          <xdr:spPr>
            <a:xfrm>
              <a:off x="6450541" y="10533591"/>
              <a:ext cx="5154083" cy="590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(</m:t>
                      </m:r>
                      <m:f>
                        <m:fPr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𝑅𝑖𝑠𝑒𝑟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𝑇𝑟𝑒𝑎𝑑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)∗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𝑤𝑖𝑑𝑡h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𝑠𝑡𝑎𝑖𝑟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𝑛𝑜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𝑠𝑡𝑒𝑝𝑠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𝑤𝑖𝑑𝑡h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𝑠𝑡𝑎𝑖𝑟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𝑛𝑜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𝑠𝑡𝑒𝑝𝑠</m:t>
                      </m:r>
                    </m:den>
                  </m:f>
                  <m:r>
                    <a:rPr lang="en-US" sz="14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</a:rPr>
                    <m:t>U</m:t>
                  </m:r>
                </m:oMath>
              </a14:m>
              <a:r>
                <a:rPr lang="en-US" sz="1100"/>
                <a:t>nit weight of concrete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84B66A4-8448-4E7A-8F4B-44684669AF6E}"/>
                </a:ext>
              </a:extLst>
            </xdr:cNvPr>
            <xdr:cNvSpPr txBox="1"/>
          </xdr:nvSpPr>
          <xdr:spPr>
            <a:xfrm>
              <a:off x="6450541" y="10533591"/>
              <a:ext cx="5154083" cy="590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 (1/2∗𝑅𝑖𝑠𝑒𝑟 ∗𝑇𝑟𝑒𝑎𝑑)∗𝑤𝑖𝑑𝑡ℎ 𝑜𝑓 𝑠𝑡𝑎𝑖𝑟 ∗𝑛𝑜. 𝑜𝑓 𝑠𝑡𝑒𝑝𝑠)/(√(𝑅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+𝑇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2) </a:t>
              </a:r>
              <a:r>
                <a:rPr lang="en-US" sz="1400" b="0" i="0">
                  <a:latin typeface="Cambria Math" panose="02040503050406030204" pitchFamily="18" charset="0"/>
                </a:rPr>
                <a:t> ∗𝑤𝑖𝑑𝑡ℎ 𝑜𝑓 𝑠𝑡𝑎𝑖𝑟 ∗𝑛𝑜. 𝑜𝑓 𝑠𝑡𝑒𝑝𝑠)  ∗U</a:t>
              </a:r>
              <a:r>
                <a:rPr lang="en-US" sz="1100"/>
                <a:t>nit weight of concrete</a:t>
              </a:r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12</xdr:col>
      <xdr:colOff>536384</xdr:colOff>
      <xdr:row>52</xdr:row>
      <xdr:rowOff>11867</xdr:rowOff>
    </xdr:from>
    <xdr:to>
      <xdr:col>12</xdr:col>
      <xdr:colOff>1445813</xdr:colOff>
      <xdr:row>56</xdr:row>
      <xdr:rowOff>56765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2A3EAA16-C60C-44CA-84F5-BF677B1FB066}"/>
            </a:ext>
          </a:extLst>
        </xdr:cNvPr>
        <xdr:cNvSpPr/>
      </xdr:nvSpPr>
      <xdr:spPr>
        <a:xfrm flipV="1">
          <a:off x="10341842" y="9446909"/>
          <a:ext cx="909429" cy="764564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164909</xdr:colOff>
      <xdr:row>50</xdr:row>
      <xdr:rowOff>108623</xdr:rowOff>
    </xdr:from>
    <xdr:to>
      <xdr:col>12</xdr:col>
      <xdr:colOff>536384</xdr:colOff>
      <xdr:row>56</xdr:row>
      <xdr:rowOff>56765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73DEA56-DCCE-4BF8-9354-0E8A5B0711E1}"/>
            </a:ext>
          </a:extLst>
        </xdr:cNvPr>
        <xdr:cNvCxnSpPr>
          <a:stCxn id="7" idx="0"/>
          <a:endCxn id="12" idx="0"/>
        </xdr:cNvCxnSpPr>
      </xdr:nvCxnSpPr>
      <xdr:spPr>
        <a:xfrm flipH="1" flipV="1">
          <a:off x="9356534" y="9183831"/>
          <a:ext cx="985308" cy="102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164909</xdr:colOff>
      <xdr:row>46</xdr:row>
      <xdr:rowOff>84892</xdr:rowOff>
    </xdr:from>
    <xdr:to>
      <xdr:col>12</xdr:col>
      <xdr:colOff>530034</xdr:colOff>
      <xdr:row>51</xdr:row>
      <xdr:rowOff>177415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0239084-4892-4164-92AF-83E9703D52E3}"/>
            </a:ext>
          </a:extLst>
        </xdr:cNvPr>
        <xdr:cNvCxnSpPr>
          <a:endCxn id="12" idx="2"/>
        </xdr:cNvCxnSpPr>
      </xdr:nvCxnSpPr>
      <xdr:spPr>
        <a:xfrm flipH="1" flipV="1">
          <a:off x="9356534" y="8419267"/>
          <a:ext cx="978958" cy="10132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164909</xdr:colOff>
      <xdr:row>46</xdr:row>
      <xdr:rowOff>84892</xdr:rowOff>
    </xdr:from>
    <xdr:to>
      <xdr:col>12</xdr:col>
      <xdr:colOff>460505</xdr:colOff>
      <xdr:row>50</xdr:row>
      <xdr:rowOff>108623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01001FBD-A795-4322-B75E-E4FE14BB8882}"/>
            </a:ext>
          </a:extLst>
        </xdr:cNvPr>
        <xdr:cNvSpPr/>
      </xdr:nvSpPr>
      <xdr:spPr>
        <a:xfrm flipV="1">
          <a:off x="9356534" y="8419267"/>
          <a:ext cx="909429" cy="764564"/>
        </a:xfrm>
        <a:prstGeom prst="rtTriangle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460505</xdr:colOff>
      <xdr:row>46</xdr:row>
      <xdr:rowOff>84892</xdr:rowOff>
    </xdr:from>
    <xdr:to>
      <xdr:col>12</xdr:col>
      <xdr:colOff>1445813</xdr:colOff>
      <xdr:row>52</xdr:row>
      <xdr:rowOff>11867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EA2E15D-90B8-400B-BA50-6D6A03D601F8}"/>
            </a:ext>
          </a:extLst>
        </xdr:cNvPr>
        <xdr:cNvCxnSpPr>
          <a:stCxn id="7" idx="4"/>
          <a:endCxn id="12" idx="4"/>
        </xdr:cNvCxnSpPr>
      </xdr:nvCxnSpPr>
      <xdr:spPr>
        <a:xfrm flipH="1" flipV="1">
          <a:off x="10265963" y="8419267"/>
          <a:ext cx="985308" cy="102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861451</xdr:colOff>
      <xdr:row>51</xdr:row>
      <xdr:rowOff>9812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7E23668-6D9E-4F52-8BDF-B3E4DEA0A98C}"/>
                </a:ext>
              </a:extLst>
            </xdr:cNvPr>
            <xdr:cNvSpPr txBox="1"/>
          </xdr:nvSpPr>
          <xdr:spPr>
            <a:xfrm>
              <a:off x="10666909" y="926493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7E23668-6D9E-4F52-8BDF-B3E4DEA0A98C}"/>
                </a:ext>
              </a:extLst>
            </xdr:cNvPr>
            <xdr:cNvSpPr txBox="1"/>
          </xdr:nvSpPr>
          <xdr:spPr>
            <a:xfrm>
              <a:off x="10666909" y="926493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386484</xdr:colOff>
      <xdr:row>53</xdr:row>
      <xdr:rowOff>73954</xdr:rowOff>
    </xdr:from>
    <xdr:ext cx="1258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42B222A-6990-4C85-9ECB-6ECEF2F969AF}"/>
                </a:ext>
              </a:extLst>
            </xdr:cNvPr>
            <xdr:cNvSpPr txBox="1"/>
          </xdr:nvSpPr>
          <xdr:spPr>
            <a:xfrm>
              <a:off x="10191942" y="9688912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42B222A-6990-4C85-9ECB-6ECEF2F969AF}"/>
                </a:ext>
              </a:extLst>
            </xdr:cNvPr>
            <xdr:cNvSpPr txBox="1"/>
          </xdr:nvSpPr>
          <xdr:spPr>
            <a:xfrm>
              <a:off x="10191942" y="9688912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856576</xdr:colOff>
      <xdr:row>54</xdr:row>
      <xdr:rowOff>106281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93FCC8C-18D6-4E58-BA7E-FB2CE733C89A}"/>
                </a:ext>
              </a:extLst>
            </xdr:cNvPr>
            <xdr:cNvSpPr txBox="1"/>
          </xdr:nvSpPr>
          <xdr:spPr>
            <a:xfrm>
              <a:off x="10662034" y="9901156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93FCC8C-18D6-4E58-BA7E-FB2CE733C89A}"/>
                </a:ext>
              </a:extLst>
            </xdr:cNvPr>
            <xdr:cNvSpPr txBox="1"/>
          </xdr:nvSpPr>
          <xdr:spPr>
            <a:xfrm>
              <a:off x="10662034" y="9901156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147077</xdr:colOff>
      <xdr:row>52</xdr:row>
      <xdr:rowOff>131518</xdr:rowOff>
    </xdr:from>
    <xdr:ext cx="429027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A33FEE-60B8-482B-93D8-DDB369D9234A}"/>
                </a:ext>
              </a:extLst>
            </xdr:cNvPr>
            <xdr:cNvSpPr txBox="1"/>
          </xdr:nvSpPr>
          <xdr:spPr>
            <a:xfrm>
              <a:off x="9338702" y="9566560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𝑖𝑑𝑡h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𝑠𝑡𝑎𝑖𝑟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A33FEE-60B8-482B-93D8-DDB369D9234A}"/>
                </a:ext>
              </a:extLst>
            </xdr:cNvPr>
            <xdr:cNvSpPr txBox="1"/>
          </xdr:nvSpPr>
          <xdr:spPr>
            <a:xfrm>
              <a:off x="9338702" y="9566560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latin typeface="Cambria Math" panose="02040503050406030204" pitchFamily="18" charset="0"/>
                </a:rPr>
                <a:t>𝑖𝑑𝑡ℎ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𝑜𝑓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𝑠𝑡𝑎𝑖𝑟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20107</xdr:colOff>
      <xdr:row>57</xdr:row>
      <xdr:rowOff>47625</xdr:rowOff>
    </xdr:from>
    <xdr:to>
      <xdr:col>4</xdr:col>
      <xdr:colOff>322790</xdr:colOff>
      <xdr:row>58</xdr:row>
      <xdr:rowOff>21168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0C28F9-FF57-4CC3-A3CE-EDDDA8E51840}"/>
                </a:ext>
              </a:extLst>
            </xdr:cNvPr>
            <xdr:cNvSpPr txBox="1"/>
          </xdr:nvSpPr>
          <xdr:spPr>
            <a:xfrm>
              <a:off x="2052107" y="10382250"/>
              <a:ext cx="2276475" cy="381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𝑅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2∗</m:t>
                      </m:r>
                      <m:rad>
                        <m:radPr>
                          <m:degHide m:val="on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  <m:r>
                    <a:rPr lang="en-US" sz="14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</a:rPr>
                    <m:t>u</m:t>
                  </m:r>
                </m:oMath>
              </a14:m>
              <a:r>
                <a:rPr lang="en-US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nit weight of concrete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0C28F9-FF57-4CC3-A3CE-EDDDA8E51840}"/>
                </a:ext>
              </a:extLst>
            </xdr:cNvPr>
            <xdr:cNvSpPr txBox="1"/>
          </xdr:nvSpPr>
          <xdr:spPr>
            <a:xfrm>
              <a:off x="2052107" y="10382250"/>
              <a:ext cx="2276475" cy="381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( 𝑅 ∗𝑇)/(2∗√(𝑅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+𝑇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2) </a:t>
              </a:r>
              <a:r>
                <a:rPr lang="en-US" sz="1400" b="0" i="0">
                  <a:latin typeface="Cambria Math" panose="02040503050406030204" pitchFamily="18" charset="0"/>
                </a:rPr>
                <a:t> )  ∗u</a:t>
              </a:r>
              <a:r>
                <a:rPr lang="en-US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nit weight of concrete</a:t>
              </a:r>
            </a:p>
            <a:p>
              <a:endParaRPr lang="en-US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topLeftCell="A43" zoomScale="110" zoomScaleNormal="110" zoomScaleSheetLayoutView="130" workbookViewId="0">
      <selection activeCell="H56" sqref="H56"/>
    </sheetView>
  </sheetViews>
  <sheetFormatPr defaultColWidth="8.6640625" defaultRowHeight="13.8" x14ac:dyDescent="0.25"/>
  <cols>
    <col min="1" max="1" width="13.6640625" style="20" customWidth="1"/>
    <col min="2" max="2" width="15.33203125" style="20" customWidth="1"/>
    <col min="3" max="3" width="17" style="20" customWidth="1"/>
    <col min="4" max="4" width="11.33203125" style="20" customWidth="1"/>
    <col min="5" max="5" width="9.6640625" style="20" customWidth="1"/>
    <col min="6" max="6" width="15.5546875" style="20" bestFit="1" customWidth="1"/>
    <col min="7" max="7" width="5.44140625" style="20" customWidth="1"/>
    <col min="8" max="8" width="5.88671875" style="20" bestFit="1" customWidth="1"/>
    <col min="9" max="9" width="22" style="20" bestFit="1" customWidth="1"/>
    <col min="10" max="10" width="7.6640625" style="20" customWidth="1"/>
    <col min="11" max="11" width="7.6640625" style="20" bestFit="1" customWidth="1"/>
    <col min="12" max="12" width="8.6640625" style="20"/>
    <col min="13" max="13" width="21.6640625" style="20" bestFit="1" customWidth="1"/>
    <col min="14" max="16384" width="8.6640625" style="20"/>
  </cols>
  <sheetData>
    <row r="1" spans="1:9" x14ac:dyDescent="0.25">
      <c r="A1" s="10" t="s">
        <v>36</v>
      </c>
    </row>
    <row r="2" spans="1:9" x14ac:dyDescent="0.25">
      <c r="G2" s="21" t="s">
        <v>51</v>
      </c>
      <c r="H2" s="21" t="s">
        <v>52</v>
      </c>
      <c r="I2" s="22"/>
    </row>
    <row r="3" spans="1:9" x14ac:dyDescent="0.25">
      <c r="A3" s="4"/>
      <c r="B3" s="5" t="s">
        <v>37</v>
      </c>
      <c r="C3" s="63">
        <f>ROUNDUP((H3*0.0254),2)</f>
        <v>0.23</v>
      </c>
      <c r="G3" s="25">
        <v>0</v>
      </c>
      <c r="H3" s="26">
        <v>9</v>
      </c>
      <c r="I3" s="22" t="s">
        <v>42</v>
      </c>
    </row>
    <row r="4" spans="1:9" x14ac:dyDescent="0.25">
      <c r="A4" s="4"/>
      <c r="B4" s="5" t="s">
        <v>38</v>
      </c>
      <c r="C4" s="64">
        <f>ROUNDUP((H4*0.0254),3)</f>
        <v>0.115</v>
      </c>
      <c r="G4" s="25">
        <v>0</v>
      </c>
      <c r="H4" s="27">
        <v>4.5</v>
      </c>
      <c r="I4" s="22" t="s">
        <v>43</v>
      </c>
    </row>
    <row r="5" spans="1:9" x14ac:dyDescent="0.25">
      <c r="B5" s="23" t="s">
        <v>44</v>
      </c>
      <c r="C5" s="28">
        <f>ROUNDUP(((G5*12)+H5)*0.0254,3)</f>
        <v>2.7439999999999998</v>
      </c>
      <c r="G5" s="29">
        <v>9</v>
      </c>
      <c r="H5" s="30">
        <v>0</v>
      </c>
      <c r="I5" s="22" t="s">
        <v>48</v>
      </c>
    </row>
    <row r="6" spans="1:9" x14ac:dyDescent="0.25">
      <c r="B6" s="23" t="s">
        <v>45</v>
      </c>
      <c r="C6" s="28">
        <f>ROUNDUP(((G6*12)+H6)*0.0254,3)</f>
        <v>0.35599999999999998</v>
      </c>
      <c r="G6" s="29">
        <v>1</v>
      </c>
      <c r="H6" s="30">
        <v>2</v>
      </c>
      <c r="I6" s="22" t="s">
        <v>49</v>
      </c>
    </row>
    <row r="7" spans="1:9" x14ac:dyDescent="0.25">
      <c r="B7" s="23" t="s">
        <v>46</v>
      </c>
      <c r="C7" s="28">
        <f>ROUNDUP(((G7*12)+H7)*0.0254,3)</f>
        <v>0.127</v>
      </c>
      <c r="G7" s="29">
        <v>0</v>
      </c>
      <c r="H7" s="30">
        <v>5</v>
      </c>
      <c r="I7" s="22" t="s">
        <v>50</v>
      </c>
    </row>
    <row r="8" spans="1:9" x14ac:dyDescent="0.25">
      <c r="A8" s="4"/>
      <c r="B8" s="5" t="s">
        <v>39</v>
      </c>
      <c r="C8" s="4" t="str">
        <f>CONCATENATE(C5,"-",C6,)</f>
        <v>2.744-0.356</v>
      </c>
    </row>
    <row r="9" spans="1:9" x14ac:dyDescent="0.25">
      <c r="A9" s="4"/>
      <c r="B9" s="5" t="s">
        <v>53</v>
      </c>
      <c r="C9" s="65">
        <f>C5-C6</f>
        <v>2.3879999999999999</v>
      </c>
    </row>
    <row r="10" spans="1:9" x14ac:dyDescent="0.25">
      <c r="A10" s="4"/>
      <c r="B10" s="5" t="s">
        <v>47</v>
      </c>
      <c r="C10" s="4" t="str">
        <f>CONCATENATE(C5,"-",C7,)</f>
        <v>2.744-0.127</v>
      </c>
    </row>
    <row r="11" spans="1:9" x14ac:dyDescent="0.25">
      <c r="A11" s="4"/>
      <c r="B11" s="5" t="s">
        <v>53</v>
      </c>
      <c r="C11" s="65">
        <f>C5-C7</f>
        <v>2.617</v>
      </c>
    </row>
    <row r="12" spans="1:9" x14ac:dyDescent="0.25">
      <c r="A12" s="4"/>
      <c r="B12" s="5" t="s">
        <v>40</v>
      </c>
      <c r="C12" s="66">
        <v>19.2</v>
      </c>
      <c r="D12" s="9" t="s">
        <v>72</v>
      </c>
    </row>
    <row r="13" spans="1:9" x14ac:dyDescent="0.25">
      <c r="B13" s="23" t="s">
        <v>41</v>
      </c>
      <c r="C13" s="24">
        <v>1</v>
      </c>
    </row>
    <row r="14" spans="1:9" ht="14.4" thickBot="1" x14ac:dyDescent="0.3">
      <c r="A14" s="32"/>
      <c r="C14" s="32"/>
      <c r="D14" s="32"/>
      <c r="E14" s="32"/>
    </row>
    <row r="15" spans="1:9" ht="15" customHeight="1" x14ac:dyDescent="0.25">
      <c r="A15" s="88"/>
      <c r="B15" s="89" t="s">
        <v>55</v>
      </c>
      <c r="C15" s="90"/>
      <c r="D15" s="33">
        <v>0.25</v>
      </c>
      <c r="E15" s="34"/>
      <c r="F15" s="87" t="s">
        <v>57</v>
      </c>
      <c r="G15" s="35"/>
      <c r="H15" s="36"/>
    </row>
    <row r="16" spans="1:9" ht="14.4" thickBot="1" x14ac:dyDescent="0.3">
      <c r="A16" s="67" t="s">
        <v>54</v>
      </c>
      <c r="B16" s="68" t="s">
        <v>58</v>
      </c>
      <c r="C16" s="69"/>
      <c r="D16" s="70" t="s">
        <v>56</v>
      </c>
      <c r="E16" s="71"/>
      <c r="F16" s="72" t="s">
        <v>59</v>
      </c>
      <c r="H16" s="37"/>
    </row>
    <row r="17" spans="1:6" ht="14.4" thickBot="1" x14ac:dyDescent="0.3">
      <c r="A17" s="73"/>
      <c r="B17" s="74">
        <f>+H3</f>
        <v>9</v>
      </c>
      <c r="C17" s="75">
        <f>+H4</f>
        <v>4.5</v>
      </c>
      <c r="D17" s="74">
        <f>+B17</f>
        <v>9</v>
      </c>
      <c r="E17" s="75">
        <f>+C17</f>
        <v>4.5</v>
      </c>
      <c r="F17" s="76">
        <f>+C17</f>
        <v>4.5</v>
      </c>
    </row>
    <row r="18" spans="1:6" x14ac:dyDescent="0.25">
      <c r="A18" s="77" t="s">
        <v>34</v>
      </c>
      <c r="B18" s="78" t="str">
        <f>CONCATENATE("=",C3,"*",C9,"*",C12)</f>
        <v>=0.23*2.388*19.2</v>
      </c>
      <c r="C18" s="78" t="str">
        <f>CONCATENATE("=",C4,"*",C9,"*",C12)</f>
        <v>=0.115*2.388*19.2</v>
      </c>
      <c r="D18" s="78" t="str">
        <f>CONCATENATE("=",(1-$D$15),"*",B19)</f>
        <v>=0.75*10.55</v>
      </c>
      <c r="E18" s="79" t="str">
        <f>CONCATENATE("=",(1-$D$15),"*",C19)</f>
        <v>=0.75*5.27</v>
      </c>
      <c r="F18" s="80" t="str">
        <f>CONCATENATE("=",C13,"*",C4,"*",C12)</f>
        <v>=1*0.115*19.2</v>
      </c>
    </row>
    <row r="19" spans="1:6" ht="14.4" thickBot="1" x14ac:dyDescent="0.3">
      <c r="A19" s="81"/>
      <c r="B19" s="82">
        <f>ROUND((C3*C9*C12),2)</f>
        <v>10.55</v>
      </c>
      <c r="C19" s="82">
        <f>ROUND((C4*C9*C12),2)</f>
        <v>5.27</v>
      </c>
      <c r="D19" s="82">
        <f>ROUND(((1-$D$15)*B19),3)</f>
        <v>7.9130000000000003</v>
      </c>
      <c r="E19" s="83">
        <f>ROUND(((1-$D$15)*C19),3)</f>
        <v>3.9529999999999998</v>
      </c>
      <c r="F19" s="84">
        <f>ROUND((C13*C4*C12),3)</f>
        <v>2.2080000000000002</v>
      </c>
    </row>
    <row r="20" spans="1:6" x14ac:dyDescent="0.25">
      <c r="A20" s="77" t="s">
        <v>35</v>
      </c>
      <c r="B20" s="78" t="str">
        <f>CONCATENATE("=",C3,"*",C11,"*",C12)</f>
        <v>=0.23*2.617*19.2</v>
      </c>
      <c r="C20" s="78" t="str">
        <f>CONCATENATE("=",C4,"*",C11,"*",C12)</f>
        <v>=0.115*2.617*19.2</v>
      </c>
      <c r="D20" s="78" t="str">
        <f>CONCATENATE("=",(1-$D$15),"*",B21)</f>
        <v>=0.75*11.56</v>
      </c>
      <c r="E20" s="79" t="str">
        <f>CONCATENATE("=",(1-$D$15),"*",C21)</f>
        <v>=0.75*5.78</v>
      </c>
      <c r="F20" s="85"/>
    </row>
    <row r="21" spans="1:6" ht="14.4" thickBot="1" x14ac:dyDescent="0.3">
      <c r="A21" s="81"/>
      <c r="B21" s="82">
        <f>ROUND((C3*C11*C12),2)</f>
        <v>11.56</v>
      </c>
      <c r="C21" s="82">
        <f>ROUND((C4*C11*C12),2)</f>
        <v>5.78</v>
      </c>
      <c r="D21" s="82">
        <f>ROUND(((1-$D$15)*B21),3)</f>
        <v>8.67</v>
      </c>
      <c r="E21" s="83">
        <f>ROUND(((1-$D$15)*C21),3)</f>
        <v>4.335</v>
      </c>
      <c r="F21" s="86"/>
    </row>
    <row r="22" spans="1:6" x14ac:dyDescent="0.25">
      <c r="A22" s="38"/>
      <c r="B22" s="32"/>
      <c r="C22" s="32"/>
      <c r="D22" s="32"/>
      <c r="E22" s="32"/>
    </row>
    <row r="23" spans="1:6" x14ac:dyDescent="0.25">
      <c r="A23" s="38"/>
      <c r="B23" s="32"/>
      <c r="C23" s="32"/>
      <c r="D23" s="32"/>
      <c r="E23" s="32"/>
    </row>
    <row r="24" spans="1:6" x14ac:dyDescent="0.25">
      <c r="A24" s="38"/>
      <c r="B24" s="32"/>
      <c r="C24" s="32"/>
      <c r="D24" s="32"/>
      <c r="E24" s="32"/>
    </row>
    <row r="25" spans="1:6" x14ac:dyDescent="0.25">
      <c r="A25" s="10" t="s">
        <v>60</v>
      </c>
      <c r="B25" s="39"/>
      <c r="C25" s="32"/>
      <c r="D25" s="40"/>
      <c r="E25" s="32"/>
    </row>
    <row r="27" spans="1:6" x14ac:dyDescent="0.25">
      <c r="A27" s="31" t="s">
        <v>64</v>
      </c>
    </row>
    <row r="28" spans="1:6" x14ac:dyDescent="0.25">
      <c r="B28" s="23" t="s">
        <v>61</v>
      </c>
      <c r="C28" s="41">
        <v>50</v>
      </c>
    </row>
    <row r="29" spans="1:6" x14ac:dyDescent="0.25">
      <c r="A29" s="4"/>
      <c r="B29" s="5" t="s">
        <v>63</v>
      </c>
      <c r="C29" s="91">
        <v>20</v>
      </c>
      <c r="D29" s="9" t="s">
        <v>73</v>
      </c>
    </row>
    <row r="30" spans="1:6" x14ac:dyDescent="0.25">
      <c r="A30" s="4"/>
      <c r="B30" s="5" t="s">
        <v>74</v>
      </c>
      <c r="C30" s="92">
        <v>0.22</v>
      </c>
      <c r="D30" s="9" t="s">
        <v>75</v>
      </c>
    </row>
    <row r="31" spans="1:6" x14ac:dyDescent="0.25">
      <c r="B31" s="23" t="s">
        <v>62</v>
      </c>
      <c r="C31" s="42">
        <v>12.5</v>
      </c>
    </row>
    <row r="32" spans="1:6" x14ac:dyDescent="0.25">
      <c r="B32" s="23" t="s">
        <v>65</v>
      </c>
      <c r="C32" s="42">
        <v>10</v>
      </c>
    </row>
    <row r="33" spans="1:12" ht="16.8" x14ac:dyDescent="0.25">
      <c r="B33" s="23" t="s">
        <v>66</v>
      </c>
      <c r="C33" s="38" t="s">
        <v>67</v>
      </c>
    </row>
    <row r="34" spans="1:12" x14ac:dyDescent="0.25">
      <c r="B34" s="43" t="s">
        <v>70</v>
      </c>
      <c r="C34" s="38"/>
    </row>
    <row r="35" spans="1:12" ht="13.95" customHeight="1" x14ac:dyDescent="0.25">
      <c r="B35" s="23" t="s">
        <v>68</v>
      </c>
      <c r="C35" s="20" t="str">
        <f>CONCATENATE(C29,"*(",C28,"/1000)")</f>
        <v>20*(50/1000)</v>
      </c>
      <c r="K35" s="44"/>
      <c r="L35" s="44"/>
    </row>
    <row r="36" spans="1:12" ht="13.95" customHeight="1" x14ac:dyDescent="0.25">
      <c r="B36" s="23" t="s">
        <v>53</v>
      </c>
      <c r="C36" s="45">
        <f>C29*(C28/1000)</f>
        <v>1</v>
      </c>
      <c r="K36" s="44"/>
      <c r="L36" s="44"/>
    </row>
    <row r="37" spans="1:12" ht="13.95" customHeight="1" x14ac:dyDescent="0.25">
      <c r="B37" s="23" t="s">
        <v>76</v>
      </c>
      <c r="C37" s="20" t="str">
        <f>CONCATENATE(C29,"*(",C31,"/1000)")</f>
        <v>20*(12.5/1000)</v>
      </c>
      <c r="K37" s="44"/>
      <c r="L37" s="44"/>
    </row>
    <row r="38" spans="1:12" ht="13.95" customHeight="1" x14ac:dyDescent="0.25">
      <c r="B38" s="23" t="s">
        <v>53</v>
      </c>
      <c r="C38" s="45">
        <f>C29*(C31/1000)</f>
        <v>0.25</v>
      </c>
      <c r="K38" s="44"/>
      <c r="L38" s="44"/>
    </row>
    <row r="39" spans="1:12" x14ac:dyDescent="0.25">
      <c r="B39" s="23" t="s">
        <v>69</v>
      </c>
      <c r="C39" s="20" t="str">
        <f>CONCATENATE(C30,"*(",C32,"/1000)")</f>
        <v>0.22*(10/1000)</v>
      </c>
      <c r="K39" s="32"/>
    </row>
    <row r="40" spans="1:12" x14ac:dyDescent="0.25">
      <c r="B40" s="23" t="s">
        <v>53</v>
      </c>
      <c r="C40" s="46">
        <f>C30*(C32/1000)</f>
        <v>2.2000000000000001E-3</v>
      </c>
      <c r="K40" s="32"/>
    </row>
    <row r="41" spans="1:12" x14ac:dyDescent="0.25">
      <c r="B41" s="43" t="s">
        <v>71</v>
      </c>
      <c r="C41" s="47">
        <f>C36+C38+C40</f>
        <v>1.2522</v>
      </c>
      <c r="K41" s="32"/>
    </row>
    <row r="42" spans="1:12" x14ac:dyDescent="0.25">
      <c r="A42" s="48"/>
      <c r="C42" s="32"/>
      <c r="E42" s="49"/>
    </row>
    <row r="43" spans="1:12" x14ac:dyDescent="0.25">
      <c r="A43" s="50" t="s">
        <v>81</v>
      </c>
      <c r="B43" s="51"/>
      <c r="C43" s="32"/>
      <c r="D43" s="52"/>
      <c r="E43" s="51"/>
      <c r="G43" s="21" t="s">
        <v>51</v>
      </c>
      <c r="H43" s="21" t="s">
        <v>52</v>
      </c>
    </row>
    <row r="44" spans="1:12" x14ac:dyDescent="0.25">
      <c r="B44" s="23" t="s">
        <v>82</v>
      </c>
      <c r="C44" s="53">
        <f>ROUNDUP(((G44*12)+H44)*0.0254,3)</f>
        <v>1.5499999999999998</v>
      </c>
      <c r="G44" s="29">
        <v>5</v>
      </c>
      <c r="H44" s="30">
        <v>1</v>
      </c>
    </row>
    <row r="45" spans="1:12" x14ac:dyDescent="0.25">
      <c r="A45" s="38"/>
      <c r="B45" s="23" t="s">
        <v>83</v>
      </c>
      <c r="C45" s="53">
        <f>ROUNDUP(((G45*12)+H45)*0.0254,3)</f>
        <v>1.956</v>
      </c>
      <c r="D45" s="54"/>
      <c r="E45" s="54"/>
      <c r="G45" s="29">
        <v>6</v>
      </c>
      <c r="H45" s="55">
        <v>5</v>
      </c>
    </row>
    <row r="46" spans="1:12" x14ac:dyDescent="0.25">
      <c r="A46" s="38"/>
      <c r="B46" s="5" t="s">
        <v>84</v>
      </c>
      <c r="C46" s="93" t="str">
        <f>CONCATENATE(C44,"*",C45)</f>
        <v>1.55*1.956</v>
      </c>
      <c r="D46" s="54"/>
      <c r="E46" s="54"/>
      <c r="G46" s="56"/>
      <c r="H46" s="57"/>
    </row>
    <row r="47" spans="1:12" ht="16.8" x14ac:dyDescent="0.25">
      <c r="A47" s="38"/>
      <c r="B47" s="5" t="s">
        <v>53</v>
      </c>
      <c r="C47" s="16">
        <f>C44*C45</f>
        <v>3.0317999999999996</v>
      </c>
      <c r="D47" s="54"/>
      <c r="E47" s="58"/>
      <c r="G47" s="56"/>
      <c r="H47" s="57"/>
    </row>
    <row r="48" spans="1:12" x14ac:dyDescent="0.25">
      <c r="B48" s="23" t="s">
        <v>89</v>
      </c>
      <c r="C48" s="59">
        <v>2000</v>
      </c>
      <c r="H48" s="56"/>
      <c r="I48" s="57"/>
    </row>
    <row r="49" spans="1:9" x14ac:dyDescent="0.25">
      <c r="A49" s="38"/>
      <c r="B49" s="23" t="s">
        <v>53</v>
      </c>
      <c r="C49" s="38" t="str">
        <f>CONCATENATE(C48/100," KN")</f>
        <v>20 KN</v>
      </c>
      <c r="D49" s="38"/>
      <c r="E49" s="38"/>
      <c r="H49" s="56"/>
      <c r="I49" s="60"/>
    </row>
    <row r="50" spans="1:9" x14ac:dyDescent="0.25">
      <c r="A50" s="32"/>
      <c r="B50" s="23" t="s">
        <v>90</v>
      </c>
      <c r="C50" s="38" t="str">
        <f>CONCATENATE((C48/100),"/",ROUND(C47,3))</f>
        <v>20/3.032</v>
      </c>
      <c r="D50" s="32"/>
      <c r="E50" s="32"/>
      <c r="H50" s="56"/>
    </row>
    <row r="51" spans="1:9" x14ac:dyDescent="0.25">
      <c r="A51" s="61"/>
      <c r="B51" s="23" t="s">
        <v>53</v>
      </c>
      <c r="C51" s="62">
        <f>(C48/100)/C47</f>
        <v>6.5967412098423388</v>
      </c>
      <c r="D51" s="32"/>
      <c r="E51" s="32"/>
    </row>
    <row r="52" spans="1:9" x14ac:dyDescent="0.25">
      <c r="A52" s="51"/>
      <c r="C52" s="32"/>
      <c r="D52" s="32"/>
      <c r="E52" s="32"/>
    </row>
    <row r="53" spans="1:9" x14ac:dyDescent="0.25">
      <c r="A53" s="31" t="s">
        <v>91</v>
      </c>
      <c r="C53" s="32"/>
      <c r="D53" s="32"/>
      <c r="E53" s="32"/>
      <c r="G53" s="21" t="s">
        <v>51</v>
      </c>
      <c r="H53" s="21" t="s">
        <v>52</v>
      </c>
    </row>
    <row r="54" spans="1:9" x14ac:dyDescent="0.25">
      <c r="B54" s="23" t="s">
        <v>94</v>
      </c>
      <c r="C54" s="53">
        <f>ROUNDUP(((G54*12)+H54)*0.0254,3)</f>
        <v>0.17799999999999999</v>
      </c>
      <c r="D54" s="32"/>
      <c r="E54" s="32"/>
      <c r="G54" s="29">
        <v>0</v>
      </c>
      <c r="H54" s="30">
        <v>7</v>
      </c>
    </row>
    <row r="55" spans="1:9" x14ac:dyDescent="0.25">
      <c r="A55" s="32"/>
      <c r="B55" s="23" t="s">
        <v>95</v>
      </c>
      <c r="C55" s="53">
        <f>ROUNDUP(((G55*12)+H55)*0.0254,3)</f>
        <v>0.254</v>
      </c>
      <c r="D55" s="32"/>
      <c r="E55" s="32"/>
      <c r="G55" s="29">
        <v>0</v>
      </c>
      <c r="H55" s="55">
        <v>10</v>
      </c>
    </row>
    <row r="56" spans="1:9" x14ac:dyDescent="0.25">
      <c r="A56" s="32"/>
      <c r="B56" s="23" t="s">
        <v>93</v>
      </c>
      <c r="C56" s="53">
        <f>ROUNDUP(((G56*12)+H56)*0.0254,3)</f>
        <v>1.0669999999999999</v>
      </c>
      <c r="D56" s="32"/>
      <c r="E56" s="32"/>
      <c r="G56" s="29">
        <v>3</v>
      </c>
      <c r="H56" s="55">
        <v>6</v>
      </c>
    </row>
    <row r="57" spans="1:9" x14ac:dyDescent="0.25">
      <c r="A57" s="94"/>
      <c r="B57" s="5" t="s">
        <v>92</v>
      </c>
      <c r="C57" s="95">
        <v>25</v>
      </c>
      <c r="D57" s="96" t="s">
        <v>97</v>
      </c>
      <c r="E57" s="94"/>
      <c r="F57" s="4"/>
    </row>
    <row r="58" spans="1:9" ht="31.95" customHeight="1" x14ac:dyDescent="0.25">
      <c r="A58" s="4"/>
      <c r="B58" s="97" t="s">
        <v>96</v>
      </c>
      <c r="C58" s="4"/>
      <c r="D58" s="4"/>
      <c r="E58" s="4"/>
      <c r="F58" s="4"/>
    </row>
    <row r="59" spans="1:9" x14ac:dyDescent="0.25">
      <c r="A59" s="4"/>
      <c r="B59" s="5" t="s">
        <v>53</v>
      </c>
      <c r="C59" s="4" t="str">
        <f>CONCATENATE("(",C54,"*",C55,"*",C57,")/{2*sqrt(",C54,"^2+",C55,"^2}")</f>
        <v>(0.178*0.254*25)/{2*sqrt(0.178^2+0.254^2}</v>
      </c>
      <c r="D59" s="4"/>
      <c r="E59" s="4"/>
      <c r="F59" s="4"/>
    </row>
    <row r="60" spans="1:9" x14ac:dyDescent="0.25">
      <c r="A60" s="4"/>
      <c r="B60" s="5" t="s">
        <v>53</v>
      </c>
      <c r="C60" s="17">
        <f>(0.5*C54*C55*C57)/(SQRT(C54^2+C55^2))</f>
        <v>1.8221167310292938</v>
      </c>
      <c r="D60" s="4"/>
      <c r="E60" s="4"/>
      <c r="F60" s="4"/>
    </row>
    <row r="61" spans="1:9" x14ac:dyDescent="0.25">
      <c r="B61" s="23"/>
    </row>
    <row r="62" spans="1:9" x14ac:dyDescent="0.25">
      <c r="B62" s="23"/>
    </row>
  </sheetData>
  <sheetProtection algorithmName="SHA-512" hashValue="RK4RvZMWZ1fMv3D6bssvFafxCHFrpTy7o4L5PW8VnD14FCrbTSWoONaAtuxOSfsG2VyRTBYHwGXsmggt9zvRbQ==" saltValue="9V9muSQfEsK6JEZXBZRnZQ==" spinCount="100000" sheet="1" objects="1" scenarios="1"/>
  <pageMargins left="0.7" right="0.7" top="0.75" bottom="0.75" header="0.3" footer="0.3"/>
  <pageSetup paperSize="9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zoomScale="110" zoomScaleNormal="110" zoomScaleSheetLayoutView="70" workbookViewId="0">
      <selection activeCell="C14" sqref="C14"/>
    </sheetView>
  </sheetViews>
  <sheetFormatPr defaultColWidth="8.6640625" defaultRowHeight="13.8" x14ac:dyDescent="0.25"/>
  <cols>
    <col min="1" max="1" width="3" style="4" customWidth="1"/>
    <col min="2" max="2" width="26.33203125" style="4" customWidth="1"/>
    <col min="3" max="3" width="22.109375" style="4" bestFit="1" customWidth="1"/>
    <col min="4" max="16384" width="8.6640625" style="4"/>
  </cols>
  <sheetData>
    <row r="1" spans="1:12" x14ac:dyDescent="0.25">
      <c r="A1" s="10" t="s">
        <v>80</v>
      </c>
      <c r="H1" s="6" t="s">
        <v>51</v>
      </c>
      <c r="I1" s="6" t="s">
        <v>52</v>
      </c>
    </row>
    <row r="2" spans="1:12" x14ac:dyDescent="0.25">
      <c r="B2" s="5" t="s">
        <v>82</v>
      </c>
      <c r="C2" s="12">
        <f>ROUNDUP(((H2*12)+I2)*0.0254,3)</f>
        <v>3.5819999999999999</v>
      </c>
      <c r="H2" s="8">
        <v>11</v>
      </c>
      <c r="I2" s="7">
        <v>9</v>
      </c>
    </row>
    <row r="3" spans="1:12" x14ac:dyDescent="0.25">
      <c r="B3" s="5" t="s">
        <v>83</v>
      </c>
      <c r="C3" s="12">
        <f>ROUNDUP(((H3*12)+I3)*0.0254,3)</f>
        <v>2.4390000000000001</v>
      </c>
      <c r="H3" s="8">
        <v>8</v>
      </c>
      <c r="I3" s="11">
        <v>0</v>
      </c>
    </row>
    <row r="4" spans="1:12" x14ac:dyDescent="0.25">
      <c r="B4" s="5" t="s">
        <v>77</v>
      </c>
      <c r="C4" s="12">
        <f>ROUNDUP(((H4*12)+I4)*0.0254,3)</f>
        <v>0.115</v>
      </c>
      <c r="H4" s="8">
        <v>0</v>
      </c>
      <c r="I4" s="11">
        <v>4.5</v>
      </c>
    </row>
    <row r="5" spans="1:12" x14ac:dyDescent="0.25">
      <c r="B5" s="5" t="s">
        <v>78</v>
      </c>
      <c r="C5" s="12">
        <f>ROUNDUP(((H5*12)+I5)*0.0254,3)</f>
        <v>1.0039999999999998</v>
      </c>
      <c r="H5" s="8">
        <v>3</v>
      </c>
      <c r="I5" s="7">
        <v>3.5</v>
      </c>
    </row>
    <row r="6" spans="1:12" x14ac:dyDescent="0.25">
      <c r="B6" s="5" t="s">
        <v>79</v>
      </c>
      <c r="C6" s="12">
        <f>ROUNDUP(((H6*12)+I6)*0.0254,3)</f>
        <v>3.6069999999999998</v>
      </c>
      <c r="H6" s="8">
        <v>11</v>
      </c>
      <c r="I6" s="7">
        <v>10</v>
      </c>
      <c r="K6" s="4">
        <f>13</f>
        <v>13</v>
      </c>
      <c r="L6" s="4">
        <v>6</v>
      </c>
    </row>
    <row r="7" spans="1:12" x14ac:dyDescent="0.25">
      <c r="B7" s="5" t="s">
        <v>85</v>
      </c>
      <c r="C7" s="18">
        <v>19.2</v>
      </c>
      <c r="D7" s="9" t="s">
        <v>72</v>
      </c>
      <c r="K7" s="13">
        <v>5</v>
      </c>
      <c r="L7" s="14">
        <v>4</v>
      </c>
    </row>
    <row r="8" spans="1:12" x14ac:dyDescent="0.25">
      <c r="B8" s="5" t="s">
        <v>84</v>
      </c>
      <c r="C8" s="4" t="str">
        <f>CONCATENATE(C2,"*",C3)</f>
        <v>3.582*2.439</v>
      </c>
      <c r="H8" s="4" t="s">
        <v>98</v>
      </c>
      <c r="I8" s="4" t="s">
        <v>12</v>
      </c>
      <c r="K8" s="4">
        <v>5</v>
      </c>
      <c r="L8" s="4">
        <v>0</v>
      </c>
    </row>
    <row r="9" spans="1:12" x14ac:dyDescent="0.25">
      <c r="B9" s="5" t="s">
        <v>53</v>
      </c>
      <c r="C9" s="16">
        <f>I9</f>
        <v>14.924873375999999</v>
      </c>
      <c r="H9" s="98">
        <v>160.65</v>
      </c>
      <c r="I9" s="4">
        <f>CONVERT(H9,"ft2","m2")</f>
        <v>14.924873375999999</v>
      </c>
      <c r="K9" s="4">
        <f>SUM(K6:K8)</f>
        <v>23</v>
      </c>
      <c r="L9" s="4">
        <f>SUM(L6:L8)</f>
        <v>10</v>
      </c>
    </row>
    <row r="10" spans="1:12" x14ac:dyDescent="0.25">
      <c r="B10" s="5" t="s">
        <v>86</v>
      </c>
      <c r="C10" s="4" t="str">
        <f>CONCATENATE(C4,"*",C6)</f>
        <v>0.115*3.607</v>
      </c>
    </row>
    <row r="11" spans="1:12" x14ac:dyDescent="0.25">
      <c r="B11" s="5" t="s">
        <v>53</v>
      </c>
      <c r="C11" s="16">
        <f>C4*C6</f>
        <v>0.41480499999999998</v>
      </c>
    </row>
    <row r="12" spans="1:12" x14ac:dyDescent="0.25">
      <c r="B12" s="15">
        <v>0.2</v>
      </c>
      <c r="C12" s="4" t="str">
        <f>CONCATENATE(1-B12,"*",ROUND(C11,3))</f>
        <v>0.8*0.415</v>
      </c>
    </row>
    <row r="13" spans="1:12" x14ac:dyDescent="0.25">
      <c r="B13" s="5" t="s">
        <v>53</v>
      </c>
      <c r="C13" s="16">
        <f>(1-B12)*C11</f>
        <v>0.33184400000000003</v>
      </c>
    </row>
    <row r="14" spans="1:12" x14ac:dyDescent="0.25">
      <c r="B14" s="4" t="s">
        <v>87</v>
      </c>
      <c r="C14" s="4" t="str">
        <f>CONCATENATE("(",ROUND(C11,3),"*",C5,"*",C7,")/",ROUND(C9,3))</f>
        <v>(0.415*1.004*19.2)/14.925</v>
      </c>
    </row>
    <row r="15" spans="1:12" x14ac:dyDescent="0.25">
      <c r="B15" s="5" t="s">
        <v>53</v>
      </c>
      <c r="C15" s="17">
        <f>(C11*C5*C7)/C9</f>
        <v>0.53575751180965991</v>
      </c>
    </row>
    <row r="16" spans="1:12" x14ac:dyDescent="0.25">
      <c r="B16" s="5" t="s">
        <v>88</v>
      </c>
      <c r="C16" s="4" t="str">
        <f>CONCATENATE("(",ROUND(C13,3),"*",C5,"*",C7,")/",ROUND(C9,3))</f>
        <v>(0.332*1.004*19.2)/14.925</v>
      </c>
    </row>
    <row r="17" spans="2:6" ht="25.2" thickBot="1" x14ac:dyDescent="0.3">
      <c r="B17" s="5" t="s">
        <v>53</v>
      </c>
      <c r="C17" s="17">
        <f>(C13*C5*C7)/C9</f>
        <v>0.42860600944772798</v>
      </c>
      <c r="F17" s="19"/>
    </row>
  </sheetData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A8" zoomScale="171" workbookViewId="0">
      <selection activeCell="D28" sqref="D28"/>
    </sheetView>
  </sheetViews>
  <sheetFormatPr defaultColWidth="8.6640625" defaultRowHeight="14.4" x14ac:dyDescent="0.3"/>
  <cols>
    <col min="1" max="1" width="27.6640625" customWidth="1"/>
    <col min="2" max="2" width="9.33203125" style="1"/>
  </cols>
  <sheetData>
    <row r="1" spans="1:11" x14ac:dyDescent="0.3">
      <c r="A1" s="99" t="s">
        <v>5</v>
      </c>
      <c r="B1" s="99"/>
      <c r="C1" s="99"/>
      <c r="D1" s="99"/>
      <c r="E1" s="99"/>
      <c r="F1" s="99"/>
    </row>
    <row r="2" spans="1:11" x14ac:dyDescent="0.3">
      <c r="A2" s="3" t="s">
        <v>6</v>
      </c>
    </row>
    <row r="3" spans="1:11" x14ac:dyDescent="0.3">
      <c r="A3" t="s">
        <v>7</v>
      </c>
    </row>
    <row r="4" spans="1:11" x14ac:dyDescent="0.3">
      <c r="A4" t="s">
        <v>15</v>
      </c>
      <c r="B4" s="1">
        <v>20</v>
      </c>
      <c r="C4" t="s">
        <v>8</v>
      </c>
    </row>
    <row r="5" spans="1:11" x14ac:dyDescent="0.3">
      <c r="A5" t="s">
        <v>9</v>
      </c>
      <c r="B5" s="1">
        <v>50</v>
      </c>
      <c r="C5" t="s">
        <v>10</v>
      </c>
      <c r="D5">
        <v>0.05</v>
      </c>
      <c r="E5" t="s">
        <v>0</v>
      </c>
    </row>
    <row r="6" spans="1:11" x14ac:dyDescent="0.3">
      <c r="A6" t="s">
        <v>11</v>
      </c>
      <c r="B6" s="1">
        <v>1</v>
      </c>
      <c r="C6" t="s">
        <v>12</v>
      </c>
    </row>
    <row r="7" spans="1:11" x14ac:dyDescent="0.3">
      <c r="A7" t="s">
        <v>6</v>
      </c>
      <c r="B7" s="1">
        <f>B4*D5*B6/B6</f>
        <v>1</v>
      </c>
      <c r="C7" t="s">
        <v>13</v>
      </c>
    </row>
    <row r="9" spans="1:11" x14ac:dyDescent="0.3">
      <c r="A9" s="3" t="s">
        <v>14</v>
      </c>
    </row>
    <row r="10" spans="1:11" x14ac:dyDescent="0.3">
      <c r="A10" t="s">
        <v>16</v>
      </c>
      <c r="B10" s="1">
        <v>19.2</v>
      </c>
      <c r="C10" t="s">
        <v>8</v>
      </c>
    </row>
    <row r="11" spans="1:11" x14ac:dyDescent="0.3">
      <c r="A11" t="s">
        <v>17</v>
      </c>
      <c r="B11" s="1">
        <v>0.23</v>
      </c>
      <c r="C11" t="s">
        <v>0</v>
      </c>
      <c r="D11" t="s">
        <v>1</v>
      </c>
    </row>
    <row r="12" spans="1:11" x14ac:dyDescent="0.3">
      <c r="A12" t="s">
        <v>18</v>
      </c>
      <c r="B12" s="1">
        <v>0.115</v>
      </c>
      <c r="C12" t="s">
        <v>0</v>
      </c>
      <c r="D12" t="s">
        <v>2</v>
      </c>
    </row>
    <row r="13" spans="1:11" x14ac:dyDescent="0.3">
      <c r="A13" t="s">
        <v>4</v>
      </c>
      <c r="B13" s="1">
        <f>(126*0.0254)-(5*0.0254)</f>
        <v>3.0733999999999995</v>
      </c>
      <c r="C13" t="s">
        <v>0</v>
      </c>
    </row>
    <row r="14" spans="1:11" x14ac:dyDescent="0.3">
      <c r="A14" t="s">
        <v>23</v>
      </c>
      <c r="B14" s="1">
        <v>3.8862000000000001</v>
      </c>
      <c r="C14" t="s">
        <v>0</v>
      </c>
      <c r="E14" t="s">
        <v>20</v>
      </c>
      <c r="G14" t="s">
        <v>22</v>
      </c>
      <c r="K14">
        <f>11*12</f>
        <v>132</v>
      </c>
    </row>
    <row r="15" spans="1:11" x14ac:dyDescent="0.3">
      <c r="A15" t="s">
        <v>24</v>
      </c>
      <c r="B15" s="1">
        <v>3.33528</v>
      </c>
      <c r="C15" t="s">
        <v>0</v>
      </c>
    </row>
    <row r="16" spans="1:11" x14ac:dyDescent="0.3">
      <c r="A16" t="s">
        <v>21</v>
      </c>
      <c r="B16" s="1">
        <f>I16*J16</f>
        <v>16.48448316</v>
      </c>
      <c r="C16" t="s">
        <v>12</v>
      </c>
      <c r="G16">
        <f>167*153</f>
        <v>25551</v>
      </c>
      <c r="I16">
        <v>4.2417999999999996</v>
      </c>
      <c r="J16">
        <v>3.8862000000000001</v>
      </c>
    </row>
    <row r="17" spans="1:5" x14ac:dyDescent="0.3">
      <c r="A17" t="s">
        <v>19</v>
      </c>
      <c r="B17" s="1">
        <f>((B10*B11*B15*B13*0.75)+(B10*B12*B13*B14*0.75))/B16</f>
        <v>3.2593780198750251</v>
      </c>
      <c r="C17" t="s">
        <v>13</v>
      </c>
      <c r="D17" t="s">
        <v>30</v>
      </c>
      <c r="E17">
        <f>11*12+4+12+5</f>
        <v>153</v>
      </c>
    </row>
    <row r="19" spans="1:5" x14ac:dyDescent="0.3">
      <c r="A19" s="3" t="s">
        <v>25</v>
      </c>
    </row>
    <row r="20" spans="1:5" x14ac:dyDescent="0.3">
      <c r="A20" t="s">
        <v>26</v>
      </c>
      <c r="B20" s="1">
        <v>25</v>
      </c>
      <c r="C20" t="s">
        <v>3</v>
      </c>
    </row>
    <row r="21" spans="1:5" x14ac:dyDescent="0.3">
      <c r="A21" t="s">
        <v>27</v>
      </c>
      <c r="B21" s="1">
        <f>7*0.0254</f>
        <v>0.17779999999999999</v>
      </c>
      <c r="C21" t="s">
        <v>0</v>
      </c>
    </row>
    <row r="22" spans="1:5" x14ac:dyDescent="0.3">
      <c r="A22" t="s">
        <v>33</v>
      </c>
      <c r="B22" s="1">
        <f>11*0.0254</f>
        <v>0.27939999999999998</v>
      </c>
      <c r="C22" t="s">
        <v>0</v>
      </c>
    </row>
    <row r="23" spans="1:5" x14ac:dyDescent="0.3">
      <c r="A23" t="s">
        <v>28</v>
      </c>
      <c r="B23" s="1">
        <v>2.2847</v>
      </c>
      <c r="C23" t="s">
        <v>0</v>
      </c>
      <c r="D23" s="2">
        <f>B24*SQRT(B21^2+B22^2)</f>
        <v>2.6494038574743559</v>
      </c>
      <c r="E23" t="s">
        <v>0</v>
      </c>
    </row>
    <row r="24" spans="1:5" x14ac:dyDescent="0.3">
      <c r="A24" t="s">
        <v>29</v>
      </c>
      <c r="B24" s="1">
        <v>8</v>
      </c>
    </row>
    <row r="25" spans="1:5" x14ac:dyDescent="0.3">
      <c r="A25" t="s">
        <v>25</v>
      </c>
      <c r="B25" s="1">
        <f>(B24*B22*B21*B20*0.5)/B23</f>
        <v>2.1743476167549347</v>
      </c>
      <c r="C25" t="s">
        <v>13</v>
      </c>
      <c r="D25" s="2">
        <f>B20*B21*B22*0.5*B24/D23</f>
        <v>1.8750376564846087</v>
      </c>
      <c r="E25" t="s">
        <v>13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5" sqref="E5"/>
    </sheetView>
  </sheetViews>
  <sheetFormatPr defaultColWidth="8.6640625" defaultRowHeight="14.4" x14ac:dyDescent="0.3"/>
  <cols>
    <col min="1" max="1" width="21.33203125" customWidth="1"/>
  </cols>
  <sheetData>
    <row r="1" spans="1:5" x14ac:dyDescent="0.3">
      <c r="A1" t="s">
        <v>31</v>
      </c>
      <c r="B1">
        <v>11.48</v>
      </c>
    </row>
    <row r="2" spans="1:5" x14ac:dyDescent="0.3">
      <c r="A2" t="s">
        <v>32</v>
      </c>
      <c r="B2">
        <f>0.004*B1</f>
        <v>4.5920000000000002E-2</v>
      </c>
    </row>
    <row r="3" spans="1:5" x14ac:dyDescent="0.3">
      <c r="B3">
        <f>B2*1000</f>
        <v>45.92</v>
      </c>
      <c r="D3">
        <f>0.701-0.606</f>
        <v>9.4999999999999973E-2</v>
      </c>
    </row>
    <row r="4" spans="1:5" x14ac:dyDescent="0.3">
      <c r="D4">
        <f>D3/0.701</f>
        <v>0.13552068473609127</v>
      </c>
      <c r="E4">
        <f>D4*100</f>
        <v>13.552068473609127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WL(resting on beam and slab)</vt:lpstr>
      <vt:lpstr>Sheet1</vt:lpstr>
      <vt:lpstr>Sheet2</vt:lpstr>
      <vt:lpstr>Sheet3</vt:lpstr>
      <vt:lpstr>Sheet1!Print_Area</vt:lpstr>
      <vt:lpstr>'WL(resting on beam and slab)'!Print_Area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2026-05-27T20:21:19Z</dcterms:modified>
</cp:coreProperties>
</file>