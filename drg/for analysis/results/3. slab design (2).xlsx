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6392" windowHeight="4872" activeTab="2"/>
  </bookViews>
  <sheets>
    <sheet name="two way slab design" sheetId="1" r:id="rId1"/>
    <sheet name="Sheet1" sheetId="7" r:id="rId2"/>
    <sheet name="Slab design print" sheetId="6" r:id="rId3"/>
    <sheet name="calculation for τc" sheetId="4" r:id="rId4"/>
    <sheet name="Input values and Results" sheetId="5" r:id="rId5"/>
    <sheet name="alpha value" sheetId="2" r:id="rId6"/>
    <sheet name="steel area calculation" sheetId="3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F10" i="3"/>
  <c r="F9" i="3"/>
  <c r="F8" i="3"/>
  <c r="F7" i="3"/>
  <c r="D4" i="3"/>
  <c r="D3" i="3"/>
  <c r="R40" i="2"/>
  <c r="R37" i="2"/>
  <c r="R34" i="2"/>
  <c r="R31" i="2"/>
  <c r="R28" i="2"/>
  <c r="R25" i="2"/>
  <c r="R22" i="2"/>
  <c r="R19" i="2"/>
  <c r="M9" i="2"/>
  <c r="M8" i="2"/>
  <c r="P3" i="2"/>
  <c r="I3" i="2"/>
  <c r="B7" i="5"/>
  <c r="C2" i="5"/>
  <c r="B2" i="5"/>
  <c r="B42" i="4"/>
  <c r="S40" i="4"/>
  <c r="Q40" i="4"/>
  <c r="O40" i="4"/>
  <c r="M40" i="4"/>
  <c r="K40" i="4"/>
  <c r="I40" i="4"/>
  <c r="G40" i="4"/>
  <c r="E40" i="4"/>
  <c r="C40" i="4"/>
  <c r="Q39" i="4"/>
  <c r="O39" i="4"/>
  <c r="M39" i="4"/>
  <c r="K39" i="4"/>
  <c r="I39" i="4"/>
  <c r="G39" i="4"/>
  <c r="E39" i="4"/>
  <c r="C39" i="4"/>
  <c r="Q38" i="4"/>
  <c r="O38" i="4"/>
  <c r="M38" i="4"/>
  <c r="K38" i="4"/>
  <c r="I38" i="4"/>
  <c r="G38" i="4"/>
  <c r="E38" i="4"/>
  <c r="C38" i="4"/>
  <c r="C3" i="4"/>
  <c r="C118" i="6"/>
  <c r="C117" i="6"/>
  <c r="C114" i="6"/>
  <c r="C109" i="6"/>
  <c r="C97" i="6"/>
  <c r="C96" i="6"/>
  <c r="C92" i="6"/>
  <c r="D91" i="6"/>
  <c r="D90" i="6"/>
  <c r="C83" i="6"/>
  <c r="F78" i="6"/>
  <c r="E78" i="6"/>
  <c r="F77" i="6"/>
  <c r="E77" i="6"/>
  <c r="D77" i="6"/>
  <c r="C77" i="6"/>
  <c r="F75" i="6"/>
  <c r="E75" i="6"/>
  <c r="D75" i="6"/>
  <c r="C75" i="6"/>
  <c r="F69" i="6"/>
  <c r="E69" i="6"/>
  <c r="D66" i="6"/>
  <c r="C66" i="6"/>
  <c r="C115" i="6" s="1"/>
  <c r="D65" i="6"/>
  <c r="C65" i="6"/>
  <c r="C63" i="6"/>
  <c r="F47" i="6"/>
  <c r="F46" i="6"/>
  <c r="C39" i="6"/>
  <c r="C35" i="6"/>
  <c r="C32" i="6"/>
  <c r="C29" i="6"/>
  <c r="C25" i="6"/>
  <c r="B19" i="6"/>
  <c r="H14" i="6"/>
  <c r="D10" i="6"/>
  <c r="D9" i="6"/>
  <c r="E6" i="6"/>
  <c r="C6" i="6"/>
  <c r="E5" i="6"/>
  <c r="C5" i="6"/>
  <c r="D80" i="7"/>
  <c r="D70" i="7"/>
  <c r="D64" i="7"/>
  <c r="D63" i="7"/>
  <c r="D56" i="7"/>
  <c r="D48" i="7"/>
  <c r="D68" i="7" s="1"/>
  <c r="F44" i="7"/>
  <c r="E44" i="7"/>
  <c r="D44" i="7"/>
  <c r="C44" i="7"/>
  <c r="F35" i="7"/>
  <c r="E35" i="7"/>
  <c r="K29" i="7"/>
  <c r="T21" i="7"/>
  <c r="A21" i="7"/>
  <c r="D17" i="7"/>
  <c r="D15" i="7"/>
  <c r="D13" i="7"/>
  <c r="D12" i="7"/>
  <c r="D7" i="7" s="1"/>
  <c r="D10" i="7" s="1"/>
  <c r="D6" i="7"/>
  <c r="D5" i="7"/>
  <c r="G3" i="7"/>
  <c r="D3" i="7"/>
  <c r="D70" i="1"/>
  <c r="D64" i="1"/>
  <c r="D63" i="1"/>
  <c r="D56" i="1"/>
  <c r="D48" i="1"/>
  <c r="F44" i="1"/>
  <c r="E44" i="1"/>
  <c r="D44" i="1"/>
  <c r="D78" i="6" s="1"/>
  <c r="C44" i="1"/>
  <c r="C78" i="6" s="1"/>
  <c r="F35" i="1"/>
  <c r="E35" i="1"/>
  <c r="K29" i="1"/>
  <c r="T21" i="1"/>
  <c r="A21" i="1"/>
  <c r="D17" i="1"/>
  <c r="D15" i="1"/>
  <c r="D14" i="1"/>
  <c r="F45" i="1" s="1"/>
  <c r="D13" i="1"/>
  <c r="D12" i="1"/>
  <c r="D2" i="3" s="1"/>
  <c r="D6" i="1"/>
  <c r="D8" i="1" s="1"/>
  <c r="D11" i="1" s="1"/>
  <c r="D5" i="1"/>
  <c r="G3" i="1"/>
  <c r="D80" i="1" l="1"/>
  <c r="D68" i="1"/>
  <c r="C104" i="6" s="1"/>
  <c r="C116" i="6"/>
  <c r="B4" i="5"/>
  <c r="B3" i="5"/>
  <c r="D8" i="7"/>
  <c r="D11" i="7" s="1"/>
  <c r="D14" i="7"/>
  <c r="D38" i="7" s="1"/>
  <c r="C2" i="4"/>
  <c r="G7" i="3"/>
  <c r="G10" i="3"/>
  <c r="G9" i="3"/>
  <c r="G8" i="3"/>
  <c r="C20" i="7"/>
  <c r="D19" i="7"/>
  <c r="D81" i="7"/>
  <c r="D84" i="7" s="1"/>
  <c r="D47" i="7"/>
  <c r="D49" i="7" s="1"/>
  <c r="F56" i="7" s="1"/>
  <c r="C75" i="7"/>
  <c r="C76" i="7" s="1"/>
  <c r="J11" i="7"/>
  <c r="P42" i="1"/>
  <c r="F79" i="6"/>
  <c r="C24" i="6"/>
  <c r="C26" i="6" s="1"/>
  <c r="C36" i="6" s="1"/>
  <c r="C41" i="6" s="1"/>
  <c r="C42" i="6" s="1"/>
  <c r="C38" i="1"/>
  <c r="C72" i="6" s="1"/>
  <c r="D7" i="1"/>
  <c r="D10" i="1" s="1"/>
  <c r="I2" i="2" s="1"/>
  <c r="D38" i="1"/>
  <c r="D72" i="6" s="1"/>
  <c r="C45" i="1"/>
  <c r="C79" i="6" s="1"/>
  <c r="D54" i="1"/>
  <c r="C95" i="6" s="1"/>
  <c r="E38" i="1"/>
  <c r="E72" i="6" s="1"/>
  <c r="E45" i="1"/>
  <c r="E79" i="6" s="1"/>
  <c r="C45" i="7"/>
  <c r="D25" i="1"/>
  <c r="D29" i="1" s="1"/>
  <c r="D30" i="1" s="1"/>
  <c r="F36" i="1" s="1"/>
  <c r="D45" i="1"/>
  <c r="D79" i="6" s="1"/>
  <c r="D65" i="1"/>
  <c r="F38" i="1"/>
  <c r="F72" i="6" s="1"/>
  <c r="E38" i="7"/>
  <c r="J11" i="1"/>
  <c r="C15" i="6"/>
  <c r="D81" i="1"/>
  <c r="D84" i="1" s="1"/>
  <c r="C75" i="1"/>
  <c r="C76" i="1" s="1"/>
  <c r="D47" i="1"/>
  <c r="D49" i="1" s="1"/>
  <c r="C14" i="6" l="1"/>
  <c r="E36" i="1"/>
  <c r="B9" i="3" s="1"/>
  <c r="H9" i="3" s="1"/>
  <c r="I9" i="3" s="1"/>
  <c r="C20" i="1"/>
  <c r="D19" i="1"/>
  <c r="C16" i="6" s="1"/>
  <c r="C17" i="6" s="1"/>
  <c r="D45" i="7"/>
  <c r="F45" i="7"/>
  <c r="P42" i="7" s="1"/>
  <c r="C38" i="7"/>
  <c r="D54" i="7"/>
  <c r="E45" i="7"/>
  <c r="D65" i="7"/>
  <c r="D25" i="7"/>
  <c r="D29" i="7" s="1"/>
  <c r="D30" i="7" s="1"/>
  <c r="F38" i="7"/>
  <c r="D60" i="1"/>
  <c r="C102" i="6" s="1"/>
  <c r="A32" i="4"/>
  <c r="A30" i="4"/>
  <c r="A22" i="4"/>
  <c r="A20" i="4"/>
  <c r="A18" i="4"/>
  <c r="A16" i="4"/>
  <c r="A14" i="4"/>
  <c r="A8" i="4"/>
  <c r="A26" i="4"/>
  <c r="A10" i="4"/>
  <c r="A24" i="4"/>
  <c r="A28" i="4"/>
  <c r="A12" i="4"/>
  <c r="F56" i="1"/>
  <c r="E97" i="6" s="1"/>
  <c r="C88" i="6"/>
  <c r="C98" i="6" s="1"/>
  <c r="B10" i="3"/>
  <c r="H10" i="3" s="1"/>
  <c r="I10" i="3" s="1"/>
  <c r="F70" i="6"/>
  <c r="C53" i="6"/>
  <c r="O16" i="2"/>
  <c r="M16" i="2"/>
  <c r="K16" i="2"/>
  <c r="I16" i="2"/>
  <c r="G16" i="2"/>
  <c r="E16" i="2"/>
  <c r="Q16" i="2"/>
  <c r="C16" i="2"/>
  <c r="C50" i="6" l="1"/>
  <c r="E70" i="6"/>
  <c r="D61" i="1"/>
  <c r="C103" i="6" s="1"/>
  <c r="D60" i="7"/>
  <c r="D61" i="7" s="1"/>
  <c r="F64" i="7" s="1"/>
  <c r="F36" i="7"/>
  <c r="E36" i="7"/>
  <c r="G14" i="4"/>
  <c r="F14" i="4"/>
  <c r="D14" i="4"/>
  <c r="E14" i="4"/>
  <c r="C14" i="4"/>
  <c r="I14" i="4" s="1"/>
  <c r="B14" i="4"/>
  <c r="G12" i="4"/>
  <c r="F12" i="4"/>
  <c r="E12" i="4"/>
  <c r="D12" i="4"/>
  <c r="C12" i="4"/>
  <c r="I12" i="4" s="1"/>
  <c r="B12" i="4"/>
  <c r="G8" i="4"/>
  <c r="F8" i="4"/>
  <c r="E8" i="4"/>
  <c r="D8" i="4"/>
  <c r="C8" i="4"/>
  <c r="I8" i="4" s="1"/>
  <c r="B8" i="4"/>
  <c r="G16" i="4"/>
  <c r="F16" i="4"/>
  <c r="D16" i="4"/>
  <c r="E16" i="4"/>
  <c r="C16" i="4"/>
  <c r="I16" i="4" s="1"/>
  <c r="B16" i="4"/>
  <c r="G28" i="4"/>
  <c r="F28" i="4"/>
  <c r="D28" i="4"/>
  <c r="E28" i="4"/>
  <c r="C28" i="4"/>
  <c r="I28" i="4" s="1"/>
  <c r="B28" i="4"/>
  <c r="G20" i="4"/>
  <c r="F20" i="4"/>
  <c r="D20" i="4"/>
  <c r="E20" i="4"/>
  <c r="C20" i="4"/>
  <c r="I20" i="4" s="1"/>
  <c r="B20" i="4"/>
  <c r="G24" i="4"/>
  <c r="F24" i="4"/>
  <c r="E24" i="4"/>
  <c r="D24" i="4"/>
  <c r="C24" i="4"/>
  <c r="I24" i="4" s="1"/>
  <c r="B24" i="4"/>
  <c r="G22" i="4"/>
  <c r="F22" i="4"/>
  <c r="D22" i="4"/>
  <c r="E22" i="4"/>
  <c r="C22" i="4"/>
  <c r="I22" i="4" s="1"/>
  <c r="B22" i="4"/>
  <c r="G18" i="4"/>
  <c r="F18" i="4"/>
  <c r="E18" i="4"/>
  <c r="D18" i="4"/>
  <c r="C18" i="4"/>
  <c r="I18" i="4" s="1"/>
  <c r="B18" i="4"/>
  <c r="G10" i="4"/>
  <c r="F10" i="4"/>
  <c r="D10" i="4"/>
  <c r="E10" i="4"/>
  <c r="C10" i="4"/>
  <c r="I10" i="4" s="1"/>
  <c r="B10" i="4"/>
  <c r="G30" i="4"/>
  <c r="F30" i="4"/>
  <c r="E30" i="4"/>
  <c r="D30" i="4"/>
  <c r="C30" i="4"/>
  <c r="I30" i="4" s="1"/>
  <c r="B30" i="4"/>
  <c r="G26" i="4"/>
  <c r="F26" i="4"/>
  <c r="D26" i="4"/>
  <c r="E26" i="4"/>
  <c r="C26" i="4"/>
  <c r="I26" i="4" s="1"/>
  <c r="B26" i="4"/>
  <c r="G32" i="4"/>
  <c r="F32" i="4"/>
  <c r="D32" i="4"/>
  <c r="E32" i="4"/>
  <c r="C32" i="4"/>
  <c r="I32" i="4" s="1"/>
  <c r="B32" i="4"/>
  <c r="K10" i="3"/>
  <c r="J10" i="3"/>
  <c r="K9" i="3"/>
  <c r="J9" i="3"/>
  <c r="C39" i="2"/>
  <c r="C23" i="2"/>
  <c r="C38" i="2"/>
  <c r="C30" i="2"/>
  <c r="C29" i="2"/>
  <c r="C21" i="2"/>
  <c r="C36" i="2"/>
  <c r="C20" i="2"/>
  <c r="C35" i="2"/>
  <c r="C27" i="2"/>
  <c r="C42" i="2"/>
  <c r="C26" i="2"/>
  <c r="C18" i="2"/>
  <c r="C24" i="2"/>
  <c r="C41" i="2"/>
  <c r="C33" i="2"/>
  <c r="C17" i="2"/>
  <c r="C32" i="2"/>
  <c r="Q32" i="2"/>
  <c r="Q24" i="2"/>
  <c r="Q39" i="2"/>
  <c r="Q23" i="2"/>
  <c r="Q38" i="2"/>
  <c r="Q30" i="2"/>
  <c r="Q29" i="2"/>
  <c r="Q21" i="2"/>
  <c r="Q36" i="2"/>
  <c r="Q20" i="2"/>
  <c r="Q17" i="2"/>
  <c r="Q35" i="2"/>
  <c r="Q27" i="2"/>
  <c r="Q42" i="2"/>
  <c r="Q26" i="2"/>
  <c r="Q18" i="2"/>
  <c r="Q41" i="2"/>
  <c r="Q33" i="2"/>
  <c r="E38" i="2"/>
  <c r="E30" i="2"/>
  <c r="E29" i="2"/>
  <c r="E21" i="2"/>
  <c r="E20" i="2"/>
  <c r="E36" i="2"/>
  <c r="E35" i="2"/>
  <c r="E27" i="2"/>
  <c r="E42" i="2"/>
  <c r="E26" i="2"/>
  <c r="E18" i="2"/>
  <c r="E23" i="2"/>
  <c r="E41" i="2"/>
  <c r="E33" i="2"/>
  <c r="E17" i="2"/>
  <c r="E32" i="2"/>
  <c r="E24" i="2"/>
  <c r="E39" i="2"/>
  <c r="G29" i="2"/>
  <c r="G21" i="2"/>
  <c r="G36" i="2"/>
  <c r="G20" i="2"/>
  <c r="G27" i="2"/>
  <c r="G35" i="2"/>
  <c r="G42" i="2"/>
  <c r="G26" i="2"/>
  <c r="G18" i="2"/>
  <c r="G41" i="2"/>
  <c r="G33" i="2"/>
  <c r="G17" i="2"/>
  <c r="G32" i="2"/>
  <c r="G24" i="2"/>
  <c r="G30" i="2"/>
  <c r="G39" i="2"/>
  <c r="G23" i="2"/>
  <c r="G38" i="2"/>
  <c r="I36" i="2"/>
  <c r="I20" i="2"/>
  <c r="I35" i="2"/>
  <c r="I27" i="2"/>
  <c r="I26" i="2"/>
  <c r="I18" i="2"/>
  <c r="I42" i="2"/>
  <c r="I41" i="2"/>
  <c r="I33" i="2"/>
  <c r="I17" i="2"/>
  <c r="I32" i="2"/>
  <c r="I24" i="2"/>
  <c r="I29" i="2"/>
  <c r="I39" i="2"/>
  <c r="I23" i="2"/>
  <c r="I21" i="2"/>
  <c r="I38" i="2"/>
  <c r="I30" i="2"/>
  <c r="K35" i="2"/>
  <c r="K27" i="2"/>
  <c r="K42" i="2"/>
  <c r="K26" i="2"/>
  <c r="K18" i="2"/>
  <c r="K17" i="2"/>
  <c r="K41" i="2"/>
  <c r="K33" i="2"/>
  <c r="K32" i="2"/>
  <c r="K24" i="2"/>
  <c r="K39" i="2"/>
  <c r="K23" i="2"/>
  <c r="K38" i="2"/>
  <c r="K30" i="2"/>
  <c r="K20" i="2"/>
  <c r="K29" i="2"/>
  <c r="K21" i="2"/>
  <c r="K36" i="2"/>
  <c r="M42" i="2"/>
  <c r="M26" i="2"/>
  <c r="M18" i="2"/>
  <c r="M41" i="2"/>
  <c r="M33" i="2"/>
  <c r="M17" i="2"/>
  <c r="M24" i="2"/>
  <c r="M32" i="2"/>
  <c r="M39" i="2"/>
  <c r="M23" i="2"/>
  <c r="M38" i="2"/>
  <c r="M30" i="2"/>
  <c r="M29" i="2"/>
  <c r="M21" i="2"/>
  <c r="M36" i="2"/>
  <c r="M20" i="2"/>
  <c r="M27" i="2"/>
  <c r="M35" i="2"/>
  <c r="O41" i="2"/>
  <c r="O33" i="2"/>
  <c r="O17" i="2"/>
  <c r="O32" i="2"/>
  <c r="O24" i="2"/>
  <c r="O23" i="2"/>
  <c r="O39" i="2"/>
  <c r="O38" i="2"/>
  <c r="O30" i="2"/>
  <c r="O29" i="2"/>
  <c r="O21" i="2"/>
  <c r="O36" i="2"/>
  <c r="O20" i="2"/>
  <c r="O26" i="2"/>
  <c r="O35" i="2"/>
  <c r="O27" i="2"/>
  <c r="O18" i="2"/>
  <c r="O42" i="2"/>
  <c r="F64" i="1" l="1"/>
  <c r="L10" i="3"/>
  <c r="F37" i="7" s="1"/>
  <c r="F39" i="7" s="1"/>
  <c r="F40" i="7" s="1"/>
  <c r="F42" i="7" s="1"/>
  <c r="I34" i="4"/>
  <c r="D4" i="4" s="1"/>
  <c r="R20" i="2"/>
  <c r="L9" i="3"/>
  <c r="R24" i="2"/>
  <c r="R33" i="2"/>
  <c r="R41" i="2"/>
  <c r="R36" i="2"/>
  <c r="R18" i="2"/>
  <c r="R29" i="2"/>
  <c r="R21" i="2"/>
  <c r="R26" i="2"/>
  <c r="L8" i="2" s="1"/>
  <c r="R30" i="2"/>
  <c r="R42" i="2"/>
  <c r="R38" i="2"/>
  <c r="R32" i="2"/>
  <c r="R27" i="2"/>
  <c r="L9" i="2" s="1"/>
  <c r="R23" i="2"/>
  <c r="R17" i="2"/>
  <c r="R35" i="2"/>
  <c r="R39" i="2"/>
  <c r="F37" i="1" l="1"/>
  <c r="F39" i="1" s="1"/>
  <c r="D69" i="7"/>
  <c r="D71" i="7" s="1"/>
  <c r="F71" i="7" s="1"/>
  <c r="D69" i="1"/>
  <c r="E37" i="1"/>
  <c r="E37" i="7"/>
  <c r="E39" i="7" s="1"/>
  <c r="E40" i="7" s="1"/>
  <c r="E42" i="7" s="1"/>
  <c r="C35" i="7"/>
  <c r="C36" i="7" s="1"/>
  <c r="C35" i="1"/>
  <c r="D35" i="7"/>
  <c r="D36" i="7" s="1"/>
  <c r="D35" i="1"/>
  <c r="F71" i="6" l="1"/>
  <c r="C107" i="6"/>
  <c r="D71" i="1"/>
  <c r="E71" i="6"/>
  <c r="E39" i="1"/>
  <c r="F73" i="6"/>
  <c r="F40" i="1"/>
  <c r="D69" i="6"/>
  <c r="D47" i="6"/>
  <c r="D36" i="1"/>
  <c r="D46" i="6"/>
  <c r="C69" i="6"/>
  <c r="C36" i="1"/>
  <c r="C110" i="6" l="1"/>
  <c r="C111" i="6" s="1"/>
  <c r="F71" i="1"/>
  <c r="F42" i="1"/>
  <c r="F76" i="6" s="1"/>
  <c r="F74" i="6"/>
  <c r="E40" i="1"/>
  <c r="E73" i="6"/>
  <c r="B8" i="3"/>
  <c r="H8" i="3" s="1"/>
  <c r="I8" i="3" s="1"/>
  <c r="C52" i="6"/>
  <c r="D70" i="6"/>
  <c r="B7" i="3"/>
  <c r="H7" i="3" s="1"/>
  <c r="I7" i="3" s="1"/>
  <c r="C49" i="6"/>
  <c r="C70" i="6"/>
  <c r="E74" i="6" l="1"/>
  <c r="E42" i="1"/>
  <c r="E76" i="6" s="1"/>
  <c r="C57" i="6"/>
  <c r="K7" i="3"/>
  <c r="J7" i="3"/>
  <c r="K8" i="3"/>
  <c r="J8" i="3"/>
  <c r="L7" i="3" l="1"/>
  <c r="C37" i="7" s="1"/>
  <c r="C39" i="7" s="1"/>
  <c r="C40" i="7" s="1"/>
  <c r="C42" i="7" s="1"/>
  <c r="L8" i="3"/>
  <c r="D37" i="7" s="1"/>
  <c r="D39" i="7" s="1"/>
  <c r="C37" i="1" l="1"/>
  <c r="C39" i="1" s="1"/>
  <c r="D37" i="1"/>
  <c r="D39" i="1" s="1"/>
  <c r="D53" i="7"/>
  <c r="D40" i="7"/>
  <c r="D42" i="7" s="1"/>
  <c r="H43" i="7" s="1"/>
  <c r="C71" i="6" l="1"/>
  <c r="D71" i="6"/>
  <c r="D73" i="6"/>
  <c r="D53" i="1"/>
  <c r="C94" i="6" s="1"/>
  <c r="D40" i="1"/>
  <c r="C73" i="6"/>
  <c r="C40" i="1"/>
  <c r="C42" i="1" l="1"/>
  <c r="C74" i="6"/>
  <c r="D74" i="6"/>
  <c r="D42" i="1"/>
  <c r="D76" i="6" s="1"/>
  <c r="H43" i="1" l="1"/>
  <c r="C76" i="6"/>
</calcChain>
</file>

<file path=xl/sharedStrings.xml><?xml version="1.0" encoding="utf-8"?>
<sst xmlns="http://schemas.openxmlformats.org/spreadsheetml/2006/main" count="496" uniqueCount="245">
  <si>
    <t>Dimension of Slab</t>
  </si>
  <si>
    <t>c-c length along longer span, ly</t>
  </si>
  <si>
    <t>mm</t>
  </si>
  <si>
    <t>c-c length along shorter span, lx</t>
  </si>
  <si>
    <t>support width</t>
  </si>
  <si>
    <t>clear span ly</t>
  </si>
  <si>
    <t>clear span lx</t>
  </si>
  <si>
    <t>ly+.5d</t>
  </si>
  <si>
    <t>lx+.5d</t>
  </si>
  <si>
    <t>effective span</t>
  </si>
  <si>
    <t>along longer span, ly</t>
  </si>
  <si>
    <t>IS 456 Cl. 22.2.b.2</t>
  </si>
  <si>
    <t>along shorter span, lx</t>
  </si>
  <si>
    <t>thickness of slab</t>
  </si>
  <si>
    <t>clear cover</t>
  </si>
  <si>
    <t>total thickness</t>
  </si>
  <si>
    <t>Reinforced used, Fy</t>
  </si>
  <si>
    <t>N/mm2</t>
  </si>
  <si>
    <t>fck</t>
  </si>
  <si>
    <t>self wt. of concrete (γ)</t>
  </si>
  <si>
    <t>KN/m3</t>
  </si>
  <si>
    <t>ly/lx</t>
  </si>
  <si>
    <t>&lt;2</t>
  </si>
  <si>
    <t>type of slab</t>
  </si>
  <si>
    <t xml:space="preserve">for </t>
  </si>
  <si>
    <t>(l/d)basic</t>
  </si>
  <si>
    <t>cantilever</t>
  </si>
  <si>
    <t>Load Calculation</t>
  </si>
  <si>
    <t>simply supported</t>
  </si>
  <si>
    <t>Self Weight</t>
  </si>
  <si>
    <t>KN/m2</t>
  </si>
  <si>
    <t>continuous</t>
  </si>
  <si>
    <t>live load</t>
  </si>
  <si>
    <t>one conti. &amp; one discont.</t>
  </si>
  <si>
    <t>Wall and  plaster load</t>
  </si>
  <si>
    <t>floor finish</t>
  </si>
  <si>
    <t>FOS</t>
  </si>
  <si>
    <t xml:space="preserve"> total load</t>
  </si>
  <si>
    <t>Main Bar</t>
  </si>
  <si>
    <t>Dist. Bar</t>
  </si>
  <si>
    <t>provide the reinforcement of dia</t>
  </si>
  <si>
    <t>S. No.</t>
  </si>
  <si>
    <t>Description</t>
  </si>
  <si>
    <t>Shorter Direction</t>
  </si>
  <si>
    <t>Longer Direction</t>
  </si>
  <si>
    <t>Support</t>
  </si>
  <si>
    <t>mid</t>
  </si>
  <si>
    <t>αx &amp; αy</t>
  </si>
  <si>
    <t>BM</t>
  </si>
  <si>
    <t>Ast required</t>
  </si>
  <si>
    <t>Ast min</t>
  </si>
  <si>
    <t>Ast required 1</t>
  </si>
  <si>
    <t>Spacing reqd</t>
  </si>
  <si>
    <t>Spacing reqd 1</t>
  </si>
  <si>
    <t>Spacing prov.</t>
  </si>
  <si>
    <t>Ast provided</t>
  </si>
  <si>
    <t>% of steel provided</t>
  </si>
  <si>
    <t>Check for deflection control criteria</t>
  </si>
  <si>
    <t>lx</t>
  </si>
  <si>
    <t>d</t>
  </si>
  <si>
    <t>lx/d</t>
  </si>
  <si>
    <t>γ</t>
  </si>
  <si>
    <t>from fig 6 of IS456</t>
  </si>
  <si>
    <t>β</t>
  </si>
  <si>
    <t>from fig 5 of IS456</t>
  </si>
  <si>
    <t>Fs</t>
  </si>
  <si>
    <t>% of tensional reinforcement</t>
  </si>
  <si>
    <t>α</t>
  </si>
  <si>
    <t>from fig 4 of IS456</t>
  </si>
  <si>
    <t>now, (l/d)basic*αβγ</t>
  </si>
  <si>
    <t>Check Shear</t>
  </si>
  <si>
    <t>Vumax</t>
  </si>
  <si>
    <t>KN</t>
  </si>
  <si>
    <t>Nominal Shear Stress</t>
  </si>
  <si>
    <t>and above</t>
  </si>
  <si>
    <t>From table 20 of IS 456</t>
  </si>
  <si>
    <t>concrete grade</t>
  </si>
  <si>
    <t>τcmax</t>
  </si>
  <si>
    <t>overall depth,D</t>
  </si>
  <si>
    <t>From table 19 of IS 456</t>
  </si>
  <si>
    <t>100*Ast/(bd)</t>
  </si>
  <si>
    <t>τc</t>
  </si>
  <si>
    <t>from table 19 of IS 456</t>
  </si>
  <si>
    <t>k</t>
  </si>
  <si>
    <t>From cl. 40.2.1.1</t>
  </si>
  <si>
    <t>τ'c</t>
  </si>
  <si>
    <t>Provision of torsional reinforcement</t>
  </si>
  <si>
    <t>0.2lx</t>
  </si>
  <si>
    <t>0.2lx*0.2lx</t>
  </si>
  <si>
    <t>mm2</t>
  </si>
  <si>
    <t>According to IS456 CL-D18</t>
  </si>
  <si>
    <t>At corner with one edge continuous and other edge discontinuous,</t>
  </si>
  <si>
    <t>Area of torsional reinforcement</t>
  </si>
  <si>
    <t>of Ast at mid-span</t>
  </si>
  <si>
    <t>Ast torsional</t>
  </si>
  <si>
    <t>Width = 0.2lx</t>
  </si>
  <si>
    <t>Provide diameter of reinforcement</t>
  </si>
  <si>
    <t>D</t>
  </si>
  <si>
    <t>Spacing</t>
  </si>
  <si>
    <t>Provide spacing</t>
  </si>
  <si>
    <t>Design of Two way Slab by  Limit State Method</t>
  </si>
  <si>
    <t>(As per IS 456:2000)</t>
  </si>
  <si>
    <t>Data</t>
  </si>
  <si>
    <t>Longer span of slab, ly</t>
  </si>
  <si>
    <t>m</t>
  </si>
  <si>
    <t>Shorter span of slab, lx</t>
  </si>
  <si>
    <t>Materials used</t>
  </si>
  <si>
    <t>Concrete</t>
  </si>
  <si>
    <t>M20</t>
  </si>
  <si>
    <t>Steel</t>
  </si>
  <si>
    <t>Fe500</t>
  </si>
  <si>
    <t>Effective span</t>
  </si>
  <si>
    <t xml:space="preserve">Support Condition : </t>
  </si>
  <si>
    <t>Calculation of loads</t>
  </si>
  <si>
    <t>i) Dead load</t>
  </si>
  <si>
    <t>i</t>
  </si>
  <si>
    <t>Slab thickness</t>
  </si>
  <si>
    <t>Self weight of concrete</t>
  </si>
  <si>
    <t>Dead load of slab = 25 * 0.125</t>
  </si>
  <si>
    <t>ii</t>
  </si>
  <si>
    <t>Screeding thickness</t>
  </si>
  <si>
    <t>Self weight of screeding</t>
  </si>
  <si>
    <t>Dead load of screeding = 20.4 * 0.03</t>
  </si>
  <si>
    <t>iii</t>
  </si>
  <si>
    <t>marble flooring thickness</t>
  </si>
  <si>
    <t>Self weight of marble</t>
  </si>
  <si>
    <t>Dead load of marble = 27 * 0.019</t>
  </si>
  <si>
    <t>iv</t>
  </si>
  <si>
    <t>Cement plaster thickness</t>
  </si>
  <si>
    <t>Self weight of plaster</t>
  </si>
  <si>
    <t>Dead load of plaster = 20.4 * 0.0125</t>
  </si>
  <si>
    <t>Total dead load on slab</t>
  </si>
  <si>
    <t>ii) Live load</t>
  </si>
  <si>
    <t>For Residential Building</t>
  </si>
  <si>
    <t>Total design load (DL+LL)</t>
  </si>
  <si>
    <t>Factored load = 1.5 * design load</t>
  </si>
  <si>
    <t>Calculation of moments</t>
  </si>
  <si>
    <t xml:space="preserve">As per code, </t>
  </si>
  <si>
    <t xml:space="preserve">  -ve moment at support</t>
  </si>
  <si>
    <t>Support, αx1</t>
  </si>
  <si>
    <t>Support, αy1</t>
  </si>
  <si>
    <t xml:space="preserve">  +ve moment at mid</t>
  </si>
  <si>
    <t>mid, αx2</t>
  </si>
  <si>
    <t>mid, αy2</t>
  </si>
  <si>
    <t xml:space="preserve">Along shorter span, </t>
  </si>
  <si>
    <t>Mx = αx1*wu*lx</t>
  </si>
  <si>
    <t>KNm</t>
  </si>
  <si>
    <t>My = αy1*wu*lx</t>
  </si>
  <si>
    <t>Along longer span,</t>
  </si>
  <si>
    <t>Mx = αx2*wu*lx</t>
  </si>
  <si>
    <t>My = αy2*wu*lx</t>
  </si>
  <si>
    <t>Depth Calculation</t>
  </si>
  <si>
    <t>Minimum depth of slab is calculated considering maximum bending moment</t>
  </si>
  <si>
    <t>Maxm bending moment</t>
  </si>
  <si>
    <t>Depth required,</t>
  </si>
  <si>
    <t>d=sqrt(Mu/(0.36*xumax/d)*(1-0.42*xumax/d)*b*fck)</t>
  </si>
  <si>
    <t>overall depth, D=d+φ/2+clear cover)</t>
  </si>
  <si>
    <t>For safe design, adopting depth of slab</t>
  </si>
  <si>
    <t>Effective depth</t>
  </si>
  <si>
    <t>Reinforcement Calculation</t>
  </si>
  <si>
    <t>Check</t>
  </si>
  <si>
    <t>Minimum reinforcement</t>
  </si>
  <si>
    <t>Min Ast = 0.12% bD</t>
  </si>
  <si>
    <t>&lt; Ast provided in all sections</t>
  </si>
  <si>
    <t>Check for deflection</t>
  </si>
  <si>
    <t>From deflection control criteria</t>
  </si>
  <si>
    <t xml:space="preserve">lx/d &lt; (l/d)basic*αβγ </t>
  </si>
  <si>
    <t>where</t>
  </si>
  <si>
    <t>α = modification factor for tension reinforcement</t>
  </si>
  <si>
    <t>fig 4</t>
  </si>
  <si>
    <t>β = modification factor for compression reinf.</t>
  </si>
  <si>
    <t>fig 5</t>
  </si>
  <si>
    <t>γ = reduction factor for ratios of span to eff. depth in flanged beam</t>
  </si>
  <si>
    <t>fig 6</t>
  </si>
  <si>
    <t xml:space="preserve">(l/d)basic = </t>
  </si>
  <si>
    <t>of IS 456</t>
  </si>
  <si>
    <t>For α,</t>
  </si>
  <si>
    <t>fs = 0.58*fy*(Ast required/Ast provided)</t>
  </si>
  <si>
    <t xml:space="preserve">Since, lx/d &lt; (l/d)basic*αβγ </t>
  </si>
  <si>
    <t>Check for Shear</t>
  </si>
  <si>
    <t>Shear is checked along short span.</t>
  </si>
  <si>
    <t>Maximum shear force, Vumax = w*lx/2</t>
  </si>
  <si>
    <t>Normal shear stress, τv = V/bd</t>
  </si>
  <si>
    <t>% of steel provided = 100*Ast provided/bD</t>
  </si>
  <si>
    <t>Shear capacity of section without reinforcement</t>
  </si>
  <si>
    <t>From table 19,</t>
  </si>
  <si>
    <t>Shear strength, τ'c = k*τc</t>
  </si>
  <si>
    <t xml:space="preserve">For slab thickness 125mm, k  </t>
  </si>
  <si>
    <t xml:space="preserve">Shear strength, τ'c  </t>
  </si>
  <si>
    <t>Since, τ'c &gt; τv</t>
  </si>
  <si>
    <t>Results</t>
  </si>
  <si>
    <t xml:space="preserve">Overall depth of slab = </t>
  </si>
  <si>
    <t>Main bar along short span at support</t>
  </si>
  <si>
    <t>Main bar along short span at mid</t>
  </si>
  <si>
    <t>Distribution Bar along long span at support</t>
  </si>
  <si>
    <t>Distribution bar along long span at mid</t>
  </si>
  <si>
    <t>calculation for τc</t>
  </si>
  <si>
    <t>Values are incomplete</t>
  </si>
  <si>
    <t>Required τc</t>
  </si>
  <si>
    <t>final τc</t>
  </si>
  <si>
    <t>depth,D</t>
  </si>
  <si>
    <t>or more</t>
  </si>
  <si>
    <t>or less</t>
  </si>
  <si>
    <t>overall depth</t>
  </si>
  <si>
    <t>required K</t>
  </si>
  <si>
    <t>N/mm3</t>
  </si>
  <si>
    <t>Type of the slab</t>
  </si>
  <si>
    <t>Two Adjacent Edge Discontinuous</t>
  </si>
  <si>
    <t>Calculation of αx and αy</t>
  </si>
  <si>
    <t>Ratio of longer span to shorter span, ly/lx</t>
  </si>
  <si>
    <t>Select The Data as</t>
  </si>
  <si>
    <t>S.No</t>
  </si>
  <si>
    <t>Interior Pannels</t>
  </si>
  <si>
    <t>One Short Edge Discontinious</t>
  </si>
  <si>
    <t>One Short Edge Discontinuous</t>
  </si>
  <si>
    <t>One Long Edge Discontinious</t>
  </si>
  <si>
    <t>αx</t>
  </si>
  <si>
    <t>αy</t>
  </si>
  <si>
    <t>One Long Edge Discontinuous</t>
  </si>
  <si>
    <t>Two Adjacent Edge Discontinious</t>
  </si>
  <si>
    <t>support</t>
  </si>
  <si>
    <t>Two Short Edge Discontinious</t>
  </si>
  <si>
    <t>mid span</t>
  </si>
  <si>
    <t>Two Short Edge Discontinuous</t>
  </si>
  <si>
    <t>Two Long Edge Discontinious</t>
  </si>
  <si>
    <t>Two Long Edge Discontinuous</t>
  </si>
  <si>
    <t>Three Edge Discontionious (One Long Edge Continious )</t>
  </si>
  <si>
    <t>Three Edge Discontinuous (One Long Edge Continuous )</t>
  </si>
  <si>
    <t>Three Edge Discontionious (One Short Edge Continious )</t>
  </si>
  <si>
    <t>Three Edge Discontinuous (One Short Edge Continuous )</t>
  </si>
  <si>
    <t>Four Edge Discontinious</t>
  </si>
  <si>
    <t>REQD ANS</t>
  </si>
  <si>
    <t>Four Edge Discontinuous</t>
  </si>
  <si>
    <t>calculation of area of steel</t>
  </si>
  <si>
    <t>depth of slab</t>
  </si>
  <si>
    <t>fy</t>
  </si>
  <si>
    <t>b</t>
  </si>
  <si>
    <t>Mumax</t>
  </si>
  <si>
    <t>A</t>
  </si>
  <si>
    <t>B</t>
  </si>
  <si>
    <t>C</t>
  </si>
  <si>
    <t>B2-4AC</t>
  </si>
  <si>
    <t>taking +ve</t>
  </si>
  <si>
    <t>taking -ve</t>
  </si>
  <si>
    <t>Ast reqd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</si>
</sst>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_(* #,##0.00_);_(* \(#,##0.00\);_(* &quot;-&quot;??_);_(@_)"/>
    <numFmt numFmtId="168" formatCode="0.000"/>
    <numFmt numFmtId="169" formatCode="_(* #,##0.000_);_(* \(#,##0.0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2"/>
      <color rgb="FFFF0000"/>
      <name val="Times New Roman"/>
      <charset val="134"/>
    </font>
    <font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color rgb="FFFF0000"/>
      <name val="Times New Roman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14" fillId="0" borderId="0" applyFont="0" applyFill="0" applyBorder="0" applyAlignment="0" applyProtection="0"/>
  </cellStyleXfs>
  <cellXfs count="10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6" borderId="5" xfId="0" applyFill="1" applyBorder="1" applyAlignment="1">
      <alignment vertical="center"/>
    </xf>
    <xf numFmtId="0" fontId="0" fillId="6" borderId="5" xfId="0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0" fillId="8" borderId="0" xfId="0" applyFill="1"/>
    <xf numFmtId="0" fontId="0" fillId="10" borderId="0" xfId="0" applyFill="1"/>
    <xf numFmtId="0" fontId="0" fillId="11" borderId="0" xfId="0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8" fontId="7" fillId="0" borderId="0" xfId="0" applyNumberFormat="1" applyFont="1"/>
    <xf numFmtId="168" fontId="5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center" vertical="center"/>
    </xf>
    <xf numFmtId="168" fontId="5" fillId="0" borderId="5" xfId="0" applyNumberFormat="1" applyFont="1" applyBorder="1" applyAlignment="1">
      <alignment horizontal="center" vertical="center"/>
    </xf>
    <xf numFmtId="0" fontId="5" fillId="0" borderId="5" xfId="0" applyFont="1" applyBorder="1"/>
    <xf numFmtId="168" fontId="5" fillId="0" borderId="5" xfId="0" applyNumberFormat="1" applyFont="1" applyBorder="1"/>
    <xf numFmtId="0" fontId="7" fillId="12" borderId="0" xfId="0" applyFont="1" applyFill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169" fontId="9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5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33</xdr:row>
      <xdr:rowOff>180975</xdr:rowOff>
    </xdr:from>
    <xdr:to>
      <xdr:col>16</xdr:col>
      <xdr:colOff>172669</xdr:colOff>
      <xdr:row>57</xdr:row>
      <xdr:rowOff>54312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41" t="3067" r="3934" b="1227"/>
        <a:stretch>
          <a:fillRect/>
        </a:stretch>
      </xdr:blipFill>
      <xdr:spPr>
        <a:xfrm>
          <a:off x="6054090" y="5996940"/>
          <a:ext cx="4808855" cy="3559175"/>
        </a:xfrm>
        <a:prstGeom prst="rect">
          <a:avLst/>
        </a:prstGeom>
      </xdr:spPr>
    </xdr:pic>
    <xdr:clientData/>
  </xdr:twoCellAnchor>
  <xdr:twoCellAnchor editAs="oneCell">
    <xdr:from>
      <xdr:col>13</xdr:col>
      <xdr:colOff>428624</xdr:colOff>
      <xdr:row>62</xdr:row>
      <xdr:rowOff>181011</xdr:rowOff>
    </xdr:from>
    <xdr:to>
      <xdr:col>18</xdr:col>
      <xdr:colOff>380999</xdr:colOff>
      <xdr:row>71</xdr:row>
      <xdr:rowOff>95250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43" t="11854" r="1938" b="4238"/>
        <a:stretch>
          <a:fillRect/>
        </a:stretch>
      </xdr:blipFill>
      <xdr:spPr>
        <a:xfrm>
          <a:off x="9381490" y="10553700"/>
          <a:ext cx="2939415" cy="1497330"/>
        </a:xfrm>
        <a:prstGeom prst="rect">
          <a:avLst/>
        </a:prstGeom>
      </xdr:spPr>
    </xdr:pic>
    <xdr:clientData/>
  </xdr:twoCellAnchor>
  <xdr:twoCellAnchor editAs="oneCell">
    <xdr:from>
      <xdr:col>16</xdr:col>
      <xdr:colOff>200025</xdr:colOff>
      <xdr:row>39</xdr:row>
      <xdr:rowOff>66675</xdr:rowOff>
    </xdr:from>
    <xdr:to>
      <xdr:col>21</xdr:col>
      <xdr:colOff>271035</xdr:colOff>
      <xdr:row>51</xdr:row>
      <xdr:rowOff>95250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62" t="5920" r="1882" b="1636"/>
        <a:stretch>
          <a:fillRect/>
        </a:stretch>
      </xdr:blipFill>
      <xdr:spPr>
        <a:xfrm>
          <a:off x="10890885" y="6764655"/>
          <a:ext cx="3194685" cy="1781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33</xdr:row>
      <xdr:rowOff>180975</xdr:rowOff>
    </xdr:from>
    <xdr:to>
      <xdr:col>16</xdr:col>
      <xdr:colOff>172669</xdr:colOff>
      <xdr:row>54</xdr:row>
      <xdr:rowOff>54312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41" t="3067" r="3934" b="1227"/>
        <a:stretch>
          <a:fillRect/>
        </a:stretch>
      </xdr:blipFill>
      <xdr:spPr>
        <a:xfrm>
          <a:off x="6054090" y="5996940"/>
          <a:ext cx="4808855" cy="3033395"/>
        </a:xfrm>
        <a:prstGeom prst="rect">
          <a:avLst/>
        </a:prstGeom>
      </xdr:spPr>
    </xdr:pic>
    <xdr:clientData/>
  </xdr:twoCellAnchor>
  <xdr:twoCellAnchor editAs="oneCell">
    <xdr:from>
      <xdr:col>13</xdr:col>
      <xdr:colOff>428624</xdr:colOff>
      <xdr:row>62</xdr:row>
      <xdr:rowOff>181011</xdr:rowOff>
    </xdr:from>
    <xdr:to>
      <xdr:col>18</xdr:col>
      <xdr:colOff>380999</xdr:colOff>
      <xdr:row>71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43" t="11854" r="1938" b="4238"/>
        <a:stretch>
          <a:fillRect/>
        </a:stretch>
      </xdr:blipFill>
      <xdr:spPr>
        <a:xfrm>
          <a:off x="9381490" y="10553700"/>
          <a:ext cx="2939415" cy="1497330"/>
        </a:xfrm>
        <a:prstGeom prst="rect">
          <a:avLst/>
        </a:prstGeom>
      </xdr:spPr>
    </xdr:pic>
    <xdr:clientData/>
  </xdr:twoCellAnchor>
  <xdr:twoCellAnchor editAs="oneCell">
    <xdr:from>
      <xdr:col>16</xdr:col>
      <xdr:colOff>200025</xdr:colOff>
      <xdr:row>39</xdr:row>
      <xdr:rowOff>66675</xdr:rowOff>
    </xdr:from>
    <xdr:to>
      <xdr:col>21</xdr:col>
      <xdr:colOff>271035</xdr:colOff>
      <xdr:row>49</xdr:row>
      <xdr:rowOff>95250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62" t="5920" r="1882" b="1636"/>
        <a:stretch>
          <a:fillRect/>
        </a:stretch>
      </xdr:blipFill>
      <xdr:spPr>
        <a:xfrm>
          <a:off x="10890885" y="6764655"/>
          <a:ext cx="3194685" cy="1430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topLeftCell="A61" workbookViewId="0">
      <selection activeCell="D51" sqref="D51"/>
    </sheetView>
  </sheetViews>
  <sheetFormatPr defaultColWidth="9.109375" defaultRowHeight="13.8"/>
  <cols>
    <col min="1" max="1" width="21.109375" style="57" customWidth="1"/>
    <col min="2" max="2" width="13.5546875" style="57" customWidth="1"/>
    <col min="3" max="9" width="9.109375" style="57"/>
    <col min="10" max="10" width="6.33203125" style="57" customWidth="1"/>
    <col min="11" max="11" width="9.5546875" style="57" customWidth="1"/>
    <col min="12" max="12" width="8.33203125" style="57" customWidth="1"/>
    <col min="13" max="13" width="7.88671875" style="57" customWidth="1"/>
    <col min="14" max="14" width="8.6640625" style="57" customWidth="1"/>
    <col min="15" max="15" width="7.5546875" style="57" customWidth="1"/>
    <col min="16" max="16384" width="9.109375" style="57"/>
  </cols>
  <sheetData>
    <row r="1" spans="1:13">
      <c r="A1" s="57" t="s">
        <v>0</v>
      </c>
    </row>
    <row r="2" spans="1:13">
      <c r="A2" s="57" t="s">
        <v>1</v>
      </c>
      <c r="D2" s="57">
        <v>4217.38</v>
      </c>
      <c r="E2" s="57" t="s">
        <v>2</v>
      </c>
    </row>
    <row r="3" spans="1:13">
      <c r="A3" s="57" t="s">
        <v>3</v>
      </c>
      <c r="D3" s="57">
        <v>3657.42</v>
      </c>
      <c r="E3" s="57" t="s">
        <v>2</v>
      </c>
      <c r="G3" s="57">
        <f>D3*2</f>
        <v>7314.84</v>
      </c>
      <c r="M3" s="57">
        <f>12/3.281*1000</f>
        <v>3657.4215178299301</v>
      </c>
    </row>
    <row r="4" spans="1:13">
      <c r="A4" s="57" t="s">
        <v>4</v>
      </c>
      <c r="D4" s="57">
        <v>230</v>
      </c>
      <c r="E4" s="57" t="s">
        <v>2</v>
      </c>
      <c r="M4" s="57">
        <f>13.833/3.28*1000</f>
        <v>4217.3780487804879</v>
      </c>
    </row>
    <row r="5" spans="1:13">
      <c r="A5" s="57" t="s">
        <v>5</v>
      </c>
      <c r="D5" s="57">
        <f>D2-D4</f>
        <v>3987.38</v>
      </c>
      <c r="E5" s="57" t="s">
        <v>2</v>
      </c>
    </row>
    <row r="6" spans="1:13">
      <c r="A6" s="57" t="s">
        <v>6</v>
      </c>
      <c r="D6" s="57">
        <f>D3-D4</f>
        <v>3427.42</v>
      </c>
      <c r="E6" s="57" t="s">
        <v>2</v>
      </c>
    </row>
    <row r="7" spans="1:13">
      <c r="A7" s="57" t="s">
        <v>7</v>
      </c>
      <c r="D7" s="57">
        <f>D5+0.5*D12</f>
        <v>4039.88</v>
      </c>
    </row>
    <row r="8" spans="1:13">
      <c r="A8" s="57" t="s">
        <v>8</v>
      </c>
      <c r="D8" s="57">
        <f>D6+0.5*D12</f>
        <v>3479.92</v>
      </c>
    </row>
    <row r="9" spans="1:13">
      <c r="A9" s="57" t="s">
        <v>9</v>
      </c>
    </row>
    <row r="10" spans="1:13">
      <c r="A10" s="57" t="s">
        <v>10</v>
      </c>
      <c r="D10" s="58">
        <f>MIN(D2,D7)</f>
        <v>4039.88</v>
      </c>
      <c r="E10" s="57" t="s">
        <v>2</v>
      </c>
      <c r="H10" s="57" t="s">
        <v>11</v>
      </c>
    </row>
    <row r="11" spans="1:13">
      <c r="A11" s="57" t="s">
        <v>12</v>
      </c>
      <c r="D11" s="58">
        <f>MIN(D3,D8)</f>
        <v>3479.92</v>
      </c>
      <c r="E11" s="57" t="s">
        <v>2</v>
      </c>
      <c r="H11" s="57" t="s">
        <v>11</v>
      </c>
      <c r="J11" s="57">
        <f>D11/1000</f>
        <v>3.4799199999999999</v>
      </c>
    </row>
    <row r="12" spans="1:13">
      <c r="A12" s="57" t="s">
        <v>13</v>
      </c>
      <c r="D12" s="58">
        <f>'Input values and Results'!B5</f>
        <v>105</v>
      </c>
      <c r="E12" s="57" t="s">
        <v>2</v>
      </c>
    </row>
    <row r="13" spans="1:13">
      <c r="A13" s="57" t="s">
        <v>14</v>
      </c>
      <c r="D13" s="58">
        <f>'Input values and Results'!B6</f>
        <v>20</v>
      </c>
      <c r="E13" s="57" t="s">
        <v>2</v>
      </c>
    </row>
    <row r="14" spans="1:13">
      <c r="A14" s="57" t="s">
        <v>15</v>
      </c>
      <c r="D14" s="58">
        <f>D12+D13</f>
        <v>125</v>
      </c>
      <c r="E14" s="57" t="s">
        <v>2</v>
      </c>
    </row>
    <row r="15" spans="1:13">
      <c r="A15" s="57" t="s">
        <v>16</v>
      </c>
      <c r="D15" s="58">
        <f>'Input values and Results'!B8</f>
        <v>500</v>
      </c>
      <c r="E15" s="57" t="s">
        <v>17</v>
      </c>
    </row>
    <row r="16" spans="1:13">
      <c r="A16" s="57" t="s">
        <v>18</v>
      </c>
      <c r="D16" s="58">
        <v>20</v>
      </c>
      <c r="E16" s="57" t="s">
        <v>17</v>
      </c>
    </row>
    <row r="17" spans="1:20">
      <c r="A17" s="57" t="s">
        <v>19</v>
      </c>
      <c r="D17" s="58">
        <f>'Input values and Results'!B10</f>
        <v>25</v>
      </c>
      <c r="E17" s="57" t="s">
        <v>20</v>
      </c>
    </row>
    <row r="18" spans="1:20">
      <c r="D18" s="59"/>
    </row>
    <row r="19" spans="1:20">
      <c r="B19" s="57" t="s">
        <v>21</v>
      </c>
      <c r="D19" s="60">
        <f>D10/D11</f>
        <v>1.1609117450975885</v>
      </c>
      <c r="E19" s="57" t="s">
        <v>22</v>
      </c>
    </row>
    <row r="20" spans="1:20" ht="15.6">
      <c r="A20" s="57" t="s">
        <v>23</v>
      </c>
      <c r="C20" s="40" t="str">
        <f>IF(D10/D11&lt;2,"&lt;2 two way slab","&gt;2 so one way slab")</f>
        <v>&lt;2 two way slab</v>
      </c>
    </row>
    <row r="21" spans="1:20">
      <c r="A21" s="75" t="str">
        <f>'Input values and Results'!A12</f>
        <v>Two Adjacent Edge Discontinuous</v>
      </c>
      <c r="B21" s="75"/>
      <c r="C21" s="75"/>
      <c r="D21" s="59"/>
      <c r="E21" s="59"/>
      <c r="F21" s="59"/>
      <c r="I21" s="62"/>
      <c r="J21" s="62"/>
      <c r="K21" s="62"/>
      <c r="L21" s="62"/>
      <c r="T21" s="57" t="str">
        <f>A21</f>
        <v>Two Adjacent Edge Discontinuous</v>
      </c>
    </row>
    <row r="22" spans="1:20">
      <c r="I22" s="68"/>
      <c r="J22" s="68" t="s">
        <v>24</v>
      </c>
      <c r="K22" s="68"/>
      <c r="L22" s="68" t="s">
        <v>25</v>
      </c>
    </row>
    <row r="23" spans="1:20">
      <c r="I23" s="69"/>
      <c r="J23" s="68" t="s">
        <v>26</v>
      </c>
      <c r="K23" s="68"/>
      <c r="L23" s="68">
        <v>7</v>
      </c>
    </row>
    <row r="24" spans="1:20">
      <c r="A24" s="57" t="s">
        <v>27</v>
      </c>
      <c r="I24" s="68"/>
      <c r="J24" s="68" t="s">
        <v>28</v>
      </c>
      <c r="K24" s="68"/>
      <c r="L24" s="68">
        <v>20</v>
      </c>
    </row>
    <row r="25" spans="1:20">
      <c r="A25" s="57" t="s">
        <v>29</v>
      </c>
      <c r="D25" s="57">
        <f>D17*D14/1000</f>
        <v>3.125</v>
      </c>
      <c r="E25" s="57" t="s">
        <v>30</v>
      </c>
      <c r="I25" s="68"/>
      <c r="J25" s="68" t="s">
        <v>31</v>
      </c>
      <c r="K25" s="68"/>
      <c r="L25" s="68">
        <v>26</v>
      </c>
    </row>
    <row r="26" spans="1:20">
      <c r="A26" s="57" t="s">
        <v>32</v>
      </c>
      <c r="D26" s="58">
        <v>2</v>
      </c>
      <c r="E26" s="57" t="s">
        <v>30</v>
      </c>
      <c r="I26" s="68"/>
      <c r="J26" s="68" t="s">
        <v>33</v>
      </c>
      <c r="K26" s="68"/>
      <c r="L26" s="68">
        <v>23</v>
      </c>
    </row>
    <row r="27" spans="1:20">
      <c r="A27" s="57" t="s">
        <v>34</v>
      </c>
      <c r="D27" s="58">
        <v>1.5</v>
      </c>
      <c r="E27" s="57" t="s">
        <v>30</v>
      </c>
    </row>
    <row r="28" spans="1:20">
      <c r="A28" s="57" t="s">
        <v>35</v>
      </c>
      <c r="D28" s="58">
        <v>1.25</v>
      </c>
      <c r="E28" s="57" t="s">
        <v>30</v>
      </c>
    </row>
    <row r="29" spans="1:20">
      <c r="C29" s="57" t="s">
        <v>36</v>
      </c>
      <c r="D29" s="57">
        <f>SUM(D25:D28)</f>
        <v>7.875</v>
      </c>
      <c r="K29" s="57">
        <f>25*0.16</f>
        <v>4</v>
      </c>
    </row>
    <row r="30" spans="1:20" ht="15" customHeight="1">
      <c r="A30" s="57" t="s">
        <v>37</v>
      </c>
      <c r="C30" s="57">
        <v>1.5</v>
      </c>
      <c r="D30" s="57">
        <f>D29*C30</f>
        <v>11.8125</v>
      </c>
      <c r="E30" s="57" t="s">
        <v>30</v>
      </c>
    </row>
    <row r="31" spans="1:20">
      <c r="C31" s="57" t="s">
        <v>38</v>
      </c>
      <c r="D31" s="57" t="s">
        <v>39</v>
      </c>
    </row>
    <row r="32" spans="1:20">
      <c r="A32" s="57" t="s">
        <v>40</v>
      </c>
      <c r="C32" s="58">
        <v>8</v>
      </c>
      <c r="D32" s="58">
        <v>8</v>
      </c>
      <c r="E32" s="57" t="s">
        <v>2</v>
      </c>
      <c r="H32" s="61"/>
    </row>
    <row r="33" spans="1:16">
      <c r="A33" s="80" t="s">
        <v>41</v>
      </c>
      <c r="B33" s="80" t="s">
        <v>42</v>
      </c>
      <c r="C33" s="76" t="s">
        <v>43</v>
      </c>
      <c r="D33" s="76"/>
      <c r="E33" s="76" t="s">
        <v>44</v>
      </c>
      <c r="F33" s="76"/>
      <c r="J33" s="70"/>
      <c r="K33" s="70"/>
      <c r="L33" s="71"/>
      <c r="M33" s="71"/>
      <c r="N33" s="71"/>
      <c r="O33" s="71"/>
    </row>
    <row r="34" spans="1:16">
      <c r="A34" s="80"/>
      <c r="B34" s="80"/>
      <c r="C34" s="62" t="s">
        <v>45</v>
      </c>
      <c r="D34" s="62" t="s">
        <v>46</v>
      </c>
      <c r="E34" s="62" t="s">
        <v>45</v>
      </c>
      <c r="F34" s="62" t="s">
        <v>46</v>
      </c>
      <c r="J34" s="70"/>
      <c r="K34" s="70"/>
    </row>
    <row r="35" spans="1:16">
      <c r="A35" s="62">
        <v>1</v>
      </c>
      <c r="B35" s="62" t="s">
        <v>47</v>
      </c>
      <c r="C35" s="62">
        <f>'alpha value'!L8</f>
        <v>5.7263822156831193E-2</v>
      </c>
      <c r="D35" s="62">
        <f>'alpha value'!L9</f>
        <v>4.3045587254879426E-2</v>
      </c>
      <c r="E35" s="62">
        <f>'alpha value'!M8</f>
        <v>4.7E-2</v>
      </c>
      <c r="F35" s="62">
        <f>'alpha value'!M9</f>
        <v>3.5000000000000003E-2</v>
      </c>
      <c r="L35" s="61"/>
      <c r="M35" s="61"/>
      <c r="N35" s="61"/>
      <c r="O35" s="61"/>
    </row>
    <row r="36" spans="1:16">
      <c r="A36" s="62">
        <v>2</v>
      </c>
      <c r="B36" s="62" t="s">
        <v>48</v>
      </c>
      <c r="C36" s="62">
        <f>C35*$D$30*$D$11*$D$11/10^6</f>
        <v>8.1914479099235997</v>
      </c>
      <c r="D36" s="62">
        <f>D35*$D$30*$D$11*$D$11/10^6</f>
        <v>6.1575646275360016</v>
      </c>
      <c r="E36" s="62">
        <f>E35*$D$30*$D$11*$D$11/10^6</f>
        <v>6.7232335751532011</v>
      </c>
      <c r="F36" s="62">
        <f>F35*$D$30*$D$11*$D$11/10^6</f>
        <v>5.0066633006460002</v>
      </c>
      <c r="L36" s="61"/>
      <c r="M36" s="61"/>
      <c r="N36" s="61"/>
      <c r="O36" s="61"/>
    </row>
    <row r="37" spans="1:16">
      <c r="A37" s="62">
        <v>3</v>
      </c>
      <c r="B37" s="62" t="s">
        <v>49</v>
      </c>
      <c r="C37" s="62">
        <f>'steel area calculation'!L7</f>
        <v>187.73139985320825</v>
      </c>
      <c r="D37" s="62">
        <f>'steel area calculation'!L8</f>
        <v>139.44103438351604</v>
      </c>
      <c r="E37" s="62">
        <f>'steel area calculation'!L9</f>
        <v>152.75148433979138</v>
      </c>
      <c r="F37" s="62">
        <f>'steel area calculation'!L10</f>
        <v>112.63491742693631</v>
      </c>
      <c r="L37" s="72"/>
      <c r="M37" s="72"/>
      <c r="N37" s="72"/>
      <c r="O37" s="72"/>
    </row>
    <row r="38" spans="1:16">
      <c r="A38" s="62">
        <v>4</v>
      </c>
      <c r="B38" s="62" t="s">
        <v>50</v>
      </c>
      <c r="C38" s="62">
        <f>0.12%*1000*$D$14</f>
        <v>150</v>
      </c>
      <c r="D38" s="62">
        <f t="shared" ref="D38:F38" si="0">0.12%*1000*$D$14</f>
        <v>150</v>
      </c>
      <c r="E38" s="62">
        <f t="shared" si="0"/>
        <v>150</v>
      </c>
      <c r="F38" s="62">
        <f t="shared" si="0"/>
        <v>150</v>
      </c>
    </row>
    <row r="39" spans="1:16" ht="15" hidden="1" customHeight="1">
      <c r="A39" s="62"/>
      <c r="B39" s="62" t="s">
        <v>51</v>
      </c>
      <c r="C39" s="62">
        <f>IF(C37&gt;C38,C37,C38)</f>
        <v>187.73139985320825</v>
      </c>
      <c r="D39" s="62">
        <f t="shared" ref="D39:F39" si="1">IF(D37&gt;D38,D37,D38)</f>
        <v>150</v>
      </c>
      <c r="E39" s="62">
        <f t="shared" si="1"/>
        <v>152.75148433979138</v>
      </c>
      <c r="F39" s="62">
        <f t="shared" si="1"/>
        <v>150</v>
      </c>
      <c r="L39" s="61"/>
      <c r="M39" s="61"/>
      <c r="N39" s="61"/>
      <c r="O39" s="61"/>
    </row>
    <row r="40" spans="1:16">
      <c r="A40" s="62">
        <v>5</v>
      </c>
      <c r="B40" s="62" t="s">
        <v>52</v>
      </c>
      <c r="C40" s="62">
        <f>1000/(C39/(22*$C$32*$C$32/(4*7)))</f>
        <v>267.85990156699364</v>
      </c>
      <c r="D40" s="62">
        <f>1000/(D39/(22*$C$32*$C$32/(4*7)))</f>
        <v>335.23809523809524</v>
      </c>
      <c r="E40" s="62">
        <f t="shared" ref="E40:F40" si="2">1000/(E39/(22*$D$32*$D$32/(4*7)))</f>
        <v>329.19951320312629</v>
      </c>
      <c r="F40" s="62">
        <f t="shared" si="2"/>
        <v>335.23809523809524</v>
      </c>
      <c r="L40" s="72"/>
      <c r="M40" s="72"/>
      <c r="N40" s="72"/>
      <c r="O40" s="72"/>
    </row>
    <row r="41" spans="1:16" ht="15" hidden="1" customHeight="1">
      <c r="A41" s="62"/>
      <c r="B41" s="62"/>
      <c r="C41" s="62">
        <v>300</v>
      </c>
      <c r="D41" s="62">
        <v>300</v>
      </c>
      <c r="E41" s="62">
        <v>300</v>
      </c>
      <c r="F41" s="62">
        <v>300</v>
      </c>
    </row>
    <row r="42" spans="1:16" hidden="1">
      <c r="A42" s="62"/>
      <c r="B42" s="62" t="s">
        <v>53</v>
      </c>
      <c r="C42" s="62">
        <f>IF(C40&gt;C41,C41,C40)</f>
        <v>267.85990156699364</v>
      </c>
      <c r="D42" s="62">
        <f t="shared" ref="D42:F42" si="3">IF(D40&gt;D41,D41,D40)</f>
        <v>300</v>
      </c>
      <c r="E42" s="62">
        <f t="shared" si="3"/>
        <v>300</v>
      </c>
      <c r="F42" s="62">
        <f t="shared" si="3"/>
        <v>300</v>
      </c>
      <c r="P42" s="73">
        <f t="shared" ref="P42" si="4">F45</f>
        <v>0.26819047619047598</v>
      </c>
    </row>
    <row r="43" spans="1:16">
      <c r="A43" s="62">
        <v>6</v>
      </c>
      <c r="B43" s="62" t="s">
        <v>54</v>
      </c>
      <c r="C43" s="63">
        <v>150</v>
      </c>
      <c r="D43" s="63">
        <v>150</v>
      </c>
      <c r="E43" s="63">
        <v>150</v>
      </c>
      <c r="F43" s="63">
        <v>150</v>
      </c>
      <c r="H43" s="57" t="b">
        <f>AND(C43&lt;=C42,D43&lt;=D42,E43&lt;=E42,F43&lt;=F42)</f>
        <v>1</v>
      </c>
    </row>
    <row r="44" spans="1:16">
      <c r="A44" s="62">
        <v>7</v>
      </c>
      <c r="B44" s="62" t="s">
        <v>55</v>
      </c>
      <c r="C44" s="62">
        <f>1000*22*$C$32*$C$32/(4*7*C43)</f>
        <v>335.23809523809524</v>
      </c>
      <c r="D44" s="62">
        <f>1000*22*$C$32*$C$32/(4*7*D43)</f>
        <v>335.23809523809524</v>
      </c>
      <c r="E44" s="62">
        <f t="shared" ref="E44:F44" si="5">1000*22*$D$32*$D$32/(4*7*E43)</f>
        <v>335.23809523809501</v>
      </c>
      <c r="F44" s="62">
        <f t="shared" si="5"/>
        <v>335.23809523809501</v>
      </c>
      <c r="L44" s="72"/>
      <c r="M44" s="72"/>
      <c r="N44" s="72"/>
      <c r="O44" s="72"/>
    </row>
    <row r="45" spans="1:16">
      <c r="A45" s="57">
        <v>8</v>
      </c>
      <c r="B45" s="57" t="s">
        <v>56</v>
      </c>
      <c r="C45" s="57">
        <f>C44/(1000*D14)*100</f>
        <v>0.2681904761904762</v>
      </c>
      <c r="D45" s="57">
        <f>D44/(1000*D14)*100</f>
        <v>0.2681904761904762</v>
      </c>
      <c r="E45" s="57">
        <f>E44/(1000*D14)*100</f>
        <v>0.26819047619047598</v>
      </c>
      <c r="F45" s="57">
        <f>F44/(1000*D14)*100</f>
        <v>0.26819047619047598</v>
      </c>
    </row>
    <row r="46" spans="1:16">
      <c r="A46" s="77" t="s">
        <v>57</v>
      </c>
      <c r="B46" s="77"/>
      <c r="C46" s="77"/>
      <c r="D46" s="77"/>
      <c r="E46" s="77"/>
      <c r="F46" s="77"/>
      <c r="G46" s="77"/>
    </row>
    <row r="47" spans="1:16">
      <c r="A47" s="57" t="s">
        <v>58</v>
      </c>
      <c r="D47" s="57">
        <f>D11</f>
        <v>3479.92</v>
      </c>
    </row>
    <row r="48" spans="1:16">
      <c r="A48" s="57" t="s">
        <v>59</v>
      </c>
      <c r="D48" s="57">
        <f>D12</f>
        <v>105</v>
      </c>
    </row>
    <row r="49" spans="1:16">
      <c r="A49" s="57" t="s">
        <v>60</v>
      </c>
      <c r="D49" s="61">
        <f>D47/D48</f>
        <v>33.142095238095237</v>
      </c>
    </row>
    <row r="50" spans="1:16">
      <c r="A50" s="57" t="s">
        <v>25</v>
      </c>
      <c r="D50" s="58">
        <v>23</v>
      </c>
    </row>
    <row r="51" spans="1:16">
      <c r="A51" s="57" t="s">
        <v>61</v>
      </c>
      <c r="D51" s="64">
        <v>1</v>
      </c>
      <c r="F51" s="57" t="s">
        <v>62</v>
      </c>
    </row>
    <row r="52" spans="1:16">
      <c r="A52" s="57" t="s">
        <v>63</v>
      </c>
      <c r="D52" s="64">
        <v>1</v>
      </c>
      <c r="F52" s="57" t="s">
        <v>64</v>
      </c>
    </row>
    <row r="53" spans="1:16">
      <c r="A53" s="57" t="s">
        <v>65</v>
      </c>
      <c r="D53" s="65">
        <f>0.58*D15*D39/D44</f>
        <v>129.75852272727272</v>
      </c>
      <c r="E53" s="57" t="s">
        <v>17</v>
      </c>
    </row>
    <row r="54" spans="1:16">
      <c r="A54" s="57" t="s">
        <v>66</v>
      </c>
      <c r="D54" s="65">
        <f>D44/(1000*D14)*100</f>
        <v>0.2681904761904762</v>
      </c>
    </row>
    <row r="55" spans="1:16">
      <c r="A55" s="57" t="s">
        <v>67</v>
      </c>
      <c r="D55" s="64">
        <v>2</v>
      </c>
      <c r="F55" s="57" t="s">
        <v>68</v>
      </c>
    </row>
    <row r="56" spans="1:16">
      <c r="A56" s="57" t="s">
        <v>69</v>
      </c>
      <c r="D56" s="57">
        <f>D50*D55*D52*D51</f>
        <v>46</v>
      </c>
      <c r="F56" s="57" t="str">
        <f>IF(D56&gt;D49,"OK Safe","Not OK")</f>
        <v>OK Safe</v>
      </c>
    </row>
    <row r="59" spans="1:16">
      <c r="A59" s="77" t="s">
        <v>70</v>
      </c>
      <c r="B59" s="77"/>
      <c r="C59" s="77"/>
      <c r="D59" s="77"/>
      <c r="E59" s="77"/>
      <c r="F59" s="77"/>
      <c r="G59" s="77"/>
    </row>
    <row r="60" spans="1:16">
      <c r="A60" s="57" t="s">
        <v>71</v>
      </c>
      <c r="D60" s="66">
        <f>D30*D11/2000</f>
        <v>20.5532775</v>
      </c>
      <c r="E60" s="57" t="s">
        <v>72</v>
      </c>
    </row>
    <row r="61" spans="1:16">
      <c r="A61" s="57" t="s">
        <v>73</v>
      </c>
      <c r="D61" s="61">
        <f>D60/(1000*D48)*1000</f>
        <v>0.19574549999999999</v>
      </c>
      <c r="E61" s="57" t="s">
        <v>17</v>
      </c>
      <c r="P61" s="57" t="s">
        <v>74</v>
      </c>
    </row>
    <row r="62" spans="1:16">
      <c r="A62" s="57" t="s">
        <v>75</v>
      </c>
      <c r="I62" s="57" t="s">
        <v>76</v>
      </c>
      <c r="K62" s="57">
        <v>15</v>
      </c>
      <c r="L62" s="57">
        <v>20</v>
      </c>
      <c r="M62" s="57">
        <v>25</v>
      </c>
      <c r="N62" s="57">
        <v>30</v>
      </c>
      <c r="O62" s="57">
        <v>35</v>
      </c>
      <c r="P62" s="57">
        <v>40</v>
      </c>
    </row>
    <row r="63" spans="1:16">
      <c r="A63" s="57" t="s">
        <v>18</v>
      </c>
      <c r="D63" s="67">
        <f>D16</f>
        <v>20</v>
      </c>
      <c r="I63" s="57" t="s">
        <v>77</v>
      </c>
      <c r="K63" s="57">
        <v>2.5</v>
      </c>
      <c r="L63" s="57">
        <v>2.8</v>
      </c>
      <c r="M63" s="57">
        <v>3.1</v>
      </c>
      <c r="N63" s="57">
        <v>3.5</v>
      </c>
      <c r="O63" s="57">
        <v>3.7</v>
      </c>
      <c r="P63" s="57">
        <v>4</v>
      </c>
    </row>
    <row r="64" spans="1:16">
      <c r="A64" s="57" t="s">
        <v>77</v>
      </c>
      <c r="D64" s="57">
        <f>IF(D63&lt;=K62,K63,IF(D63=L62,L63,IF(D63=M62,M63,IF(D63=N62,N63,IF(D63=O62,O63,IF(D63&gt;=P62,P63,"ERROR"))))))</f>
        <v>2.8</v>
      </c>
      <c r="F64" s="57" t="str">
        <f>IF(D64&gt;D61,"OK Safe","Not OK")</f>
        <v>OK Safe</v>
      </c>
    </row>
    <row r="65" spans="1:6">
      <c r="A65" s="57" t="s">
        <v>78</v>
      </c>
      <c r="D65" s="57">
        <f>D14</f>
        <v>125</v>
      </c>
    </row>
    <row r="67" spans="1:6">
      <c r="A67" s="57" t="s">
        <v>79</v>
      </c>
    </row>
    <row r="68" spans="1:6">
      <c r="A68" s="57" t="s">
        <v>80</v>
      </c>
      <c r="D68" s="61">
        <f>100*D44/(2*1000*D48)</f>
        <v>0.1596371882086168</v>
      </c>
    </row>
    <row r="69" spans="1:6">
      <c r="A69" s="57" t="s">
        <v>81</v>
      </c>
      <c r="D69" s="57">
        <f>'calculation for τc'!D4</f>
        <v>0.28770975056689346</v>
      </c>
      <c r="F69" s="57" t="s">
        <v>82</v>
      </c>
    </row>
    <row r="70" spans="1:6">
      <c r="A70" s="57" t="s">
        <v>83</v>
      </c>
      <c r="D70" s="57">
        <f>'calculation for τc'!B42</f>
        <v>1.3</v>
      </c>
      <c r="F70" s="57" t="s">
        <v>84</v>
      </c>
    </row>
    <row r="71" spans="1:6">
      <c r="A71" s="57" t="s">
        <v>85</v>
      </c>
      <c r="D71" s="57">
        <f>D70*D69</f>
        <v>0.37402267573696152</v>
      </c>
      <c r="F71" s="57" t="str">
        <f>IF(D71&gt;D61,"OK Safe","Not OK")</f>
        <v>OK Safe</v>
      </c>
    </row>
    <row r="74" spans="1:6">
      <c r="A74" s="57" t="s">
        <v>86</v>
      </c>
    </row>
    <row r="75" spans="1:6">
      <c r="B75" s="57" t="s">
        <v>87</v>
      </c>
      <c r="C75" s="57">
        <f>D11*0.2</f>
        <v>695.98400000000004</v>
      </c>
      <c r="D75" s="57" t="s">
        <v>2</v>
      </c>
    </row>
    <row r="76" spans="1:6">
      <c r="B76" s="57" t="s">
        <v>88</v>
      </c>
      <c r="C76" s="57">
        <f>C75*C75</f>
        <v>484393.72825600003</v>
      </c>
      <c r="D76" s="57" t="s">
        <v>89</v>
      </c>
    </row>
    <row r="77" spans="1:6">
      <c r="A77" s="78" t="s">
        <v>90</v>
      </c>
      <c r="B77" s="78"/>
    </row>
    <row r="78" spans="1:6">
      <c r="A78" s="79" t="s">
        <v>91</v>
      </c>
      <c r="B78" s="79"/>
      <c r="C78" s="79"/>
      <c r="D78" s="79"/>
      <c r="E78" s="79"/>
    </row>
    <row r="79" spans="1:6">
      <c r="A79" s="78" t="s">
        <v>92</v>
      </c>
      <c r="B79" s="78"/>
      <c r="D79" s="74">
        <v>0.375</v>
      </c>
      <c r="E79" s="57" t="s">
        <v>93</v>
      </c>
    </row>
    <row r="80" spans="1:6">
      <c r="C80" s="57" t="s">
        <v>94</v>
      </c>
      <c r="D80" s="61">
        <f>D79*D44</f>
        <v>125.71428571428572</v>
      </c>
      <c r="E80" s="57" t="s">
        <v>89</v>
      </c>
    </row>
    <row r="81" spans="1:5">
      <c r="C81" s="57" t="s">
        <v>95</v>
      </c>
      <c r="D81" s="57">
        <f>0.2*D11</f>
        <v>695.98400000000004</v>
      </c>
      <c r="E81" s="57" t="s">
        <v>2</v>
      </c>
    </row>
    <row r="82" spans="1:5">
      <c r="A82" s="78" t="s">
        <v>96</v>
      </c>
      <c r="B82" s="78"/>
    </row>
    <row r="83" spans="1:5">
      <c r="C83" s="57" t="s">
        <v>97</v>
      </c>
      <c r="D83" s="57">
        <v>8</v>
      </c>
      <c r="E83" s="57" t="s">
        <v>2</v>
      </c>
    </row>
    <row r="84" spans="1:5">
      <c r="C84" s="57" t="s">
        <v>98</v>
      </c>
      <c r="D84" s="57">
        <f>D81/(D80)*(22*D83^2/(4*7))</f>
        <v>278.39359999999999</v>
      </c>
      <c r="E84" s="57" t="s">
        <v>2</v>
      </c>
    </row>
    <row r="85" spans="1:5">
      <c r="C85" s="57" t="s">
        <v>99</v>
      </c>
      <c r="D85" s="57">
        <v>300</v>
      </c>
      <c r="E85" s="57" t="s">
        <v>2</v>
      </c>
    </row>
  </sheetData>
  <mergeCells count="11">
    <mergeCell ref="A77:B77"/>
    <mergeCell ref="A78:E78"/>
    <mergeCell ref="A79:B79"/>
    <mergeCell ref="A82:B82"/>
    <mergeCell ref="A33:A34"/>
    <mergeCell ref="B33:B34"/>
    <mergeCell ref="A21:C21"/>
    <mergeCell ref="C33:D33"/>
    <mergeCell ref="E33:F33"/>
    <mergeCell ref="A46:G46"/>
    <mergeCell ref="A59:G59"/>
  </mergeCells>
  <conditionalFormatting sqref="H43">
    <cfRule type="cellIs" dxfId="19" priority="1" operator="equal">
      <formula>TRUE</formula>
    </cfRule>
  </conditionalFormatting>
  <conditionalFormatting sqref="F56">
    <cfRule type="cellIs" dxfId="18" priority="8" operator="equal">
      <formula>"Not OK"</formula>
    </cfRule>
    <cfRule type="cellIs" dxfId="17" priority="9" operator="equal">
      <formula>"Not Safe"</formula>
    </cfRule>
    <cfRule type="cellIs" dxfId="16" priority="10" operator="equal">
      <formula>"OK Safe"</formula>
    </cfRule>
  </conditionalFormatting>
  <conditionalFormatting sqref="F71">
    <cfRule type="cellIs" dxfId="15" priority="2" operator="equal">
      <formula>"Not OK"</formula>
    </cfRule>
    <cfRule type="cellIs" dxfId="14" priority="3" operator="equal">
      <formula>"Not Safe"</formula>
    </cfRule>
    <cfRule type="cellIs" dxfId="13" priority="4" operator="equal">
      <formula>"OK Safe"</formula>
    </cfRule>
  </conditionalFormatting>
  <conditionalFormatting sqref="F64:F65">
    <cfRule type="cellIs" dxfId="12" priority="5" operator="equal">
      <formula>"Not OK"</formula>
    </cfRule>
    <cfRule type="cellIs" dxfId="11" priority="6" operator="equal">
      <formula>"Not Safe"</formula>
    </cfRule>
    <cfRule type="cellIs" dxfId="10" priority="7" operator="equal">
      <formula>"OK Safe"</formula>
    </cfRule>
  </conditionalFormatting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workbookViewId="0">
      <selection activeCell="F57" sqref="F57"/>
    </sheetView>
  </sheetViews>
  <sheetFormatPr defaultColWidth="9.109375" defaultRowHeight="13.8"/>
  <cols>
    <col min="1" max="1" width="21.109375" style="57" customWidth="1"/>
    <col min="2" max="2" width="13.5546875" style="57" customWidth="1"/>
    <col min="3" max="9" width="9.109375" style="57"/>
    <col min="10" max="10" width="6.33203125" style="57" customWidth="1"/>
    <col min="11" max="11" width="9.5546875" style="57" customWidth="1"/>
    <col min="12" max="12" width="8.33203125" style="57" customWidth="1"/>
    <col min="13" max="13" width="7.88671875" style="57" customWidth="1"/>
    <col min="14" max="14" width="8.6640625" style="57" customWidth="1"/>
    <col min="15" max="15" width="7.5546875" style="57" customWidth="1"/>
    <col min="16" max="16384" width="9.109375" style="57"/>
  </cols>
  <sheetData>
    <row r="1" spans="1:10">
      <c r="A1" s="57" t="s">
        <v>0</v>
      </c>
    </row>
    <row r="2" spans="1:10">
      <c r="A2" s="57" t="s">
        <v>1</v>
      </c>
      <c r="D2" s="57">
        <v>5224</v>
      </c>
      <c r="E2" s="57" t="s">
        <v>2</v>
      </c>
    </row>
    <row r="3" spans="1:10">
      <c r="A3" s="57" t="s">
        <v>3</v>
      </c>
      <c r="D3" s="57">
        <f>6313/2</f>
        <v>3156.5</v>
      </c>
      <c r="E3" s="57" t="s">
        <v>2</v>
      </c>
      <c r="G3" s="57">
        <f>D3*2</f>
        <v>6313</v>
      </c>
    </row>
    <row r="4" spans="1:10">
      <c r="A4" s="57" t="s">
        <v>4</v>
      </c>
      <c r="D4" s="57">
        <v>230</v>
      </c>
      <c r="E4" s="57" t="s">
        <v>2</v>
      </c>
    </row>
    <row r="5" spans="1:10">
      <c r="A5" s="57" t="s">
        <v>5</v>
      </c>
      <c r="D5" s="57">
        <f>D2-D4</f>
        <v>4994</v>
      </c>
      <c r="E5" s="57" t="s">
        <v>2</v>
      </c>
    </row>
    <row r="6" spans="1:10">
      <c r="A6" s="57" t="s">
        <v>6</v>
      </c>
      <c r="D6" s="57">
        <f>D3-D4</f>
        <v>2926.5</v>
      </c>
      <c r="E6" s="57" t="s">
        <v>2</v>
      </c>
    </row>
    <row r="7" spans="1:10">
      <c r="A7" s="57" t="s">
        <v>7</v>
      </c>
      <c r="D7" s="57">
        <f>D5+0.5*D12</f>
        <v>5046.5</v>
      </c>
    </row>
    <row r="8" spans="1:10">
      <c r="A8" s="57" t="s">
        <v>8</v>
      </c>
      <c r="D8" s="57">
        <f>D6+0.5*D12</f>
        <v>2979</v>
      </c>
    </row>
    <row r="9" spans="1:10">
      <c r="A9" s="57" t="s">
        <v>9</v>
      </c>
    </row>
    <row r="10" spans="1:10">
      <c r="A10" s="57" t="s">
        <v>10</v>
      </c>
      <c r="D10" s="58">
        <f>MIN(D2,D7)</f>
        <v>5046.5</v>
      </c>
      <c r="E10" s="57" t="s">
        <v>2</v>
      </c>
      <c r="H10" s="57" t="s">
        <v>11</v>
      </c>
    </row>
    <row r="11" spans="1:10">
      <c r="A11" s="57" t="s">
        <v>12</v>
      </c>
      <c r="D11" s="58">
        <f>MIN(D3,D8)</f>
        <v>2979</v>
      </c>
      <c r="E11" s="57" t="s">
        <v>2</v>
      </c>
      <c r="H11" s="57" t="s">
        <v>11</v>
      </c>
      <c r="J11" s="57">
        <f>D11/1000</f>
        <v>2.9790000000000001</v>
      </c>
    </row>
    <row r="12" spans="1:10">
      <c r="A12" s="57" t="s">
        <v>13</v>
      </c>
      <c r="D12" s="58">
        <f>'Input values and Results'!B5</f>
        <v>105</v>
      </c>
      <c r="E12" s="57" t="s">
        <v>2</v>
      </c>
    </row>
    <row r="13" spans="1:10">
      <c r="A13" s="57" t="s">
        <v>14</v>
      </c>
      <c r="D13" s="58">
        <f>'Input values and Results'!B6</f>
        <v>20</v>
      </c>
      <c r="E13" s="57" t="s">
        <v>2</v>
      </c>
    </row>
    <row r="14" spans="1:10">
      <c r="A14" s="57" t="s">
        <v>15</v>
      </c>
      <c r="D14" s="58">
        <f>D12+D13</f>
        <v>125</v>
      </c>
      <c r="E14" s="57" t="s">
        <v>2</v>
      </c>
    </row>
    <row r="15" spans="1:10">
      <c r="A15" s="57" t="s">
        <v>16</v>
      </c>
      <c r="D15" s="58">
        <f>'Input values and Results'!B8</f>
        <v>500</v>
      </c>
      <c r="E15" s="57" t="s">
        <v>17</v>
      </c>
    </row>
    <row r="16" spans="1:10">
      <c r="A16" s="57" t="s">
        <v>18</v>
      </c>
      <c r="D16" s="58">
        <v>20</v>
      </c>
      <c r="E16" s="57" t="s">
        <v>17</v>
      </c>
    </row>
    <row r="17" spans="1:20">
      <c r="A17" s="57" t="s">
        <v>19</v>
      </c>
      <c r="D17" s="58">
        <f>'Input values and Results'!B10</f>
        <v>25</v>
      </c>
      <c r="E17" s="57" t="s">
        <v>20</v>
      </c>
    </row>
    <row r="18" spans="1:20">
      <c r="D18" s="59"/>
    </row>
    <row r="19" spans="1:20">
      <c r="B19" s="57" t="s">
        <v>21</v>
      </c>
      <c r="D19" s="60">
        <f>D10/D11</f>
        <v>1.6940248405505203</v>
      </c>
      <c r="E19" s="57" t="s">
        <v>22</v>
      </c>
    </row>
    <row r="20" spans="1:20" ht="15.6">
      <c r="A20" s="57" t="s">
        <v>23</v>
      </c>
      <c r="C20" s="40" t="str">
        <f>IF(D10/D11&lt;2,"&lt;2 two way slab","&gt;2 so one way slab")</f>
        <v>&lt;2 two way slab</v>
      </c>
    </row>
    <row r="21" spans="1:20">
      <c r="A21" s="75" t="str">
        <f>'Input values and Results'!A12</f>
        <v>Two Adjacent Edge Discontinuous</v>
      </c>
      <c r="B21" s="75"/>
      <c r="C21" s="75"/>
      <c r="D21" s="59"/>
      <c r="E21" s="59"/>
      <c r="F21" s="59"/>
      <c r="I21" s="62"/>
      <c r="J21" s="62"/>
      <c r="K21" s="62"/>
      <c r="L21" s="62"/>
      <c r="T21" s="57" t="str">
        <f>A21</f>
        <v>Two Adjacent Edge Discontinuous</v>
      </c>
    </row>
    <row r="22" spans="1:20">
      <c r="I22" s="68"/>
      <c r="J22" s="68" t="s">
        <v>24</v>
      </c>
      <c r="K22" s="68"/>
      <c r="L22" s="68" t="s">
        <v>25</v>
      </c>
    </row>
    <row r="23" spans="1:20">
      <c r="I23" s="69"/>
      <c r="J23" s="68" t="s">
        <v>26</v>
      </c>
      <c r="K23" s="68"/>
      <c r="L23" s="68">
        <v>7</v>
      </c>
    </row>
    <row r="24" spans="1:20">
      <c r="A24" s="57" t="s">
        <v>27</v>
      </c>
      <c r="I24" s="68"/>
      <c r="J24" s="68" t="s">
        <v>28</v>
      </c>
      <c r="K24" s="68"/>
      <c r="L24" s="68">
        <v>20</v>
      </c>
    </row>
    <row r="25" spans="1:20">
      <c r="A25" s="57" t="s">
        <v>29</v>
      </c>
      <c r="D25" s="57">
        <f>D17*D14/1000</f>
        <v>3.125</v>
      </c>
      <c r="E25" s="57" t="s">
        <v>30</v>
      </c>
      <c r="I25" s="68"/>
      <c r="J25" s="68" t="s">
        <v>31</v>
      </c>
      <c r="K25" s="68"/>
      <c r="L25" s="68">
        <v>26</v>
      </c>
    </row>
    <row r="26" spans="1:20">
      <c r="A26" s="57" t="s">
        <v>32</v>
      </c>
      <c r="D26" s="58">
        <v>2</v>
      </c>
      <c r="E26" s="57" t="s">
        <v>30</v>
      </c>
      <c r="I26" s="68"/>
      <c r="J26" s="68" t="s">
        <v>33</v>
      </c>
      <c r="K26" s="68"/>
      <c r="L26" s="68">
        <v>23</v>
      </c>
    </row>
    <row r="27" spans="1:20">
      <c r="A27" s="57" t="s">
        <v>34</v>
      </c>
      <c r="D27" s="58">
        <v>1.5</v>
      </c>
      <c r="E27" s="57" t="s">
        <v>30</v>
      </c>
    </row>
    <row r="28" spans="1:20">
      <c r="A28" s="57" t="s">
        <v>35</v>
      </c>
      <c r="D28" s="58">
        <v>1.5</v>
      </c>
      <c r="E28" s="57" t="s">
        <v>30</v>
      </c>
    </row>
    <row r="29" spans="1:20">
      <c r="C29" s="57" t="s">
        <v>36</v>
      </c>
      <c r="D29" s="57">
        <f>SUM(D25:D28)</f>
        <v>8.125</v>
      </c>
      <c r="K29" s="57">
        <f>25*0.16</f>
        <v>4</v>
      </c>
    </row>
    <row r="30" spans="1:20" ht="15" customHeight="1">
      <c r="A30" s="57" t="s">
        <v>37</v>
      </c>
      <c r="C30" s="57">
        <v>1.5</v>
      </c>
      <c r="D30" s="57">
        <f>D29*C30</f>
        <v>12.1875</v>
      </c>
      <c r="E30" s="57" t="s">
        <v>30</v>
      </c>
    </row>
    <row r="31" spans="1:20">
      <c r="C31" s="57" t="s">
        <v>38</v>
      </c>
      <c r="D31" s="57" t="s">
        <v>39</v>
      </c>
    </row>
    <row r="32" spans="1:20">
      <c r="A32" s="57" t="s">
        <v>40</v>
      </c>
      <c r="C32" s="58">
        <v>10</v>
      </c>
      <c r="D32" s="58">
        <v>8</v>
      </c>
      <c r="E32" s="57" t="s">
        <v>2</v>
      </c>
      <c r="H32" s="61"/>
    </row>
    <row r="33" spans="1:16">
      <c r="A33" s="80" t="s">
        <v>41</v>
      </c>
      <c r="B33" s="80" t="s">
        <v>42</v>
      </c>
      <c r="C33" s="76" t="s">
        <v>43</v>
      </c>
      <c r="D33" s="76"/>
      <c r="E33" s="76" t="s">
        <v>44</v>
      </c>
      <c r="F33" s="76"/>
      <c r="J33" s="70"/>
      <c r="K33" s="70"/>
      <c r="L33" s="71"/>
      <c r="M33" s="71"/>
      <c r="N33" s="71"/>
      <c r="O33" s="71"/>
    </row>
    <row r="34" spans="1:16">
      <c r="A34" s="80"/>
      <c r="B34" s="80"/>
      <c r="C34" s="62" t="s">
        <v>45</v>
      </c>
      <c r="D34" s="62" t="s">
        <v>46</v>
      </c>
      <c r="E34" s="62" t="s">
        <v>45</v>
      </c>
      <c r="F34" s="62" t="s">
        <v>46</v>
      </c>
      <c r="J34" s="70"/>
      <c r="K34" s="70"/>
    </row>
    <row r="35" spans="1:16">
      <c r="A35" s="62">
        <v>1</v>
      </c>
      <c r="B35" s="62" t="s">
        <v>47</v>
      </c>
      <c r="C35" s="62">
        <f>'alpha value'!L8</f>
        <v>5.7263822156831193E-2</v>
      </c>
      <c r="D35" s="62">
        <f>'alpha value'!L9</f>
        <v>4.3045587254879426E-2</v>
      </c>
      <c r="E35" s="62">
        <f>'alpha value'!M8</f>
        <v>4.7E-2</v>
      </c>
      <c r="F35" s="62">
        <f>'alpha value'!M9</f>
        <v>3.5000000000000003E-2</v>
      </c>
      <c r="L35" s="61"/>
      <c r="M35" s="61"/>
      <c r="N35" s="61"/>
      <c r="O35" s="61"/>
    </row>
    <row r="36" spans="1:16">
      <c r="A36" s="62">
        <v>2</v>
      </c>
      <c r="B36" s="62" t="s">
        <v>48</v>
      </c>
      <c r="C36" s="62">
        <f>C35*$D$30*$D$11*$D$11/10^6</f>
        <v>6.1934975110769868</v>
      </c>
      <c r="D36" s="62">
        <f>D35*$D$30*$D$11*$D$11/10^6</f>
        <v>4.6556923286710612</v>
      </c>
      <c r="E36" s="62">
        <f>E35*$D$30*$D$11*$D$11/10^6</f>
        <v>5.0833907353124994</v>
      </c>
      <c r="F36" s="62">
        <f>F35*$D$30*$D$11*$D$11/10^6</f>
        <v>3.7855037390625008</v>
      </c>
      <c r="L36" s="61"/>
      <c r="M36" s="61"/>
      <c r="N36" s="61"/>
      <c r="O36" s="61"/>
    </row>
    <row r="37" spans="1:16">
      <c r="A37" s="62">
        <v>3</v>
      </c>
      <c r="B37" s="62" t="s">
        <v>49</v>
      </c>
      <c r="C37" s="62">
        <f>'steel area calculation'!L7</f>
        <v>187.73139985320825</v>
      </c>
      <c r="D37" s="62">
        <f>'steel area calculation'!L8</f>
        <v>139.44103438351604</v>
      </c>
      <c r="E37" s="62">
        <f>'steel area calculation'!L9</f>
        <v>152.75148433979138</v>
      </c>
      <c r="F37" s="62">
        <f>'steel area calculation'!L10</f>
        <v>112.63491742693631</v>
      </c>
      <c r="L37" s="72"/>
      <c r="M37" s="72"/>
      <c r="N37" s="72"/>
      <c r="O37" s="72"/>
    </row>
    <row r="38" spans="1:16">
      <c r="A38" s="62">
        <v>4</v>
      </c>
      <c r="B38" s="62" t="s">
        <v>50</v>
      </c>
      <c r="C38" s="62">
        <f>0.12%*1000*$D$14</f>
        <v>150</v>
      </c>
      <c r="D38" s="62">
        <f t="shared" ref="D38:F38" si="0">0.12%*1000*$D$14</f>
        <v>150</v>
      </c>
      <c r="E38" s="62">
        <f t="shared" si="0"/>
        <v>150</v>
      </c>
      <c r="F38" s="62">
        <f t="shared" si="0"/>
        <v>150</v>
      </c>
    </row>
    <row r="39" spans="1:16" ht="15" hidden="1" customHeight="1">
      <c r="A39" s="62"/>
      <c r="B39" s="62" t="s">
        <v>51</v>
      </c>
      <c r="C39" s="62">
        <f>IF(C37&gt;C38,C37,C38)</f>
        <v>187.73139985320825</v>
      </c>
      <c r="D39" s="62">
        <f t="shared" ref="D39:F39" si="1">IF(D37&gt;D38,D37,D38)</f>
        <v>150</v>
      </c>
      <c r="E39" s="62">
        <f t="shared" si="1"/>
        <v>152.75148433979138</v>
      </c>
      <c r="F39" s="62">
        <f t="shared" si="1"/>
        <v>150</v>
      </c>
      <c r="L39" s="61"/>
      <c r="M39" s="61"/>
      <c r="N39" s="61"/>
      <c r="O39" s="61"/>
    </row>
    <row r="40" spans="1:16">
      <c r="A40" s="62">
        <v>5</v>
      </c>
      <c r="B40" s="62" t="s">
        <v>52</v>
      </c>
      <c r="C40" s="62">
        <f>1000/(C39/(22*$C$32*$C$32/(4*7)))</f>
        <v>418.53109619842752</v>
      </c>
      <c r="D40" s="62">
        <f>1000/(D39/(22*$C$32*$C$32/(4*7)))</f>
        <v>523.80952380952374</v>
      </c>
      <c r="E40" s="62">
        <f t="shared" ref="E40:F40" si="2">1000/(E39/(22*$D$32*$D$32/(4*7)))</f>
        <v>329.19951320312629</v>
      </c>
      <c r="F40" s="62">
        <f t="shared" si="2"/>
        <v>335.23809523809524</v>
      </c>
      <c r="L40" s="72"/>
      <c r="M40" s="72"/>
      <c r="N40" s="72"/>
      <c r="O40" s="72"/>
    </row>
    <row r="41" spans="1:16" ht="15" hidden="1" customHeight="1">
      <c r="A41" s="62"/>
      <c r="B41" s="62"/>
      <c r="C41" s="62">
        <v>300</v>
      </c>
      <c r="D41" s="62">
        <v>300</v>
      </c>
      <c r="E41" s="62">
        <v>300</v>
      </c>
      <c r="F41" s="62">
        <v>300</v>
      </c>
    </row>
    <row r="42" spans="1:16" hidden="1">
      <c r="A42" s="62"/>
      <c r="B42" s="62" t="s">
        <v>53</v>
      </c>
      <c r="C42" s="62">
        <f>IF(C40&gt;C41,C41,C40)</f>
        <v>300</v>
      </c>
      <c r="D42" s="62">
        <f t="shared" ref="D42:F42" si="3">IF(D40&gt;D41,D41,D40)</f>
        <v>300</v>
      </c>
      <c r="E42" s="62">
        <f t="shared" si="3"/>
        <v>300</v>
      </c>
      <c r="F42" s="62">
        <f t="shared" si="3"/>
        <v>300</v>
      </c>
      <c r="P42" s="73">
        <f t="shared" ref="P42" si="4">F45</f>
        <v>0.26819047619047598</v>
      </c>
    </row>
    <row r="43" spans="1:16">
      <c r="A43" s="62">
        <v>6</v>
      </c>
      <c r="B43" s="62" t="s">
        <v>54</v>
      </c>
      <c r="C43" s="63">
        <v>150</v>
      </c>
      <c r="D43" s="63">
        <v>150</v>
      </c>
      <c r="E43" s="63">
        <v>150</v>
      </c>
      <c r="F43" s="63">
        <v>150</v>
      </c>
      <c r="H43" s="57" t="b">
        <f>AND(C43&lt;=C42,D43&lt;=D42,E43&lt;=E42,F43&lt;=F42)</f>
        <v>1</v>
      </c>
    </row>
    <row r="44" spans="1:16">
      <c r="A44" s="62">
        <v>7</v>
      </c>
      <c r="B44" s="62" t="s">
        <v>55</v>
      </c>
      <c r="C44" s="62">
        <f>1000*22*$C$32*$C$32/(4*7*C43)</f>
        <v>523.80952380952397</v>
      </c>
      <c r="D44" s="62">
        <f>1000*22*$C$32*$C$32/(4*7*D43)</f>
        <v>523.80952380952397</v>
      </c>
      <c r="E44" s="62">
        <f t="shared" ref="E44:F44" si="5">1000*22*$D$32*$D$32/(4*7*E43)</f>
        <v>335.23809523809501</v>
      </c>
      <c r="F44" s="62">
        <f t="shared" si="5"/>
        <v>335.23809523809501</v>
      </c>
      <c r="L44" s="72"/>
      <c r="M44" s="72"/>
      <c r="N44" s="72"/>
      <c r="O44" s="72"/>
    </row>
    <row r="45" spans="1:16">
      <c r="A45" s="57">
        <v>8</v>
      </c>
      <c r="B45" s="57" t="s">
        <v>56</v>
      </c>
      <c r="C45" s="57">
        <f>C44/(1000*D14)*100</f>
        <v>0.41904761904761917</v>
      </c>
      <c r="D45" s="57">
        <f>D44/(1000*D14)*100</f>
        <v>0.41904761904761917</v>
      </c>
      <c r="E45" s="57">
        <f>E44/(1000*D14)*100</f>
        <v>0.26819047619047598</v>
      </c>
      <c r="F45" s="57">
        <f>F44/(1000*D14)*100</f>
        <v>0.26819047619047598</v>
      </c>
    </row>
    <row r="46" spans="1:16">
      <c r="A46" s="77" t="s">
        <v>57</v>
      </c>
      <c r="B46" s="77"/>
      <c r="C46" s="77"/>
      <c r="D46" s="77"/>
      <c r="E46" s="77"/>
      <c r="F46" s="77"/>
      <c r="G46" s="77"/>
    </row>
    <row r="47" spans="1:16">
      <c r="A47" s="57" t="s">
        <v>58</v>
      </c>
      <c r="D47" s="57">
        <f>D11</f>
        <v>2979</v>
      </c>
    </row>
    <row r="48" spans="1:16">
      <c r="A48" s="57" t="s">
        <v>59</v>
      </c>
      <c r="D48" s="57">
        <f>D12</f>
        <v>105</v>
      </c>
    </row>
    <row r="49" spans="1:16">
      <c r="A49" s="57" t="s">
        <v>60</v>
      </c>
      <c r="D49" s="61">
        <f>D47/D48</f>
        <v>28.37142857142857</v>
      </c>
    </row>
    <row r="50" spans="1:16">
      <c r="A50" s="57" t="s">
        <v>25</v>
      </c>
      <c r="D50" s="58">
        <v>26</v>
      </c>
    </row>
    <row r="51" spans="1:16">
      <c r="A51" s="57" t="s">
        <v>61</v>
      </c>
      <c r="D51" s="64">
        <v>1</v>
      </c>
      <c r="F51" s="57" t="s">
        <v>62</v>
      </c>
    </row>
    <row r="52" spans="1:16">
      <c r="A52" s="57" t="s">
        <v>63</v>
      </c>
      <c r="D52" s="64">
        <v>1</v>
      </c>
      <c r="F52" s="57" t="s">
        <v>64</v>
      </c>
    </row>
    <row r="53" spans="1:16">
      <c r="A53" s="57" t="s">
        <v>65</v>
      </c>
      <c r="D53" s="65">
        <f>0.58*D15*D39/D44</f>
        <v>83.045454545454518</v>
      </c>
      <c r="E53" s="57" t="s">
        <v>17</v>
      </c>
    </row>
    <row r="54" spans="1:16">
      <c r="A54" s="57" t="s">
        <v>66</v>
      </c>
      <c r="D54" s="65">
        <f>D44/(1000*D14)*100</f>
        <v>0.41904761904761917</v>
      </c>
    </row>
    <row r="55" spans="1:16">
      <c r="A55" s="57" t="s">
        <v>67</v>
      </c>
      <c r="D55" s="64">
        <v>2</v>
      </c>
      <c r="F55" s="57" t="s">
        <v>68</v>
      </c>
    </row>
    <row r="56" spans="1:16">
      <c r="A56" s="57" t="s">
        <v>69</v>
      </c>
      <c r="D56" s="57">
        <f>D50*D55*D52*D51</f>
        <v>52</v>
      </c>
      <c r="F56" s="57" t="str">
        <f>IF(D56&gt;D49,"OK Safe","Not OK")</f>
        <v>OK Safe</v>
      </c>
    </row>
    <row r="59" spans="1:16">
      <c r="A59" s="77" t="s">
        <v>70</v>
      </c>
      <c r="B59" s="77"/>
      <c r="C59" s="77"/>
      <c r="D59" s="77"/>
      <c r="E59" s="77"/>
      <c r="F59" s="77"/>
      <c r="G59" s="77"/>
    </row>
    <row r="60" spans="1:16">
      <c r="A60" s="57" t="s">
        <v>71</v>
      </c>
      <c r="D60" s="66">
        <f>D30*D11/2000</f>
        <v>18.153281249999999</v>
      </c>
      <c r="E60" s="57" t="s">
        <v>72</v>
      </c>
    </row>
    <row r="61" spans="1:16">
      <c r="A61" s="57" t="s">
        <v>73</v>
      </c>
      <c r="D61" s="61">
        <f>D60/(1000*D48)*1000</f>
        <v>0.17288839285714283</v>
      </c>
      <c r="E61" s="57" t="s">
        <v>17</v>
      </c>
      <c r="P61" s="57" t="s">
        <v>74</v>
      </c>
    </row>
    <row r="62" spans="1:16">
      <c r="A62" s="57" t="s">
        <v>75</v>
      </c>
      <c r="I62" s="57" t="s">
        <v>76</v>
      </c>
      <c r="K62" s="57">
        <v>15</v>
      </c>
      <c r="L62" s="57">
        <v>20</v>
      </c>
      <c r="M62" s="57">
        <v>25</v>
      </c>
      <c r="N62" s="57">
        <v>30</v>
      </c>
      <c r="O62" s="57">
        <v>35</v>
      </c>
      <c r="P62" s="57">
        <v>40</v>
      </c>
    </row>
    <row r="63" spans="1:16">
      <c r="A63" s="57" t="s">
        <v>18</v>
      </c>
      <c r="D63" s="67">
        <f>D16</f>
        <v>20</v>
      </c>
      <c r="I63" s="57" t="s">
        <v>77</v>
      </c>
      <c r="K63" s="57">
        <v>2.5</v>
      </c>
      <c r="L63" s="57">
        <v>2.8</v>
      </c>
      <c r="M63" s="57">
        <v>3.1</v>
      </c>
      <c r="N63" s="57">
        <v>3.5</v>
      </c>
      <c r="O63" s="57">
        <v>3.7</v>
      </c>
      <c r="P63" s="57">
        <v>4</v>
      </c>
    </row>
    <row r="64" spans="1:16">
      <c r="A64" s="57" t="s">
        <v>77</v>
      </c>
      <c r="D64" s="57">
        <f>IF(D63&lt;=K62,K63,IF(D63=L62,L63,IF(D63=M62,M63,IF(D63=N62,N63,IF(D63=O62,O63,IF(D63&gt;=P62,P63,"ERROR"))))))</f>
        <v>2.8</v>
      </c>
      <c r="F64" s="57" t="str">
        <f>IF(D64&gt;D61,"OK Safe","Not OK")</f>
        <v>OK Safe</v>
      </c>
    </row>
    <row r="65" spans="1:6">
      <c r="A65" s="57" t="s">
        <v>78</v>
      </c>
      <c r="D65" s="57">
        <f>D14</f>
        <v>125</v>
      </c>
    </row>
    <row r="67" spans="1:6">
      <c r="A67" s="57" t="s">
        <v>79</v>
      </c>
    </row>
    <row r="68" spans="1:6">
      <c r="A68" s="57" t="s">
        <v>80</v>
      </c>
      <c r="D68" s="61">
        <f>100*D44/(2*1000*D48)</f>
        <v>0.24943310657596379</v>
      </c>
    </row>
    <row r="69" spans="1:6">
      <c r="A69" s="57" t="s">
        <v>81</v>
      </c>
      <c r="D69" s="57">
        <f>'calculation for τc'!D4</f>
        <v>0.28770975056689346</v>
      </c>
      <c r="F69" s="57" t="s">
        <v>82</v>
      </c>
    </row>
    <row r="70" spans="1:6">
      <c r="A70" s="57" t="s">
        <v>83</v>
      </c>
      <c r="D70" s="57">
        <f>'calculation for τc'!B42</f>
        <v>1.3</v>
      </c>
      <c r="F70" s="57" t="s">
        <v>84</v>
      </c>
    </row>
    <row r="71" spans="1:6">
      <c r="A71" s="57" t="s">
        <v>85</v>
      </c>
      <c r="D71" s="57">
        <f>D70*D69</f>
        <v>0.37402267573696152</v>
      </c>
      <c r="F71" s="57" t="str">
        <f>IF(D71&gt;D61,"OK Safe","Not OK")</f>
        <v>OK Safe</v>
      </c>
    </row>
    <row r="74" spans="1:6">
      <c r="A74" s="57" t="s">
        <v>86</v>
      </c>
    </row>
    <row r="75" spans="1:6">
      <c r="B75" s="57" t="s">
        <v>87</v>
      </c>
      <c r="C75" s="57">
        <f>D11*0.2</f>
        <v>595.80000000000007</v>
      </c>
      <c r="D75" s="57" t="s">
        <v>2</v>
      </c>
    </row>
    <row r="76" spans="1:6">
      <c r="B76" s="57" t="s">
        <v>88</v>
      </c>
      <c r="C76" s="57">
        <f>C75*C75</f>
        <v>354977.64000000007</v>
      </c>
      <c r="D76" s="57" t="s">
        <v>89</v>
      </c>
    </row>
    <row r="77" spans="1:6">
      <c r="A77" s="78" t="s">
        <v>90</v>
      </c>
      <c r="B77" s="78"/>
    </row>
    <row r="78" spans="1:6">
      <c r="A78" s="79" t="s">
        <v>91</v>
      </c>
      <c r="B78" s="79"/>
      <c r="C78" s="79"/>
      <c r="D78" s="79"/>
      <c r="E78" s="79"/>
    </row>
    <row r="79" spans="1:6">
      <c r="A79" s="78" t="s">
        <v>92</v>
      </c>
      <c r="B79" s="78"/>
      <c r="D79" s="74">
        <v>0.375</v>
      </c>
      <c r="E79" s="57" t="s">
        <v>93</v>
      </c>
    </row>
    <row r="80" spans="1:6">
      <c r="C80" s="57" t="s">
        <v>94</v>
      </c>
      <c r="D80" s="61">
        <f>D79*D44</f>
        <v>196.42857142857099</v>
      </c>
      <c r="E80" s="57" t="s">
        <v>89</v>
      </c>
    </row>
    <row r="81" spans="1:5">
      <c r="C81" s="57" t="s">
        <v>95</v>
      </c>
      <c r="D81" s="57">
        <f>0.2*D11</f>
        <v>595.80000000000007</v>
      </c>
      <c r="E81" s="57" t="s">
        <v>2</v>
      </c>
    </row>
    <row r="82" spans="1:5">
      <c r="A82" s="78" t="s">
        <v>96</v>
      </c>
      <c r="B82" s="78"/>
    </row>
    <row r="83" spans="1:5">
      <c r="C83" s="57" t="s">
        <v>97</v>
      </c>
      <c r="D83" s="57">
        <v>8</v>
      </c>
      <c r="E83" s="57" t="s">
        <v>2</v>
      </c>
    </row>
    <row r="84" spans="1:5">
      <c r="C84" s="57" t="s">
        <v>98</v>
      </c>
      <c r="D84" s="57">
        <f>D81/(D80)*(22*D83^2/(4*7))</f>
        <v>152.52480000000037</v>
      </c>
      <c r="E84" s="57" t="s">
        <v>2</v>
      </c>
    </row>
    <row r="85" spans="1:5">
      <c r="C85" s="57" t="s">
        <v>99</v>
      </c>
      <c r="D85" s="57">
        <v>300</v>
      </c>
      <c r="E85" s="57" t="s">
        <v>2</v>
      </c>
    </row>
  </sheetData>
  <mergeCells count="11">
    <mergeCell ref="A77:B77"/>
    <mergeCell ref="A78:E78"/>
    <mergeCell ref="A79:B79"/>
    <mergeCell ref="A82:B82"/>
    <mergeCell ref="A33:A34"/>
    <mergeCell ref="B33:B34"/>
    <mergeCell ref="A21:C21"/>
    <mergeCell ref="C33:D33"/>
    <mergeCell ref="E33:F33"/>
    <mergeCell ref="A46:G46"/>
    <mergeCell ref="A59:G59"/>
  </mergeCells>
  <conditionalFormatting sqref="H43">
    <cfRule type="cellIs" dxfId="9" priority="1" operator="equal">
      <formula>TRUE</formula>
    </cfRule>
  </conditionalFormatting>
  <conditionalFormatting sqref="F56">
    <cfRule type="cellIs" dxfId="8" priority="8" operator="equal">
      <formula>"Not OK"</formula>
    </cfRule>
    <cfRule type="cellIs" dxfId="7" priority="9" operator="equal">
      <formula>"Not Safe"</formula>
    </cfRule>
    <cfRule type="cellIs" dxfId="6" priority="10" operator="equal">
      <formula>"OK Safe"</formula>
    </cfRule>
  </conditionalFormatting>
  <conditionalFormatting sqref="F71">
    <cfRule type="cellIs" dxfId="5" priority="2" operator="equal">
      <formula>"Not OK"</formula>
    </cfRule>
    <cfRule type="cellIs" dxfId="4" priority="3" operator="equal">
      <formula>"Not Safe"</formula>
    </cfRule>
    <cfRule type="cellIs" dxfId="3" priority="4" operator="equal">
      <formula>"OK Safe"</formula>
    </cfRule>
  </conditionalFormatting>
  <conditionalFormatting sqref="F64:F65">
    <cfRule type="cellIs" dxfId="2" priority="5" operator="equal">
      <formula>"Not OK"</formula>
    </cfRule>
    <cfRule type="cellIs" dxfId="1" priority="6" operator="equal">
      <formula>"Not Safe"</formula>
    </cfRule>
    <cfRule type="cellIs" dxfId="0" priority="7" operator="equal">
      <formula>"OK Safe"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workbookViewId="0">
      <selection activeCell="C5" sqref="C5"/>
    </sheetView>
  </sheetViews>
  <sheetFormatPr defaultColWidth="9.109375" defaultRowHeight="15.6"/>
  <cols>
    <col min="1" max="1" width="5.33203125" style="36" customWidth="1"/>
    <col min="2" max="2" width="37.33203125" style="36" customWidth="1"/>
    <col min="3" max="3" width="11.44140625" style="36" customWidth="1"/>
    <col min="4" max="4" width="8.5546875" style="36" customWidth="1"/>
    <col min="5" max="5" width="11.6640625" style="36" customWidth="1"/>
    <col min="6" max="6" width="6.77734375" style="36" customWidth="1"/>
    <col min="7" max="16384" width="9.109375" style="36"/>
  </cols>
  <sheetData>
    <row r="1" spans="1:8" ht="17.399999999999999">
      <c r="A1" s="81" t="s">
        <v>100</v>
      </c>
      <c r="B1" s="81"/>
      <c r="C1" s="81"/>
      <c r="D1" s="81"/>
      <c r="E1" s="81"/>
    </row>
    <row r="2" spans="1:8">
      <c r="A2" s="82" t="s">
        <v>101</v>
      </c>
      <c r="B2" s="82"/>
      <c r="C2" s="82"/>
      <c r="D2" s="82"/>
      <c r="E2" s="82"/>
    </row>
    <row r="4" spans="1:8" s="35" customFormat="1">
      <c r="A4" s="35">
        <v>1</v>
      </c>
      <c r="B4" s="35" t="s">
        <v>102</v>
      </c>
    </row>
    <row r="5" spans="1:8">
      <c r="B5" s="36" t="s">
        <v>103</v>
      </c>
      <c r="C5" s="38">
        <f>'two way slab design'!D2/1000</f>
        <v>4.2173800000000004</v>
      </c>
      <c r="D5" s="36" t="s">
        <v>104</v>
      </c>
      <c r="E5" s="36">
        <f>11.5/3.28</f>
        <v>3.50609756097561</v>
      </c>
    </row>
    <row r="6" spans="1:8">
      <c r="B6" s="36" t="s">
        <v>105</v>
      </c>
      <c r="C6" s="38">
        <f>'two way slab design'!D3/1000</f>
        <v>3.6574200000000001</v>
      </c>
      <c r="D6" s="36" t="s">
        <v>104</v>
      </c>
      <c r="E6" s="36">
        <f>11.58/3.28</f>
        <v>3.5304878048780499</v>
      </c>
    </row>
    <row r="8" spans="1:8">
      <c r="B8" s="36" t="s">
        <v>106</v>
      </c>
    </row>
    <row r="9" spans="1:8">
      <c r="B9" s="36" t="s">
        <v>107</v>
      </c>
      <c r="C9" s="36" t="s">
        <v>108</v>
      </c>
      <c r="D9" s="36">
        <f>'two way slab design'!D16</f>
        <v>20</v>
      </c>
      <c r="E9" s="36" t="s">
        <v>17</v>
      </c>
    </row>
    <row r="10" spans="1:8">
      <c r="B10" s="36" t="s">
        <v>109</v>
      </c>
      <c r="C10" s="36" t="s">
        <v>110</v>
      </c>
      <c r="D10" s="36">
        <f>'two way slab design'!D15</f>
        <v>500</v>
      </c>
      <c r="E10" s="36" t="s">
        <v>17</v>
      </c>
    </row>
    <row r="12" spans="1:8">
      <c r="A12" s="35"/>
    </row>
    <row r="13" spans="1:8">
      <c r="A13" s="35">
        <v>2</v>
      </c>
      <c r="B13" s="35" t="s">
        <v>111</v>
      </c>
    </row>
    <row r="14" spans="1:8">
      <c r="A14" s="35"/>
      <c r="B14" s="36" t="s">
        <v>103</v>
      </c>
      <c r="C14" s="39">
        <f>'two way slab design'!D10/1000</f>
        <v>4.0398800000000001</v>
      </c>
      <c r="D14" s="36" t="s">
        <v>104</v>
      </c>
      <c r="H14" s="36">
        <f>3.6/3.42</f>
        <v>1.0526315789473699</v>
      </c>
    </row>
    <row r="15" spans="1:8">
      <c r="A15" s="35"/>
      <c r="B15" s="36" t="s">
        <v>105</v>
      </c>
      <c r="C15" s="39">
        <f>'two way slab design'!D11/1000</f>
        <v>3.4799199999999999</v>
      </c>
      <c r="D15" s="36" t="s">
        <v>104</v>
      </c>
    </row>
    <row r="16" spans="1:8">
      <c r="A16" s="35"/>
      <c r="B16" s="40" t="s">
        <v>21</v>
      </c>
      <c r="C16" s="39">
        <f>'two way slab design'!D19</f>
        <v>1.1609117450975885</v>
      </c>
    </row>
    <row r="17" spans="1:4">
      <c r="A17" s="35"/>
      <c r="B17" s="40" t="s">
        <v>23</v>
      </c>
      <c r="C17" s="41" t="str">
        <f>IF(C16&lt;2,"&lt;2 two way slab","&gt;2 so one way slab")</f>
        <v>&lt;2 two way slab</v>
      </c>
    </row>
    <row r="18" spans="1:4">
      <c r="A18" s="35"/>
      <c r="B18" s="40" t="s">
        <v>112</v>
      </c>
      <c r="C18" s="40"/>
    </row>
    <row r="19" spans="1:4">
      <c r="A19" s="35"/>
      <c r="B19" s="42" t="str">
        <f>'Input values and Results'!A12</f>
        <v>Two Adjacent Edge Discontinuous</v>
      </c>
      <c r="C19" s="43"/>
      <c r="D19" s="43"/>
    </row>
    <row r="20" spans="1:4">
      <c r="A20" s="35"/>
      <c r="B20" s="42"/>
      <c r="C20" s="43"/>
      <c r="D20" s="43"/>
    </row>
    <row r="21" spans="1:4">
      <c r="A21" s="35"/>
    </row>
    <row r="22" spans="1:4">
      <c r="A22" s="35">
        <v>3</v>
      </c>
      <c r="B22" s="35" t="s">
        <v>113</v>
      </c>
    </row>
    <row r="23" spans="1:4">
      <c r="B23" s="35" t="s">
        <v>114</v>
      </c>
    </row>
    <row r="24" spans="1:4">
      <c r="A24" s="44" t="s">
        <v>115</v>
      </c>
      <c r="B24" s="36" t="s">
        <v>116</v>
      </c>
      <c r="C24" s="36">
        <f>'two way slab design'!D14</f>
        <v>125</v>
      </c>
      <c r="D24" s="36" t="s">
        <v>2</v>
      </c>
    </row>
    <row r="25" spans="1:4">
      <c r="B25" s="36" t="s">
        <v>117</v>
      </c>
      <c r="C25" s="36">
        <f>'two way slab design'!D17</f>
        <v>25</v>
      </c>
      <c r="D25" s="40" t="s">
        <v>20</v>
      </c>
    </row>
    <row r="26" spans="1:4">
      <c r="B26" s="36" t="s">
        <v>118</v>
      </c>
      <c r="C26" s="36">
        <f>C24*C25/1000</f>
        <v>3.125</v>
      </c>
      <c r="D26" s="36" t="s">
        <v>30</v>
      </c>
    </row>
    <row r="27" spans="1:4">
      <c r="A27" s="44" t="s">
        <v>119</v>
      </c>
      <c r="B27" s="36" t="s">
        <v>120</v>
      </c>
      <c r="C27" s="36">
        <v>30</v>
      </c>
      <c r="D27" s="36" t="s">
        <v>2</v>
      </c>
    </row>
    <row r="28" spans="1:4">
      <c r="B28" s="36" t="s">
        <v>121</v>
      </c>
      <c r="C28" s="36">
        <v>20.399999999999999</v>
      </c>
      <c r="D28" s="40" t="s">
        <v>20</v>
      </c>
    </row>
    <row r="29" spans="1:4">
      <c r="B29" s="36" t="s">
        <v>122</v>
      </c>
      <c r="C29" s="36">
        <f>C28*C27/1000</f>
        <v>0.61199999999999999</v>
      </c>
      <c r="D29" s="36" t="s">
        <v>30</v>
      </c>
    </row>
    <row r="30" spans="1:4">
      <c r="A30" s="44" t="s">
        <v>123</v>
      </c>
      <c r="B30" s="36" t="s">
        <v>124</v>
      </c>
      <c r="C30" s="36">
        <v>19</v>
      </c>
      <c r="D30" s="36" t="s">
        <v>2</v>
      </c>
    </row>
    <row r="31" spans="1:4">
      <c r="B31" s="36" t="s">
        <v>125</v>
      </c>
      <c r="C31" s="36">
        <v>27</v>
      </c>
      <c r="D31" s="40" t="s">
        <v>20</v>
      </c>
    </row>
    <row r="32" spans="1:4">
      <c r="B32" s="36" t="s">
        <v>126</v>
      </c>
      <c r="C32" s="36">
        <f>C30*C31/1000</f>
        <v>0.51300000000000001</v>
      </c>
      <c r="D32" s="36" t="s">
        <v>30</v>
      </c>
    </row>
    <row r="33" spans="1:6">
      <c r="A33" s="44" t="s">
        <v>127</v>
      </c>
      <c r="B33" s="36" t="s">
        <v>128</v>
      </c>
      <c r="C33" s="36">
        <v>12.5</v>
      </c>
      <c r="D33" s="36" t="s">
        <v>2</v>
      </c>
    </row>
    <row r="34" spans="1:6">
      <c r="B34" s="36" t="s">
        <v>129</v>
      </c>
      <c r="C34" s="36">
        <v>20.399999999999999</v>
      </c>
      <c r="D34" s="40" t="s">
        <v>20</v>
      </c>
    </row>
    <row r="35" spans="1:6">
      <c r="B35" s="36" t="s">
        <v>130</v>
      </c>
      <c r="C35" s="36">
        <f>C33*C34/1000</f>
        <v>0.255</v>
      </c>
      <c r="D35" s="36" t="s">
        <v>30</v>
      </c>
    </row>
    <row r="36" spans="1:6">
      <c r="B36" s="35" t="s">
        <v>131</v>
      </c>
      <c r="C36" s="35">
        <f>C26+C29+C32+C35</f>
        <v>4.5049999999999999</v>
      </c>
      <c r="D36" s="35" t="s">
        <v>30</v>
      </c>
    </row>
    <row r="38" spans="1:6">
      <c r="B38" s="35" t="s">
        <v>132</v>
      </c>
    </row>
    <row r="39" spans="1:6">
      <c r="B39" s="36" t="s">
        <v>133</v>
      </c>
      <c r="C39" s="36">
        <f>'two way slab design'!D26</f>
        <v>2</v>
      </c>
      <c r="D39" s="36" t="s">
        <v>30</v>
      </c>
    </row>
    <row r="41" spans="1:6">
      <c r="B41" s="35" t="s">
        <v>134</v>
      </c>
      <c r="C41" s="35">
        <f>C36+C39</f>
        <v>6.5049999999999999</v>
      </c>
      <c r="D41" s="35" t="s">
        <v>30</v>
      </c>
    </row>
    <row r="42" spans="1:6">
      <c r="B42" s="36" t="s">
        <v>135</v>
      </c>
      <c r="C42" s="36">
        <f>1.5*C41</f>
        <v>9.7575000000000003</v>
      </c>
      <c r="D42" s="36" t="s">
        <v>30</v>
      </c>
    </row>
    <row r="44" spans="1:6">
      <c r="A44" s="35">
        <v>4</v>
      </c>
      <c r="B44" s="35" t="s">
        <v>136</v>
      </c>
    </row>
    <row r="45" spans="1:6">
      <c r="B45" s="36" t="s">
        <v>137</v>
      </c>
      <c r="C45" s="83" t="s">
        <v>43</v>
      </c>
      <c r="D45" s="83"/>
      <c r="E45" s="83" t="s">
        <v>44</v>
      </c>
      <c r="F45" s="83"/>
    </row>
    <row r="46" spans="1:6">
      <c r="B46" s="36" t="s">
        <v>138</v>
      </c>
      <c r="C46" s="45" t="s">
        <v>139</v>
      </c>
      <c r="D46" s="46">
        <f>'two way slab design'!C35</f>
        <v>5.7263822156831193E-2</v>
      </c>
      <c r="E46" s="45" t="s">
        <v>140</v>
      </c>
      <c r="F46" s="47">
        <f>'two way slab design'!E35</f>
        <v>4.7E-2</v>
      </c>
    </row>
    <row r="47" spans="1:6">
      <c r="B47" s="36" t="s">
        <v>141</v>
      </c>
      <c r="C47" s="45" t="s">
        <v>142</v>
      </c>
      <c r="D47" s="48">
        <f>'two way slab design'!D35</f>
        <v>4.3045587254879426E-2</v>
      </c>
      <c r="E47" s="45" t="s">
        <v>143</v>
      </c>
      <c r="F47" s="47">
        <f>'two way slab design'!F35</f>
        <v>3.5000000000000003E-2</v>
      </c>
    </row>
    <row r="48" spans="1:6">
      <c r="B48" s="36" t="s">
        <v>144</v>
      </c>
    </row>
    <row r="49" spans="1:4">
      <c r="B49" s="36" t="s">
        <v>145</v>
      </c>
      <c r="C49" s="39">
        <f>'two way slab design'!C36</f>
        <v>8.1914479099235997</v>
      </c>
      <c r="D49" s="36" t="s">
        <v>146</v>
      </c>
    </row>
    <row r="50" spans="1:4">
      <c r="B50" s="36" t="s">
        <v>147</v>
      </c>
      <c r="C50" s="39">
        <f>'two way slab design'!E36</f>
        <v>6.7232335751532011</v>
      </c>
      <c r="D50" s="36" t="s">
        <v>146</v>
      </c>
    </row>
    <row r="51" spans="1:4">
      <c r="B51" s="36" t="s">
        <v>148</v>
      </c>
    </row>
    <row r="52" spans="1:4">
      <c r="B52" s="36" t="s">
        <v>149</v>
      </c>
      <c r="C52" s="39">
        <f>'two way slab design'!D36</f>
        <v>6.1575646275360016</v>
      </c>
      <c r="D52" s="36" t="s">
        <v>146</v>
      </c>
    </row>
    <row r="53" spans="1:4">
      <c r="B53" s="36" t="s">
        <v>150</v>
      </c>
      <c r="C53" s="39">
        <f>'two way slab design'!F36</f>
        <v>5.0066633006460002</v>
      </c>
      <c r="D53" s="36" t="s">
        <v>146</v>
      </c>
    </row>
    <row r="54" spans="1:4">
      <c r="C54" s="39"/>
    </row>
    <row r="55" spans="1:4">
      <c r="A55" s="35">
        <v>5</v>
      </c>
      <c r="B55" s="35" t="s">
        <v>151</v>
      </c>
    </row>
    <row r="56" spans="1:4">
      <c r="B56" s="36" t="s">
        <v>152</v>
      </c>
    </row>
    <row r="57" spans="1:4">
      <c r="B57" s="36" t="s">
        <v>153</v>
      </c>
      <c r="C57" s="39">
        <f>MAX(C49,C50,C52,C53)</f>
        <v>8.1914479099235997</v>
      </c>
    </row>
    <row r="58" spans="1:4">
      <c r="B58" s="36" t="s">
        <v>154</v>
      </c>
    </row>
    <row r="59" spans="1:4">
      <c r="B59" s="36" t="s">
        <v>155</v>
      </c>
    </row>
    <row r="61" spans="1:4">
      <c r="B61" s="36" t="s">
        <v>156</v>
      </c>
      <c r="D61" s="36" t="s">
        <v>2</v>
      </c>
    </row>
    <row r="62" spans="1:4">
      <c r="B62" s="36" t="s">
        <v>157</v>
      </c>
      <c r="C62" s="36">
        <v>125</v>
      </c>
      <c r="D62" s="36" t="s">
        <v>2</v>
      </c>
    </row>
    <row r="63" spans="1:4">
      <c r="B63" s="36" t="s">
        <v>158</v>
      </c>
      <c r="C63" s="36">
        <f>C62-8/2-25</f>
        <v>96</v>
      </c>
      <c r="D63" s="36" t="s">
        <v>2</v>
      </c>
    </row>
    <row r="65" spans="1:6">
      <c r="A65" s="35">
        <v>6</v>
      </c>
      <c r="B65" s="35" t="s">
        <v>159</v>
      </c>
      <c r="C65" s="36" t="str">
        <f>'two way slab design'!C31</f>
        <v>Main Bar</v>
      </c>
      <c r="D65" s="36" t="str">
        <f>'two way slab design'!D31</f>
        <v>Dist. Bar</v>
      </c>
    </row>
    <row r="66" spans="1:6">
      <c r="A66" s="84" t="s">
        <v>40</v>
      </c>
      <c r="B66" s="84"/>
      <c r="C66" s="49">
        <f>'two way slab design'!C32</f>
        <v>8</v>
      </c>
      <c r="D66" s="49">
        <f>'two way slab design'!D32</f>
        <v>8</v>
      </c>
      <c r="E66" s="40" t="s">
        <v>2</v>
      </c>
      <c r="F66" s="40"/>
    </row>
    <row r="67" spans="1:6">
      <c r="A67" s="86" t="s">
        <v>41</v>
      </c>
      <c r="B67" s="86" t="s">
        <v>42</v>
      </c>
      <c r="C67" s="83" t="s">
        <v>43</v>
      </c>
      <c r="D67" s="83"/>
      <c r="E67" s="83" t="s">
        <v>44</v>
      </c>
      <c r="F67" s="83"/>
    </row>
    <row r="68" spans="1:6">
      <c r="A68" s="86"/>
      <c r="B68" s="86"/>
      <c r="C68" s="45" t="s">
        <v>45</v>
      </c>
      <c r="D68" s="45" t="s">
        <v>46</v>
      </c>
      <c r="E68" s="45" t="s">
        <v>45</v>
      </c>
      <c r="F68" s="45" t="s">
        <v>46</v>
      </c>
    </row>
    <row r="69" spans="1:6">
      <c r="A69" s="45">
        <v>1</v>
      </c>
      <c r="B69" s="45" t="s">
        <v>47</v>
      </c>
      <c r="C69" s="46">
        <f>'two way slab design'!C35</f>
        <v>5.7263822156831193E-2</v>
      </c>
      <c r="D69" s="46">
        <f>'two way slab design'!D35</f>
        <v>4.3045587254879426E-2</v>
      </c>
      <c r="E69" s="46">
        <f>'two way slab design'!E35</f>
        <v>4.7E-2</v>
      </c>
      <c r="F69" s="46">
        <f>'two way slab design'!F35</f>
        <v>3.5000000000000003E-2</v>
      </c>
    </row>
    <row r="70" spans="1:6">
      <c r="A70" s="45">
        <v>2</v>
      </c>
      <c r="B70" s="45" t="s">
        <v>48</v>
      </c>
      <c r="C70" s="50">
        <f>'two way slab design'!C36</f>
        <v>8.1914479099235997</v>
      </c>
      <c r="D70" s="50">
        <f>'two way slab design'!D36</f>
        <v>6.1575646275360016</v>
      </c>
      <c r="E70" s="50">
        <f>'two way slab design'!E36</f>
        <v>6.7232335751532011</v>
      </c>
      <c r="F70" s="50">
        <f>'two way slab design'!F36</f>
        <v>5.0066633006460002</v>
      </c>
    </row>
    <row r="71" spans="1:6">
      <c r="A71" s="45">
        <v>3</v>
      </c>
      <c r="B71" s="45" t="s">
        <v>49</v>
      </c>
      <c r="C71" s="50">
        <f>'two way slab design'!C37</f>
        <v>187.73139985320825</v>
      </c>
      <c r="D71" s="50">
        <f>'two way slab design'!D37</f>
        <v>139.44103438351604</v>
      </c>
      <c r="E71" s="50">
        <f>'two way slab design'!E37</f>
        <v>152.75148433979138</v>
      </c>
      <c r="F71" s="50">
        <f>'two way slab design'!F37</f>
        <v>112.63491742693631</v>
      </c>
    </row>
    <row r="72" spans="1:6">
      <c r="A72" s="45">
        <v>4</v>
      </c>
      <c r="B72" s="45" t="s">
        <v>50</v>
      </c>
      <c r="C72" s="50">
        <f>'two way slab design'!C38</f>
        <v>150</v>
      </c>
      <c r="D72" s="50">
        <f>'two way slab design'!D38</f>
        <v>150</v>
      </c>
      <c r="E72" s="50">
        <f>'two way slab design'!E38</f>
        <v>150</v>
      </c>
      <c r="F72" s="50">
        <f>'two way slab design'!F38</f>
        <v>150</v>
      </c>
    </row>
    <row r="73" spans="1:6" hidden="1">
      <c r="A73" s="45"/>
      <c r="B73" s="45" t="s">
        <v>51</v>
      </c>
      <c r="C73" s="50">
        <f>'two way slab design'!C39</f>
        <v>187.73139985320825</v>
      </c>
      <c r="D73" s="50">
        <f>'two way slab design'!D39</f>
        <v>150</v>
      </c>
      <c r="E73" s="50">
        <f>'two way slab design'!E39</f>
        <v>152.75148433979138</v>
      </c>
      <c r="F73" s="50">
        <f>'two way slab design'!F39</f>
        <v>150</v>
      </c>
    </row>
    <row r="74" spans="1:6">
      <c r="A74" s="45">
        <v>5</v>
      </c>
      <c r="B74" s="45" t="s">
        <v>52</v>
      </c>
      <c r="C74" s="50">
        <f>'two way slab design'!C40</f>
        <v>267.85990156699364</v>
      </c>
      <c r="D74" s="50">
        <f>'two way slab design'!D40</f>
        <v>335.23809523809524</v>
      </c>
      <c r="E74" s="50">
        <f>'two way slab design'!E40</f>
        <v>329.19951320312629</v>
      </c>
      <c r="F74" s="50">
        <f>'two way slab design'!F40</f>
        <v>335.23809523809524</v>
      </c>
    </row>
    <row r="75" spans="1:6" hidden="1">
      <c r="A75" s="45"/>
      <c r="B75" s="45"/>
      <c r="C75" s="50">
        <f>'two way slab design'!C41</f>
        <v>300</v>
      </c>
      <c r="D75" s="50">
        <f>'two way slab design'!D41</f>
        <v>300</v>
      </c>
      <c r="E75" s="50">
        <f>'two way slab design'!E41</f>
        <v>300</v>
      </c>
      <c r="F75" s="50">
        <f>'two way slab design'!F41</f>
        <v>300</v>
      </c>
    </row>
    <row r="76" spans="1:6" hidden="1">
      <c r="A76" s="45"/>
      <c r="B76" s="45" t="s">
        <v>53</v>
      </c>
      <c r="C76" s="50">
        <f>'two way slab design'!C42</f>
        <v>267.85990156699364</v>
      </c>
      <c r="D76" s="50">
        <f>'two way slab design'!D42</f>
        <v>300</v>
      </c>
      <c r="E76" s="50">
        <f>'two way slab design'!E42</f>
        <v>300</v>
      </c>
      <c r="F76" s="50">
        <f>'two way slab design'!F42</f>
        <v>300</v>
      </c>
    </row>
    <row r="77" spans="1:6">
      <c r="A77" s="45">
        <v>6</v>
      </c>
      <c r="B77" s="45" t="s">
        <v>54</v>
      </c>
      <c r="C77" s="50">
        <f>'two way slab design'!C43</f>
        <v>150</v>
      </c>
      <c r="D77" s="50">
        <f>'two way slab design'!D43</f>
        <v>150</v>
      </c>
      <c r="E77" s="50">
        <f>'two way slab design'!E43</f>
        <v>150</v>
      </c>
      <c r="F77" s="50">
        <f>'two way slab design'!F43</f>
        <v>150</v>
      </c>
    </row>
    <row r="78" spans="1:6">
      <c r="A78" s="45">
        <v>7</v>
      </c>
      <c r="B78" s="45" t="s">
        <v>55</v>
      </c>
      <c r="C78" s="50">
        <f>'two way slab design'!C44</f>
        <v>335.23809523809524</v>
      </c>
      <c r="D78" s="50">
        <f>'two way slab design'!D44</f>
        <v>335.23809523809524</v>
      </c>
      <c r="E78" s="50">
        <f>'two way slab design'!E44</f>
        <v>335.23809523809501</v>
      </c>
      <c r="F78" s="50">
        <f>'two way slab design'!F44</f>
        <v>335.23809523809501</v>
      </c>
    </row>
    <row r="79" spans="1:6">
      <c r="A79" s="45">
        <v>8</v>
      </c>
      <c r="B79" s="45" t="s">
        <v>56</v>
      </c>
      <c r="C79" s="50">
        <f>'two way slab design'!C45</f>
        <v>0.2681904761904762</v>
      </c>
      <c r="D79" s="50">
        <f>'two way slab design'!D45</f>
        <v>0.2681904761904762</v>
      </c>
      <c r="E79" s="50">
        <f>'two way slab design'!E45</f>
        <v>0.26819047619047598</v>
      </c>
      <c r="F79" s="50">
        <f>'two way slab design'!F45</f>
        <v>0.26819047619047598</v>
      </c>
    </row>
    <row r="80" spans="1:6">
      <c r="A80" s="40"/>
      <c r="B80" s="40"/>
      <c r="C80" s="51"/>
      <c r="D80" s="51"/>
      <c r="E80" s="51"/>
      <c r="F80" s="51"/>
    </row>
    <row r="81" spans="1:7">
      <c r="A81" s="35">
        <v>7</v>
      </c>
      <c r="B81" s="52" t="s">
        <v>160</v>
      </c>
    </row>
    <row r="82" spans="1:7">
      <c r="A82" s="52">
        <v>7.1</v>
      </c>
      <c r="B82" s="52" t="s">
        <v>161</v>
      </c>
    </row>
    <row r="83" spans="1:7" ht="15.75" customHeight="1">
      <c r="B83" s="40" t="s">
        <v>162</v>
      </c>
      <c r="C83" s="36">
        <f>0.12%*1000*C62</f>
        <v>150</v>
      </c>
      <c r="D83" s="36" t="s">
        <v>89</v>
      </c>
      <c r="E83" s="85" t="s">
        <v>163</v>
      </c>
      <c r="F83" s="85"/>
      <c r="G83" s="85"/>
    </row>
    <row r="84" spans="1:7">
      <c r="E84" s="53"/>
      <c r="F84" s="53"/>
    </row>
    <row r="85" spans="1:7">
      <c r="A85" s="35">
        <v>7.2</v>
      </c>
      <c r="B85" s="52" t="s">
        <v>164</v>
      </c>
    </row>
    <row r="86" spans="1:7">
      <c r="B86" s="40" t="s">
        <v>165</v>
      </c>
    </row>
    <row r="87" spans="1:7">
      <c r="B87" s="40" t="s">
        <v>166</v>
      </c>
      <c r="C87" s="36" t="s">
        <v>167</v>
      </c>
    </row>
    <row r="88" spans="1:7">
      <c r="B88" s="40" t="s">
        <v>60</v>
      </c>
      <c r="C88" s="36">
        <f>'two way slab design'!D49</f>
        <v>33.142095238095237</v>
      </c>
    </row>
    <row r="89" spans="1:7">
      <c r="B89" s="41" t="s">
        <v>168</v>
      </c>
      <c r="F89" s="36" t="s">
        <v>169</v>
      </c>
    </row>
    <row r="90" spans="1:7">
      <c r="B90" s="54" t="s">
        <v>170</v>
      </c>
      <c r="D90" s="36">
        <f>'two way slab design'!D52</f>
        <v>1</v>
      </c>
      <c r="F90" s="36" t="s">
        <v>171</v>
      </c>
    </row>
    <row r="91" spans="1:7">
      <c r="B91" s="54" t="s">
        <v>172</v>
      </c>
      <c r="C91" s="54"/>
      <c r="D91" s="36">
        <f>'two way slab design'!D51</f>
        <v>1</v>
      </c>
      <c r="F91" s="36" t="s">
        <v>173</v>
      </c>
    </row>
    <row r="92" spans="1:7">
      <c r="B92" s="44" t="s">
        <v>174</v>
      </c>
      <c r="C92" s="36">
        <f>'two way slab design'!D50</f>
        <v>23</v>
      </c>
      <c r="E92" s="44"/>
      <c r="F92" s="44" t="s">
        <v>175</v>
      </c>
    </row>
    <row r="93" spans="1:7">
      <c r="B93" s="36" t="s">
        <v>176</v>
      </c>
    </row>
    <row r="94" spans="1:7" ht="15.75" customHeight="1">
      <c r="B94" s="36" t="s">
        <v>177</v>
      </c>
      <c r="C94" s="39">
        <f>'two way slab design'!D53</f>
        <v>129.75852272727272</v>
      </c>
      <c r="D94" s="36" t="s">
        <v>17</v>
      </c>
    </row>
    <row r="95" spans="1:7">
      <c r="B95" s="40" t="s">
        <v>66</v>
      </c>
      <c r="C95" s="39">
        <f>'two way slab design'!D54</f>
        <v>0.2681904761904762</v>
      </c>
    </row>
    <row r="96" spans="1:7">
      <c r="B96" s="40" t="s">
        <v>67</v>
      </c>
      <c r="C96" s="36">
        <f>'two way slab design'!D55</f>
        <v>2</v>
      </c>
    </row>
    <row r="97" spans="1:5">
      <c r="B97" s="40" t="s">
        <v>69</v>
      </c>
      <c r="C97" s="36">
        <f>'two way slab design'!D56</f>
        <v>46</v>
      </c>
      <c r="E97" s="36" t="str">
        <f>'two way slab design'!F56</f>
        <v>OK Safe</v>
      </c>
    </row>
    <row r="98" spans="1:5">
      <c r="B98" s="40" t="s">
        <v>178</v>
      </c>
      <c r="C98" s="36" t="str">
        <f>IF(C88&lt;C97,"SAFE","NOT SAFE")</f>
        <v>SAFE</v>
      </c>
    </row>
    <row r="100" spans="1:5">
      <c r="A100" s="35">
        <v>7.3</v>
      </c>
      <c r="B100" s="52" t="s">
        <v>179</v>
      </c>
    </row>
    <row r="101" spans="1:5">
      <c r="B101" s="40" t="s">
        <v>180</v>
      </c>
    </row>
    <row r="102" spans="1:5">
      <c r="B102" s="40" t="s">
        <v>181</v>
      </c>
      <c r="C102" s="39">
        <f>'two way slab design'!D60</f>
        <v>20.5532775</v>
      </c>
      <c r="D102" s="36" t="s">
        <v>72</v>
      </c>
    </row>
    <row r="103" spans="1:5">
      <c r="B103" s="40" t="s">
        <v>182</v>
      </c>
      <c r="C103" s="39">
        <f>'two way slab design'!D61</f>
        <v>0.19574549999999999</v>
      </c>
      <c r="D103" s="36" t="s">
        <v>17</v>
      </c>
    </row>
    <row r="104" spans="1:5">
      <c r="B104" s="40" t="s">
        <v>183</v>
      </c>
      <c r="C104" s="39">
        <f>'two way slab design'!D68</f>
        <v>0.1596371882086168</v>
      </c>
    </row>
    <row r="105" spans="1:5">
      <c r="B105" s="40" t="s">
        <v>184</v>
      </c>
      <c r="C105" s="39"/>
    </row>
    <row r="106" spans="1:5">
      <c r="B106" s="40" t="s">
        <v>185</v>
      </c>
      <c r="C106" s="39"/>
    </row>
    <row r="107" spans="1:5">
      <c r="B107" s="44" t="s">
        <v>81</v>
      </c>
      <c r="C107" s="39">
        <f>'two way slab design'!D69</f>
        <v>0.28770975056689346</v>
      </c>
      <c r="D107" s="40" t="s">
        <v>17</v>
      </c>
    </row>
    <row r="108" spans="1:5">
      <c r="B108" s="40" t="s">
        <v>186</v>
      </c>
    </row>
    <row r="109" spans="1:5">
      <c r="B109" s="55" t="s">
        <v>187</v>
      </c>
      <c r="C109" s="36">
        <f>'two way slab design'!D70</f>
        <v>1.3</v>
      </c>
    </row>
    <row r="110" spans="1:5">
      <c r="B110" s="44" t="s">
        <v>188</v>
      </c>
      <c r="C110" s="39">
        <f>'two way slab design'!D71</f>
        <v>0.37402267573696152</v>
      </c>
      <c r="D110" s="40" t="s">
        <v>17</v>
      </c>
    </row>
    <row r="111" spans="1:5">
      <c r="B111" s="44" t="s">
        <v>189</v>
      </c>
      <c r="C111" s="36" t="str">
        <f>IF(C110&gt;C103,"OK Safe","Not OK")</f>
        <v>OK Safe</v>
      </c>
    </row>
    <row r="113" spans="1:4">
      <c r="A113" s="35">
        <v>8</v>
      </c>
      <c r="B113" s="35" t="s">
        <v>190</v>
      </c>
    </row>
    <row r="114" spans="1:4">
      <c r="B114" s="44" t="s">
        <v>191</v>
      </c>
      <c r="C114" s="37">
        <f>C62</f>
        <v>125</v>
      </c>
      <c r="D114" s="36" t="s">
        <v>2</v>
      </c>
    </row>
    <row r="115" spans="1:4">
      <c r="B115" s="44" t="s">
        <v>192</v>
      </c>
      <c r="C115" s="36" t="str">
        <f>$C$66&amp;"mm ø @ "&amp;C77&amp;"mm c/c"</f>
        <v>8mm ø @ 150mm c/c</v>
      </c>
    </row>
    <row r="116" spans="1:4">
      <c r="B116" s="44" t="s">
        <v>193</v>
      </c>
      <c r="C116" s="36" t="str">
        <f>$C$66&amp;"mm ø @ "&amp;D77&amp;"mm c/c"</f>
        <v>8mm ø @ 150mm c/c</v>
      </c>
    </row>
    <row r="117" spans="1:4">
      <c r="B117" s="44" t="s">
        <v>194</v>
      </c>
      <c r="C117" s="36" t="str">
        <f>$D$66&amp;"mm ø @ "&amp;E77&amp;"mm c/c"</f>
        <v>8mm ø @ 150mm c/c</v>
      </c>
    </row>
    <row r="118" spans="1:4">
      <c r="B118" s="44" t="s">
        <v>195</v>
      </c>
      <c r="C118" s="36" t="str">
        <f>$D$66&amp;"mm ø @ "&amp;F77&amp;"mm c/c"</f>
        <v>8mm ø @ 150mm c/c</v>
      </c>
    </row>
    <row r="130" spans="2:2">
      <c r="B130" s="44"/>
    </row>
    <row r="132" spans="2:2" ht="21">
      <c r="B132" s="56"/>
    </row>
  </sheetData>
  <mergeCells count="10">
    <mergeCell ref="C67:D67"/>
    <mergeCell ref="E67:F67"/>
    <mergeCell ref="E83:G83"/>
    <mergeCell ref="A67:A68"/>
    <mergeCell ref="B67:B68"/>
    <mergeCell ref="A1:E1"/>
    <mergeCell ref="A2:E2"/>
    <mergeCell ref="C45:D45"/>
    <mergeCell ref="E45:F45"/>
    <mergeCell ref="A66:B66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workbookViewId="0">
      <selection activeCell="C3" sqref="C3"/>
    </sheetView>
  </sheetViews>
  <sheetFormatPr defaultColWidth="9" defaultRowHeight="14.4"/>
  <cols>
    <col min="1" max="1" width="12.109375" customWidth="1"/>
  </cols>
  <sheetData>
    <row r="1" spans="1:10">
      <c r="A1" s="28" t="s">
        <v>196</v>
      </c>
    </row>
    <row r="2" spans="1:10">
      <c r="A2" t="s">
        <v>80</v>
      </c>
      <c r="C2">
        <f>'two way slab design'!D68</f>
        <v>0.1596371882086168</v>
      </c>
      <c r="G2" s="87" t="s">
        <v>197</v>
      </c>
      <c r="H2" s="87"/>
      <c r="I2" s="87"/>
      <c r="J2" s="87"/>
    </row>
    <row r="3" spans="1:10">
      <c r="A3" t="s">
        <v>76</v>
      </c>
      <c r="C3">
        <f>'two way slab design'!D63</f>
        <v>20</v>
      </c>
    </row>
    <row r="4" spans="1:10">
      <c r="A4" t="s">
        <v>198</v>
      </c>
      <c r="D4" s="33">
        <f>I34</f>
        <v>0.28770975056689346</v>
      </c>
    </row>
    <row r="5" spans="1:10">
      <c r="G5" t="s">
        <v>74</v>
      </c>
      <c r="I5" t="s">
        <v>199</v>
      </c>
    </row>
    <row r="6" spans="1:10">
      <c r="A6" t="s">
        <v>80</v>
      </c>
      <c r="B6">
        <v>15</v>
      </c>
      <c r="C6">
        <v>20</v>
      </c>
      <c r="D6">
        <v>25</v>
      </c>
      <c r="E6">
        <v>30</v>
      </c>
      <c r="F6">
        <v>35</v>
      </c>
      <c r="G6">
        <v>40</v>
      </c>
    </row>
    <row r="7" spans="1:10" s="32" customFormat="1">
      <c r="A7" s="32">
        <v>0</v>
      </c>
      <c r="B7" s="32">
        <v>0.28000000000000003</v>
      </c>
      <c r="C7" s="32">
        <v>0.28000000000000003</v>
      </c>
      <c r="D7" s="32">
        <v>0.28999999999999998</v>
      </c>
      <c r="E7" s="32">
        <v>0.28999999999999998</v>
      </c>
      <c r="F7" s="32">
        <v>0.28999999999999998</v>
      </c>
      <c r="G7" s="32">
        <v>0.3</v>
      </c>
    </row>
    <row r="8" spans="1:10">
      <c r="A8">
        <f>IF(AND($C$2&gt;=A7,$C$2&lt;=A9),$C$2,0)</f>
        <v>0</v>
      </c>
      <c r="B8">
        <f>IF($A$8=0,0,((B9-B7)/($A$9-$A$7)*($A$8-$A$7)+B7))</f>
        <v>0</v>
      </c>
      <c r="C8">
        <f>IF($A$8=0,0,((C9-C7)/($A$9-$A$7)*($A$8-$A$7)+C7))</f>
        <v>0</v>
      </c>
      <c r="D8">
        <f t="shared" ref="D8:G8" si="0">IF($A$8=0,0,((D9-D7)/($A$9-$A$7)*($A$8-$A$7)+D7))</f>
        <v>0</v>
      </c>
      <c r="E8">
        <f t="shared" si="0"/>
        <v>0</v>
      </c>
      <c r="F8">
        <f t="shared" si="0"/>
        <v>0</v>
      </c>
      <c r="G8">
        <f t="shared" si="0"/>
        <v>0</v>
      </c>
      <c r="I8">
        <f>IF($C$3=$B$6,B8,IF($C$3=$C$6,C8,IF($C$3=$D$6,D8,IF($C$3=$E$6,E8,IF($C$3=$F$6,F8,IF($C$3=$G$6,G8,"ERROR"))))))</f>
        <v>0</v>
      </c>
    </row>
    <row r="9" spans="1:10" s="32" customFormat="1">
      <c r="A9" s="32">
        <v>0.15</v>
      </c>
      <c r="B9" s="32">
        <v>0.28000000000000003</v>
      </c>
      <c r="C9" s="32">
        <v>0.28000000000000003</v>
      </c>
      <c r="D9" s="32">
        <v>0.28999999999999998</v>
      </c>
      <c r="E9" s="32">
        <v>0.28999999999999998</v>
      </c>
      <c r="F9" s="32">
        <v>0.28999999999999998</v>
      </c>
      <c r="G9" s="32">
        <v>0.3</v>
      </c>
    </row>
    <row r="10" spans="1:10">
      <c r="A10">
        <f>IF(AND($C$2&gt;=A9,$C$2&lt;=A11),$C$2,0)</f>
        <v>0.1596371882086168</v>
      </c>
      <c r="B10">
        <f t="shared" ref="B10" si="1">IF($A$10=0,0,(B11-B9)/($A$11-$A$9)*($A$10-$A$9)+B9)</f>
        <v>0.2867460317460318</v>
      </c>
      <c r="C10">
        <f t="shared" ref="C10" si="2">IF($A$10=0,0,(C11-C9)/($A$11-$A$9)*($A$10-$A$9)+C9)</f>
        <v>0.28770975056689346</v>
      </c>
      <c r="D10">
        <f t="shared" ref="D10:G10" si="3">IF($A$10=0,0,(D11-D9)/($A$11-$A$9)*($A$10-$A$9)+D9)</f>
        <v>0.29674603174603176</v>
      </c>
      <c r="E10">
        <f t="shared" si="3"/>
        <v>0.29770975056689342</v>
      </c>
      <c r="F10">
        <f t="shared" si="3"/>
        <v>0.29770975056689342</v>
      </c>
      <c r="G10">
        <f t="shared" si="3"/>
        <v>0.30770975056689343</v>
      </c>
      <c r="I10">
        <f>IF($C$3=$B$6,B10,IF($C$3=$C$6,C10,IF($C$3=$D$6,D10,IF($C$3=$E$6,E10,IF($C$3=$F$6,F10,IF($C$3=$G$6,G10,"ERROR"))))))</f>
        <v>0.28770975056689346</v>
      </c>
    </row>
    <row r="11" spans="1:10" s="32" customFormat="1">
      <c r="A11" s="32">
        <v>0.25</v>
      </c>
      <c r="B11" s="32">
        <v>0.35</v>
      </c>
      <c r="C11" s="32">
        <v>0.36</v>
      </c>
      <c r="D11" s="32">
        <v>0.36</v>
      </c>
      <c r="E11" s="32">
        <v>0.37</v>
      </c>
      <c r="F11" s="32">
        <v>0.37</v>
      </c>
      <c r="G11" s="32">
        <v>0.38</v>
      </c>
    </row>
    <row r="12" spans="1:10">
      <c r="A12">
        <f>IF(AND($C$2&gt;=A11,$C$2&lt;=A13),$C$2,0)</f>
        <v>0</v>
      </c>
      <c r="B12">
        <f>IF($A$12=0,0,(B13-B11)/($A$13-$A$11)*($A$12-$A$11)+B11)</f>
        <v>0</v>
      </c>
      <c r="C12">
        <f>IF($A$12=0,0,(C13-C11)/($A$13-$A$11)*($A$12-$A$11)+C11)</f>
        <v>0</v>
      </c>
      <c r="D12">
        <f t="shared" ref="D12:G12" si="4">IF($A$12=0,0,(D13-D11)/($A$13-$A$11)*($A$12-$A$11)+D11)</f>
        <v>0</v>
      </c>
      <c r="E12">
        <f t="shared" si="4"/>
        <v>0</v>
      </c>
      <c r="F12">
        <f t="shared" si="4"/>
        <v>0</v>
      </c>
      <c r="G12">
        <f t="shared" si="4"/>
        <v>0</v>
      </c>
      <c r="I12">
        <f>IF($C$3=$B$6,B12,IF($C$3=$C$6,C12,IF($C$3=$D$6,D12,IF($C$3=$E$6,E12,IF($C$3=$F$6,F12,IF($C$3=$G$6,G12,"ERROR"))))))</f>
        <v>0</v>
      </c>
    </row>
    <row r="13" spans="1:10" s="32" customFormat="1">
      <c r="A13" s="32">
        <v>0.5</v>
      </c>
      <c r="B13" s="32">
        <v>0.46</v>
      </c>
      <c r="C13" s="32">
        <v>0.48</v>
      </c>
      <c r="D13" s="32">
        <v>0.49</v>
      </c>
      <c r="E13" s="32">
        <v>0.5</v>
      </c>
      <c r="F13" s="32">
        <v>0.5</v>
      </c>
      <c r="G13" s="32">
        <v>0.51</v>
      </c>
    </row>
    <row r="14" spans="1:10">
      <c r="A14">
        <f>IF(AND($C$2&gt;=A13,$C$2&lt;=A15),$C$2,0)</f>
        <v>0</v>
      </c>
      <c r="B14">
        <f>IF($A$14=0,0,(B15-B13)/($A$15-$A$13)*($A$14-$A$13)+B13)</f>
        <v>0</v>
      </c>
      <c r="C14">
        <f>IF($A$14=0,0,(C15-C13)/($A$15-$A$13)*($A$14-$A$13)+C13)</f>
        <v>0</v>
      </c>
      <c r="D14">
        <f t="shared" ref="D14:G14" si="5">IF($A$14=0,0,(D15-D13)/($A$15-$A$13)*($A$14-$A$13)+D13)</f>
        <v>0</v>
      </c>
      <c r="E14">
        <f t="shared" si="5"/>
        <v>0</v>
      </c>
      <c r="F14">
        <f t="shared" si="5"/>
        <v>0</v>
      </c>
      <c r="G14">
        <f t="shared" si="5"/>
        <v>0</v>
      </c>
      <c r="I14">
        <f>IF($C$3=$B$6,B14,IF($C$3=$C$6,C14,IF($C$3=$D$6,D14,IF($C$3=$E$6,E14,IF($C$3=$F$6,F14,IF($C$3=$G$6,G14,"ERROR"))))))</f>
        <v>0</v>
      </c>
    </row>
    <row r="15" spans="1:10" s="32" customFormat="1">
      <c r="A15" s="32">
        <v>0.75</v>
      </c>
      <c r="B15" s="32">
        <v>0.54</v>
      </c>
      <c r="C15" s="32">
        <v>0.56000000000000005</v>
      </c>
      <c r="D15" s="32">
        <v>0.56999999999999995</v>
      </c>
      <c r="E15" s="32">
        <v>0.59</v>
      </c>
      <c r="F15" s="32">
        <v>0.59</v>
      </c>
      <c r="G15" s="32">
        <v>0.6</v>
      </c>
    </row>
    <row r="16" spans="1:10">
      <c r="A16">
        <f>IF(AND($C$2&gt;=A15,$C$2&lt;=A17),$C$2,0)</f>
        <v>0</v>
      </c>
      <c r="B16">
        <f>IF($A$16=0,0,(B17-B15)/($A$17-$A$15)*($A$16-$A$15)+B15)</f>
        <v>0</v>
      </c>
      <c r="C16">
        <f>IF($A$16=0,0,(C17-C15)/($A$17-$A$15)*($A$16-$A$15)+C15)</f>
        <v>0</v>
      </c>
      <c r="D16">
        <f t="shared" ref="D16:G16" si="6">IF($A$16=0,0,(D17-D15)/($A$17-$A$15)*($A$16-$A$15)+D15)</f>
        <v>0</v>
      </c>
      <c r="E16">
        <f t="shared" si="6"/>
        <v>0</v>
      </c>
      <c r="F16">
        <f t="shared" si="6"/>
        <v>0</v>
      </c>
      <c r="G16">
        <f t="shared" si="6"/>
        <v>0</v>
      </c>
      <c r="I16">
        <f>IF($C$3=$B$6,B16,IF($C$3=$C$6,C16,IF($C$3=$D$6,D16,IF($C$3=$E$6,E16,IF($C$3=$F$6,F16,IF($C$3=$G$6,G16,"ERROR"))))))</f>
        <v>0</v>
      </c>
    </row>
    <row r="17" spans="1:9" s="32" customFormat="1">
      <c r="A17" s="32">
        <v>1</v>
      </c>
      <c r="B17" s="32">
        <v>0.6</v>
      </c>
      <c r="C17" s="32">
        <v>0.62</v>
      </c>
      <c r="D17" s="32">
        <v>0.64</v>
      </c>
      <c r="E17" s="32">
        <v>0.66</v>
      </c>
      <c r="F17" s="32">
        <v>0.67</v>
      </c>
      <c r="G17" s="32">
        <v>0.68</v>
      </c>
    </row>
    <row r="18" spans="1:9">
      <c r="A18">
        <f>IF(AND($C$2&gt;=A17,$C$2&lt;=A19),$C$2,0)</f>
        <v>0</v>
      </c>
      <c r="B18">
        <f>IF($A$18=0,0,(B19-B17)/($A$19-$A$17)*($A$18-$A$17)+B17)</f>
        <v>0</v>
      </c>
      <c r="C18">
        <f>IF($A$18=0,0,(C19-C17)/($A$19-$A$17)*($A$18-$A$17)+C17)</f>
        <v>0</v>
      </c>
      <c r="D18">
        <f t="shared" ref="D18:G18" si="7">IF($A$18=0,0,(D19-D17)/($A$19-$A$17)*($A$18-$A$17)+D17)</f>
        <v>0</v>
      </c>
      <c r="E18">
        <f t="shared" si="7"/>
        <v>0</v>
      </c>
      <c r="F18">
        <f t="shared" si="7"/>
        <v>0</v>
      </c>
      <c r="G18">
        <f t="shared" si="7"/>
        <v>0</v>
      </c>
      <c r="I18">
        <f>IF($C$3=$B$6,B18,IF($C$3=$C$6,C18,IF($C$3=$D$6,D18,IF($C$3=$E$6,E18,IF($C$3=$F$6,F18,IF($C$3=$G$6,G18,"ERROR"))))))</f>
        <v>0</v>
      </c>
    </row>
    <row r="19" spans="1:9" s="32" customFormat="1">
      <c r="A19" s="32">
        <v>1.25</v>
      </c>
      <c r="B19" s="32">
        <v>0.64</v>
      </c>
      <c r="C19" s="32">
        <v>0.67</v>
      </c>
      <c r="D19" s="32">
        <v>0.7</v>
      </c>
      <c r="E19" s="32">
        <v>0.71</v>
      </c>
      <c r="F19" s="32">
        <v>0.73</v>
      </c>
      <c r="G19" s="32">
        <v>0.74</v>
      </c>
    </row>
    <row r="20" spans="1:9">
      <c r="A20">
        <f>IF(AND($C$2&gt;=A19,$C$2&lt;=A21),$C$2,0)</f>
        <v>0</v>
      </c>
      <c r="B20">
        <f>IF($A$20=0,0,(B21-B19)/($A$21-$A$19)*($A$20-$A$19)+B19)</f>
        <v>0</v>
      </c>
      <c r="C20">
        <f>IF($A$20=0,0,(C21-C19)/($A$21-$A$19)*($A$20-$A$19)+C19)</f>
        <v>0</v>
      </c>
      <c r="D20">
        <f t="shared" ref="D20:G20" si="8">IF($A$20=0,0,(D21-D19)/($A$21-$A$19)*($A$20-$A$19)+D19)</f>
        <v>0</v>
      </c>
      <c r="E20">
        <f t="shared" si="8"/>
        <v>0</v>
      </c>
      <c r="F20">
        <f t="shared" si="8"/>
        <v>0</v>
      </c>
      <c r="G20">
        <f t="shared" si="8"/>
        <v>0</v>
      </c>
      <c r="I20">
        <f>IF($C$3=$B$6,B20,IF($C$3=$C$6,C20,IF($C$3=$D$6,D20,IF($C$3=$E$6,E20,IF($C$3=$F$6,F20,IF($C$3=$G$6,G20,"ERROR"))))))</f>
        <v>0</v>
      </c>
    </row>
    <row r="21" spans="1:9" s="32" customFormat="1">
      <c r="A21" s="32">
        <v>1.5</v>
      </c>
      <c r="B21" s="32">
        <v>0.68</v>
      </c>
      <c r="C21" s="32">
        <v>0.72</v>
      </c>
      <c r="D21" s="32">
        <v>0.74</v>
      </c>
      <c r="E21" s="32">
        <v>0.76</v>
      </c>
      <c r="F21" s="32">
        <v>0.78</v>
      </c>
      <c r="G21" s="32">
        <v>0.79</v>
      </c>
    </row>
    <row r="22" spans="1:9">
      <c r="A22">
        <f>IF(AND($C$2&gt;=A21,$C$2&lt;=A23),$C$2,0)</f>
        <v>0</v>
      </c>
      <c r="B22">
        <f>IF($A$22=0,0,(B23-B21)/($A$23-$A$21)*($A$22-$A$21)+B21)</f>
        <v>0</v>
      </c>
      <c r="C22">
        <f>IF($A$22=0,0,(C23-C21)/($A$23-$A$21)*($A$22-$A$21)+C21)</f>
        <v>0</v>
      </c>
      <c r="D22">
        <f t="shared" ref="D22:G22" si="9">IF($A$22=0,0,(D23-D21)/($A$23-$A$21)*($A$22-$A$21)+D21)</f>
        <v>0</v>
      </c>
      <c r="E22">
        <f t="shared" si="9"/>
        <v>0</v>
      </c>
      <c r="F22">
        <f t="shared" si="9"/>
        <v>0</v>
      </c>
      <c r="G22">
        <f t="shared" si="9"/>
        <v>0</v>
      </c>
      <c r="I22">
        <f>IF($C$3=$B$6,B22,IF($C$3=$C$6,C22,IF($C$3=$D$6,D22,IF($C$3=$E$6,E22,IF($C$3=$F$6,F22,IF($C$3=$G$6,G22,"ERROR"))))))</f>
        <v>0</v>
      </c>
    </row>
    <row r="23" spans="1:9" s="32" customFormat="1">
      <c r="A23" s="32">
        <v>1.75</v>
      </c>
      <c r="B23" s="32">
        <v>0.71</v>
      </c>
      <c r="C23" s="32">
        <v>0.75</v>
      </c>
      <c r="D23" s="32">
        <v>0.78</v>
      </c>
      <c r="E23" s="32">
        <v>0.8</v>
      </c>
      <c r="F23" s="32">
        <v>0.82</v>
      </c>
      <c r="G23" s="32">
        <v>0.84</v>
      </c>
    </row>
    <row r="24" spans="1:9">
      <c r="A24">
        <f>IF(AND($C$2&gt;=A23,$C$2&lt;=A25),$C$2,0)</f>
        <v>0</v>
      </c>
      <c r="B24">
        <f>IF($A$24=0,0,(B25-B23)/($A$25-$A$23)*($A$24-$A$23)+B23)</f>
        <v>0</v>
      </c>
      <c r="C24">
        <f>IF($A$24=0,0,(C25-C23)/($A$25-$A$23)*($A$24-$A$23)+C23)</f>
        <v>0</v>
      </c>
      <c r="D24">
        <f t="shared" ref="D24:G24" si="10">IF($A$24=0,0,(D25-D23)/($A$25-$A$23)*($A$24-$A$23)+D23)</f>
        <v>0</v>
      </c>
      <c r="E24">
        <f t="shared" si="10"/>
        <v>0</v>
      </c>
      <c r="F24">
        <f t="shared" si="10"/>
        <v>0</v>
      </c>
      <c r="G24">
        <f t="shared" si="10"/>
        <v>0</v>
      </c>
      <c r="I24">
        <f>IF($C$3=$B$6,B24,IF($C$3=$C$6,C24,IF($C$3=$D$6,D24,IF($C$3=$E$6,E24,IF($C$3=$F$6,F24,IF($C$3=$G$6,G24,"ERROR"))))))</f>
        <v>0</v>
      </c>
    </row>
    <row r="25" spans="1:9" s="32" customFormat="1">
      <c r="A25" s="32">
        <v>2</v>
      </c>
      <c r="B25" s="32">
        <v>0.71</v>
      </c>
      <c r="C25" s="32">
        <v>0.79</v>
      </c>
      <c r="D25" s="32">
        <v>0.82</v>
      </c>
      <c r="E25" s="32">
        <v>0.84</v>
      </c>
      <c r="F25" s="32">
        <v>0.86</v>
      </c>
      <c r="G25" s="32">
        <v>0.88</v>
      </c>
    </row>
    <row r="26" spans="1:9">
      <c r="A26">
        <f>IF(AND($C$2&gt;=A25,$C$2&lt;=A27),$C$2,0)</f>
        <v>0</v>
      </c>
      <c r="B26">
        <f>IF($A$26=0,0,(B27-B25)/($A$27-$A$25)*($A$26-$A$25)+B25)</f>
        <v>0</v>
      </c>
      <c r="C26">
        <f>IF($A$26=0,0,(C27-C25)/($A$27-$A$25)*($A$26-$A$25)+C25)</f>
        <v>0</v>
      </c>
      <c r="D26">
        <f t="shared" ref="D26:G26" si="11">IF($A$26=0,0,(D27-D25)/($A$27-$A$25)*($A$26-$A$25)+D25)</f>
        <v>0</v>
      </c>
      <c r="E26">
        <f t="shared" si="11"/>
        <v>0</v>
      </c>
      <c r="F26">
        <f t="shared" si="11"/>
        <v>0</v>
      </c>
      <c r="G26">
        <f t="shared" si="11"/>
        <v>0</v>
      </c>
      <c r="I26">
        <f>IF($C$3=$B$6,B26,IF($C$3=$C$6,C26,IF($C$3=$D$6,D26,IF($C$3=$E$6,E26,IF($C$3=$F$6,F26,IF($C$3=$G$6,G26,"ERROR"))))))</f>
        <v>0</v>
      </c>
    </row>
    <row r="27" spans="1:9" s="32" customFormat="1">
      <c r="A27" s="32">
        <v>2.25</v>
      </c>
      <c r="B27" s="32">
        <v>0.71</v>
      </c>
      <c r="C27" s="32">
        <v>0.81</v>
      </c>
      <c r="D27" s="32">
        <v>0.85</v>
      </c>
      <c r="E27" s="32">
        <v>0.88</v>
      </c>
      <c r="F27" s="32">
        <v>0.9</v>
      </c>
      <c r="G27" s="32">
        <v>0.92</v>
      </c>
    </row>
    <row r="28" spans="1:9">
      <c r="A28">
        <f>IF(AND($C$2&gt;=A27,$C$2&lt;=A29),$C$2,0)</f>
        <v>0</v>
      </c>
      <c r="B28">
        <f>IF($A$28=0,0,(B29-B27)/($A$29-$A$27)*($A$28-$A$27)+B27)</f>
        <v>0</v>
      </c>
      <c r="C28">
        <f>IF($A$28=0,0,(C29-C27)/($A$29-$A$27)*($A$28-$A$27)+C27)</f>
        <v>0</v>
      </c>
      <c r="D28">
        <f t="shared" ref="D28:G28" si="12">IF($A$28=0,0,(D29-D27)/($A$29-$A$27)*($A$28-$A$27)+D27)</f>
        <v>0</v>
      </c>
      <c r="E28">
        <f t="shared" si="12"/>
        <v>0</v>
      </c>
      <c r="F28">
        <f t="shared" si="12"/>
        <v>0</v>
      </c>
      <c r="G28">
        <f t="shared" si="12"/>
        <v>0</v>
      </c>
      <c r="I28">
        <f>IF($C$3=$B$6,B28,IF($C$3=$C$6,C28,IF($C$3=$D$6,D28,IF($C$3=$E$6,E28,IF($C$3=$F$6,F28,IF($C$3=$G$6,G28,"ERROR"))))))</f>
        <v>0</v>
      </c>
    </row>
    <row r="29" spans="1:9" s="32" customFormat="1">
      <c r="A29" s="32">
        <v>2.5</v>
      </c>
      <c r="B29" s="32">
        <v>0.71</v>
      </c>
      <c r="C29" s="32">
        <v>0.82</v>
      </c>
      <c r="D29" s="32">
        <v>0.88</v>
      </c>
      <c r="E29" s="32">
        <v>0.91</v>
      </c>
      <c r="F29" s="32">
        <v>0.93</v>
      </c>
      <c r="G29" s="32">
        <v>0.95</v>
      </c>
    </row>
    <row r="30" spans="1:9">
      <c r="A30">
        <f>IF(AND($C$2&gt;=A29,$C$2&lt;=A31),$C$2,0)</f>
        <v>0</v>
      </c>
      <c r="B30">
        <f>IF($A$30=0,0,(B31-B29)/($A$31-$A$29)*($A$30-$A$29)+B29)</f>
        <v>0</v>
      </c>
      <c r="C30">
        <f>IF($A$30=0,0,(C31-C29)/($A$31-$A$29)*($A$30-$A$29)+C29)</f>
        <v>0</v>
      </c>
      <c r="D30">
        <f t="shared" ref="D30:G30" si="13">IF($A$30=0,0,(D31-D29)/($A$31-$A$29)*($A$30-$A$29)+D29)</f>
        <v>0</v>
      </c>
      <c r="E30">
        <f t="shared" si="13"/>
        <v>0</v>
      </c>
      <c r="F30">
        <f t="shared" si="13"/>
        <v>0</v>
      </c>
      <c r="G30">
        <f t="shared" si="13"/>
        <v>0</v>
      </c>
      <c r="I30">
        <f>IF($C$3=$B$6,B30,IF($C$3=$C$6,C30,IF($C$3=$D$6,D30,IF($C$3=$E$6,E30,IF($C$3=$F$6,F30,IF($C$3=$G$6,G30,"ERROR"))))))</f>
        <v>0</v>
      </c>
    </row>
    <row r="31" spans="1:9" s="32" customFormat="1">
      <c r="A31" s="32">
        <v>2.75</v>
      </c>
      <c r="B31" s="32">
        <v>0.71</v>
      </c>
      <c r="C31" s="32">
        <v>0.82</v>
      </c>
      <c r="D31" s="32">
        <v>0.9</v>
      </c>
      <c r="E31" s="32">
        <v>0.94</v>
      </c>
      <c r="F31" s="32">
        <v>0.96</v>
      </c>
      <c r="G31" s="32">
        <v>0.98</v>
      </c>
    </row>
    <row r="32" spans="1:9">
      <c r="A32">
        <f>IF(AND($C$2&gt;=A31,$C$2&lt;=A33),$C$2,0)</f>
        <v>0</v>
      </c>
      <c r="B32">
        <f>IF($A$32=0,0,(B33-B31)/($A$33-$A$31)*($A$32-$A$31)+B31)</f>
        <v>0</v>
      </c>
      <c r="C32">
        <f>IF($A$32=0,0,(C33-C31)/($A$33-$A$31)*($A$32-$A$31)+C31)</f>
        <v>0</v>
      </c>
      <c r="D32">
        <f t="shared" ref="D32:G32" si="14">IF($A$32=0,0,(D33-D31)/($A$33-$A$31)*($A$32-$A$31)+D31)</f>
        <v>0</v>
      </c>
      <c r="E32">
        <f t="shared" si="14"/>
        <v>0</v>
      </c>
      <c r="F32">
        <f t="shared" si="14"/>
        <v>0</v>
      </c>
      <c r="G32">
        <f t="shared" si="14"/>
        <v>0</v>
      </c>
      <c r="I32">
        <f>IF($C$3=$B$6,B32,IF($C$3=$C$6,C32,IF($C$3=$D$6,D32,IF($C$3=$E$6,E32,IF($C$3=$F$6,F32,IF($C$3=$G$6,G32,"ERROR"))))))</f>
        <v>0</v>
      </c>
    </row>
    <row r="33" spans="1:19" s="32" customFormat="1">
      <c r="A33" s="32">
        <v>3</v>
      </c>
      <c r="B33" s="32">
        <v>0.71</v>
      </c>
      <c r="C33" s="32">
        <v>0.82</v>
      </c>
      <c r="D33" s="32">
        <v>0.92</v>
      </c>
      <c r="E33" s="32">
        <v>0.96</v>
      </c>
      <c r="F33" s="32">
        <v>0.99</v>
      </c>
      <c r="G33" s="32">
        <v>1.01</v>
      </c>
    </row>
    <row r="34" spans="1:19">
      <c r="I34">
        <f>MAX(I8:I32)</f>
        <v>0.28770975056689346</v>
      </c>
    </row>
    <row r="36" spans="1:19">
      <c r="A36" t="s">
        <v>200</v>
      </c>
      <c r="C36">
        <v>130</v>
      </c>
    </row>
    <row r="37" spans="1:19">
      <c r="D37" t="s">
        <v>201</v>
      </c>
      <c r="P37" t="s">
        <v>202</v>
      </c>
    </row>
    <row r="38" spans="1:19">
      <c r="A38" t="s">
        <v>203</v>
      </c>
      <c r="C38">
        <f>IF(C36&gt;D38,C36,0)</f>
        <v>0</v>
      </c>
      <c r="D38" s="34">
        <v>300</v>
      </c>
      <c r="E38" s="10">
        <f>IF(AND($C$36&lt;=D38,$C$36&gt;=F38),$C$36,0)</f>
        <v>0</v>
      </c>
      <c r="F38" s="34">
        <v>275</v>
      </c>
      <c r="G38" s="10">
        <f>IF(AND($C$36&lt;=F38,$C$36&gt;=H38),$C$36,0)</f>
        <v>0</v>
      </c>
      <c r="H38" s="34">
        <v>250</v>
      </c>
      <c r="I38" s="10">
        <f>IF(AND($C$36&lt;=H38,$C$36&gt;=J38),$C$36,0)</f>
        <v>0</v>
      </c>
      <c r="J38" s="34">
        <v>225</v>
      </c>
      <c r="K38" s="10">
        <f>IF(AND($C$36&lt;=J38,$C$36&gt;=L38),$C$36,0)</f>
        <v>0</v>
      </c>
      <c r="L38" s="34">
        <v>200</v>
      </c>
      <c r="M38" s="10">
        <f>IF(AND($C$36&lt;=L38,$C$36&gt;=N38),$C$36,0)</f>
        <v>0</v>
      </c>
      <c r="N38" s="34">
        <v>175</v>
      </c>
      <c r="O38" s="10">
        <f>IF(AND($C$36&lt;=N38,$C$36&gt;=P38),$C$36,0)</f>
        <v>0</v>
      </c>
      <c r="P38" s="34">
        <v>150</v>
      </c>
      <c r="Q38" s="10">
        <f>IF(C36&lt;P38,C36,0)</f>
        <v>130</v>
      </c>
    </row>
    <row r="39" spans="1:19">
      <c r="B39" t="s">
        <v>83</v>
      </c>
      <c r="C39">
        <f>IF(C38=0,0,D39)</f>
        <v>0</v>
      </c>
      <c r="D39" s="34">
        <v>1</v>
      </c>
      <c r="E39">
        <f>IF(E38=0,0,(F39-D39)/(F38-D38)*(E38-D38)+D39)</f>
        <v>0</v>
      </c>
      <c r="F39" s="34">
        <v>1.05</v>
      </c>
      <c r="G39">
        <f>IF(G38=0,0,(H39-F39)/(H38-F38)*(G38-F38)+F39)</f>
        <v>0</v>
      </c>
      <c r="H39" s="34">
        <v>1.1000000000000001</v>
      </c>
      <c r="I39">
        <f>IF(I38=0,0,(J39-H39)/(J38-H38)*(I38-H38)+H39)</f>
        <v>0</v>
      </c>
      <c r="J39" s="34">
        <v>1.1499999999999999</v>
      </c>
      <c r="K39">
        <f>IF(K38=0,0,(L39-J39)/(L38-J38)*(K38-J38)+J39)</f>
        <v>0</v>
      </c>
      <c r="L39" s="34">
        <v>1.2</v>
      </c>
      <c r="M39">
        <f>IF(M38=0,0,(N39-L39)/(N38-L38)*(M38-L38)+L39)</f>
        <v>0</v>
      </c>
      <c r="N39" s="34">
        <v>1.25</v>
      </c>
      <c r="O39">
        <f>IF(O38=0,0,(P39-N39)/(P38-N38)*(O38-N38)+N39)</f>
        <v>0</v>
      </c>
      <c r="P39" s="34">
        <v>1.3</v>
      </c>
      <c r="Q39">
        <f>IF(Q38=0,0,P39)</f>
        <v>1.3</v>
      </c>
    </row>
    <row r="40" spans="1:19">
      <c r="C40">
        <f>C39</f>
        <v>0</v>
      </c>
      <c r="E40">
        <f>E39</f>
        <v>0</v>
      </c>
      <c r="G40">
        <f>G39</f>
        <v>0</v>
      </c>
      <c r="I40">
        <f>I39</f>
        <v>0</v>
      </c>
      <c r="K40">
        <f>K39</f>
        <v>0</v>
      </c>
      <c r="M40">
        <f>M39</f>
        <v>0</v>
      </c>
      <c r="O40">
        <f>O39</f>
        <v>0</v>
      </c>
      <c r="Q40">
        <f>Q39</f>
        <v>1.3</v>
      </c>
      <c r="S40" s="33">
        <f>MAX(C40:Q40)</f>
        <v>1.3</v>
      </c>
    </row>
    <row r="42" spans="1:19">
      <c r="A42" t="s">
        <v>204</v>
      </c>
      <c r="B42" s="33">
        <f>S40</f>
        <v>1.3</v>
      </c>
    </row>
  </sheetData>
  <mergeCells count="1"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8"/>
  <sheetViews>
    <sheetView workbookViewId="0">
      <selection activeCell="A12" sqref="A12"/>
    </sheetView>
  </sheetViews>
  <sheetFormatPr defaultColWidth="9" defaultRowHeight="14.4"/>
  <cols>
    <col min="1" max="1" width="21.109375" customWidth="1"/>
    <col min="13" max="13" width="12.109375" customWidth="1"/>
  </cols>
  <sheetData>
    <row r="2" spans="1:18">
      <c r="A2" s="28" t="s">
        <v>0</v>
      </c>
      <c r="B2">
        <f>(G2*12+H2)*25.4</f>
        <v>4216.3999999999996</v>
      </c>
      <c r="C2">
        <f>(I2*12+J2)*25.4</f>
        <v>3657.6</v>
      </c>
      <c r="D2" t="s">
        <v>2</v>
      </c>
      <c r="G2">
        <v>13</v>
      </c>
      <c r="H2">
        <v>10</v>
      </c>
      <c r="I2">
        <v>12</v>
      </c>
    </row>
    <row r="3" spans="1:18">
      <c r="A3" t="s">
        <v>10</v>
      </c>
      <c r="B3">
        <f>IF(B2&gt;C2,B2,C2)</f>
        <v>4216.3999999999996</v>
      </c>
      <c r="C3" t="s">
        <v>2</v>
      </c>
    </row>
    <row r="4" spans="1:18">
      <c r="A4" t="s">
        <v>12</v>
      </c>
      <c r="B4">
        <f>IF(B2&lt;C2,B2,C2)</f>
        <v>3657.6</v>
      </c>
      <c r="C4" t="s">
        <v>2</v>
      </c>
    </row>
    <row r="5" spans="1:18">
      <c r="A5" t="s">
        <v>13</v>
      </c>
      <c r="B5">
        <v>105</v>
      </c>
      <c r="C5" t="s">
        <v>2</v>
      </c>
    </row>
    <row r="6" spans="1:18">
      <c r="A6" t="s">
        <v>14</v>
      </c>
      <c r="B6">
        <v>20</v>
      </c>
      <c r="C6" t="s">
        <v>2</v>
      </c>
    </row>
    <row r="7" spans="1:18">
      <c r="A7" t="s">
        <v>15</v>
      </c>
      <c r="B7">
        <f>B5+B6</f>
        <v>125</v>
      </c>
      <c r="C7" t="s">
        <v>2</v>
      </c>
    </row>
    <row r="8" spans="1:18">
      <c r="A8" t="s">
        <v>16</v>
      </c>
      <c r="B8">
        <v>500</v>
      </c>
      <c r="C8" t="s">
        <v>17</v>
      </c>
    </row>
    <row r="9" spans="1:18">
      <c r="A9" t="s">
        <v>18</v>
      </c>
      <c r="B9">
        <v>20</v>
      </c>
      <c r="C9" t="s">
        <v>17</v>
      </c>
    </row>
    <row r="10" spans="1:18">
      <c r="A10" s="29" t="s">
        <v>19</v>
      </c>
      <c r="B10">
        <v>25</v>
      </c>
      <c r="C10" t="s">
        <v>205</v>
      </c>
    </row>
    <row r="11" spans="1:18">
      <c r="A11" s="30" t="s">
        <v>206</v>
      </c>
      <c r="M11" s="15"/>
      <c r="N11" s="15"/>
      <c r="O11" s="15"/>
      <c r="P11" s="15"/>
      <c r="Q11" s="15"/>
      <c r="R11" s="15"/>
    </row>
    <row r="12" spans="1:18">
      <c r="A12" s="28" t="s">
        <v>207</v>
      </c>
      <c r="M12" s="15"/>
      <c r="N12" s="15"/>
      <c r="O12" s="15"/>
      <c r="P12" s="15"/>
      <c r="Q12" s="15"/>
      <c r="R12" s="15"/>
    </row>
    <row r="13" spans="1:18">
      <c r="M13" s="15"/>
      <c r="N13" s="15"/>
      <c r="O13" s="15"/>
      <c r="P13" s="15"/>
      <c r="Q13" s="15"/>
      <c r="R13" s="15"/>
    </row>
    <row r="14" spans="1:18">
      <c r="M14" s="15"/>
      <c r="N14" s="15"/>
      <c r="O14" s="15"/>
      <c r="P14" s="15"/>
      <c r="Q14" s="15"/>
      <c r="R14" s="15"/>
    </row>
    <row r="15" spans="1:18">
      <c r="M15" s="15"/>
      <c r="N15" s="15"/>
      <c r="O15" s="15"/>
      <c r="P15" s="15"/>
      <c r="Q15" s="15"/>
      <c r="R15" s="15"/>
    </row>
    <row r="16" spans="1:18" ht="15" customHeight="1">
      <c r="M16" s="31"/>
      <c r="N16" s="31"/>
      <c r="O16" s="31"/>
      <c r="P16" s="31"/>
      <c r="Q16" s="31"/>
      <c r="R16" s="31"/>
    </row>
    <row r="17" spans="13:18" ht="15" customHeight="1">
      <c r="M17" s="31"/>
      <c r="N17" s="31"/>
      <c r="O17" s="31"/>
      <c r="P17" s="31"/>
      <c r="Q17" s="31"/>
      <c r="R17" s="31"/>
    </row>
    <row r="18" spans="13:18">
      <c r="M18" s="15"/>
      <c r="N18" s="15"/>
      <c r="O18" s="15"/>
      <c r="P18" s="15"/>
      <c r="Q18" s="15"/>
      <c r="R18" s="15"/>
    </row>
  </sheetData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'alpha value'!$W$5:$W$13</xm:f>
          </x14:formula1>
          <xm:sqref>A12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opLeftCell="A13" workbookViewId="0">
      <selection activeCell="H41" sqref="H41"/>
    </sheetView>
  </sheetViews>
  <sheetFormatPr defaultColWidth="6.6640625" defaultRowHeight="14.4"/>
  <cols>
    <col min="1" max="1" width="6.6640625" style="1"/>
    <col min="2" max="2" width="6.6640625" style="2"/>
    <col min="3" max="3" width="6.6640625" style="3"/>
    <col min="4" max="4" width="6.6640625" style="2"/>
    <col min="5" max="5" width="6.6640625" style="3"/>
    <col min="6" max="6" width="6.6640625" style="2"/>
    <col min="7" max="7" width="6.6640625" style="3"/>
    <col min="8" max="8" width="6.6640625" style="2"/>
    <col min="9" max="9" width="6.6640625" style="3"/>
    <col min="10" max="10" width="6.6640625" style="2"/>
    <col min="11" max="11" width="6.6640625" style="3"/>
    <col min="12" max="12" width="6.6640625" style="2"/>
    <col min="13" max="13" width="6.6640625" style="3"/>
    <col min="14" max="14" width="6.6640625" style="2"/>
    <col min="15" max="15" width="6.6640625" style="3"/>
    <col min="16" max="16" width="8.44140625" style="2" customWidth="1"/>
    <col min="17" max="17" width="6.6640625" style="3"/>
    <col min="18" max="18" width="6.6640625" style="4"/>
    <col min="19" max="22" width="6.6640625" style="2"/>
    <col min="23" max="23" width="30.88671875" style="2" customWidth="1"/>
    <col min="24" max="16384" width="6.6640625" style="2"/>
  </cols>
  <sheetData>
    <row r="1" spans="1:28">
      <c r="B1" s="88" t="s">
        <v>208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15"/>
      <c r="O1" s="15"/>
      <c r="P1" s="15"/>
      <c r="Q1" s="15"/>
      <c r="R1" s="15"/>
      <c r="S1" s="15"/>
    </row>
    <row r="2" spans="1:28">
      <c r="B2" s="89" t="s">
        <v>209</v>
      </c>
      <c r="C2" s="90"/>
      <c r="D2" s="90"/>
      <c r="E2" s="90"/>
      <c r="F2" s="90"/>
      <c r="G2" s="90"/>
      <c r="H2" s="91"/>
      <c r="I2" s="16">
        <f>'two way slab design'!D10/'two way slab design'!D11</f>
        <v>1.1609117450975885</v>
      </c>
      <c r="K2" s="2"/>
      <c r="M2" s="2"/>
      <c r="O2" s="2"/>
      <c r="Q2" s="2"/>
      <c r="R2" s="2"/>
    </row>
    <row r="3" spans="1:28">
      <c r="B3" s="89" t="s">
        <v>210</v>
      </c>
      <c r="C3" s="90"/>
      <c r="D3" s="90"/>
      <c r="E3" s="90"/>
      <c r="F3" s="90"/>
      <c r="G3" s="90"/>
      <c r="H3" s="91"/>
      <c r="I3" s="16">
        <f>P3</f>
        <v>4</v>
      </c>
      <c r="K3" s="2"/>
      <c r="M3" s="2"/>
      <c r="O3" s="2"/>
      <c r="P3" s="2">
        <f>IF('two way slab design'!T21=W5,B5,IF('two way slab design'!T21=W6,B6,IF('two way slab design'!T21=W7,B7,IF('two way slab design'!T21=W8,B8,IF('two way slab design'!T21=W9,B9,IF('two way slab design'!T21=W10,B10,IF('two way slab design'!T21=W11,B11,IF('two way slab design'!T21=W12,B12,IF('two way slab design'!T21=W13,B13,"ERROR")))))))))</f>
        <v>4</v>
      </c>
      <c r="Q3" s="2"/>
      <c r="R3" s="23"/>
    </row>
    <row r="4" spans="1:28">
      <c r="B4" s="5" t="s">
        <v>211</v>
      </c>
      <c r="C4" s="92"/>
      <c r="D4" s="92"/>
      <c r="E4" s="92"/>
      <c r="F4" s="92"/>
      <c r="G4" s="92"/>
      <c r="H4" s="92"/>
      <c r="I4" s="2"/>
      <c r="K4" s="2"/>
      <c r="M4" s="2"/>
      <c r="O4" s="2"/>
      <c r="Q4" s="2"/>
      <c r="R4" s="23"/>
    </row>
    <row r="5" spans="1:28">
      <c r="B5" s="6">
        <v>1</v>
      </c>
      <c r="C5" s="93" t="s">
        <v>212</v>
      </c>
      <c r="D5" s="93"/>
      <c r="E5" s="93"/>
      <c r="F5" s="93"/>
      <c r="G5" s="93"/>
      <c r="H5" s="93"/>
      <c r="I5" s="2"/>
      <c r="K5" s="2"/>
      <c r="M5" s="2"/>
      <c r="O5" s="2"/>
      <c r="Q5" s="2"/>
      <c r="R5" s="23"/>
      <c r="W5" s="24" t="s">
        <v>212</v>
      </c>
      <c r="X5" s="24"/>
      <c r="Y5" s="24"/>
      <c r="Z5" s="24"/>
      <c r="AA5" s="24"/>
      <c r="AB5" s="24"/>
    </row>
    <row r="6" spans="1:28">
      <c r="B6" s="6">
        <v>2</v>
      </c>
      <c r="C6" s="93" t="s">
        <v>213</v>
      </c>
      <c r="D6" s="93"/>
      <c r="E6" s="93"/>
      <c r="F6" s="93"/>
      <c r="G6" s="93"/>
      <c r="H6" s="93"/>
      <c r="I6" s="2"/>
      <c r="K6" s="2"/>
      <c r="M6" s="2"/>
      <c r="O6" s="2"/>
      <c r="Q6" s="2"/>
      <c r="R6" s="23"/>
      <c r="W6" s="24" t="s">
        <v>214</v>
      </c>
      <c r="X6" s="24"/>
      <c r="Y6" s="24"/>
      <c r="Z6" s="24"/>
      <c r="AA6" s="24"/>
      <c r="AB6" s="24"/>
    </row>
    <row r="7" spans="1:28">
      <c r="B7" s="6">
        <v>3</v>
      </c>
      <c r="C7" s="93" t="s">
        <v>215</v>
      </c>
      <c r="D7" s="93"/>
      <c r="E7" s="93"/>
      <c r="F7" s="93"/>
      <c r="G7" s="93"/>
      <c r="H7" s="93"/>
      <c r="I7" s="2"/>
      <c r="J7" s="89"/>
      <c r="K7" s="91"/>
      <c r="L7" s="17" t="s">
        <v>216</v>
      </c>
      <c r="M7" s="18" t="s">
        <v>217</v>
      </c>
      <c r="O7" s="2"/>
      <c r="Q7" s="2"/>
      <c r="R7" s="23"/>
      <c r="W7" s="24" t="s">
        <v>218</v>
      </c>
      <c r="X7" s="24"/>
      <c r="Y7" s="24"/>
      <c r="Z7" s="24"/>
      <c r="AA7" s="24"/>
      <c r="AB7" s="24"/>
    </row>
    <row r="8" spans="1:28">
      <c r="B8" s="6">
        <v>4</v>
      </c>
      <c r="C8" s="93" t="s">
        <v>219</v>
      </c>
      <c r="D8" s="93"/>
      <c r="E8" s="93"/>
      <c r="F8" s="93"/>
      <c r="G8" s="93"/>
      <c r="H8" s="93"/>
      <c r="I8" s="2"/>
      <c r="J8" s="94" t="s">
        <v>220</v>
      </c>
      <c r="K8" s="95"/>
      <c r="L8" s="20">
        <f>IF($I$3=$A$17,R17,IF($I$3=$A$20,R20,IF($I$3=$A$23,R23,IF($I$3=$A$26,R26,IF($I$3=$A$29,R29,IF($I$3=$A$32,R32,IF($I$3=$A$35,R35,IF($I$3=$A$38,R38,IF($I$3=$A$41,R41,0)))))))))</f>
        <v>5.7263822156831193E-2</v>
      </c>
      <c r="M8" s="19">
        <f>IF($I$3=$A$17,S17,IF($I$3=$A$20,S20,IF($I$3=$A$23,S23,IF($I$3=$A$26,S26,IF($I$3=$A$29,S29,IF($I$3=$A$32,S32,IF($I$3=$A$35,S35,IF($I$3=$A$38,S38,IF($I$3=$A$41,S41,0)))))))))</f>
        <v>4.7E-2</v>
      </c>
      <c r="O8" s="2"/>
      <c r="Q8" s="2"/>
      <c r="R8" s="23"/>
      <c r="W8" s="24" t="s">
        <v>207</v>
      </c>
      <c r="X8" s="24"/>
      <c r="Y8" s="24"/>
      <c r="Z8" s="24"/>
      <c r="AA8" s="24"/>
      <c r="AB8" s="24"/>
    </row>
    <row r="9" spans="1:28">
      <c r="B9" s="6">
        <v>5</v>
      </c>
      <c r="C9" s="93" t="s">
        <v>221</v>
      </c>
      <c r="D9" s="93"/>
      <c r="E9" s="93"/>
      <c r="F9" s="93"/>
      <c r="G9" s="93"/>
      <c r="H9" s="93"/>
      <c r="I9" s="2"/>
      <c r="J9" s="96" t="s">
        <v>222</v>
      </c>
      <c r="K9" s="97"/>
      <c r="L9" s="22">
        <f>IF($I$3=$A$17,R18,IF($I$3=$A$20,R21,IF($I$3=$A$23,R24,IF($I$3=$A$26,R27,IF($I$3=$A$29,R30,IF($I$3=$A$32,R33,IF($I$3=$A$35,R36,IF($I$3=$A$38,R39,IF($I$3=$A$41,R42,0)))))))))</f>
        <v>4.3045587254879426E-2</v>
      </c>
      <c r="M9" s="21">
        <f>IF($I$3=$A$17,S18,IF($I$3=$A$20,S21,IF($I$3=$A$23,S24,IF($I$3=$A$26,S27,IF($I$3=$A$29,S30,IF($I$3=$A$32,S33,IF($I$3=$A$35,S36,IF($I$3=$A$38,S39,IF($I$3=$A$41,S42,0)))))))))</f>
        <v>3.5000000000000003E-2</v>
      </c>
      <c r="O9" s="2"/>
      <c r="Q9" s="2"/>
      <c r="R9" s="23"/>
      <c r="W9" s="24" t="s">
        <v>223</v>
      </c>
      <c r="X9" s="24"/>
      <c r="Y9" s="24"/>
      <c r="Z9" s="24"/>
      <c r="AA9" s="24"/>
      <c r="AB9" s="24"/>
    </row>
    <row r="10" spans="1:28">
      <c r="B10" s="6">
        <v>6</v>
      </c>
      <c r="C10" s="93" t="s">
        <v>224</v>
      </c>
      <c r="D10" s="93"/>
      <c r="E10" s="93"/>
      <c r="F10" s="93"/>
      <c r="G10" s="93"/>
      <c r="H10" s="93"/>
      <c r="I10" s="2"/>
      <c r="K10" s="2"/>
      <c r="M10" s="2"/>
      <c r="O10" s="2"/>
      <c r="Q10" s="2"/>
      <c r="R10" s="23"/>
      <c r="W10" s="24" t="s">
        <v>225</v>
      </c>
      <c r="X10" s="24"/>
      <c r="Y10" s="24"/>
      <c r="Z10" s="24"/>
      <c r="AA10" s="24"/>
      <c r="AB10" s="24"/>
    </row>
    <row r="11" spans="1:28" ht="30" customHeight="1">
      <c r="B11" s="6">
        <v>7</v>
      </c>
      <c r="C11" s="98" t="s">
        <v>226</v>
      </c>
      <c r="D11" s="98"/>
      <c r="E11" s="98"/>
      <c r="F11" s="98"/>
      <c r="G11" s="98"/>
      <c r="H11" s="98"/>
      <c r="I11" s="2"/>
      <c r="K11" s="2"/>
      <c r="M11" s="2"/>
      <c r="O11" s="2"/>
      <c r="Q11" s="2"/>
      <c r="R11" s="23"/>
      <c r="W11" s="25" t="s">
        <v>227</v>
      </c>
      <c r="X11" s="25"/>
      <c r="Y11" s="25"/>
      <c r="Z11" s="25"/>
      <c r="AA11" s="25"/>
      <c r="AB11" s="25"/>
    </row>
    <row r="12" spans="1:28" ht="30.75" customHeight="1">
      <c r="B12" s="6">
        <v>8</v>
      </c>
      <c r="C12" s="98" t="s">
        <v>228</v>
      </c>
      <c r="D12" s="98"/>
      <c r="E12" s="98"/>
      <c r="F12" s="98"/>
      <c r="G12" s="98"/>
      <c r="H12" s="98"/>
      <c r="I12" s="2"/>
      <c r="K12" s="2"/>
      <c r="M12" s="2"/>
      <c r="O12" s="2"/>
      <c r="Q12" s="2"/>
      <c r="R12" s="23"/>
      <c r="W12" s="25" t="s">
        <v>229</v>
      </c>
      <c r="X12" s="25"/>
      <c r="Y12" s="25"/>
      <c r="Z12" s="25"/>
      <c r="AA12" s="25"/>
      <c r="AB12" s="25"/>
    </row>
    <row r="13" spans="1:28">
      <c r="B13" s="6">
        <v>9</v>
      </c>
      <c r="C13" s="93" t="s">
        <v>230</v>
      </c>
      <c r="D13" s="93"/>
      <c r="E13" s="93"/>
      <c r="F13" s="93"/>
      <c r="G13" s="93"/>
      <c r="H13" s="93"/>
      <c r="I13" s="2"/>
      <c r="K13" s="2"/>
      <c r="M13" s="2"/>
      <c r="O13" s="2"/>
      <c r="R13" s="100" t="s">
        <v>231</v>
      </c>
      <c r="W13" s="24" t="s">
        <v>232</v>
      </c>
      <c r="X13" s="24"/>
      <c r="Y13" s="24"/>
      <c r="Z13" s="24"/>
      <c r="AA13" s="24"/>
      <c r="AB13" s="24"/>
    </row>
    <row r="14" spans="1:28">
      <c r="R14" s="100"/>
    </row>
    <row r="15" spans="1:28">
      <c r="A15" s="7"/>
      <c r="B15" s="99" t="s">
        <v>21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101" t="s">
        <v>216</v>
      </c>
      <c r="S15" s="103" t="s">
        <v>217</v>
      </c>
      <c r="T15" s="1"/>
    </row>
    <row r="16" spans="1:28" s="1" customFormat="1">
      <c r="A16" s="8"/>
      <c r="B16" s="9">
        <v>1</v>
      </c>
      <c r="C16" s="9">
        <f>IF(AND($I$2&gt;=B16,$I$2&lt;=D16),$I$2,0)</f>
        <v>0</v>
      </c>
      <c r="D16" s="9">
        <v>1.1000000000000001</v>
      </c>
      <c r="E16" s="9">
        <f>IF(AND($I$2&gt;=D16,$I$2&lt;=F16),$I$2,0)</f>
        <v>1.1609117450975885</v>
      </c>
      <c r="F16" s="9">
        <v>1.2</v>
      </c>
      <c r="G16" s="9">
        <f>IF(AND($I$2&gt;=F16,$I$2&lt;=H16),$I$2,0)</f>
        <v>0</v>
      </c>
      <c r="H16" s="9">
        <v>1.3</v>
      </c>
      <c r="I16" s="9">
        <f>IF(AND($I$2&gt;=H16,$I$2&lt;=J16),$I$2,0)</f>
        <v>0</v>
      </c>
      <c r="J16" s="9">
        <v>1.4</v>
      </c>
      <c r="K16" s="9">
        <f>IF(AND($I$2&gt;=J16,$I$2&lt;=L16),$I$2,0)</f>
        <v>0</v>
      </c>
      <c r="L16" s="9">
        <v>1.5</v>
      </c>
      <c r="M16" s="9">
        <f>IF(AND($I$2&gt;=L16,$I$2&lt;=N16),$I$2,0)</f>
        <v>0</v>
      </c>
      <c r="N16" s="9">
        <v>1.75</v>
      </c>
      <c r="O16" s="9">
        <f>IF(AND($I$2&gt;=N16,$I$2&lt;=P16),$I$2,0)</f>
        <v>0</v>
      </c>
      <c r="P16" s="9">
        <v>2</v>
      </c>
      <c r="Q16" s="9">
        <f>IF(AND($I$2&gt;=P16),$I$2,0)</f>
        <v>0</v>
      </c>
      <c r="R16" s="102"/>
      <c r="S16" s="104"/>
    </row>
    <row r="17" spans="1:19">
      <c r="A17" s="8">
        <v>1</v>
      </c>
      <c r="B17" s="10">
        <v>3.2000000000000001E-2</v>
      </c>
      <c r="C17" s="11">
        <f>IF($C$16&gt;0,(((D17-B17)/($D$16-$B$16))*($C$16-$B$16))+B17,0)</f>
        <v>0</v>
      </c>
      <c r="D17" s="10">
        <v>3.6999999999999998E-2</v>
      </c>
      <c r="E17" s="11">
        <f>IF($E$16&gt;0,(((F17-D17)/($F$16-$D$16))*($E$16-$D$16))+D17,0)</f>
        <v>4.0654704705855312E-2</v>
      </c>
      <c r="F17" s="10">
        <v>4.2999999999999997E-2</v>
      </c>
      <c r="G17" s="11">
        <f>IF($G$16&gt;0,(((H17-F17)/($H$16-$F$16))*($G$16-$F$16))+F17,0)</f>
        <v>0</v>
      </c>
      <c r="H17" s="10">
        <v>4.7E-2</v>
      </c>
      <c r="I17" s="11">
        <f>IF($I$16&gt;0,(((J17-H17)/($J$16-$H$16))*($I$16-$H$16))+H17,0)</f>
        <v>0</v>
      </c>
      <c r="J17" s="10">
        <v>5.0999999999999997E-2</v>
      </c>
      <c r="K17" s="11">
        <f>IF($K$16&gt;0,(((L17-J17)/($L$16-$J$16))*($K$16-$J$16))+J17,0)</f>
        <v>0</v>
      </c>
      <c r="L17" s="10">
        <v>5.2999999999999999E-2</v>
      </c>
      <c r="M17" s="11">
        <f>IF($M$16&gt;0,(((N17-L17)/($N$16-$L$16))*($M$16-$L$16))+L17,0)</f>
        <v>0</v>
      </c>
      <c r="N17" s="10">
        <v>0.06</v>
      </c>
      <c r="O17" s="11">
        <f>IF($O$16&gt;0,(((P17-N17)/($P$16-$N$16))*($O$16-$N$16))+N17,0)</f>
        <v>0</v>
      </c>
      <c r="P17" s="10">
        <v>6.5000000000000002E-2</v>
      </c>
      <c r="Q17" s="11">
        <f>IF($Q$16&gt;0,(((#REF!-P17)/(#REF!-$P$16))*($Q$16-$P$16))+P17,0)</f>
        <v>0</v>
      </c>
      <c r="R17" s="26">
        <f>MAX(C17,E17,G17,I17,K17,M17,O17)</f>
        <v>4.0654704705855312E-2</v>
      </c>
      <c r="S17" s="27">
        <v>3.2000000000000001E-2</v>
      </c>
    </row>
    <row r="18" spans="1:19">
      <c r="A18" s="8"/>
      <c r="B18" s="10">
        <v>2.4E-2</v>
      </c>
      <c r="C18" s="11">
        <f t="shared" ref="C18:C42" si="0">IF($C$16&gt;0,(((D18-B18)/($D$16-$B$16))*($C$16-$B$16))+B18,0)</f>
        <v>0</v>
      </c>
      <c r="D18" s="10">
        <v>2.8000000000000001E-2</v>
      </c>
      <c r="E18" s="11">
        <f t="shared" ref="E18:E42" si="1">IF($E$16&gt;0,(((F18-D18)/($F$16-$D$16))*($E$16-$D$16))+D18,0)</f>
        <v>3.0436469803903542E-2</v>
      </c>
      <c r="F18" s="10">
        <v>3.2000000000000001E-2</v>
      </c>
      <c r="G18" s="11">
        <f>IF($G$16&gt;0,(((H18-F18)/($H$16-$F$16))*($G$16-$F$16))+F18,0)</f>
        <v>0</v>
      </c>
      <c r="H18" s="10">
        <v>3.5999999999999997E-2</v>
      </c>
      <c r="I18" s="11">
        <f t="shared" ref="I18:I42" si="2">IF($I$16&gt;0,(((J18-H18)/($J$16-$H$16))*($I$16-$H$16))+H18,0)</f>
        <v>0</v>
      </c>
      <c r="J18" s="10">
        <v>3.9E-2</v>
      </c>
      <c r="K18" s="11">
        <f t="shared" ref="K18:K42" si="3">IF($K$16&gt;0,(((L18-J18)/($L$16-$J$16))*($K$16-$J$16))+J18,0)</f>
        <v>0</v>
      </c>
      <c r="L18" s="10">
        <v>4.1000000000000002E-2</v>
      </c>
      <c r="M18" s="11">
        <f t="shared" ref="M18:M42" si="4">IF($M$16&gt;0,(((N18-L18)/($N$16-$L$16))*($M$16-$L$16))+L18,0)</f>
        <v>0</v>
      </c>
      <c r="N18" s="10">
        <v>4.4999999999999998E-2</v>
      </c>
      <c r="O18" s="11">
        <f t="shared" ref="O18:O42" si="5">IF($O$16&gt;0,(((P18-N18)/($P$16-$N$16))*($O$16-$N$16))+N18,0)</f>
        <v>0</v>
      </c>
      <c r="P18" s="10">
        <v>4.9000000000000002E-2</v>
      </c>
      <c r="Q18" s="11">
        <f>IF($Q$16&gt;0,(((#REF!-P18)/(#REF!-$P$16))*($Q$16-$P$16))+P18,0)</f>
        <v>0</v>
      </c>
      <c r="R18" s="26">
        <f t="shared" ref="R18:R42" si="6">MAX(C18,E18,G18,I18,K18,M18,O18)</f>
        <v>3.0436469803903542E-2</v>
      </c>
      <c r="S18" s="27">
        <v>2.4E-2</v>
      </c>
    </row>
    <row r="19" spans="1:19">
      <c r="A19" s="8"/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26">
        <f t="shared" si="6"/>
        <v>0</v>
      </c>
      <c r="S19" s="27"/>
    </row>
    <row r="20" spans="1:19">
      <c r="A20" s="8">
        <v>2</v>
      </c>
      <c r="B20" s="10">
        <v>3.6999999999999998E-2</v>
      </c>
      <c r="C20" s="11">
        <f t="shared" si="0"/>
        <v>0</v>
      </c>
      <c r="D20" s="10">
        <v>4.2999999999999997E-2</v>
      </c>
      <c r="E20" s="11">
        <f t="shared" si="1"/>
        <v>4.6045587254879429E-2</v>
      </c>
      <c r="F20" s="10">
        <v>4.8000000000000001E-2</v>
      </c>
      <c r="G20" s="11">
        <f t="shared" ref="G20:G24" si="7">IF($G$16&gt;0,(((H20-F20)/($H$16-$F$16))*($G$16-$F$16))+F20,0)</f>
        <v>0</v>
      </c>
      <c r="H20" s="10">
        <v>5.0999999999999997E-2</v>
      </c>
      <c r="I20" s="11">
        <f t="shared" si="2"/>
        <v>0</v>
      </c>
      <c r="J20" s="10">
        <v>5.5E-2</v>
      </c>
      <c r="K20" s="11">
        <f t="shared" si="3"/>
        <v>0</v>
      </c>
      <c r="L20" s="10">
        <v>5.7000000000000002E-2</v>
      </c>
      <c r="M20" s="11">
        <f t="shared" si="4"/>
        <v>0</v>
      </c>
      <c r="N20" s="10">
        <v>6.4000000000000001E-2</v>
      </c>
      <c r="O20" s="11">
        <f t="shared" si="5"/>
        <v>0</v>
      </c>
      <c r="P20" s="10">
        <v>6.8000000000000005E-2</v>
      </c>
      <c r="Q20" s="11">
        <f>IF($Q$16&gt;0,(((#REF!-P20)/(#REF!-$P$16))*($Q$16-$P$16))+P20,0)</f>
        <v>0</v>
      </c>
      <c r="R20" s="26">
        <f t="shared" si="6"/>
        <v>4.6045587254879429E-2</v>
      </c>
      <c r="S20" s="27">
        <v>3.6999999999999998E-2</v>
      </c>
    </row>
    <row r="21" spans="1:19">
      <c r="A21" s="8"/>
      <c r="B21" s="10">
        <v>2.8000000000000001E-2</v>
      </c>
      <c r="C21" s="11">
        <f t="shared" si="0"/>
        <v>0</v>
      </c>
      <c r="D21" s="10">
        <v>3.2000000000000001E-2</v>
      </c>
      <c r="E21" s="11">
        <f t="shared" si="1"/>
        <v>3.4436469803903538E-2</v>
      </c>
      <c r="F21" s="10">
        <v>3.5999999999999997E-2</v>
      </c>
      <c r="G21" s="11">
        <f t="shared" si="7"/>
        <v>0</v>
      </c>
      <c r="H21" s="10">
        <v>3.9E-2</v>
      </c>
      <c r="I21" s="11">
        <f t="shared" si="2"/>
        <v>0</v>
      </c>
      <c r="J21" s="10">
        <v>4.1000000000000002E-2</v>
      </c>
      <c r="K21" s="11">
        <f t="shared" si="3"/>
        <v>0</v>
      </c>
      <c r="L21" s="10">
        <v>4.3999999999999997E-2</v>
      </c>
      <c r="M21" s="11">
        <f t="shared" si="4"/>
        <v>0</v>
      </c>
      <c r="N21" s="10">
        <v>4.8000000000000001E-2</v>
      </c>
      <c r="O21" s="11">
        <f t="shared" si="5"/>
        <v>0</v>
      </c>
      <c r="P21" s="10">
        <v>5.1999999999999998E-2</v>
      </c>
      <c r="Q21" s="11">
        <f>IF($Q$16&gt;0,(((#REF!-P21)/(#REF!-$P$16))*($Q$16-$P$16))+P21,0)</f>
        <v>0</v>
      </c>
      <c r="R21" s="26">
        <f t="shared" si="6"/>
        <v>3.4436469803903538E-2</v>
      </c>
      <c r="S21" s="27">
        <v>2.8000000000000001E-2</v>
      </c>
    </row>
    <row r="22" spans="1:19">
      <c r="A22" s="8"/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26">
        <f t="shared" si="6"/>
        <v>0</v>
      </c>
      <c r="S22" s="27"/>
    </row>
    <row r="23" spans="1:19">
      <c r="A23" s="8">
        <v>3</v>
      </c>
      <c r="B23" s="10">
        <v>3.6999999999999998E-2</v>
      </c>
      <c r="C23" s="11">
        <f t="shared" si="0"/>
        <v>0</v>
      </c>
      <c r="D23" s="10">
        <v>4.3999999999999997E-2</v>
      </c>
      <c r="E23" s="11">
        <f t="shared" si="1"/>
        <v>4.887293960780708E-2</v>
      </c>
      <c r="F23" s="10">
        <v>5.1999999999999998E-2</v>
      </c>
      <c r="G23" s="11">
        <f t="shared" si="7"/>
        <v>0</v>
      </c>
      <c r="H23" s="10">
        <v>5.7000000000000002E-2</v>
      </c>
      <c r="I23" s="11">
        <f t="shared" si="2"/>
        <v>0</v>
      </c>
      <c r="J23" s="10">
        <v>6.3E-2</v>
      </c>
      <c r="K23" s="11">
        <f t="shared" si="3"/>
        <v>0</v>
      </c>
      <c r="L23" s="10">
        <v>6.7000000000000004E-2</v>
      </c>
      <c r="M23" s="11">
        <f>IF($M$16&gt;0,(((N23-#REF!)/($N$16-$L$16))*($M$16-$L$16))+#REF!,0)</f>
        <v>0</v>
      </c>
      <c r="N23" s="10">
        <v>7.6999999999999999E-2</v>
      </c>
      <c r="O23" s="11">
        <f t="shared" si="5"/>
        <v>0</v>
      </c>
      <c r="P23" s="10">
        <v>8.5000000000000006E-2</v>
      </c>
      <c r="Q23" s="11">
        <f>IF($Q$16&gt;0,(((#REF!-P23)/(#REF!-$P$16))*($Q$16-$P$16))+P23,0)</f>
        <v>0</v>
      </c>
      <c r="R23" s="26">
        <f t="shared" si="6"/>
        <v>4.887293960780708E-2</v>
      </c>
      <c r="S23" s="27">
        <v>3.6999999999999998E-2</v>
      </c>
    </row>
    <row r="24" spans="1:19">
      <c r="A24" s="8"/>
      <c r="B24" s="10">
        <v>2.8000000000000001E-2</v>
      </c>
      <c r="C24" s="11">
        <f t="shared" si="0"/>
        <v>0</v>
      </c>
      <c r="D24" s="10">
        <v>3.3000000000000002E-2</v>
      </c>
      <c r="E24" s="11">
        <f t="shared" si="1"/>
        <v>3.6654704705855315E-2</v>
      </c>
      <c r="F24" s="10">
        <v>3.9E-2</v>
      </c>
      <c r="G24" s="11">
        <f t="shared" si="7"/>
        <v>0</v>
      </c>
      <c r="H24" s="10">
        <v>4.3999999999999997E-2</v>
      </c>
      <c r="I24" s="11">
        <f t="shared" si="2"/>
        <v>0</v>
      </c>
      <c r="J24" s="10">
        <v>4.7E-2</v>
      </c>
      <c r="K24" s="11">
        <f t="shared" si="3"/>
        <v>0</v>
      </c>
      <c r="L24" s="10">
        <v>5.0999999999999997E-2</v>
      </c>
      <c r="M24" s="11">
        <f t="shared" si="4"/>
        <v>0</v>
      </c>
      <c r="N24" s="10">
        <v>5.8999999999999997E-2</v>
      </c>
      <c r="O24" s="11">
        <f t="shared" si="5"/>
        <v>0</v>
      </c>
      <c r="P24" s="10">
        <v>6.5000000000000002E-2</v>
      </c>
      <c r="Q24" s="11">
        <f>IF($Q$16&gt;0,(((#REF!-P24)/(#REF!-$P$16))*($Q$16-$P$16))+P24,0)</f>
        <v>0</v>
      </c>
      <c r="R24" s="26">
        <f t="shared" si="6"/>
        <v>3.6654704705855315E-2</v>
      </c>
      <c r="S24" s="27">
        <v>2.8000000000000001E-2</v>
      </c>
    </row>
    <row r="25" spans="1:19">
      <c r="A25" s="8"/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26">
        <f t="shared" si="6"/>
        <v>0</v>
      </c>
      <c r="S25" s="27"/>
    </row>
    <row r="26" spans="1:19">
      <c r="A26" s="8">
        <v>4</v>
      </c>
      <c r="B26" s="10">
        <v>4.7E-2</v>
      </c>
      <c r="C26" s="11">
        <f t="shared" si="0"/>
        <v>0</v>
      </c>
      <c r="D26" s="10">
        <v>5.2999999999999999E-2</v>
      </c>
      <c r="E26" s="11">
        <f t="shared" si="1"/>
        <v>5.7263822156831193E-2</v>
      </c>
      <c r="F26" s="10">
        <v>0.06</v>
      </c>
      <c r="G26" s="11">
        <f>IF($G$16&gt;0,(((H26-F26)/($H$16-$F$16))*($G$16-$F$16))+F26,0)</f>
        <v>0</v>
      </c>
      <c r="H26" s="10">
        <v>6.5000000000000002E-2</v>
      </c>
      <c r="I26" s="11">
        <f t="shared" si="2"/>
        <v>0</v>
      </c>
      <c r="J26" s="10">
        <v>7.0999999999999994E-2</v>
      </c>
      <c r="K26" s="11">
        <f t="shared" si="3"/>
        <v>0</v>
      </c>
      <c r="L26" s="10">
        <v>7.4999999999999997E-2</v>
      </c>
      <c r="M26" s="11">
        <f t="shared" si="4"/>
        <v>0</v>
      </c>
      <c r="N26" s="10">
        <v>8.4000000000000005E-2</v>
      </c>
      <c r="O26" s="11">
        <f t="shared" si="5"/>
        <v>0</v>
      </c>
      <c r="P26" s="10">
        <v>9.0999999999999998E-2</v>
      </c>
      <c r="Q26" s="11">
        <f>IF($Q$16&gt;0,(((#REF!-P26)/(#REF!-$P$16))*($Q$16-$P$16))+P26,0)</f>
        <v>0</v>
      </c>
      <c r="R26" s="26">
        <f t="shared" si="6"/>
        <v>5.7263822156831193E-2</v>
      </c>
      <c r="S26" s="27">
        <v>4.7E-2</v>
      </c>
    </row>
    <row r="27" spans="1:19">
      <c r="A27" s="8"/>
      <c r="B27" s="10">
        <v>3.5000000000000003E-2</v>
      </c>
      <c r="C27" s="11">
        <f t="shared" si="0"/>
        <v>0</v>
      </c>
      <c r="D27" s="10">
        <v>0.04</v>
      </c>
      <c r="E27" s="11">
        <f t="shared" si="1"/>
        <v>4.3045587254879426E-2</v>
      </c>
      <c r="F27" s="10">
        <v>4.4999999999999998E-2</v>
      </c>
      <c r="G27" s="11">
        <f>IF($G$16&gt;0,(((H27-F27)/($H$16-$F$16))*($G$16-$F$16))+F27,0)</f>
        <v>0</v>
      </c>
      <c r="H27" s="10">
        <v>4.9000000000000002E-2</v>
      </c>
      <c r="I27" s="11">
        <f t="shared" si="2"/>
        <v>0</v>
      </c>
      <c r="J27" s="10">
        <v>5.2999999999999999E-2</v>
      </c>
      <c r="K27" s="11">
        <f t="shared" si="3"/>
        <v>0</v>
      </c>
      <c r="L27" s="10">
        <v>5.6000000000000001E-2</v>
      </c>
      <c r="M27" s="11">
        <f t="shared" si="4"/>
        <v>0</v>
      </c>
      <c r="N27" s="10">
        <v>6.3E-2</v>
      </c>
      <c r="O27" s="11">
        <f t="shared" si="5"/>
        <v>0</v>
      </c>
      <c r="P27" s="10">
        <v>6.9000000000000006E-2</v>
      </c>
      <c r="Q27" s="11">
        <f>IF($Q$16&gt;0,(((#REF!-P27)/(#REF!-$P$16))*($Q$16-$P$16))+P27,0)</f>
        <v>0</v>
      </c>
      <c r="R27" s="26">
        <f t="shared" si="6"/>
        <v>4.3045587254879426E-2</v>
      </c>
      <c r="S27" s="27">
        <v>3.5000000000000003E-2</v>
      </c>
    </row>
    <row r="28" spans="1:19">
      <c r="A28" s="8"/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26">
        <f t="shared" si="6"/>
        <v>0</v>
      </c>
      <c r="S28" s="27"/>
    </row>
    <row r="29" spans="1:19">
      <c r="A29" s="8">
        <v>5</v>
      </c>
      <c r="B29" s="10">
        <v>4.4999999999999998E-2</v>
      </c>
      <c r="C29" s="11">
        <f t="shared" si="0"/>
        <v>0</v>
      </c>
      <c r="D29" s="10">
        <v>4.9000000000000002E-2</v>
      </c>
      <c r="E29" s="11">
        <f t="shared" si="1"/>
        <v>5.0827352352927659E-2</v>
      </c>
      <c r="F29" s="10">
        <v>5.1999999999999998E-2</v>
      </c>
      <c r="G29" s="11">
        <f t="shared" ref="G29:G42" si="8">IF($G$16&gt;0,(((H29-F29)/($H$16-$F$16))*($G$16-$F$16))+F29,0)</f>
        <v>0</v>
      </c>
      <c r="H29" s="10">
        <v>5.6000000000000001E-2</v>
      </c>
      <c r="I29" s="11">
        <f t="shared" si="2"/>
        <v>0</v>
      </c>
      <c r="J29" s="10">
        <v>5.8999999999999997E-2</v>
      </c>
      <c r="K29" s="11">
        <f t="shared" si="3"/>
        <v>0</v>
      </c>
      <c r="L29" s="10">
        <v>0.06</v>
      </c>
      <c r="M29" s="11">
        <f t="shared" si="4"/>
        <v>0</v>
      </c>
      <c r="N29" s="10">
        <v>6.5000000000000002E-2</v>
      </c>
      <c r="O29" s="11">
        <f t="shared" si="5"/>
        <v>0</v>
      </c>
      <c r="P29" s="10">
        <v>6.9000000000000006E-2</v>
      </c>
      <c r="Q29" s="11">
        <f>IF($Q$16&gt;0,(((#REF!-P29)/(#REF!-$P$16))*($Q$16-$P$16))+P29,0)</f>
        <v>0</v>
      </c>
      <c r="R29" s="26">
        <f t="shared" si="6"/>
        <v>5.0827352352927659E-2</v>
      </c>
      <c r="S29" s="27"/>
    </row>
    <row r="30" spans="1:19">
      <c r="A30" s="8"/>
      <c r="B30" s="10">
        <v>3.5000000000000003E-2</v>
      </c>
      <c r="C30" s="11">
        <f t="shared" si="0"/>
        <v>0</v>
      </c>
      <c r="D30" s="10">
        <v>3.6999999999999998E-2</v>
      </c>
      <c r="E30" s="11">
        <f t="shared" si="1"/>
        <v>3.8827352352927655E-2</v>
      </c>
      <c r="F30" s="10">
        <v>0.04</v>
      </c>
      <c r="G30" s="11">
        <f t="shared" si="8"/>
        <v>0</v>
      </c>
      <c r="H30" s="10">
        <v>4.2999999999999997E-2</v>
      </c>
      <c r="I30" s="11">
        <f t="shared" si="2"/>
        <v>0</v>
      </c>
      <c r="J30" s="10">
        <v>4.3999999999999997E-2</v>
      </c>
      <c r="K30" s="11">
        <f t="shared" si="3"/>
        <v>0</v>
      </c>
      <c r="L30" s="10">
        <v>4.4999999999999998E-2</v>
      </c>
      <c r="M30" s="11">
        <f t="shared" si="4"/>
        <v>0</v>
      </c>
      <c r="N30" s="10">
        <v>4.9000000000000002E-2</v>
      </c>
      <c r="O30" s="11">
        <f t="shared" si="5"/>
        <v>0</v>
      </c>
      <c r="P30" s="10">
        <v>5.1999999999999998E-2</v>
      </c>
      <c r="Q30" s="11">
        <f>IF($Q$16&gt;0,(((#REF!-P30)/(#REF!-$P$16))*($Q$16-$P$16))+P30,0)</f>
        <v>0</v>
      </c>
      <c r="R30" s="26">
        <f t="shared" si="6"/>
        <v>3.8827352352927655E-2</v>
      </c>
      <c r="S30" s="27">
        <v>3.5000000000000003E-2</v>
      </c>
    </row>
    <row r="31" spans="1:19">
      <c r="A31" s="8"/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26">
        <f t="shared" si="6"/>
        <v>0</v>
      </c>
      <c r="S31" s="27"/>
    </row>
    <row r="32" spans="1:19">
      <c r="A32" s="8">
        <v>6</v>
      </c>
      <c r="B32" s="10"/>
      <c r="C32" s="11">
        <f t="shared" si="0"/>
        <v>0</v>
      </c>
      <c r="D32" s="10"/>
      <c r="E32" s="11">
        <f t="shared" si="1"/>
        <v>0</v>
      </c>
      <c r="F32" s="10"/>
      <c r="G32" s="11">
        <f t="shared" si="8"/>
        <v>0</v>
      </c>
      <c r="H32" s="10"/>
      <c r="I32" s="11">
        <f t="shared" si="2"/>
        <v>0</v>
      </c>
      <c r="J32" s="10"/>
      <c r="K32" s="11">
        <f t="shared" si="3"/>
        <v>0</v>
      </c>
      <c r="L32" s="10"/>
      <c r="M32" s="11">
        <f t="shared" si="4"/>
        <v>0</v>
      </c>
      <c r="N32" s="10"/>
      <c r="O32" s="11">
        <f t="shared" si="5"/>
        <v>0</v>
      </c>
      <c r="P32" s="10"/>
      <c r="Q32" s="11">
        <f>IF($Q$16&gt;0,(((#REF!-P32)/(#REF!-$P$16))*($Q$16-$P$16))+P32,0)</f>
        <v>0</v>
      </c>
      <c r="R32" s="26">
        <f t="shared" si="6"/>
        <v>0</v>
      </c>
      <c r="S32" s="27">
        <v>4.4999999999999998E-2</v>
      </c>
    </row>
    <row r="33" spans="1:19">
      <c r="A33" s="8"/>
      <c r="B33" s="10">
        <v>3.5000000000000003E-2</v>
      </c>
      <c r="C33" s="11">
        <f t="shared" si="0"/>
        <v>0</v>
      </c>
      <c r="D33" s="10">
        <v>4.2999999999999997E-2</v>
      </c>
      <c r="E33" s="11">
        <f t="shared" si="1"/>
        <v>4.7872939607807079E-2</v>
      </c>
      <c r="F33" s="10">
        <v>5.0999999999999997E-2</v>
      </c>
      <c r="G33" s="11">
        <f t="shared" si="8"/>
        <v>0</v>
      </c>
      <c r="H33" s="10">
        <v>5.7000000000000002E-2</v>
      </c>
      <c r="I33" s="11">
        <f t="shared" si="2"/>
        <v>0</v>
      </c>
      <c r="J33" s="10">
        <v>6.3E-2</v>
      </c>
      <c r="K33" s="11">
        <f t="shared" si="3"/>
        <v>0</v>
      </c>
      <c r="L33" s="10">
        <v>6.8000000000000005E-2</v>
      </c>
      <c r="M33" s="11">
        <f t="shared" si="4"/>
        <v>0</v>
      </c>
      <c r="N33" s="10">
        <v>0.08</v>
      </c>
      <c r="O33" s="11">
        <f t="shared" si="5"/>
        <v>0</v>
      </c>
      <c r="P33" s="10">
        <v>8.7999999999999995E-2</v>
      </c>
      <c r="Q33" s="11">
        <f>IF($Q$16&gt;0,(((#REF!-P33)/(#REF!-$P$16))*($Q$16-$P$16))+P33,0)</f>
        <v>0</v>
      </c>
      <c r="R33" s="26">
        <f t="shared" si="6"/>
        <v>4.7872939607807079E-2</v>
      </c>
      <c r="S33" s="27">
        <v>3.5000000000000003E-2</v>
      </c>
    </row>
    <row r="34" spans="1:19">
      <c r="A34" s="8"/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26">
        <f t="shared" si="6"/>
        <v>0</v>
      </c>
      <c r="S34" s="27"/>
    </row>
    <row r="35" spans="1:19">
      <c r="A35" s="8">
        <v>7</v>
      </c>
      <c r="B35" s="10">
        <v>5.7000000000000002E-2</v>
      </c>
      <c r="C35" s="11">
        <f t="shared" si="0"/>
        <v>0</v>
      </c>
      <c r="D35" s="10">
        <v>6.4000000000000001E-2</v>
      </c>
      <c r="E35" s="11">
        <f t="shared" si="1"/>
        <v>6.8263822156831189E-2</v>
      </c>
      <c r="F35" s="10">
        <v>7.0999999999999994E-2</v>
      </c>
      <c r="G35" s="11">
        <f t="shared" si="8"/>
        <v>0</v>
      </c>
      <c r="H35" s="10">
        <v>7.5999999999999998E-2</v>
      </c>
      <c r="I35" s="11">
        <f t="shared" si="2"/>
        <v>0</v>
      </c>
      <c r="J35" s="10">
        <v>0.08</v>
      </c>
      <c r="K35" s="11">
        <f t="shared" si="3"/>
        <v>0</v>
      </c>
      <c r="L35" s="10">
        <v>8.4000000000000005E-2</v>
      </c>
      <c r="M35" s="11">
        <f t="shared" si="4"/>
        <v>0</v>
      </c>
      <c r="N35" s="10">
        <v>9.0999999999999998E-2</v>
      </c>
      <c r="O35" s="11">
        <f t="shared" si="5"/>
        <v>0</v>
      </c>
      <c r="P35" s="10">
        <v>9.7000000000000003E-2</v>
      </c>
      <c r="Q35" s="11">
        <f>IF($Q$16&gt;0,(((#REF!-P35)/(#REF!-$P$16))*($Q$16-$P$16))+P35,0)</f>
        <v>0</v>
      </c>
      <c r="R35" s="26">
        <f t="shared" si="6"/>
        <v>6.8263822156831189E-2</v>
      </c>
      <c r="S35" s="27"/>
    </row>
    <row r="36" spans="1:19">
      <c r="A36" s="8"/>
      <c r="B36" s="10">
        <v>4.2999999999999997E-2</v>
      </c>
      <c r="C36" s="11">
        <f t="shared" si="0"/>
        <v>0</v>
      </c>
      <c r="D36" s="10">
        <v>4.8000000000000001E-2</v>
      </c>
      <c r="E36" s="11">
        <f t="shared" si="1"/>
        <v>5.1045587254879426E-2</v>
      </c>
      <c r="F36" s="10">
        <v>5.2999999999999999E-2</v>
      </c>
      <c r="G36" s="11">
        <f t="shared" si="8"/>
        <v>0</v>
      </c>
      <c r="H36" s="10">
        <v>5.7000000000000002E-2</v>
      </c>
      <c r="I36" s="11">
        <f t="shared" si="2"/>
        <v>0</v>
      </c>
      <c r="J36" s="10">
        <v>0.06</v>
      </c>
      <c r="K36" s="11">
        <f t="shared" si="3"/>
        <v>0</v>
      </c>
      <c r="L36" s="10">
        <v>6.4000000000000001E-2</v>
      </c>
      <c r="M36" s="11">
        <f t="shared" si="4"/>
        <v>0</v>
      </c>
      <c r="N36" s="10">
        <v>9.6000000000000002E-2</v>
      </c>
      <c r="O36" s="11">
        <f t="shared" si="5"/>
        <v>0</v>
      </c>
      <c r="P36" s="10">
        <v>7.2999999999999995E-2</v>
      </c>
      <c r="Q36" s="11">
        <f>IF($Q$16&gt;0,(((#REF!-P36)/(#REF!-$P$16))*($Q$16-$P$16))+P36,0)</f>
        <v>0</v>
      </c>
      <c r="R36" s="26">
        <f t="shared" si="6"/>
        <v>5.1045587254879426E-2</v>
      </c>
      <c r="S36" s="27">
        <v>4.2999999999999997E-2</v>
      </c>
    </row>
    <row r="37" spans="1:19">
      <c r="A37" s="8"/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26">
        <f t="shared" si="6"/>
        <v>0</v>
      </c>
      <c r="S37" s="27"/>
    </row>
    <row r="38" spans="1:19">
      <c r="A38" s="8">
        <v>8</v>
      </c>
      <c r="B38" s="10"/>
      <c r="C38" s="11">
        <f t="shared" si="0"/>
        <v>0</v>
      </c>
      <c r="D38" s="10"/>
      <c r="E38" s="11">
        <f t="shared" si="1"/>
        <v>0</v>
      </c>
      <c r="F38" s="10"/>
      <c r="G38" s="11">
        <f t="shared" si="8"/>
        <v>0</v>
      </c>
      <c r="H38" s="10"/>
      <c r="I38" s="11">
        <f t="shared" si="2"/>
        <v>0</v>
      </c>
      <c r="J38" s="10"/>
      <c r="K38" s="11">
        <f t="shared" si="3"/>
        <v>0</v>
      </c>
      <c r="L38" s="10"/>
      <c r="M38" s="11">
        <f t="shared" si="4"/>
        <v>0</v>
      </c>
      <c r="N38" s="10"/>
      <c r="O38" s="11">
        <f t="shared" si="5"/>
        <v>0</v>
      </c>
      <c r="P38" s="10"/>
      <c r="Q38" s="11">
        <f>IF($Q$16&gt;0,(((#REF!-P38)/(#REF!-$P$16))*($Q$16-$P$16))+P38,0)</f>
        <v>0</v>
      </c>
      <c r="R38" s="26">
        <f t="shared" si="6"/>
        <v>0</v>
      </c>
      <c r="S38" s="27">
        <v>5.7000000000000002E-2</v>
      </c>
    </row>
    <row r="39" spans="1:19">
      <c r="A39" s="8"/>
      <c r="B39" s="10">
        <v>4.2999999999999997E-2</v>
      </c>
      <c r="C39" s="11">
        <f t="shared" si="0"/>
        <v>0</v>
      </c>
      <c r="D39" s="10">
        <v>5.0999999999999997E-2</v>
      </c>
      <c r="E39" s="11">
        <f t="shared" si="1"/>
        <v>5.5872939607807079E-2</v>
      </c>
      <c r="F39" s="10">
        <v>5.8999999999999997E-2</v>
      </c>
      <c r="G39" s="11">
        <f t="shared" si="8"/>
        <v>0</v>
      </c>
      <c r="H39" s="10">
        <v>6.5000000000000002E-2</v>
      </c>
      <c r="I39" s="11">
        <f t="shared" si="2"/>
        <v>0</v>
      </c>
      <c r="J39" s="10">
        <v>7.0999999999999994E-2</v>
      </c>
      <c r="K39" s="11">
        <f t="shared" si="3"/>
        <v>0</v>
      </c>
      <c r="L39" s="10">
        <v>7.5999999999999998E-2</v>
      </c>
      <c r="M39" s="11">
        <f t="shared" si="4"/>
        <v>0</v>
      </c>
      <c r="N39" s="10">
        <v>8.6999999999999994E-2</v>
      </c>
      <c r="O39" s="11">
        <f t="shared" si="5"/>
        <v>0</v>
      </c>
      <c r="P39" s="10">
        <v>9.6000000000000002E-2</v>
      </c>
      <c r="Q39" s="11">
        <f>IF($Q$16&gt;0,(((#REF!-P39)/(#REF!-$P$16))*($Q$16-$P$16))+P39,0)</f>
        <v>0</v>
      </c>
      <c r="R39" s="26">
        <f t="shared" si="6"/>
        <v>5.5872939607807079E-2</v>
      </c>
      <c r="S39" s="27">
        <v>4.2999999999999997E-2</v>
      </c>
    </row>
    <row r="40" spans="1:19">
      <c r="A40" s="8"/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26">
        <f t="shared" si="6"/>
        <v>0</v>
      </c>
      <c r="S40" s="27"/>
    </row>
    <row r="41" spans="1:19">
      <c r="A41" s="8">
        <v>9</v>
      </c>
      <c r="B41" s="10"/>
      <c r="C41" s="11">
        <f t="shared" si="0"/>
        <v>0</v>
      </c>
      <c r="D41" s="10"/>
      <c r="E41" s="11">
        <f t="shared" si="1"/>
        <v>0</v>
      </c>
      <c r="F41" s="10"/>
      <c r="G41" s="11">
        <f t="shared" si="8"/>
        <v>0</v>
      </c>
      <c r="H41" s="10"/>
      <c r="I41" s="11">
        <f t="shared" si="2"/>
        <v>0</v>
      </c>
      <c r="J41" s="10"/>
      <c r="K41" s="11">
        <f t="shared" si="3"/>
        <v>0</v>
      </c>
      <c r="L41" s="10"/>
      <c r="M41" s="11">
        <f t="shared" si="4"/>
        <v>0</v>
      </c>
      <c r="N41" s="10"/>
      <c r="O41" s="11">
        <f t="shared" si="5"/>
        <v>0</v>
      </c>
      <c r="P41" s="10"/>
      <c r="Q41" s="11">
        <f>IF($Q$16&gt;0,(((#REF!-P41)/(#REF!-$P$16))*($Q$16-$P$16))+P41,0)</f>
        <v>0</v>
      </c>
      <c r="R41" s="26">
        <f t="shared" si="6"/>
        <v>0</v>
      </c>
      <c r="S41" s="27"/>
    </row>
    <row r="42" spans="1:19">
      <c r="A42" s="12"/>
      <c r="B42" s="13">
        <v>5.6000000000000001E-2</v>
      </c>
      <c r="C42" s="14">
        <f t="shared" si="0"/>
        <v>0</v>
      </c>
      <c r="D42" s="13">
        <v>5.6000000000000001E-2</v>
      </c>
      <c r="E42" s="14">
        <f t="shared" si="1"/>
        <v>6.5745879215614159E-2</v>
      </c>
      <c r="F42" s="13">
        <v>7.1999999999999995E-2</v>
      </c>
      <c r="G42" s="14">
        <f t="shared" si="8"/>
        <v>0</v>
      </c>
      <c r="H42" s="13">
        <v>7.9000000000000001E-2</v>
      </c>
      <c r="I42" s="14">
        <f t="shared" si="2"/>
        <v>0</v>
      </c>
      <c r="J42" s="13">
        <v>8.5000000000000006E-2</v>
      </c>
      <c r="K42" s="11">
        <f t="shared" si="3"/>
        <v>0</v>
      </c>
      <c r="L42" s="13">
        <v>8.8999999999999996E-2</v>
      </c>
      <c r="M42" s="14">
        <f t="shared" si="4"/>
        <v>0</v>
      </c>
      <c r="N42" s="13">
        <v>0.1</v>
      </c>
      <c r="O42" s="14">
        <f t="shared" si="5"/>
        <v>0</v>
      </c>
      <c r="P42" s="13">
        <v>0.107</v>
      </c>
      <c r="Q42" s="14">
        <f>IF($Q$16&gt;0,(((#REF!-P42)/(#REF!-$P$16))*($Q$16-$P$16))+P42,0)</f>
        <v>0</v>
      </c>
      <c r="R42" s="26">
        <f t="shared" si="6"/>
        <v>6.5745879215614159E-2</v>
      </c>
      <c r="S42" s="21">
        <v>5.6000000000000001E-2</v>
      </c>
    </row>
  </sheetData>
  <mergeCells count="20">
    <mergeCell ref="C13:H13"/>
    <mergeCell ref="B15:Q15"/>
    <mergeCell ref="R13:R14"/>
    <mergeCell ref="R15:R16"/>
    <mergeCell ref="S15:S16"/>
    <mergeCell ref="C9:H9"/>
    <mergeCell ref="J9:K9"/>
    <mergeCell ref="C10:H10"/>
    <mergeCell ref="C11:H11"/>
    <mergeCell ref="C12:H12"/>
    <mergeCell ref="C6:H6"/>
    <mergeCell ref="C7:H7"/>
    <mergeCell ref="J7:K7"/>
    <mergeCell ref="C8:H8"/>
    <mergeCell ref="J8:K8"/>
    <mergeCell ref="B1:M1"/>
    <mergeCell ref="B2:H2"/>
    <mergeCell ref="B3:H3"/>
    <mergeCell ref="C4:H4"/>
    <mergeCell ref="C5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L8" sqref="L8"/>
    </sheetView>
  </sheetViews>
  <sheetFormatPr defaultColWidth="9" defaultRowHeight="14.4"/>
  <cols>
    <col min="9" max="9" width="14.33203125" customWidth="1"/>
  </cols>
  <sheetData>
    <row r="1" spans="1:12">
      <c r="A1" t="s">
        <v>233</v>
      </c>
    </row>
    <row r="2" spans="1:12">
      <c r="B2" t="s">
        <v>234</v>
      </c>
      <c r="D2">
        <f>'two way slab design'!D12</f>
        <v>105</v>
      </c>
    </row>
    <row r="3" spans="1:12">
      <c r="C3" t="s">
        <v>18</v>
      </c>
      <c r="D3">
        <f>'two way slab design'!D16</f>
        <v>20</v>
      </c>
    </row>
    <row r="4" spans="1:12">
      <c r="C4" t="s">
        <v>235</v>
      </c>
      <c r="D4">
        <f>'two way slab design'!D15</f>
        <v>500</v>
      </c>
    </row>
    <row r="5" spans="1:12">
      <c r="C5" t="s">
        <v>236</v>
      </c>
      <c r="D5">
        <v>1000</v>
      </c>
    </row>
    <row r="6" spans="1:12">
      <c r="B6" t="s">
        <v>237</v>
      </c>
      <c r="F6" t="s">
        <v>238</v>
      </c>
      <c r="G6" t="s">
        <v>239</v>
      </c>
      <c r="H6" t="s">
        <v>240</v>
      </c>
      <c r="I6" t="s">
        <v>241</v>
      </c>
      <c r="J6" t="s">
        <v>242</v>
      </c>
      <c r="K6" t="s">
        <v>243</v>
      </c>
      <c r="L6" t="s">
        <v>244</v>
      </c>
    </row>
    <row r="7" spans="1:12">
      <c r="B7">
        <f>'two way slab design'!C36</f>
        <v>8.1914479099235997</v>
      </c>
      <c r="F7">
        <f>0.416*0.87*0.87*$D$4*$D$4/(0.362*$D$3*$D$5)</f>
        <v>10.8725966850829</v>
      </c>
      <c r="G7">
        <f>-0.87*$D$4*$D$2</f>
        <v>-45675</v>
      </c>
      <c r="H7">
        <f>B7*10^6</f>
        <v>8191447.9099236</v>
      </c>
      <c r="I7">
        <f>G7*G7-4*F7*H7</f>
        <v>1729956387.4341416</v>
      </c>
      <c r="J7">
        <f>IF(I7&gt;0,((-G7+SQRT(I7))/(2*F7)),"cant solve")</f>
        <v>4013.1969821096463</v>
      </c>
      <c r="K7">
        <f>IF(I7&gt;0,((-G7-SQRT(I7))/(2*F7)),"cant solve")</f>
        <v>187.73139985320825</v>
      </c>
      <c r="L7">
        <f>IF(J7&gt;K7,K7,J7)</f>
        <v>187.73139985320825</v>
      </c>
    </row>
    <row r="8" spans="1:12">
      <c r="B8">
        <f>'two way slab design'!D36</f>
        <v>6.1575646275360016</v>
      </c>
      <c r="F8">
        <f t="shared" ref="F8:F10" si="0">0.416*0.87*0.87*$D$4*$D$4/(0.362*$D$3*$D$5)</f>
        <v>10.8725966850829</v>
      </c>
      <c r="G8">
        <f t="shared" ref="G8:G10" si="1">-0.87*$D$4*$D$2</f>
        <v>-45675</v>
      </c>
      <c r="H8">
        <f t="shared" ref="H8:H10" si="2">B8*10^6</f>
        <v>6157564.6275360016</v>
      </c>
      <c r="I8">
        <f t="shared" ref="I8:I10" si="3">G8*G8-4*F8*H8</f>
        <v>1818410757.9698734</v>
      </c>
      <c r="J8">
        <f t="shared" ref="J8:J10" si="4">IF(I8&gt;0,((-G8+SQRT(I8))/(2*F8)),"cant solve")</f>
        <v>4061.4873475793379</v>
      </c>
      <c r="K8">
        <f t="shared" ref="K8:K10" si="5">IF(I8&gt;0,((-G8-SQRT(I8))/(2*F8)),"cant solve")</f>
        <v>139.44103438351604</v>
      </c>
      <c r="L8">
        <f t="shared" ref="L8:L10" si="6">IF(J8&gt;K8,K8,J8)</f>
        <v>139.44103438351604</v>
      </c>
    </row>
    <row r="9" spans="1:12">
      <c r="B9">
        <f>'two way slab design'!E36</f>
        <v>6.7232335751532011</v>
      </c>
      <c r="F9">
        <f t="shared" si="0"/>
        <v>10.8725966850829</v>
      </c>
      <c r="G9">
        <f t="shared" si="1"/>
        <v>-45675</v>
      </c>
      <c r="H9">
        <f t="shared" si="2"/>
        <v>6723233.5751532009</v>
      </c>
      <c r="I9">
        <f t="shared" si="3"/>
        <v>1793809596.671005</v>
      </c>
      <c r="J9">
        <f t="shared" si="4"/>
        <v>4048.1768976230633</v>
      </c>
      <c r="K9">
        <f t="shared" si="5"/>
        <v>152.75148433979138</v>
      </c>
      <c r="L9">
        <f t="shared" si="6"/>
        <v>152.75148433979138</v>
      </c>
    </row>
    <row r="10" spans="1:12">
      <c r="B10">
        <f>'two way slab design'!F36</f>
        <v>5.0066633006460002</v>
      </c>
      <c r="F10">
        <f t="shared" si="0"/>
        <v>10.8725966850829</v>
      </c>
      <c r="G10">
        <f t="shared" si="1"/>
        <v>-45675</v>
      </c>
      <c r="H10">
        <f t="shared" si="2"/>
        <v>5006663.3006460005</v>
      </c>
      <c r="I10">
        <f t="shared" si="3"/>
        <v>1868463901.7762804</v>
      </c>
      <c r="J10">
        <f t="shared" si="4"/>
        <v>4088.2934645359178</v>
      </c>
      <c r="K10">
        <f t="shared" si="5"/>
        <v>112.63491742693631</v>
      </c>
      <c r="L10">
        <f t="shared" si="6"/>
        <v>112.63491742693631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two way slab design</vt:lpstr>
      <vt:lpstr>Sheet1</vt:lpstr>
      <vt:lpstr>Slab design print</vt:lpstr>
      <vt:lpstr>calculation for τc</vt:lpstr>
      <vt:lpstr>Input values and Results</vt:lpstr>
      <vt:lpstr>alpha value</vt:lpstr>
      <vt:lpstr>steel area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</dc:creator>
  <cp:lastModifiedBy>DELL</cp:lastModifiedBy>
  <cp:lastPrinted>2017-09-13T07:57:00Z</cp:lastPrinted>
  <dcterms:created xsi:type="dcterms:W3CDTF">2015-06-29T13:08:00Z</dcterms:created>
  <dcterms:modified xsi:type="dcterms:W3CDTF">2026-05-31T01:53:30Z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9C620645257645A6BE64B938B8E22135_12</vt:lpwstr>
  </property>
  <property fmtid="{D5CDD505-2E9C-101B-9397-08002B2CF9AE}" pid="3" name="KSOProductBuildVer">
    <vt:lpwstr>1033-12.2.0.21931</vt:lpwstr>
  </property>
</Properties>
</file>