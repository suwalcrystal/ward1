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11976" windowHeight="4668" activeTab="1"/>
  </bookViews>
  <sheets>
    <sheet name="WALL LOAD AND STAIR" sheetId="1" r:id="rId1"/>
    <sheet name="ISOLATED" sheetId="15" r:id="rId2"/>
    <sheet name="joint reaction" sheetId="17" r:id="rId3"/>
    <sheet name="strapA1-B1" sheetId="20" r:id="rId4"/>
    <sheet name="COMBINEDC4C5" sheetId="22" r:id="rId5"/>
  </sheets>
  <definedNames>
    <definedName name="_xlnm.Print_Area" localSheetId="1">ISOLATED!$A$1:$I$76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1"/>
  <c r="K17"/>
  <c r="K16"/>
  <c r="K18"/>
  <c r="K20"/>
  <c r="K19"/>
  <c r="N14"/>
  <c r="M14"/>
  <c r="K7"/>
  <c r="J11" s="1"/>
  <c r="K11" l="1"/>
  <c r="K24"/>
  <c r="K10"/>
  <c r="L160" i="20"/>
  <c r="I11" i="22"/>
  <c r="L18" s="1"/>
  <c r="H18" i="17"/>
  <c r="H14"/>
  <c r="E23" i="15"/>
  <c r="E24" s="1"/>
  <c r="D40" l="1"/>
  <c r="F25"/>
  <c r="E31" s="1"/>
  <c r="E11"/>
  <c r="E13" l="1"/>
  <c r="E14" s="1"/>
  <c r="E15"/>
  <c r="E16" l="1"/>
  <c r="E17" s="1"/>
  <c r="E18" s="1"/>
  <c r="G18" i="1"/>
  <c r="E17"/>
  <c r="G17" s="1"/>
  <c r="G21" s="1"/>
  <c r="G23" s="1"/>
  <c r="F17"/>
  <c r="E6" l="1"/>
  <c r="E22" i="15" l="1"/>
  <c r="F41" s="1"/>
  <c r="K23" i="17"/>
  <c r="K24"/>
  <c r="L8"/>
  <c r="L9"/>
  <c r="L10"/>
  <c r="L11"/>
  <c r="L12"/>
  <c r="L92" i="20" s="1"/>
  <c r="L13" i="17"/>
  <c r="L14"/>
  <c r="L15"/>
  <c r="L16"/>
  <c r="L17"/>
  <c r="L18"/>
  <c r="L19"/>
  <c r="L20"/>
  <c r="L21"/>
  <c r="L22"/>
  <c r="Q22" s="1"/>
  <c r="P22" s="1"/>
  <c r="L23"/>
  <c r="Q23" s="1"/>
  <c r="P23" s="1"/>
  <c r="L24"/>
  <c r="B3" i="22" s="1"/>
  <c r="L7" i="17"/>
  <c r="B2" i="22" l="1"/>
  <c r="Q18" i="17"/>
  <c r="Q7"/>
  <c r="G4" i="22"/>
  <c r="E2"/>
  <c r="E4" s="1"/>
  <c r="L17" s="1"/>
  <c r="E92" i="20"/>
  <c r="I40"/>
  <c r="Q24" i="17"/>
  <c r="P24" s="1"/>
  <c r="Q21" l="1"/>
  <c r="P21" s="1"/>
  <c r="K22"/>
  <c r="K21"/>
  <c r="B20" i="22" l="1"/>
  <c r="D16"/>
  <c r="E7"/>
  <c r="G5"/>
  <c r="D20" l="1"/>
  <c r="P7" i="17"/>
  <c r="R7" s="1"/>
  <c r="K20"/>
  <c r="K19"/>
  <c r="Q8" l="1"/>
  <c r="K7"/>
  <c r="H8"/>
  <c r="K8"/>
  <c r="K9"/>
  <c r="K10"/>
  <c r="H11"/>
  <c r="K11"/>
  <c r="K12"/>
  <c r="K13"/>
  <c r="K14"/>
  <c r="K15"/>
  <c r="K16"/>
  <c r="K17"/>
  <c r="K18"/>
  <c r="P11" i="20" l="1"/>
  <c r="R20" l="1"/>
  <c r="Q20"/>
  <c r="P20"/>
  <c r="O20"/>
  <c r="S20" l="1"/>
  <c r="I51"/>
  <c r="I136" s="1"/>
  <c r="I50"/>
  <c r="F6" i="1"/>
  <c r="K25" l="1"/>
  <c r="P18" i="17" l="1"/>
  <c r="K26" i="1" l="1"/>
  <c r="K27" s="1"/>
  <c r="G9" i="15" l="1"/>
  <c r="J23" i="20" l="1"/>
  <c r="D45" i="22"/>
  <c r="B45"/>
  <c r="B41"/>
  <c r="D40"/>
  <c r="A40"/>
  <c r="D38"/>
  <c r="A38"/>
  <c r="D37"/>
  <c r="A37"/>
  <c r="B35"/>
  <c r="E33"/>
  <c r="A33"/>
  <c r="B32"/>
  <c r="E30"/>
  <c r="A30"/>
  <c r="B29"/>
  <c r="E28"/>
  <c r="A27"/>
  <c r="D25"/>
  <c r="O24"/>
  <c r="I19"/>
  <c r="G16"/>
  <c r="A13"/>
  <c r="G12"/>
  <c r="A12"/>
  <c r="I10"/>
  <c r="I9" s="1"/>
  <c r="G11"/>
  <c r="A11"/>
  <c r="O10"/>
  <c r="A10"/>
  <c r="K9"/>
  <c r="A6"/>
  <c r="A5"/>
  <c r="F4"/>
  <c r="M9"/>
  <c r="B38"/>
  <c r="B39" s="1"/>
  <c r="G13" l="1"/>
  <c r="B22"/>
  <c r="D22" s="1"/>
  <c r="D23" s="1"/>
  <c r="G14"/>
  <c r="G15" s="1"/>
  <c r="G17" s="1"/>
  <c r="O14"/>
  <c r="D26"/>
  <c r="J9"/>
  <c r="E38"/>
  <c r="E39" s="1"/>
  <c r="B40"/>
  <c r="F27"/>
  <c r="G6"/>
  <c r="B43" l="1"/>
  <c r="G10"/>
  <c r="G18" s="1"/>
  <c r="E19" s="1"/>
  <c r="D10"/>
  <c r="B27"/>
  <c r="D27" s="1"/>
  <c r="C29" s="1"/>
  <c r="C10"/>
  <c r="B42"/>
  <c r="C42" s="1"/>
  <c r="H4"/>
  <c r="H5" s="1"/>
  <c r="H6" s="1"/>
  <c r="O6"/>
  <c r="J4"/>
  <c r="L2" s="1"/>
  <c r="B33"/>
  <c r="D33" s="1"/>
  <c r="D17" s="1"/>
  <c r="D18" s="1"/>
  <c r="P12"/>
  <c r="P13" s="1"/>
  <c r="P14" s="1"/>
  <c r="I5"/>
  <c r="I6" s="1"/>
  <c r="I7" s="1"/>
  <c r="D12" l="1"/>
  <c r="O19" s="1"/>
  <c r="C13"/>
  <c r="C12" s="1"/>
  <c r="C35"/>
  <c r="N2"/>
  <c r="O2" s="1"/>
  <c r="N3"/>
  <c r="O3" s="1"/>
  <c r="N11"/>
  <c r="N10" s="1"/>
  <c r="E40"/>
  <c r="E43" s="1"/>
  <c r="C45" s="1"/>
  <c r="C11"/>
  <c r="C14" l="1"/>
  <c r="D14" s="1"/>
  <c r="B30" s="1"/>
  <c r="D21"/>
  <c r="B23" s="1"/>
  <c r="E22" s="1"/>
  <c r="D30" l="1"/>
  <c r="C32" s="1"/>
  <c r="D15"/>
  <c r="Q19" i="17" l="1"/>
  <c r="P19" s="1"/>
  <c r="Q20"/>
  <c r="P20" s="1"/>
  <c r="I186" i="20" l="1"/>
  <c r="I185"/>
  <c r="I184"/>
  <c r="I183"/>
  <c r="I182"/>
  <c r="I181"/>
  <c r="I180"/>
  <c r="I179"/>
  <c r="I174"/>
  <c r="I157"/>
  <c r="I152"/>
  <c r="I143"/>
  <c r="I138"/>
  <c r="E107"/>
  <c r="C100"/>
  <c r="I93"/>
  <c r="I89"/>
  <c r="I85"/>
  <c r="I81"/>
  <c r="M38"/>
  <c r="M37"/>
  <c r="I34"/>
  <c r="E31"/>
  <c r="E30"/>
  <c r="E29"/>
  <c r="E28"/>
  <c r="E27"/>
  <c r="E26"/>
  <c r="L24"/>
  <c r="I14"/>
  <c r="C8"/>
  <c r="A8"/>
  <c r="I177" s="1"/>
  <c r="L2"/>
  <c r="I178" s="1"/>
  <c r="F2"/>
  <c r="I176" s="1"/>
  <c r="M14" l="1"/>
  <c r="C5"/>
  <c r="C10" s="1"/>
  <c r="I167"/>
  <c r="I168" s="1"/>
  <c r="I150"/>
  <c r="I139"/>
  <c r="I58"/>
  <c r="I71"/>
  <c r="I70"/>
  <c r="I62"/>
  <c r="F107"/>
  <c r="M107"/>
  <c r="K107" s="1"/>
  <c r="I75"/>
  <c r="I175"/>
  <c r="I2"/>
  <c r="H16" s="1"/>
  <c r="I57"/>
  <c r="Q11" i="17" l="1"/>
  <c r="J21" i="20"/>
  <c r="J22" s="1"/>
  <c r="I67"/>
  <c r="I72" s="1"/>
  <c r="I74" s="1"/>
  <c r="I153"/>
  <c r="K150"/>
  <c r="I86" l="1"/>
  <c r="I87" s="1"/>
  <c r="K89" s="1"/>
  <c r="I35"/>
  <c r="I82"/>
  <c r="I83" s="1"/>
  <c r="K85" s="1"/>
  <c r="F105"/>
  <c r="L105" s="1"/>
  <c r="I54"/>
  <c r="I59" s="1"/>
  <c r="I61" s="1"/>
  <c r="I76"/>
  <c r="I77" s="1"/>
  <c r="K78" s="1"/>
  <c r="K75"/>
  <c r="I164" l="1"/>
  <c r="H122"/>
  <c r="I134" s="1"/>
  <c r="I37"/>
  <c r="I38" s="1"/>
  <c r="E113"/>
  <c r="E119" s="1"/>
  <c r="E128"/>
  <c r="H113"/>
  <c r="I55"/>
  <c r="I68"/>
  <c r="I63"/>
  <c r="I64" s="1"/>
  <c r="K65" s="1"/>
  <c r="K62"/>
  <c r="L130"/>
  <c r="L118"/>
  <c r="L110" s="1"/>
  <c r="J113"/>
  <c r="I163"/>
  <c r="J124"/>
  <c r="I135" l="1"/>
  <c r="K136" s="1"/>
  <c r="I148"/>
  <c r="I154" s="1"/>
  <c r="I156" s="1"/>
  <c r="I149"/>
  <c r="K149" s="1"/>
  <c r="F117"/>
  <c r="G121" s="1"/>
  <c r="I166"/>
  <c r="I169"/>
  <c r="I170" s="1"/>
  <c r="K171" s="1"/>
  <c r="I140" l="1"/>
  <c r="I158"/>
  <c r="I159" s="1"/>
  <c r="K160" s="1"/>
  <c r="K157"/>
  <c r="I142" l="1"/>
  <c r="I144" s="1"/>
  <c r="I145" s="1"/>
  <c r="K146" s="1"/>
  <c r="K143" l="1"/>
  <c r="Q13" i="17" l="1"/>
  <c r="Q14"/>
  <c r="E9" i="1" l="1"/>
  <c r="H24" l="1"/>
  <c r="E13"/>
  <c r="F13" s="1"/>
  <c r="G6"/>
  <c r="F9"/>
  <c r="G9" s="1"/>
  <c r="D74" i="15" l="1"/>
  <c r="E75" s="1"/>
  <c r="G69"/>
  <c r="E52"/>
  <c r="E50"/>
  <c r="F70" l="1"/>
  <c r="E59"/>
  <c r="E60" s="1"/>
  <c r="E61" s="1"/>
  <c r="C56"/>
  <c r="E36"/>
  <c r="G21"/>
  <c r="G43"/>
  <c r="E62" l="1"/>
  <c r="D68"/>
  <c r="D69" s="1"/>
  <c r="E54"/>
  <c r="E70" l="1"/>
  <c r="E71"/>
  <c r="E45"/>
  <c r="G18"/>
  <c r="E63"/>
  <c r="I23"/>
  <c r="F72" l="1"/>
  <c r="F76"/>
  <c r="Q9" i="17" l="1"/>
  <c r="Q10"/>
  <c r="Q16"/>
  <c r="Q17"/>
  <c r="Q12" l="1"/>
  <c r="P12" s="1"/>
  <c r="R12" s="1"/>
  <c r="P11"/>
  <c r="R11" s="1"/>
  <c r="Q15"/>
  <c r="P15" s="1"/>
  <c r="R15" s="1"/>
  <c r="P8"/>
  <c r="R8" s="1"/>
  <c r="P16"/>
  <c r="R16" s="1"/>
  <c r="P9"/>
  <c r="R9" s="1"/>
  <c r="P17" l="1"/>
  <c r="R17" s="1"/>
  <c r="P13"/>
  <c r="R13" s="1"/>
  <c r="P14"/>
  <c r="R14" s="1"/>
  <c r="R18"/>
  <c r="P10"/>
  <c r="R10" s="1"/>
  <c r="J10" i="1" l="1"/>
</calcChain>
</file>

<file path=xl/sharedStrings.xml><?xml version="1.0" encoding="utf-8"?>
<sst xmlns="http://schemas.openxmlformats.org/spreadsheetml/2006/main" count="643" uniqueCount="312">
  <si>
    <t>Wall load calculation</t>
  </si>
  <si>
    <t>9" wall(on grid)</t>
  </si>
  <si>
    <t>B`</t>
  </si>
  <si>
    <t>Density</t>
  </si>
  <si>
    <t>H</t>
  </si>
  <si>
    <t>Without opening</t>
  </si>
  <si>
    <t>With opening</t>
  </si>
  <si>
    <t>Unit</t>
  </si>
  <si>
    <t>Adopted value</t>
  </si>
  <si>
    <t>4" wall (on grid)</t>
  </si>
  <si>
    <t>KN/m</t>
  </si>
  <si>
    <t>Parapet wall</t>
  </si>
  <si>
    <t>Wall Load</t>
  </si>
  <si>
    <t>(Assuming 30 % opening)</t>
  </si>
  <si>
    <t>Staircase Load Calculation:</t>
  </si>
  <si>
    <t xml:space="preserve">Total staircase area (A) </t>
  </si>
  <si>
    <t xml:space="preserve"> m2 </t>
  </si>
  <si>
    <t xml:space="preserve">Increase 20% for sloped area. </t>
  </si>
  <si>
    <t>Hence, A’</t>
  </si>
  <si>
    <t>Overall Depth of waist slab (D) =</t>
  </si>
  <si>
    <t xml:space="preserve">Dead Load: </t>
  </si>
  <si>
    <t xml:space="preserve">•Total Dead Load </t>
  </si>
  <si>
    <t xml:space="preserve">•Taking half load for staircase </t>
  </si>
  <si>
    <t>•Beam Length</t>
  </si>
  <si>
    <t xml:space="preserve">•UDL = </t>
  </si>
  <si>
    <t xml:space="preserve">Live Load: </t>
  </si>
  <si>
    <t xml:space="preserve">•Live load for staircase </t>
  </si>
  <si>
    <t>mm</t>
  </si>
  <si>
    <t>N/mm2</t>
  </si>
  <si>
    <t>KN/m2</t>
  </si>
  <si>
    <t>KN</t>
  </si>
  <si>
    <t>mm2</t>
  </si>
  <si>
    <t>m</t>
  </si>
  <si>
    <t>B1</t>
  </si>
  <si>
    <t>kN</t>
  </si>
  <si>
    <t>B</t>
  </si>
  <si>
    <t>B2</t>
  </si>
  <si>
    <t>L</t>
  </si>
  <si>
    <t>a</t>
  </si>
  <si>
    <t>b</t>
  </si>
  <si>
    <t>=</t>
  </si>
  <si>
    <t>m2</t>
  </si>
  <si>
    <t>Axial Load =</t>
  </si>
  <si>
    <t>A</t>
  </si>
  <si>
    <t>d=</t>
  </si>
  <si>
    <t>D=</t>
  </si>
  <si>
    <t>Bc=</t>
  </si>
  <si>
    <t>L1 =</t>
  </si>
  <si>
    <t>L2 =</t>
  </si>
  <si>
    <t>c/c distance =</t>
  </si>
  <si>
    <t>B =</t>
  </si>
  <si>
    <t>PA</t>
  </si>
  <si>
    <t>PB</t>
  </si>
  <si>
    <t>SAFE BEARING CAPACITY, SBC</t>
  </si>
  <si>
    <t>Areqd, A</t>
  </si>
  <si>
    <t>i.e,</t>
  </si>
  <si>
    <t>BL1+BL2</t>
  </si>
  <si>
    <t>cg of Forces from B, X</t>
  </si>
  <si>
    <t>Let, B</t>
  </si>
  <si>
    <t>c</t>
  </si>
  <si>
    <t>L1</t>
  </si>
  <si>
    <t>say, L1 =</t>
  </si>
  <si>
    <t>L2</t>
  </si>
  <si>
    <t>say, L2 =</t>
  </si>
  <si>
    <t>NET SOIL PRESSURE UNDER THE FOOTING</t>
  </si>
  <si>
    <t>ASSUMED DEPTH OF PAD</t>
  </si>
  <si>
    <t>ASSUMED DEPTH OF STRAP BEAM</t>
  </si>
  <si>
    <t>ASSUMED WIDTH OF STRAP BEAM</t>
  </si>
  <si>
    <t>CLEAR COVER TO MAIN REINF</t>
  </si>
  <si>
    <t>GRADE OF CONCRETE</t>
  </si>
  <si>
    <t>GRADE OF REINF</t>
  </si>
  <si>
    <t>DIA OF STRAP BEAM MAIN REINF</t>
  </si>
  <si>
    <t>DIA OF STRAP BEAM SHEAR REINF</t>
  </si>
  <si>
    <t>DIA OF PAD REINF</t>
  </si>
  <si>
    <t>EFFECTIVE DEPTH OF PAD</t>
  </si>
  <si>
    <t>EFFECTIVE DEPTH OF STRAP BEAM</t>
  </si>
  <si>
    <t>BENDING MOMENT AT BASE PAD</t>
  </si>
  <si>
    <t>AT EXTERIOR FOOTING A, Mu</t>
  </si>
  <si>
    <t>KN-m</t>
  </si>
  <si>
    <t>dreqd</t>
  </si>
  <si>
    <t>Mu = 0.87fy Ast(d-fy Ast/fck B)</t>
  </si>
  <si>
    <t>a =</t>
  </si>
  <si>
    <r>
      <t>0.87fy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Times New Roman"/>
        <family val="2"/>
      </rPr>
      <t>/fckB =</t>
    </r>
  </si>
  <si>
    <t>b =</t>
  </si>
  <si>
    <t>-0.87fyd =</t>
  </si>
  <si>
    <t>c =</t>
  </si>
  <si>
    <t>Mu =</t>
  </si>
  <si>
    <t>Ast,reqd</t>
  </si>
  <si>
    <t>Ast,min</t>
  </si>
  <si>
    <t>Ast</t>
  </si>
  <si>
    <t>Spacing,required</t>
  </si>
  <si>
    <t>Spacing,provided</t>
  </si>
  <si>
    <t>AT EXTERIOR FOOTING B, Mu</t>
  </si>
  <si>
    <t>PAD SHEAR (ONE WAY SHEAR)</t>
  </si>
  <si>
    <t>EFFECTIVE DEPTH, d</t>
  </si>
  <si>
    <t>AT EXTERIOR FOOTING A, Vu</t>
  </si>
  <si>
    <r>
      <t xml:space="preserve">NOMINAL SHEAR STRESS, 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v</t>
    </r>
  </si>
  <si>
    <t>ks</t>
  </si>
  <si>
    <r>
      <t>ks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c</t>
    </r>
  </si>
  <si>
    <t>AT EXTERIOR FOOTING B, Vu</t>
  </si>
  <si>
    <t>STRAP BEAM</t>
  </si>
  <si>
    <t>SFD (KN)</t>
  </si>
  <si>
    <t>BMD (KNm)</t>
  </si>
  <si>
    <t>DESIGN OF STRAP BEAM FOR BM</t>
  </si>
  <si>
    <t>FOR TOP REINFORCEMENT, Mu</t>
  </si>
  <si>
    <t>dprovided</t>
  </si>
  <si>
    <t>NO OF TOP BARS REQUIRED</t>
  </si>
  <si>
    <t>NO OF TOP BARS PROVIDED</t>
  </si>
  <si>
    <t>FOR BOTTOM REINFORCEMENT, Mu</t>
  </si>
  <si>
    <t>DESIGN OF STRAP BEAM FOR SHEAR</t>
  </si>
  <si>
    <t>SF AT d FROM COLUMN FACE B TOWARDS A</t>
  </si>
  <si>
    <t>SF AT d FROM COLUMN FACE A TOWARDS B</t>
  </si>
  <si>
    <t>%p</t>
  </si>
  <si>
    <t>%</t>
  </si>
  <si>
    <r>
      <t xml:space="preserve">SHEAR STRENGTH OF CONCRETE, 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c</t>
    </r>
  </si>
  <si>
    <t>Vus</t>
  </si>
  <si>
    <t>SPACING OF STIRRUPS REQUIRED</t>
  </si>
  <si>
    <t>SPACING OF STIRRUPS PROVIDED</t>
  </si>
  <si>
    <t>SUMMARY OF FOUDNATION</t>
  </si>
  <si>
    <t>THICKNESS OF PAD</t>
  </si>
  <si>
    <t>WIDTH OF EXTERIOR ACROSS STRAP</t>
  </si>
  <si>
    <t>LENGTH OF EXTERIOR ALONG STRAP</t>
  </si>
  <si>
    <t>WIDTH OF INTERIOR ACROSS STRAP</t>
  </si>
  <si>
    <t>LENGTH OF INTERIOR ALONG STRAP</t>
  </si>
  <si>
    <t>PAD REBAR</t>
  </si>
  <si>
    <t>DEPTH OF STRAP BEAM</t>
  </si>
  <si>
    <t>WIDTH OF STRAP BEAM</t>
  </si>
  <si>
    <t>TOP BAR OF STRAP BEAM</t>
  </si>
  <si>
    <t>BOTTOM BAR OF STRAP BEAM</t>
  </si>
  <si>
    <t>STIRRUPS OF STRAP BEAM</t>
  </si>
  <si>
    <t>CLEAR COVER TO REINF</t>
  </si>
  <si>
    <t>Story</t>
  </si>
  <si>
    <t>Label</t>
  </si>
  <si>
    <t>Unique Name</t>
  </si>
  <si>
    <t>Output Case</t>
  </si>
  <si>
    <t>FZ</t>
  </si>
  <si>
    <t>Base</t>
  </si>
  <si>
    <t>Joint level</t>
  </si>
  <si>
    <t>Unfactored load</t>
  </si>
  <si>
    <t>Footing size(ft)</t>
  </si>
  <si>
    <t>Depth of footing pad</t>
  </si>
  <si>
    <t>Reinforecement bar</t>
  </si>
  <si>
    <t>Provided</t>
  </si>
  <si>
    <t>footing size in feet</t>
  </si>
  <si>
    <t>400mm</t>
  </si>
  <si>
    <t>12 mm c/c Both ways</t>
  </si>
  <si>
    <t>6X6</t>
  </si>
  <si>
    <t>A2</t>
  </si>
  <si>
    <t>Isolated Footing Design</t>
  </si>
  <si>
    <t>Foundation Type :</t>
  </si>
  <si>
    <t>F1</t>
  </si>
  <si>
    <t>Required Data</t>
  </si>
  <si>
    <t xml:space="preserve"> size of colunm=</t>
  </si>
  <si>
    <t>l =</t>
  </si>
  <si>
    <t>Bearing Capacity of Soil=</t>
  </si>
  <si>
    <t>KN/m²</t>
  </si>
  <si>
    <t>Strength of Steel (fy)=</t>
  </si>
  <si>
    <t>N/mm²</t>
  </si>
  <si>
    <t>Strength of Concrete (fck)=</t>
  </si>
  <si>
    <t>Factor Load=</t>
  </si>
  <si>
    <t>Approximate area of footing=</t>
  </si>
  <si>
    <t>m²</t>
  </si>
  <si>
    <t>Weight of footing including earth=</t>
  </si>
  <si>
    <t>Total weight on soil=</t>
  </si>
  <si>
    <t>Actual Area=</t>
  </si>
  <si>
    <t>Size of Square Footing =</t>
  </si>
  <si>
    <t>Adopted size=</t>
  </si>
  <si>
    <t>L =</t>
  </si>
  <si>
    <t>Actual area of footing =</t>
  </si>
  <si>
    <t>Net Pressure acting upwads =</t>
  </si>
  <si>
    <t>B. M. at the face of column about an axis  =</t>
  </si>
  <si>
    <t>The effective depth required is given by</t>
  </si>
  <si>
    <t xml:space="preserve">   </t>
  </si>
  <si>
    <t>BM= 0.138 fck*bd^2</t>
  </si>
  <si>
    <t>Adopt d = 2 to 3 Times of calculated value of d for Shear considerations.</t>
  </si>
  <si>
    <t>Adop. d=</t>
  </si>
  <si>
    <t>Check for one-way Shear action</t>
  </si>
  <si>
    <t>The critical section is taken at distance d away from the face of column</t>
  </si>
  <si>
    <t>Shear force Vu=</t>
  </si>
  <si>
    <t>Nominal shear stress (Tv) =</t>
  </si>
  <si>
    <t>Vu/b*d =</t>
  </si>
  <si>
    <t>Allowable Shear Stress of Concrete for pt% of Steel &lt; = 0.15 &amp;</t>
  </si>
  <si>
    <t>For 0.165%</t>
  </si>
  <si>
    <t>Tc =</t>
  </si>
  <si>
    <t>N/sq.mm</t>
  </si>
  <si>
    <t>(From IS 456: 2000, table 19)</t>
  </si>
  <si>
    <t>Hence,</t>
  </si>
  <si>
    <t>Tc should be equal to or greater than Tv</t>
  </si>
  <si>
    <t>Check for two-way Shear action</t>
  </si>
  <si>
    <t>The critical section is taken at a distance of  0.5d away from the face  of column ,</t>
  </si>
  <si>
    <t>Nominal Shear Stress(Tv) = Vu/b'd  (Where b' is the periphery of critical section )</t>
  </si>
  <si>
    <t xml:space="preserve">and </t>
  </si>
  <si>
    <t>b' =</t>
  </si>
  <si>
    <t>So, Nominal Shear Stress(Tv) =</t>
  </si>
  <si>
    <t>Shear Strength of concrete is</t>
  </si>
  <si>
    <t>T'c =</t>
  </si>
  <si>
    <t>Ks*Tc</t>
  </si>
  <si>
    <t>Where Ks=(0.5+Bc)</t>
  </si>
  <si>
    <t>Bc=length of shorter side of column/length  of longer side of column</t>
  </si>
  <si>
    <t>Ks=</t>
  </si>
  <si>
    <t>should not be greater than 1</t>
  </si>
  <si>
    <t>Take(Ks)=</t>
  </si>
  <si>
    <t>T'c=</t>
  </si>
  <si>
    <t>T'c should be greater than Tv</t>
  </si>
  <si>
    <t>Area of Steel Calculation,</t>
  </si>
  <si>
    <t>Area of Steel is given by formula,  BM = 0.87* fy* At*{d-fy*At/(fck*b)}</t>
  </si>
  <si>
    <t>Then,</t>
  </si>
  <si>
    <t>Ast =</t>
  </si>
  <si>
    <t>sq.mm</t>
  </si>
  <si>
    <t>&gt; Ast min</t>
  </si>
  <si>
    <t>= 0.12% of b * d</t>
  </si>
  <si>
    <t>Ast per m =</t>
  </si>
  <si>
    <t>mm²</t>
  </si>
  <si>
    <t>Req. Area of steel =</t>
  </si>
  <si>
    <t>% of steel=</t>
  </si>
  <si>
    <t xml:space="preserve"> Steel requied as</t>
  </si>
  <si>
    <t>mm bar @</t>
  </si>
  <si>
    <t>mm c/c distance.</t>
  </si>
  <si>
    <t>Provide Steel as =</t>
  </si>
  <si>
    <t>Provided steel =</t>
  </si>
  <si>
    <t>OPENING</t>
  </si>
  <si>
    <t xml:space="preserve">SLAB </t>
  </si>
  <si>
    <t/>
  </si>
  <si>
    <t>D1</t>
  </si>
  <si>
    <t>D2</t>
  </si>
  <si>
    <t>D3</t>
  </si>
  <si>
    <t xml:space="preserve"> </t>
  </si>
  <si>
    <t>5X5</t>
  </si>
  <si>
    <t>DIMENISON OF COMBINED FLAT FOOTING</t>
  </si>
  <si>
    <t>EQ checking</t>
  </si>
  <si>
    <t>FAC.</t>
  </si>
  <si>
    <t>SBC</t>
  </si>
  <si>
    <t>Area Required</t>
  </si>
  <si>
    <t>LEFT PROJ.</t>
  </si>
  <si>
    <t>e</t>
  </si>
  <si>
    <t>PMAX</t>
  </si>
  <si>
    <t>PROJECT LEFT</t>
  </si>
  <si>
    <t>Width Provied</t>
  </si>
  <si>
    <t>RIGHT PROJ.</t>
  </si>
  <si>
    <t>PMIN</t>
  </si>
  <si>
    <r>
      <t>kN/m</t>
    </r>
    <r>
      <rPr>
        <vertAlign val="superscript"/>
        <sz val="10"/>
        <rFont val="Century Gothic"/>
        <family val="2"/>
      </rPr>
      <t>2</t>
    </r>
  </si>
  <si>
    <t>Total Length</t>
  </si>
  <si>
    <t>CG FROM END</t>
  </si>
  <si>
    <t>Fck</t>
  </si>
  <si>
    <t>TOTAL LENGTH</t>
  </si>
  <si>
    <t>Fy</t>
  </si>
  <si>
    <t>FAC. PRESSURE</t>
  </si>
  <si>
    <t>c/c Distance</t>
  </si>
  <si>
    <t>Transverse Projection</t>
  </si>
  <si>
    <t>kN/m2</t>
  </si>
  <si>
    <t>DEPTH CACULATION</t>
  </si>
  <si>
    <t>ONE WAY SHEAR</t>
  </si>
  <si>
    <t>SHEAR FORCE</t>
  </si>
  <si>
    <t>BM</t>
  </si>
  <si>
    <t>TWO WAY SHEAR</t>
  </si>
  <si>
    <t>Design Punching shear</t>
  </si>
  <si>
    <t>Critical col size_l</t>
  </si>
  <si>
    <t>Critical col size_b</t>
  </si>
  <si>
    <t>Perimetre</t>
  </si>
  <si>
    <t>Point of zero distance</t>
  </si>
  <si>
    <t>bc</t>
  </si>
  <si>
    <t>d eff required ( from BM)</t>
  </si>
  <si>
    <t>Ks</t>
  </si>
  <si>
    <t>D provided</t>
  </si>
  <si>
    <t>d eff provided</t>
  </si>
  <si>
    <t>τc</t>
  </si>
  <si>
    <t>Area Req. from Max BM</t>
  </si>
  <si>
    <t>τc'=ksTc (Strength of Concrete)</t>
  </si>
  <si>
    <t>Tv(Due to Load)</t>
  </si>
  <si>
    <t>Rebar</t>
  </si>
  <si>
    <t>C/C spacing mm</t>
  </si>
  <si>
    <t>Ast prov</t>
  </si>
  <si>
    <t>Pt</t>
  </si>
  <si>
    <t>Critical shear</t>
  </si>
  <si>
    <t>B Value</t>
  </si>
  <si>
    <t>Actual B</t>
  </si>
  <si>
    <t>Tv (Due to Load)</t>
  </si>
  <si>
    <t>τc'</t>
  </si>
  <si>
    <t>REBARS CALCULATION AS PER BENDING MOMENT</t>
  </si>
  <si>
    <t>Ast  Required             (per Width)</t>
  </si>
  <si>
    <t>Ast Min</t>
  </si>
  <si>
    <r>
      <t>mm</t>
    </r>
    <r>
      <rPr>
        <vertAlign val="superscript"/>
        <sz val="10"/>
        <rFont val="Century Gothic"/>
        <family val="2"/>
      </rPr>
      <t>2</t>
    </r>
  </si>
  <si>
    <t>Re-bar To be Provided</t>
  </si>
  <si>
    <t xml:space="preserve">C/C </t>
  </si>
  <si>
    <t>Ast  Provided       (per Width)</t>
  </si>
  <si>
    <t>BENDING MOMENT IN TRANSVERSE DIRECTION</t>
  </si>
  <si>
    <t>Design BM (per 1000)</t>
  </si>
  <si>
    <t>kN.m</t>
  </si>
  <si>
    <t>Ast  Required             (per 1000)</t>
  </si>
  <si>
    <t>Area of Steel Provided for Transverse Direction</t>
  </si>
  <si>
    <t xml:space="preserve">•Step Load </t>
  </si>
  <si>
    <t>7X7</t>
  </si>
  <si>
    <t>TABLE:  Joint Design Reactions</t>
  </si>
  <si>
    <t>1.5DL+1.5LL</t>
  </si>
  <si>
    <t>C1</t>
  </si>
  <si>
    <t>A1</t>
  </si>
  <si>
    <t>A4</t>
  </si>
  <si>
    <t>A3</t>
  </si>
  <si>
    <t>B3</t>
  </si>
  <si>
    <t>B4</t>
  </si>
  <si>
    <t>C4</t>
  </si>
  <si>
    <t>D4</t>
  </si>
  <si>
    <t>8X8</t>
  </si>
  <si>
    <t>C2</t>
  </si>
  <si>
    <t>C3</t>
  </si>
  <si>
    <t>B5</t>
  </si>
  <si>
    <t>C5</t>
  </si>
  <si>
    <t>8.5X8.5</t>
  </si>
  <si>
    <t>•Riser</t>
  </si>
  <si>
    <t>•Tread</t>
  </si>
  <si>
    <t>•Width of staircase</t>
  </si>
  <si>
    <t>•No. of steps</t>
  </si>
</sst>
</file>

<file path=xl/styles.xml><?xml version="1.0" encoding="utf-8"?>
<styleSheet xmlns="http://schemas.openxmlformats.org/spreadsheetml/2006/main">
  <numFmts count="7">
    <numFmt numFmtId="43" formatCode="_(* #,##0.00_);_(* \(#,##0.00\);_(* &quot;-&quot;??_);_(@_)"/>
    <numFmt numFmtId="164" formatCode="0.000"/>
    <numFmt numFmtId="165" formatCode="0.0"/>
    <numFmt numFmtId="166" formatCode="0.0000"/>
    <numFmt numFmtId="167" formatCode="0.00000"/>
    <numFmt numFmtId="168" formatCode="0.0000000"/>
    <numFmt numFmtId="169" formatCode="_(* #,##0.0000_);_(* \(#,##0.0000\);_(* &quot;-&quot;??_);_(@_)"/>
  </numFmts>
  <fonts count="55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8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2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  <font>
      <sz val="11"/>
      <name val="Times New Roman"/>
      <family val="2"/>
    </font>
    <font>
      <sz val="11"/>
      <color rgb="FFFF0000"/>
      <name val="Times New Roman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10"/>
      <name val="Times New Roman"/>
      <family val="1"/>
    </font>
    <font>
      <b/>
      <u/>
      <sz val="12"/>
      <name val="Times New Roman"/>
      <family val="1"/>
    </font>
    <font>
      <b/>
      <sz val="14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53"/>
      <name val="Century Gothic"/>
      <family val="2"/>
    </font>
    <font>
      <b/>
      <sz val="14"/>
      <color indexed="12"/>
      <name val="Century Gothic"/>
      <family val="2"/>
    </font>
    <font>
      <sz val="10"/>
      <color rgb="FFFF0000"/>
      <name val="Century Gothic"/>
      <family val="2"/>
    </font>
    <font>
      <vertAlign val="superscript"/>
      <sz val="10"/>
      <name val="Century Gothic"/>
      <family val="2"/>
    </font>
    <font>
      <sz val="12"/>
      <name val="Century Gothic"/>
      <family val="2"/>
    </font>
    <font>
      <sz val="10"/>
      <color indexed="10"/>
      <name val="Century Gothic"/>
      <family val="2"/>
    </font>
    <font>
      <b/>
      <sz val="22"/>
      <color rgb="FFFF0000"/>
      <name val="Century Gothic"/>
      <family val="2"/>
    </font>
    <font>
      <sz val="16"/>
      <color rgb="FF0070C0"/>
      <name val="Century Gothic"/>
      <family val="2"/>
    </font>
    <font>
      <b/>
      <sz val="12"/>
      <color indexed="12"/>
      <name val="Century Gothic"/>
      <family val="2"/>
    </font>
    <font>
      <sz val="9"/>
      <name val="Century Gothic"/>
      <family val="2"/>
    </font>
    <font>
      <b/>
      <sz val="24"/>
      <color indexed="12"/>
      <name val="Century Gothic"/>
      <family val="2"/>
    </font>
    <font>
      <b/>
      <sz val="18"/>
      <color indexed="12"/>
      <name val="Century Gothic"/>
      <family val="2"/>
    </font>
    <font>
      <b/>
      <sz val="14"/>
      <color rgb="FFFF0000"/>
      <name val="Century Gothic"/>
      <family val="2"/>
    </font>
    <font>
      <b/>
      <sz val="18"/>
      <color rgb="FF0070C0"/>
      <name val="Century Gothic"/>
      <family val="2"/>
    </font>
    <font>
      <b/>
      <sz val="11"/>
      <name val="Century Gothic"/>
      <family val="2"/>
    </font>
    <font>
      <b/>
      <sz val="14"/>
      <color rgb="FF00B050"/>
      <name val="Century Gothic"/>
      <family val="2"/>
    </font>
    <font>
      <b/>
      <sz val="36"/>
      <color indexed="12"/>
      <name val="Century Gothic"/>
      <family val="2"/>
    </font>
    <font>
      <sz val="1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DashDotDot">
        <color indexed="64"/>
      </left>
      <right/>
      <top style="medium">
        <color indexed="64"/>
      </top>
      <bottom/>
      <diagonal/>
    </border>
    <border>
      <left/>
      <right style="mediumDashDotDot">
        <color indexed="64"/>
      </right>
      <top style="medium">
        <color indexed="64"/>
      </top>
      <bottom/>
      <diagonal/>
    </border>
    <border>
      <left style="mediumDashDotDot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DotDot">
        <color indexed="64"/>
      </left>
      <right/>
      <top/>
      <bottom style="mediumDashDotDot">
        <color indexed="64"/>
      </bottom>
      <diagonal/>
    </border>
    <border>
      <left/>
      <right/>
      <top/>
      <bottom style="mediumDashDotDot">
        <color indexed="64"/>
      </bottom>
      <diagonal/>
    </border>
    <border>
      <left/>
      <right style="mediumDashDotDot">
        <color indexed="64"/>
      </right>
      <top/>
      <bottom style="mediumDashDotDot">
        <color indexed="64"/>
      </bottom>
      <diagonal/>
    </border>
    <border>
      <left style="mediumDashDotDot">
        <color indexed="64"/>
      </left>
      <right style="medium">
        <color indexed="64"/>
      </right>
      <top/>
      <bottom style="mediumDashDotDot">
        <color indexed="64"/>
      </bottom>
      <diagonal/>
    </border>
    <border>
      <left style="mediumDashDot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mediumDashDotDot">
        <color indexed="64"/>
      </left>
      <right/>
      <top/>
      <bottom style="medium">
        <color indexed="64"/>
      </bottom>
      <diagonal/>
    </border>
    <border>
      <left/>
      <right style="mediumDashDotDot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43" fontId="10" fillId="0" borderId="0" applyFont="0" applyFill="0" applyBorder="0" applyAlignment="0" applyProtection="0"/>
    <xf numFmtId="0" fontId="11" fillId="0" borderId="0"/>
    <xf numFmtId="0" fontId="11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2">
    <xf numFmtId="0" fontId="0" fillId="0" borderId="0" xfId="0"/>
    <xf numFmtId="0" fontId="13" fillId="0" borderId="0" xfId="0" applyFont="1"/>
    <xf numFmtId="0" fontId="13" fillId="2" borderId="0" xfId="0" applyFont="1" applyFill="1"/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13" fillId="0" borderId="5" xfId="0" applyFont="1" applyBorder="1"/>
    <xf numFmtId="0" fontId="13" fillId="0" borderId="1" xfId="0" applyFont="1" applyBorder="1"/>
    <xf numFmtId="43" fontId="13" fillId="2" borderId="1" xfId="1" applyFont="1" applyFill="1" applyBorder="1"/>
    <xf numFmtId="43" fontId="13" fillId="0" borderId="1" xfId="1" applyFont="1" applyBorder="1"/>
    <xf numFmtId="43" fontId="13" fillId="0" borderId="1" xfId="0" applyNumberFormat="1" applyFont="1" applyBorder="1"/>
    <xf numFmtId="0" fontId="13" fillId="0" borderId="6" xfId="0" applyFont="1" applyBorder="1"/>
    <xf numFmtId="0" fontId="13" fillId="0" borderId="0" xfId="0" applyFont="1" applyAlignment="1">
      <alignment vertical="center"/>
    </xf>
    <xf numFmtId="0" fontId="13" fillId="0" borderId="7" xfId="0" applyFont="1" applyBorder="1"/>
    <xf numFmtId="0" fontId="13" fillId="0" borderId="8" xfId="0" applyFont="1" applyBorder="1"/>
    <xf numFmtId="0" fontId="16" fillId="0" borderId="8" xfId="0" applyFont="1" applyBorder="1"/>
    <xf numFmtId="0" fontId="13" fillId="0" borderId="9" xfId="0" applyFont="1" applyBorder="1"/>
    <xf numFmtId="165" fontId="13" fillId="0" borderId="0" xfId="0" applyNumberFormat="1" applyFont="1"/>
    <xf numFmtId="0" fontId="13" fillId="0" borderId="13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2" xfId="0" applyFont="1" applyBorder="1"/>
    <xf numFmtId="0" fontId="13" fillId="0" borderId="3" xfId="0" applyFont="1" applyBorder="1"/>
    <xf numFmtId="43" fontId="13" fillId="0" borderId="3" xfId="1" applyFont="1" applyBorder="1"/>
    <xf numFmtId="43" fontId="13" fillId="0" borderId="3" xfId="0" applyNumberFormat="1" applyFont="1" applyBorder="1"/>
    <xf numFmtId="0" fontId="13" fillId="0" borderId="4" xfId="0" applyFont="1" applyBorder="1"/>
    <xf numFmtId="0" fontId="16" fillId="0" borderId="0" xfId="0" applyFont="1"/>
    <xf numFmtId="43" fontId="13" fillId="0" borderId="0" xfId="1" applyFont="1"/>
    <xf numFmtId="0" fontId="13" fillId="0" borderId="0" xfId="0" applyFont="1" applyAlignment="1">
      <alignment wrapText="1"/>
    </xf>
    <xf numFmtId="0" fontId="14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 vertical="center" textRotation="90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30" xfId="0" applyBorder="1"/>
    <xf numFmtId="0" fontId="0" fillId="0" borderId="0" xfId="0" applyBorder="1"/>
    <xf numFmtId="0" fontId="0" fillId="0" borderId="18" xfId="0" applyBorder="1"/>
    <xf numFmtId="0" fontId="0" fillId="0" borderId="20" xfId="0" applyBorder="1"/>
    <xf numFmtId="0" fontId="0" fillId="0" borderId="31" xfId="0" applyBorder="1"/>
    <xf numFmtId="0" fontId="0" fillId="0" borderId="19" xfId="0" applyBorder="1"/>
    <xf numFmtId="0" fontId="0" fillId="0" borderId="32" xfId="0" applyBorder="1"/>
    <xf numFmtId="0" fontId="0" fillId="0" borderId="34" xfId="0" applyBorder="1"/>
    <xf numFmtId="0" fontId="0" fillId="0" borderId="0" xfId="0" applyBorder="1" applyAlignment="1">
      <alignment horizontal="center" textRotation="90"/>
    </xf>
    <xf numFmtId="0" fontId="0" fillId="0" borderId="16" xfId="0" applyBorder="1"/>
    <xf numFmtId="0" fontId="0" fillId="2" borderId="14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0" fontId="17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17" fillId="0" borderId="0" xfId="0" applyFont="1"/>
    <xf numFmtId="0" fontId="0" fillId="0" borderId="0" xfId="0" applyBorder="1" applyAlignment="1">
      <alignment vertical="center" textRotation="90"/>
    </xf>
    <xf numFmtId="0" fontId="0" fillId="0" borderId="33" xfId="0" applyBorder="1"/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37" xfId="0" applyBorder="1"/>
    <xf numFmtId="0" fontId="0" fillId="0" borderId="38" xfId="0" applyBorder="1"/>
    <xf numFmtId="0" fontId="0" fillId="0" borderId="22" xfId="0" applyBorder="1" applyAlignment="1">
      <alignment vertical="center"/>
    </xf>
    <xf numFmtId="0" fontId="0" fillId="0" borderId="39" xfId="0" applyBorder="1"/>
    <xf numFmtId="0" fontId="0" fillId="0" borderId="0" xfId="0" applyBorder="1" applyAlignment="1">
      <alignment vertical="center"/>
    </xf>
    <xf numFmtId="0" fontId="0" fillId="0" borderId="18" xfId="0" applyBorder="1" applyAlignment="1">
      <alignment horizontal="left"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2" fontId="0" fillId="0" borderId="0" xfId="0" applyNumberFormat="1" applyAlignment="1">
      <alignment horizontal="center"/>
    </xf>
    <xf numFmtId="0" fontId="0" fillId="0" borderId="48" xfId="0" applyBorder="1"/>
    <xf numFmtId="0" fontId="20" fillId="0" borderId="0" xfId="0" applyFont="1"/>
    <xf numFmtId="0" fontId="20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center"/>
    </xf>
    <xf numFmtId="0" fontId="0" fillId="0" borderId="0" xfId="0"/>
    <xf numFmtId="0" fontId="15" fillId="2" borderId="1" xfId="0" applyFont="1" applyFill="1" applyBorder="1" applyAlignment="1">
      <alignment horizontal="right"/>
    </xf>
    <xf numFmtId="0" fontId="14" fillId="0" borderId="1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1" fillId="0" borderId="0" xfId="3"/>
    <xf numFmtId="43" fontId="16" fillId="0" borderId="8" xfId="0" applyNumberFormat="1" applyFont="1" applyBorder="1"/>
    <xf numFmtId="0" fontId="21" fillId="5" borderId="0" xfId="0" applyFont="1" applyFill="1"/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 textRotation="90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2" fillId="2" borderId="0" xfId="0" applyFont="1" applyFill="1"/>
    <xf numFmtId="2" fontId="22" fillId="0" borderId="0" xfId="0" applyNumberFormat="1" applyFont="1"/>
    <xf numFmtId="2" fontId="22" fillId="2" borderId="0" xfId="0" applyNumberFormat="1" applyFont="1" applyFill="1"/>
    <xf numFmtId="2" fontId="22" fillId="2" borderId="0" xfId="0" applyNumberFormat="1" applyFont="1" applyFill="1" applyAlignment="1">
      <alignment vertical="center" wrapText="1"/>
    </xf>
    <xf numFmtId="0" fontId="25" fillId="0" borderId="0" xfId="3" applyFont="1"/>
    <xf numFmtId="0" fontId="26" fillId="0" borderId="0" xfId="3" applyFont="1"/>
    <xf numFmtId="0" fontId="24" fillId="0" borderId="0" xfId="3" applyFont="1"/>
    <xf numFmtId="0" fontId="27" fillId="0" borderId="0" xfId="3" applyFont="1"/>
    <xf numFmtId="2" fontId="25" fillId="0" borderId="0" xfId="3" applyNumberFormat="1" applyFont="1"/>
    <xf numFmtId="2" fontId="24" fillId="0" borderId="0" xfId="3" applyNumberFormat="1" applyFont="1"/>
    <xf numFmtId="164" fontId="25" fillId="0" borderId="0" xfId="3" applyNumberFormat="1" applyFont="1"/>
    <xf numFmtId="0" fontId="28" fillId="0" borderId="0" xfId="3" applyFont="1"/>
    <xf numFmtId="43" fontId="25" fillId="0" borderId="0" xfId="3" applyNumberFormat="1" applyFont="1"/>
    <xf numFmtId="1" fontId="25" fillId="0" borderId="0" xfId="3" applyNumberFormat="1" applyFont="1"/>
    <xf numFmtId="1" fontId="28" fillId="0" borderId="0" xfId="3" applyNumberFormat="1" applyFont="1"/>
    <xf numFmtId="1" fontId="27" fillId="0" borderId="0" xfId="3" applyNumberFormat="1" applyFont="1" applyAlignment="1">
      <alignment horizontal="center"/>
    </xf>
    <xf numFmtId="1" fontId="25" fillId="0" borderId="0" xfId="3" applyNumberFormat="1" applyFont="1" applyAlignment="1">
      <alignment horizontal="center"/>
    </xf>
    <xf numFmtId="0" fontId="29" fillId="0" borderId="0" xfId="3" applyFont="1"/>
    <xf numFmtId="2" fontId="25" fillId="0" borderId="0" xfId="3" applyNumberFormat="1" applyFont="1" applyAlignment="1">
      <alignment horizontal="center"/>
    </xf>
    <xf numFmtId="0" fontId="25" fillId="0" borderId="0" xfId="3" applyFont="1" applyAlignment="1">
      <alignment horizontal="right"/>
    </xf>
    <xf numFmtId="0" fontId="25" fillId="0" borderId="0" xfId="3" applyFont="1" applyAlignment="1">
      <alignment horizontal="center"/>
    </xf>
    <xf numFmtId="0" fontId="25" fillId="0" borderId="0" xfId="3" quotePrefix="1" applyFont="1"/>
    <xf numFmtId="0" fontId="27" fillId="0" borderId="0" xfId="3" applyFont="1" applyAlignment="1">
      <alignment horizontal="center"/>
    </xf>
    <xf numFmtId="0" fontId="31" fillId="0" borderId="0" xfId="2" applyFont="1"/>
    <xf numFmtId="0" fontId="31" fillId="0" borderId="3" xfId="2" applyFont="1" applyBorder="1"/>
    <xf numFmtId="0" fontId="31" fillId="0" borderId="53" xfId="2" applyFont="1" applyBorder="1"/>
    <xf numFmtId="0" fontId="31" fillId="0" borderId="1" xfId="2" applyFont="1" applyBorder="1"/>
    <xf numFmtId="0" fontId="32" fillId="0" borderId="2" xfId="2" applyFont="1" applyBorder="1"/>
    <xf numFmtId="2" fontId="33" fillId="0" borderId="3" xfId="2" applyNumberFormat="1" applyFont="1" applyBorder="1"/>
    <xf numFmtId="0" fontId="31" fillId="0" borderId="4" xfId="2" applyFont="1" applyBorder="1"/>
    <xf numFmtId="2" fontId="31" fillId="0" borderId="4" xfId="2" applyNumberFormat="1" applyFont="1" applyBorder="1"/>
    <xf numFmtId="164" fontId="34" fillId="0" borderId="4" xfId="2" applyNumberFormat="1" applyFont="1" applyBorder="1"/>
    <xf numFmtId="0" fontId="32" fillId="0" borderId="5" xfId="2" applyFont="1" applyBorder="1"/>
    <xf numFmtId="0" fontId="35" fillId="0" borderId="1" xfId="2" applyFont="1" applyBorder="1"/>
    <xf numFmtId="167" fontId="31" fillId="0" borderId="1" xfId="2" applyNumberFormat="1" applyFont="1" applyBorder="1"/>
    <xf numFmtId="0" fontId="31" fillId="0" borderId="54" xfId="2" applyFont="1" applyBorder="1"/>
    <xf numFmtId="2" fontId="31" fillId="0" borderId="1" xfId="2" applyNumberFormat="1" applyFont="1" applyBorder="1"/>
    <xf numFmtId="2" fontId="33" fillId="0" borderId="1" xfId="2" applyNumberFormat="1" applyFont="1" applyBorder="1"/>
    <xf numFmtId="0" fontId="31" fillId="0" borderId="6" xfId="2" applyFont="1" applyBorder="1"/>
    <xf numFmtId="2" fontId="33" fillId="0" borderId="6" xfId="2" applyNumberFormat="1" applyFont="1" applyBorder="1"/>
    <xf numFmtId="2" fontId="34" fillId="0" borderId="6" xfId="2" applyNumberFormat="1" applyFont="1" applyBorder="1"/>
    <xf numFmtId="0" fontId="32" fillId="0" borderId="7" xfId="2" applyFont="1" applyBorder="1"/>
    <xf numFmtId="2" fontId="35" fillId="0" borderId="8" xfId="2" applyNumberFormat="1" applyFont="1" applyBorder="1"/>
    <xf numFmtId="0" fontId="31" fillId="0" borderId="8" xfId="2" applyFont="1" applyBorder="1"/>
    <xf numFmtId="0" fontId="31" fillId="0" borderId="55" xfId="2" applyFont="1" applyBorder="1"/>
    <xf numFmtId="0" fontId="33" fillId="0" borderId="1" xfId="2" applyFont="1" applyBorder="1"/>
    <xf numFmtId="2" fontId="31" fillId="0" borderId="6" xfId="2" applyNumberFormat="1" applyFont="1" applyBorder="1"/>
    <xf numFmtId="164" fontId="31" fillId="0" borderId="6" xfId="2" applyNumberFormat="1" applyFont="1" applyBorder="1"/>
    <xf numFmtId="0" fontId="32" fillId="0" borderId="0" xfId="2" applyFont="1"/>
    <xf numFmtId="164" fontId="31" fillId="0" borderId="0" xfId="2" applyNumberFormat="1" applyFont="1"/>
    <xf numFmtId="0" fontId="31" fillId="0" borderId="0" xfId="2" applyFont="1" applyAlignment="1">
      <alignment horizontal="center"/>
    </xf>
    <xf numFmtId="0" fontId="33" fillId="0" borderId="6" xfId="2" applyFont="1" applyBorder="1"/>
    <xf numFmtId="0" fontId="32" fillId="0" borderId="13" xfId="2" applyFont="1" applyBorder="1"/>
    <xf numFmtId="0" fontId="35" fillId="0" borderId="18" xfId="2" applyFont="1" applyBorder="1"/>
    <xf numFmtId="0" fontId="32" fillId="0" borderId="5" xfId="2" applyFont="1" applyBorder="1" applyAlignment="1">
      <alignment horizontal="left"/>
    </xf>
    <xf numFmtId="2" fontId="37" fillId="0" borderId="6" xfId="2" applyNumberFormat="1" applyFont="1" applyBorder="1"/>
    <xf numFmtId="2" fontId="31" fillId="0" borderId="0" xfId="2" applyNumberFormat="1" applyFont="1"/>
    <xf numFmtId="0" fontId="33" fillId="0" borderId="8" xfId="2" applyFont="1" applyBorder="1"/>
    <xf numFmtId="0" fontId="31" fillId="0" borderId="9" xfId="2" applyFont="1" applyBorder="1"/>
    <xf numFmtId="0" fontId="32" fillId="0" borderId="56" xfId="2" applyFont="1" applyBorder="1"/>
    <xf numFmtId="0" fontId="31" fillId="0" borderId="19" xfId="2" applyFont="1" applyBorder="1"/>
    <xf numFmtId="0" fontId="31" fillId="0" borderId="20" xfId="2" applyFont="1" applyBorder="1"/>
    <xf numFmtId="0" fontId="32" fillId="0" borderId="58" xfId="2" applyFont="1" applyBorder="1" applyAlignment="1">
      <alignment horizontal="center"/>
    </xf>
    <xf numFmtId="0" fontId="32" fillId="0" borderId="59" xfId="2" applyFont="1" applyBorder="1" applyAlignment="1">
      <alignment horizontal="center"/>
    </xf>
    <xf numFmtId="0" fontId="31" fillId="0" borderId="0" xfId="2" applyFont="1" applyAlignment="1">
      <alignment horizontal="left"/>
    </xf>
    <xf numFmtId="2" fontId="31" fillId="0" borderId="27" xfId="2" applyNumberFormat="1" applyFont="1" applyBorder="1"/>
    <xf numFmtId="2" fontId="31" fillId="0" borderId="62" xfId="2" applyNumberFormat="1" applyFont="1" applyBorder="1"/>
    <xf numFmtId="0" fontId="31" fillId="0" borderId="63" xfId="2" applyFont="1" applyBorder="1" applyAlignment="1">
      <alignment horizontal="left"/>
    </xf>
    <xf numFmtId="0" fontId="31" fillId="0" borderId="27" xfId="2" applyFont="1" applyBorder="1" applyAlignment="1">
      <alignment horizontal="left"/>
    </xf>
    <xf numFmtId="0" fontId="31" fillId="0" borderId="62" xfId="2" applyFont="1" applyBorder="1" applyAlignment="1">
      <alignment horizontal="left"/>
    </xf>
    <xf numFmtId="0" fontId="38" fillId="0" borderId="6" xfId="2" applyFont="1" applyBorder="1" applyAlignment="1">
      <alignment horizontal="left"/>
    </xf>
    <xf numFmtId="2" fontId="31" fillId="0" borderId="0" xfId="2" applyNumberFormat="1" applyFont="1" applyAlignment="1">
      <alignment horizontal="left"/>
    </xf>
    <xf numFmtId="2" fontId="31" fillId="0" borderId="0" xfId="2" applyNumberFormat="1" applyFont="1" applyAlignment="1">
      <alignment horizontal="center"/>
    </xf>
    <xf numFmtId="0" fontId="31" fillId="0" borderId="6" xfId="2" applyFont="1" applyBorder="1" applyAlignment="1">
      <alignment horizontal="left"/>
    </xf>
    <xf numFmtId="0" fontId="32" fillId="0" borderId="7" xfId="2" applyFont="1" applyBorder="1" applyAlignment="1">
      <alignment horizontal="left"/>
    </xf>
    <xf numFmtId="0" fontId="32" fillId="0" borderId="8" xfId="2" applyFont="1" applyBorder="1" applyAlignment="1">
      <alignment horizontal="left"/>
    </xf>
    <xf numFmtId="2" fontId="31" fillId="0" borderId="8" xfId="2" applyNumberFormat="1" applyFont="1" applyBorder="1"/>
    <xf numFmtId="2" fontId="31" fillId="0" borderId="9" xfId="2" applyNumberFormat="1" applyFont="1" applyBorder="1"/>
    <xf numFmtId="1" fontId="31" fillId="0" borderId="0" xfId="2" applyNumberFormat="1" applyFont="1"/>
    <xf numFmtId="2" fontId="31" fillId="0" borderId="4" xfId="2" applyNumberFormat="1" applyFont="1" applyBorder="1" applyAlignment="1">
      <alignment horizontal="right"/>
    </xf>
    <xf numFmtId="0" fontId="31" fillId="0" borderId="69" xfId="2" applyFont="1" applyBorder="1"/>
    <xf numFmtId="1" fontId="39" fillId="0" borderId="29" xfId="2" applyNumberFormat="1" applyFont="1" applyBorder="1"/>
    <xf numFmtId="0" fontId="31" fillId="0" borderId="29" xfId="2" applyFont="1" applyBorder="1" applyAlignment="1">
      <alignment horizontal="left"/>
    </xf>
    <xf numFmtId="2" fontId="40" fillId="0" borderId="70" xfId="2" applyNumberFormat="1" applyFont="1" applyBorder="1"/>
    <xf numFmtId="2" fontId="31" fillId="0" borderId="6" xfId="2" applyNumberFormat="1" applyFont="1" applyBorder="1" applyAlignment="1">
      <alignment horizontal="left"/>
    </xf>
    <xf numFmtId="1" fontId="34" fillId="0" borderId="4" xfId="2" applyNumberFormat="1" applyFont="1" applyBorder="1" applyAlignment="1">
      <alignment vertical="center"/>
    </xf>
    <xf numFmtId="1" fontId="43" fillId="0" borderId="9" xfId="2" applyNumberFormat="1" applyFont="1" applyBorder="1" applyAlignment="1">
      <alignment horizontal="center" vertical="center"/>
    </xf>
    <xf numFmtId="0" fontId="35" fillId="0" borderId="27" xfId="2" applyFont="1" applyBorder="1"/>
    <xf numFmtId="0" fontId="31" fillId="0" borderId="27" xfId="2" applyFont="1" applyBorder="1"/>
    <xf numFmtId="0" fontId="35" fillId="0" borderId="62" xfId="2" applyFont="1" applyBorder="1"/>
    <xf numFmtId="0" fontId="31" fillId="0" borderId="5" xfId="2" applyFont="1" applyBorder="1" applyAlignment="1">
      <alignment horizontal="left"/>
    </xf>
    <xf numFmtId="1" fontId="45" fillId="0" borderId="1" xfId="2" applyNumberFormat="1" applyFont="1" applyBorder="1"/>
    <xf numFmtId="0" fontId="31" fillId="0" borderId="1" xfId="2" applyFont="1" applyBorder="1" applyAlignment="1">
      <alignment horizontal="left"/>
    </xf>
    <xf numFmtId="2" fontId="46" fillId="0" borderId="6" xfId="2" applyNumberFormat="1" applyFont="1" applyBorder="1"/>
    <xf numFmtId="0" fontId="31" fillId="0" borderId="7" xfId="2" applyFont="1" applyBorder="1"/>
    <xf numFmtId="166" fontId="31" fillId="0" borderId="9" xfId="2" applyNumberFormat="1" applyFont="1" applyBorder="1"/>
    <xf numFmtId="2" fontId="31" fillId="0" borderId="0" xfId="2" applyNumberFormat="1" applyFont="1" applyAlignment="1">
      <alignment horizontal="right"/>
    </xf>
    <xf numFmtId="0" fontId="30" fillId="6" borderId="21" xfId="2" applyFont="1" applyFill="1" applyBorder="1" applyAlignment="1">
      <alignment horizontal="center" vertical="center"/>
    </xf>
    <xf numFmtId="0" fontId="30" fillId="6" borderId="22" xfId="2" applyFont="1" applyFill="1" applyBorder="1" applyAlignment="1">
      <alignment horizontal="center" vertical="center"/>
    </xf>
    <xf numFmtId="0" fontId="30" fillId="6" borderId="23" xfId="2" applyFont="1" applyFill="1" applyBorder="1" applyAlignment="1">
      <alignment horizontal="center" vertical="center"/>
    </xf>
    <xf numFmtId="0" fontId="47" fillId="0" borderId="74" xfId="2" applyFont="1" applyBorder="1" applyAlignment="1">
      <alignment wrapText="1"/>
    </xf>
    <xf numFmtId="168" fontId="31" fillId="0" borderId="74" xfId="2" applyNumberFormat="1" applyFont="1" applyBorder="1" applyAlignment="1">
      <alignment vertical="center"/>
    </xf>
    <xf numFmtId="0" fontId="32" fillId="0" borderId="68" xfId="2" applyFont="1" applyBorder="1" applyAlignment="1">
      <alignment horizontal="left" vertical="center" wrapText="1"/>
    </xf>
    <xf numFmtId="1" fontId="34" fillId="0" borderId="4" xfId="2" applyNumberFormat="1" applyFont="1" applyBorder="1"/>
    <xf numFmtId="0" fontId="32" fillId="0" borderId="10" xfId="2" applyFont="1" applyBorder="1"/>
    <xf numFmtId="1" fontId="31" fillId="0" borderId="11" xfId="2" applyNumberFormat="1" applyFont="1" applyBorder="1"/>
    <xf numFmtId="0" fontId="31" fillId="0" borderId="12" xfId="2" applyFont="1" applyBorder="1"/>
    <xf numFmtId="0" fontId="32" fillId="0" borderId="75" xfId="2" applyFont="1" applyBorder="1" applyAlignment="1">
      <alignment horizontal="left" wrapText="1"/>
    </xf>
    <xf numFmtId="0" fontId="35" fillId="0" borderId="75" xfId="2" applyFont="1" applyBorder="1" applyAlignment="1">
      <alignment horizontal="center" vertical="center"/>
    </xf>
    <xf numFmtId="0" fontId="31" fillId="0" borderId="52" xfId="2" applyFont="1" applyBorder="1" applyAlignment="1">
      <alignment horizontal="center" vertical="center"/>
    </xf>
    <xf numFmtId="0" fontId="35" fillId="0" borderId="70" xfId="2" applyFont="1" applyBorder="1" applyAlignment="1">
      <alignment horizontal="center" vertical="center"/>
    </xf>
    <xf numFmtId="1" fontId="34" fillId="0" borderId="76" xfId="2" applyNumberFormat="1" applyFont="1" applyBorder="1" applyAlignment="1">
      <alignment vertical="center"/>
    </xf>
    <xf numFmtId="1" fontId="34" fillId="0" borderId="0" xfId="2" applyNumberFormat="1" applyFont="1"/>
    <xf numFmtId="0" fontId="47" fillId="0" borderId="74" xfId="2" applyFont="1" applyBorder="1" applyAlignment="1">
      <alignment horizontal="left" vertical="center" wrapText="1"/>
    </xf>
    <xf numFmtId="2" fontId="31" fillId="0" borderId="74" xfId="2" applyNumberFormat="1" applyFont="1" applyBorder="1" applyAlignment="1">
      <alignment vertical="center"/>
    </xf>
    <xf numFmtId="0" fontId="32" fillId="0" borderId="77" xfId="2" applyFont="1" applyBorder="1" applyAlignment="1">
      <alignment horizontal="left" vertical="center" wrapText="1"/>
    </xf>
    <xf numFmtId="1" fontId="34" fillId="0" borderId="78" xfId="2" applyNumberFormat="1" applyFont="1" applyBorder="1" applyAlignment="1">
      <alignment vertical="center"/>
    </xf>
    <xf numFmtId="0" fontId="32" fillId="0" borderId="2" xfId="2" applyFont="1" applyBorder="1" applyAlignment="1">
      <alignment horizontal="left" vertical="center" wrapText="1"/>
    </xf>
    <xf numFmtId="0" fontId="31" fillId="0" borderId="69" xfId="2" applyFont="1" applyBorder="1" applyAlignment="1">
      <alignment horizontal="center" vertical="center"/>
    </xf>
    <xf numFmtId="0" fontId="32" fillId="0" borderId="79" xfId="2" applyFont="1" applyBorder="1" applyAlignment="1">
      <alignment horizontal="left" vertical="center" wrapText="1"/>
    </xf>
    <xf numFmtId="0" fontId="32" fillId="0" borderId="74" xfId="2" applyFont="1" applyBorder="1" applyAlignment="1">
      <alignment horizontal="left" vertical="center" wrapText="1"/>
    </xf>
    <xf numFmtId="1" fontId="31" fillId="0" borderId="2" xfId="2" applyNumberFormat="1" applyFont="1" applyBorder="1" applyAlignment="1">
      <alignment vertical="center"/>
    </xf>
    <xf numFmtId="0" fontId="32" fillId="0" borderId="74" xfId="2" applyFont="1" applyBorder="1" applyAlignment="1">
      <alignment horizontal="center" vertical="center" wrapText="1"/>
    </xf>
    <xf numFmtId="1" fontId="31" fillId="0" borderId="2" xfId="2" applyNumberFormat="1" applyFont="1" applyBorder="1" applyAlignment="1">
      <alignment horizontal="center"/>
    </xf>
    <xf numFmtId="0" fontId="32" fillId="0" borderId="75" xfId="2" applyFont="1" applyBorder="1" applyAlignment="1">
      <alignment horizontal="left"/>
    </xf>
    <xf numFmtId="1" fontId="31" fillId="0" borderId="5" xfId="2" applyNumberFormat="1" applyFont="1" applyBorder="1" applyAlignment="1">
      <alignment vertical="center"/>
    </xf>
    <xf numFmtId="0" fontId="32" fillId="0" borderId="75" xfId="2" applyFont="1" applyBorder="1"/>
    <xf numFmtId="1" fontId="31" fillId="0" borderId="5" xfId="2" applyNumberFormat="1" applyFont="1" applyBorder="1" applyAlignment="1">
      <alignment horizontal="center"/>
    </xf>
    <xf numFmtId="2" fontId="32" fillId="0" borderId="75" xfId="2" applyNumberFormat="1" applyFont="1" applyBorder="1"/>
    <xf numFmtId="164" fontId="31" fillId="0" borderId="5" xfId="2" applyNumberFormat="1" applyFont="1" applyBorder="1" applyAlignment="1">
      <alignment vertical="center"/>
    </xf>
    <xf numFmtId="1" fontId="34" fillId="0" borderId="5" xfId="2" applyNumberFormat="1" applyFont="1" applyBorder="1" applyAlignment="1">
      <alignment vertical="center"/>
    </xf>
    <xf numFmtId="1" fontId="34" fillId="0" borderId="5" xfId="2" applyNumberFormat="1" applyFont="1" applyBorder="1" applyAlignment="1">
      <alignment horizontal="center"/>
    </xf>
    <xf numFmtId="0" fontId="32" fillId="0" borderId="76" xfId="2" applyFont="1" applyBorder="1" applyAlignment="1">
      <alignment horizontal="left" wrapText="1"/>
    </xf>
    <xf numFmtId="0" fontId="35" fillId="0" borderId="7" xfId="2" applyFont="1" applyBorder="1" applyAlignment="1">
      <alignment vertical="center"/>
    </xf>
    <xf numFmtId="0" fontId="31" fillId="0" borderId="9" xfId="2" applyFont="1" applyBorder="1" applyAlignment="1">
      <alignment horizontal="center" vertical="center"/>
    </xf>
    <xf numFmtId="0" fontId="35" fillId="0" borderId="78" xfId="2" applyFont="1" applyBorder="1" applyAlignment="1">
      <alignment vertical="center"/>
    </xf>
    <xf numFmtId="0" fontId="31" fillId="0" borderId="70" xfId="2" applyFont="1" applyBorder="1"/>
    <xf numFmtId="0" fontId="32" fillId="0" borderId="34" xfId="2" applyFont="1" applyBorder="1" applyAlignment="1">
      <alignment horizontal="left" wrapText="1"/>
    </xf>
    <xf numFmtId="1" fontId="34" fillId="0" borderId="7" xfId="2" applyNumberFormat="1" applyFont="1" applyBorder="1" applyAlignment="1">
      <alignment vertical="center"/>
    </xf>
    <xf numFmtId="1" fontId="49" fillId="0" borderId="19" xfId="2" applyNumberFormat="1" applyFont="1" applyBorder="1" applyAlignment="1">
      <alignment horizontal="center" vertical="center"/>
    </xf>
    <xf numFmtId="0" fontId="50" fillId="0" borderId="0" xfId="2" applyFont="1"/>
    <xf numFmtId="0" fontId="32" fillId="0" borderId="0" xfId="2" applyFont="1" applyAlignment="1">
      <alignment horizontal="left" wrapText="1"/>
    </xf>
    <xf numFmtId="1" fontId="45" fillId="0" borderId="0" xfId="2" applyNumberFormat="1" applyFont="1"/>
    <xf numFmtId="1" fontId="34" fillId="0" borderId="0" xfId="2" applyNumberFormat="1" applyFont="1" applyAlignment="1">
      <alignment horizontal="center" vertical="center"/>
    </xf>
    <xf numFmtId="0" fontId="13" fillId="0" borderId="0" xfId="0" applyFont="1" applyBorder="1"/>
    <xf numFmtId="43" fontId="13" fillId="0" borderId="0" xfId="0" applyNumberFormat="1" applyFont="1" applyBorder="1"/>
    <xf numFmtId="43" fontId="16" fillId="0" borderId="0" xfId="0" applyNumberFormat="1" applyFont="1" applyBorder="1"/>
    <xf numFmtId="0" fontId="16" fillId="0" borderId="0" xfId="0" applyFont="1" applyBorder="1"/>
    <xf numFmtId="0" fontId="51" fillId="7" borderId="0" xfId="0" applyFont="1" applyFill="1" applyBorder="1" applyAlignment="1">
      <alignment horizontal="center" vertical="center" wrapText="1"/>
    </xf>
    <xf numFmtId="0" fontId="52" fillId="7" borderId="0" xfId="0" applyFont="1" applyFill="1" applyBorder="1" applyAlignment="1">
      <alignment horizontal="center" vertical="center" wrapText="1"/>
    </xf>
    <xf numFmtId="0" fontId="53" fillId="7" borderId="0" xfId="0" applyFont="1" applyFill="1" applyBorder="1" applyAlignment="1">
      <alignment vertical="center" wrapText="1"/>
    </xf>
    <xf numFmtId="0" fontId="53" fillId="7" borderId="0" xfId="0" applyFont="1" applyFill="1" applyBorder="1" applyAlignment="1">
      <alignment horizontal="right" vertical="center" wrapText="1"/>
    </xf>
    <xf numFmtId="49" fontId="17" fillId="4" borderId="50" xfId="10" applyNumberFormat="1" applyFont="1" applyFill="1" applyBorder="1" applyAlignment="1">
      <alignment horizontal="center"/>
    </xf>
    <xf numFmtId="49" fontId="3" fillId="4" borderId="49" xfId="10" applyNumberFormat="1" applyFill="1" applyBorder="1" applyAlignment="1">
      <alignment horizontal="center"/>
    </xf>
    <xf numFmtId="0" fontId="17" fillId="4" borderId="50" xfId="10" applyFont="1" applyFill="1" applyBorder="1" applyAlignment="1">
      <alignment horizontal="center"/>
    </xf>
    <xf numFmtId="0" fontId="3" fillId="4" borderId="49" xfId="10" applyFill="1" applyBorder="1" applyAlignment="1">
      <alignment horizontal="center"/>
    </xf>
    <xf numFmtId="0" fontId="0" fillId="0" borderId="0" xfId="0" applyAlignment="1">
      <alignment vertical="center"/>
    </xf>
    <xf numFmtId="49" fontId="17" fillId="3" borderId="0" xfId="10" applyNumberFormat="1" applyFont="1" applyFill="1" applyAlignment="1"/>
    <xf numFmtId="49" fontId="3" fillId="3" borderId="0" xfId="10" applyNumberFormat="1" applyFill="1" applyAlignment="1"/>
    <xf numFmtId="0" fontId="0" fillId="0" borderId="0" xfId="0" applyAlignment="1"/>
    <xf numFmtId="0" fontId="0" fillId="0" borderId="1" xfId="0" applyBorder="1" applyAlignment="1"/>
    <xf numFmtId="0" fontId="15" fillId="2" borderId="1" xfId="0" applyFont="1" applyFill="1" applyBorder="1" applyAlignment="1"/>
    <xf numFmtId="0" fontId="14" fillId="2" borderId="1" xfId="0" applyFont="1" applyFill="1" applyBorder="1" applyAlignment="1"/>
    <xf numFmtId="0" fontId="14" fillId="0" borderId="0" xfId="0" applyFont="1" applyAlignment="1"/>
    <xf numFmtId="49" fontId="1" fillId="0" borderId="0" xfId="12" applyNumberFormat="1" applyAlignment="1"/>
    <xf numFmtId="2" fontId="14" fillId="0" borderId="1" xfId="0" applyNumberFormat="1" applyFont="1" applyBorder="1" applyAlignment="1"/>
    <xf numFmtId="0" fontId="14" fillId="0" borderId="1" xfId="0" applyFont="1" applyBorder="1" applyAlignment="1"/>
    <xf numFmtId="0" fontId="0" fillId="0" borderId="14" xfId="0" applyBorder="1" applyAlignment="1"/>
    <xf numFmtId="0" fontId="0" fillId="0" borderId="14" xfId="0" applyFill="1" applyBorder="1" applyAlignment="1"/>
    <xf numFmtId="0" fontId="14" fillId="0" borderId="27" xfId="0" applyFont="1" applyBorder="1" applyAlignment="1"/>
    <xf numFmtId="0" fontId="13" fillId="7" borderId="0" xfId="0" applyFont="1" applyFill="1" applyBorder="1"/>
    <xf numFmtId="0" fontId="13" fillId="7" borderId="0" xfId="0" applyFont="1" applyFill="1" applyBorder="1" applyAlignment="1">
      <alignment vertical="center"/>
    </xf>
    <xf numFmtId="43" fontId="13" fillId="7" borderId="0" xfId="1" applyFont="1" applyFill="1" applyBorder="1"/>
    <xf numFmtId="43" fontId="13" fillId="7" borderId="0" xfId="0" applyNumberFormat="1" applyFont="1" applyFill="1" applyBorder="1"/>
    <xf numFmtId="43" fontId="16" fillId="7" borderId="0" xfId="0" applyNumberFormat="1" applyFont="1" applyFill="1" applyBorder="1"/>
    <xf numFmtId="0" fontId="16" fillId="7" borderId="0" xfId="0" applyFont="1" applyFill="1" applyBorder="1"/>
    <xf numFmtId="164" fontId="13" fillId="7" borderId="0" xfId="0" applyNumberFormat="1" applyFont="1" applyFill="1" applyBorder="1"/>
    <xf numFmtId="164" fontId="13" fillId="0" borderId="0" xfId="0" applyNumberFormat="1" applyFont="1"/>
    <xf numFmtId="164" fontId="13" fillId="2" borderId="0" xfId="0" applyNumberFormat="1" applyFont="1" applyFill="1"/>
    <xf numFmtId="164" fontId="13" fillId="7" borderId="0" xfId="0" applyNumberFormat="1" applyFont="1" applyFill="1" applyBorder="1" applyAlignment="1">
      <alignment vertical="center"/>
    </xf>
    <xf numFmtId="169" fontId="25" fillId="0" borderId="0" xfId="1" applyNumberFormat="1" applyFont="1"/>
    <xf numFmtId="0" fontId="13" fillId="0" borderId="11" xfId="0" applyFont="1" applyBorder="1" applyAlignment="1">
      <alignment horizontal="center"/>
    </xf>
    <xf numFmtId="0" fontId="51" fillId="7" borderId="0" xfId="0" applyFont="1" applyFill="1" applyBorder="1" applyAlignment="1">
      <alignment horizontal="center" vertical="center" wrapText="1"/>
    </xf>
    <xf numFmtId="0" fontId="25" fillId="0" borderId="0" xfId="3" applyFont="1" applyAlignment="1">
      <alignment horizontal="right"/>
    </xf>
    <xf numFmtId="0" fontId="23" fillId="0" borderId="0" xfId="3" applyFont="1" applyAlignment="1">
      <alignment horizontal="center"/>
    </xf>
    <xf numFmtId="0" fontId="25" fillId="0" borderId="0" xfId="3" applyFont="1" applyAlignment="1">
      <alignment horizontal="center"/>
    </xf>
    <xf numFmtId="0" fontId="24" fillId="0" borderId="0" xfId="3" applyFont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 vertical="center" textRotation="90"/>
    </xf>
    <xf numFmtId="0" fontId="0" fillId="0" borderId="0" xfId="0" applyBorder="1" applyAlignment="1">
      <alignment horizontal="center" vertical="center" textRotation="90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left"/>
    </xf>
    <xf numFmtId="0" fontId="31" fillId="0" borderId="32" xfId="2" applyFont="1" applyBorder="1" applyAlignment="1">
      <alignment horizontal="center"/>
    </xf>
    <xf numFmtId="0" fontId="31" fillId="0" borderId="33" xfId="2" applyFont="1" applyBorder="1" applyAlignment="1">
      <alignment horizontal="center"/>
    </xf>
    <xf numFmtId="0" fontId="31" fillId="0" borderId="34" xfId="2" applyFont="1" applyBorder="1" applyAlignment="1">
      <alignment horizontal="center"/>
    </xf>
    <xf numFmtId="1" fontId="48" fillId="0" borderId="24" xfId="2" applyNumberFormat="1" applyFont="1" applyBorder="1" applyAlignment="1">
      <alignment horizontal="center" vertical="center" wrapText="1"/>
    </xf>
    <xf numFmtId="1" fontId="48" fillId="0" borderId="25" xfId="2" applyNumberFormat="1" applyFont="1" applyBorder="1" applyAlignment="1">
      <alignment horizontal="center" vertical="center" wrapText="1"/>
    </xf>
    <xf numFmtId="1" fontId="48" fillId="0" borderId="26" xfId="2" applyNumberFormat="1" applyFont="1" applyBorder="1" applyAlignment="1">
      <alignment horizontal="center" vertical="center" wrapText="1"/>
    </xf>
    <xf numFmtId="1" fontId="48" fillId="0" borderId="21" xfId="2" applyNumberFormat="1" applyFont="1" applyBorder="1" applyAlignment="1">
      <alignment horizontal="center" vertical="center" wrapText="1"/>
    </xf>
    <xf numFmtId="1" fontId="48" fillId="0" borderId="22" xfId="2" applyNumberFormat="1" applyFont="1" applyBorder="1" applyAlignment="1">
      <alignment horizontal="center" vertical="center" wrapText="1"/>
    </xf>
    <xf numFmtId="1" fontId="48" fillId="0" borderId="23" xfId="2" applyNumberFormat="1" applyFont="1" applyBorder="1" applyAlignment="1">
      <alignment horizontal="center" vertical="center" wrapText="1"/>
    </xf>
    <xf numFmtId="1" fontId="48" fillId="0" borderId="30" xfId="2" applyNumberFormat="1" applyFont="1" applyBorder="1" applyAlignment="1">
      <alignment horizontal="center" vertical="center" wrapText="1"/>
    </xf>
    <xf numFmtId="1" fontId="48" fillId="0" borderId="0" xfId="2" applyNumberFormat="1" applyFont="1" applyAlignment="1">
      <alignment horizontal="center" vertical="center" wrapText="1"/>
    </xf>
    <xf numFmtId="1" fontId="48" fillId="0" borderId="18" xfId="2" applyNumberFormat="1" applyFont="1" applyBorder="1" applyAlignment="1">
      <alignment horizontal="center" vertical="center" wrapText="1"/>
    </xf>
    <xf numFmtId="1" fontId="48" fillId="0" borderId="20" xfId="2" applyNumberFormat="1" applyFont="1" applyBorder="1" applyAlignment="1">
      <alignment horizontal="center" vertical="center" wrapText="1"/>
    </xf>
    <xf numFmtId="1" fontId="48" fillId="0" borderId="31" xfId="2" applyNumberFormat="1" applyFont="1" applyBorder="1" applyAlignment="1">
      <alignment horizontal="center" vertical="center" wrapText="1"/>
    </xf>
    <xf numFmtId="1" fontId="48" fillId="0" borderId="19" xfId="2" applyNumberFormat="1" applyFont="1" applyBorder="1" applyAlignment="1">
      <alignment horizontal="center" vertical="center" wrapText="1"/>
    </xf>
    <xf numFmtId="1" fontId="49" fillId="0" borderId="77" xfId="2" applyNumberFormat="1" applyFont="1" applyBorder="1" applyAlignment="1">
      <alignment horizontal="center" vertical="center"/>
    </xf>
    <xf numFmtId="1" fontId="49" fillId="0" borderId="12" xfId="2" applyNumberFormat="1" applyFont="1" applyBorder="1" applyAlignment="1">
      <alignment horizontal="center" vertical="center"/>
    </xf>
    <xf numFmtId="1" fontId="49" fillId="0" borderId="80" xfId="2" applyNumberFormat="1" applyFont="1" applyBorder="1" applyAlignment="1">
      <alignment horizontal="center" vertical="center"/>
    </xf>
    <xf numFmtId="1" fontId="49" fillId="0" borderId="59" xfId="2" applyNumberFormat="1" applyFont="1" applyBorder="1" applyAlignment="1">
      <alignment horizontal="center" vertical="center"/>
    </xf>
    <xf numFmtId="0" fontId="30" fillId="6" borderId="56" xfId="2" applyFont="1" applyFill="1" applyBorder="1" applyAlignment="1">
      <alignment horizontal="center" vertical="center"/>
    </xf>
    <xf numFmtId="0" fontId="30" fillId="6" borderId="81" xfId="2" applyFont="1" applyFill="1" applyBorder="1" applyAlignment="1">
      <alignment horizontal="center" vertical="center"/>
    </xf>
    <xf numFmtId="0" fontId="30" fillId="6" borderId="82" xfId="2" applyFont="1" applyFill="1" applyBorder="1" applyAlignment="1">
      <alignment horizontal="center" vertical="center"/>
    </xf>
    <xf numFmtId="0" fontId="32" fillId="0" borderId="21" xfId="2" applyFont="1" applyBorder="1" applyAlignment="1">
      <alignment horizontal="center"/>
    </xf>
    <xf numFmtId="0" fontId="32" fillId="0" borderId="22" xfId="2" applyFont="1" applyBorder="1" applyAlignment="1">
      <alignment horizontal="center"/>
    </xf>
    <xf numFmtId="0" fontId="32" fillId="0" borderId="23" xfId="2" applyFont="1" applyBorder="1" applyAlignment="1">
      <alignment horizontal="center"/>
    </xf>
    <xf numFmtId="1" fontId="44" fillId="0" borderId="71" xfId="2" applyNumberFormat="1" applyFont="1" applyBorder="1" applyAlignment="1">
      <alignment horizontal="center" vertical="center"/>
    </xf>
    <xf numFmtId="1" fontId="44" fillId="0" borderId="17" xfId="2" applyNumberFormat="1" applyFont="1" applyBorder="1" applyAlignment="1">
      <alignment horizontal="center" vertical="center"/>
    </xf>
    <xf numFmtId="1" fontId="44" fillId="0" borderId="72" xfId="2" applyNumberFormat="1" applyFont="1" applyBorder="1" applyAlignment="1">
      <alignment horizontal="center" vertical="center"/>
    </xf>
    <xf numFmtId="1" fontId="44" fillId="0" borderId="30" xfId="2" applyNumberFormat="1" applyFont="1" applyBorder="1" applyAlignment="1">
      <alignment horizontal="center" vertical="center"/>
    </xf>
    <xf numFmtId="1" fontId="44" fillId="0" borderId="0" xfId="2" applyNumberFormat="1" applyFont="1" applyAlignment="1">
      <alignment horizontal="center" vertical="center"/>
    </xf>
    <xf numFmtId="1" fontId="44" fillId="0" borderId="18" xfId="2" applyNumberFormat="1" applyFont="1" applyBorder="1" applyAlignment="1">
      <alignment horizontal="center" vertical="center"/>
    </xf>
    <xf numFmtId="1" fontId="44" fillId="0" borderId="60" xfId="2" applyNumberFormat="1" applyFont="1" applyBorder="1" applyAlignment="1">
      <alignment horizontal="center" vertical="center"/>
    </xf>
    <xf numFmtId="1" fontId="44" fillId="0" borderId="16" xfId="2" applyNumberFormat="1" applyFont="1" applyBorder="1" applyAlignment="1">
      <alignment horizontal="center" vertical="center"/>
    </xf>
    <xf numFmtId="1" fontId="44" fillId="0" borderId="73" xfId="2" applyNumberFormat="1" applyFont="1" applyBorder="1" applyAlignment="1">
      <alignment horizontal="center" vertical="center"/>
    </xf>
    <xf numFmtId="0" fontId="31" fillId="0" borderId="64" xfId="2" applyFont="1" applyBorder="1" applyAlignment="1">
      <alignment horizontal="center"/>
    </xf>
    <xf numFmtId="0" fontId="31" fillId="0" borderId="28" xfId="2" applyFont="1" applyBorder="1" applyAlignment="1">
      <alignment horizontal="center"/>
    </xf>
    <xf numFmtId="0" fontId="31" fillId="0" borderId="65" xfId="2" applyFont="1" applyBorder="1" applyAlignment="1">
      <alignment horizontal="center"/>
    </xf>
    <xf numFmtId="1" fontId="44" fillId="0" borderId="71" xfId="2" applyNumberFormat="1" applyFont="1" applyBorder="1" applyAlignment="1">
      <alignment horizontal="center"/>
    </xf>
    <xf numFmtId="1" fontId="44" fillId="0" borderId="17" xfId="2" applyNumberFormat="1" applyFont="1" applyBorder="1" applyAlignment="1">
      <alignment horizontal="center"/>
    </xf>
    <xf numFmtId="1" fontId="44" fillId="0" borderId="72" xfId="2" applyNumberFormat="1" applyFont="1" applyBorder="1" applyAlignment="1">
      <alignment horizontal="center"/>
    </xf>
    <xf numFmtId="1" fontId="44" fillId="0" borderId="20" xfId="2" applyNumberFormat="1" applyFont="1" applyBorder="1" applyAlignment="1">
      <alignment horizontal="center"/>
    </xf>
    <xf numFmtId="1" fontId="44" fillId="0" borderId="31" xfId="2" applyNumberFormat="1" applyFont="1" applyBorder="1" applyAlignment="1">
      <alignment horizontal="center"/>
    </xf>
    <xf numFmtId="1" fontId="44" fillId="0" borderId="19" xfId="2" applyNumberFormat="1" applyFont="1" applyBorder="1" applyAlignment="1">
      <alignment horizontal="center"/>
    </xf>
    <xf numFmtId="0" fontId="30" fillId="6" borderId="24" xfId="2" applyFont="1" applyFill="1" applyBorder="1" applyAlignment="1">
      <alignment horizontal="center" vertical="center"/>
    </xf>
    <xf numFmtId="0" fontId="30" fillId="6" borderId="25" xfId="2" applyFont="1" applyFill="1" applyBorder="1" applyAlignment="1">
      <alignment horizontal="center" vertical="center"/>
    </xf>
    <xf numFmtId="0" fontId="30" fillId="6" borderId="26" xfId="2" applyFont="1" applyFill="1" applyBorder="1" applyAlignment="1">
      <alignment horizontal="center" vertical="center"/>
    </xf>
    <xf numFmtId="1" fontId="49" fillId="0" borderId="57" xfId="2" applyNumberFormat="1" applyFont="1" applyBorder="1" applyAlignment="1">
      <alignment horizontal="center" vertical="center"/>
    </xf>
    <xf numFmtId="0" fontId="31" fillId="0" borderId="5" xfId="2" applyFont="1" applyBorder="1" applyAlignment="1">
      <alignment horizontal="left"/>
    </xf>
    <xf numFmtId="0" fontId="31" fillId="0" borderId="1" xfId="2" applyFont="1" applyBorder="1" applyAlignment="1">
      <alignment horizontal="left"/>
    </xf>
    <xf numFmtId="0" fontId="31" fillId="0" borderId="66" xfId="2" applyFont="1" applyBorder="1" applyAlignment="1">
      <alignment horizontal="center" wrapText="1"/>
    </xf>
    <xf numFmtId="0" fontId="31" fillId="0" borderId="67" xfId="2" applyFont="1" applyBorder="1" applyAlignment="1">
      <alignment horizontal="center" wrapText="1"/>
    </xf>
    <xf numFmtId="0" fontId="31" fillId="0" borderId="68" xfId="2" applyFont="1" applyBorder="1" applyAlignment="1">
      <alignment horizontal="center" wrapText="1"/>
    </xf>
    <xf numFmtId="1" fontId="34" fillId="0" borderId="2" xfId="2" applyNumberFormat="1" applyFont="1" applyBorder="1" applyAlignment="1">
      <alignment horizontal="center" vertical="center" wrapText="1"/>
    </xf>
    <xf numFmtId="1" fontId="34" fillId="0" borderId="3" xfId="2" applyNumberFormat="1" applyFont="1" applyBorder="1" applyAlignment="1">
      <alignment horizontal="center" vertical="center" wrapText="1"/>
    </xf>
    <xf numFmtId="1" fontId="34" fillId="0" borderId="7" xfId="2" applyNumberFormat="1" applyFont="1" applyBorder="1" applyAlignment="1">
      <alignment horizontal="center" vertical="center" wrapText="1"/>
    </xf>
    <xf numFmtId="1" fontId="34" fillId="0" borderId="8" xfId="2" applyNumberFormat="1" applyFont="1" applyBorder="1" applyAlignment="1">
      <alignment horizontal="center" vertical="center" wrapText="1"/>
    </xf>
    <xf numFmtId="1" fontId="41" fillId="0" borderId="3" xfId="2" applyNumberFormat="1" applyFont="1" applyBorder="1" applyAlignment="1">
      <alignment horizontal="center" vertical="center" wrapText="1"/>
    </xf>
    <xf numFmtId="1" fontId="41" fillId="0" borderId="8" xfId="2" applyNumberFormat="1" applyFont="1" applyBorder="1" applyAlignment="1">
      <alignment horizontal="center" vertical="center" wrapText="1"/>
    </xf>
    <xf numFmtId="0" fontId="42" fillId="0" borderId="65" xfId="2" applyFont="1" applyBorder="1" applyAlignment="1">
      <alignment horizontal="left"/>
    </xf>
    <xf numFmtId="0" fontId="42" fillId="0" borderId="1" xfId="2" applyFont="1" applyBorder="1" applyAlignment="1">
      <alignment horizontal="left"/>
    </xf>
    <xf numFmtId="0" fontId="31" fillId="0" borderId="28" xfId="2" applyFont="1" applyBorder="1" applyAlignment="1">
      <alignment horizontal="left"/>
    </xf>
    <xf numFmtId="0" fontId="31" fillId="0" borderId="65" xfId="2" applyFont="1" applyBorder="1" applyAlignment="1">
      <alignment horizontal="left"/>
    </xf>
    <xf numFmtId="0" fontId="32" fillId="0" borderId="64" xfId="2" applyFont="1" applyBorder="1" applyAlignment="1">
      <alignment horizontal="left"/>
    </xf>
    <xf numFmtId="0" fontId="32" fillId="0" borderId="28" xfId="2" applyFont="1" applyBorder="1" applyAlignment="1">
      <alignment horizontal="left"/>
    </xf>
    <xf numFmtId="0" fontId="31" fillId="0" borderId="64" xfId="2" applyFont="1" applyBorder="1" applyAlignment="1">
      <alignment horizontal="left"/>
    </xf>
    <xf numFmtId="0" fontId="32" fillId="0" borderId="65" xfId="2" applyFont="1" applyBorder="1" applyAlignment="1">
      <alignment horizontal="left"/>
    </xf>
    <xf numFmtId="0" fontId="32" fillId="0" borderId="60" xfId="2" applyFont="1" applyBorder="1" applyAlignment="1">
      <alignment horizontal="left"/>
    </xf>
    <xf numFmtId="0" fontId="32" fillId="0" borderId="61" xfId="2" applyFont="1" applyBorder="1" applyAlignment="1">
      <alignment horizontal="left"/>
    </xf>
    <xf numFmtId="0" fontId="30" fillId="6" borderId="51" xfId="2" applyFont="1" applyFill="1" applyBorder="1" applyAlignment="1">
      <alignment horizontal="center"/>
    </xf>
    <xf numFmtId="0" fontId="30" fillId="6" borderId="17" xfId="2" applyFont="1" applyFill="1" applyBorder="1" applyAlignment="1">
      <alignment horizontal="center"/>
    </xf>
    <xf numFmtId="0" fontId="30" fillId="6" borderId="52" xfId="2" applyFont="1" applyFill="1" applyBorder="1" applyAlignment="1">
      <alignment horizontal="center"/>
    </xf>
    <xf numFmtId="0" fontId="31" fillId="0" borderId="2" xfId="2" applyFont="1" applyBorder="1" applyAlignment="1">
      <alignment horizontal="center"/>
    </xf>
    <xf numFmtId="0" fontId="31" fillId="0" borderId="3" xfId="2" applyFont="1" applyBorder="1" applyAlignment="1">
      <alignment horizontal="center"/>
    </xf>
    <xf numFmtId="0" fontId="30" fillId="6" borderId="21" xfId="2" applyFont="1" applyFill="1" applyBorder="1" applyAlignment="1">
      <alignment horizontal="center"/>
    </xf>
    <xf numFmtId="0" fontId="30" fillId="6" borderId="22" xfId="2" applyFont="1" applyFill="1" applyBorder="1" applyAlignment="1">
      <alignment horizontal="center"/>
    </xf>
    <xf numFmtId="0" fontId="30" fillId="6" borderId="23" xfId="2" applyFont="1" applyFill="1" applyBorder="1" applyAlignment="1">
      <alignment horizontal="center"/>
    </xf>
    <xf numFmtId="0" fontId="32" fillId="0" borderId="24" xfId="2" applyFont="1" applyBorder="1" applyAlignment="1">
      <alignment horizontal="center"/>
    </xf>
    <xf numFmtId="0" fontId="32" fillId="0" borderId="57" xfId="2" applyFont="1" applyBorder="1" applyAlignment="1">
      <alignment horizontal="center"/>
    </xf>
    <xf numFmtId="0" fontId="32" fillId="0" borderId="25" xfId="2" applyFont="1" applyBorder="1" applyAlignment="1">
      <alignment horizontal="center"/>
    </xf>
    <xf numFmtId="0" fontId="32" fillId="0" borderId="26" xfId="2" applyFont="1" applyBorder="1" applyAlignment="1">
      <alignment horizontal="center"/>
    </xf>
    <xf numFmtId="0" fontId="54" fillId="0" borderId="0" xfId="0" applyFont="1"/>
  </cellXfs>
  <cellStyles count="13">
    <cellStyle name="Comma" xfId="1" builtinId="3"/>
    <cellStyle name="Normal" xfId="0" builtinId="0"/>
    <cellStyle name="Normal 10" xfId="11"/>
    <cellStyle name="Normal 11" xfId="12"/>
    <cellStyle name="Normal 15" xfId="3"/>
    <cellStyle name="Normal 2" xfId="2"/>
    <cellStyle name="Normal 3" xfId="4"/>
    <cellStyle name="Normal 4" xfId="5"/>
    <cellStyle name="Normal 5" xfId="7"/>
    <cellStyle name="Normal 6" xfId="6"/>
    <cellStyle name="Normal 7" xfId="8"/>
    <cellStyle name="Normal 8" xfId="9"/>
    <cellStyle name="Normal 9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="" xmlns:a16="http://schemas.microsoft.com/office/drawing/2014/main" id="{00000000-0008-0000-0600-000008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0" name="Straight Arrow Connector 9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6" name="Group 15">
          <a:extLst>
            <a:ext uri="{FF2B5EF4-FFF2-40B4-BE49-F238E27FC236}">
              <a16:creationId xmlns="" xmlns:a16="http://schemas.microsoft.com/office/drawing/2014/main" id="{00000000-0008-0000-0600-000010000000}"/>
            </a:ext>
          </a:extLst>
        </xdr:cNvPr>
        <xdr:cNvGrpSpPr/>
      </xdr:nvGrpSpPr>
      <xdr:grpSpPr>
        <a:xfrm>
          <a:off x="1122045" y="18468975"/>
          <a:ext cx="1390650" cy="192405"/>
          <a:chOff x="1876425" y="19478625"/>
          <a:chExt cx="1533525" cy="219075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="" xmlns:a16="http://schemas.microsoft.com/office/drawing/2014/main" id="{00000000-0008-0000-0600-000011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" name="Group 17">
            <a:extLst>
              <a:ext uri="{FF2B5EF4-FFF2-40B4-BE49-F238E27FC236}">
                <a16:creationId xmlns="" xmlns:a16="http://schemas.microsoft.com/office/drawing/2014/main" id="{00000000-0008-0000-0600-000012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9" name="Straight Arrow Connector 18">
              <a:extLst>
                <a:ext uri="{FF2B5EF4-FFF2-40B4-BE49-F238E27FC236}">
                  <a16:creationId xmlns="" xmlns:a16="http://schemas.microsoft.com/office/drawing/2014/main" id="{00000000-0008-0000-0600-000013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="" xmlns:a16="http://schemas.microsoft.com/office/drawing/2014/main" id="{00000000-0008-0000-0600-000014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="" xmlns:a16="http://schemas.microsoft.com/office/drawing/2014/main" id="{00000000-0008-0000-0600-000015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="" xmlns:a16="http://schemas.microsoft.com/office/drawing/2014/main" id="{00000000-0008-0000-0600-000016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="" xmlns:a16="http://schemas.microsoft.com/office/drawing/2014/main" id="{00000000-0008-0000-0600-000017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="" xmlns:a16="http://schemas.microsoft.com/office/drawing/2014/main" id="{00000000-0008-0000-0600-000018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="" xmlns:a16="http://schemas.microsoft.com/office/drawing/2014/main" id="{00000000-0008-0000-0600-000019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="" xmlns:a16="http://schemas.microsoft.com/office/drawing/2014/main" id="{00000000-0008-0000-0600-00001A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="" xmlns:a16="http://schemas.microsoft.com/office/drawing/2014/main" id="{00000000-0008-0000-0600-00001B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="" xmlns:a16="http://schemas.microsoft.com/office/drawing/2014/main" id="{00000000-0008-0000-0600-00001C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" name="Group 28">
          <a:extLst>
            <a:ext uri="{FF2B5EF4-FFF2-40B4-BE49-F238E27FC236}">
              <a16:creationId xmlns="" xmlns:a16="http://schemas.microsoft.com/office/drawing/2014/main" id="{00000000-0008-0000-0600-00001D000000}"/>
            </a:ext>
          </a:extLst>
        </xdr:cNvPr>
        <xdr:cNvGrpSpPr/>
      </xdr:nvGrpSpPr>
      <xdr:grpSpPr>
        <a:xfrm>
          <a:off x="5092065" y="18468975"/>
          <a:ext cx="1440180" cy="192405"/>
          <a:chOff x="1876425" y="19478625"/>
          <a:chExt cx="1533525" cy="219075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="" xmlns:a16="http://schemas.microsoft.com/office/drawing/2014/main" id="{00000000-0008-0000-0600-00001E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="" xmlns:a16="http://schemas.microsoft.com/office/drawing/2014/main" id="{00000000-0008-0000-0600-00001F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32" name="Straight Arrow Connector 31">
              <a:extLst>
                <a:ext uri="{FF2B5EF4-FFF2-40B4-BE49-F238E27FC236}">
                  <a16:creationId xmlns="" xmlns:a16="http://schemas.microsoft.com/office/drawing/2014/main" id="{00000000-0008-0000-0600-000020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Arrow Connector 32">
              <a:extLst>
                <a:ext uri="{FF2B5EF4-FFF2-40B4-BE49-F238E27FC236}">
                  <a16:creationId xmlns="" xmlns:a16="http://schemas.microsoft.com/office/drawing/2014/main" id="{00000000-0008-0000-0600-000021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="" xmlns:a16="http://schemas.microsoft.com/office/drawing/2014/main" id="{00000000-0008-0000-0600-000022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Arrow Connector 34">
              <a:extLst>
                <a:ext uri="{FF2B5EF4-FFF2-40B4-BE49-F238E27FC236}">
                  <a16:creationId xmlns="" xmlns:a16="http://schemas.microsoft.com/office/drawing/2014/main" id="{00000000-0008-0000-0600-000023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="" xmlns:a16="http://schemas.microsoft.com/office/drawing/2014/main" id="{00000000-0008-0000-0600-000024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Arrow Connector 36">
              <a:extLst>
                <a:ext uri="{FF2B5EF4-FFF2-40B4-BE49-F238E27FC236}">
                  <a16:creationId xmlns="" xmlns:a16="http://schemas.microsoft.com/office/drawing/2014/main" id="{00000000-0008-0000-0600-000025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Arrow Connector 37">
              <a:extLst>
                <a:ext uri="{FF2B5EF4-FFF2-40B4-BE49-F238E27FC236}">
                  <a16:creationId xmlns="" xmlns:a16="http://schemas.microsoft.com/office/drawing/2014/main" id="{00000000-0008-0000-0600-000026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="" xmlns:a16="http://schemas.microsoft.com/office/drawing/2014/main" id="{00000000-0008-0000-0600-000027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Arrow Connector 39">
              <a:extLst>
                <a:ext uri="{FF2B5EF4-FFF2-40B4-BE49-F238E27FC236}">
                  <a16:creationId xmlns="" xmlns:a16="http://schemas.microsoft.com/office/drawing/2014/main" id="{00000000-0008-0000-0600-000028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="" xmlns:a16="http://schemas.microsoft.com/office/drawing/2014/main" id="{00000000-0008-0000-0600-000029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="" xmlns:a16="http://schemas.microsoft.com/office/drawing/2014/main" id="{00000000-0008-0000-0600-00002A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43" name="Straight Arrow Connector 42">
          <a:extLst>
            <a:ext uri="{FF2B5EF4-FFF2-40B4-BE49-F238E27FC236}">
              <a16:creationId xmlns="" xmlns:a16="http://schemas.microsoft.com/office/drawing/2014/main" id="{00000000-0008-0000-0600-00002B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="" xmlns:a16="http://schemas.microsoft.com/office/drawing/2014/main" id="{00000000-0008-0000-0600-00002C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45" name="Straight Arrow Connector 44">
          <a:extLst>
            <a:ext uri="{FF2B5EF4-FFF2-40B4-BE49-F238E27FC236}">
              <a16:creationId xmlns="" xmlns:a16="http://schemas.microsoft.com/office/drawing/2014/main" id="{00000000-0008-0000-0600-00002D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46" name="Straight Connector 45">
          <a:extLst>
            <a:ext uri="{FF2B5EF4-FFF2-40B4-BE49-F238E27FC236}">
              <a16:creationId xmlns="" xmlns:a16="http://schemas.microsoft.com/office/drawing/2014/main" id="{00000000-0008-0000-0600-00002E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47" name="Straight Connector 46">
          <a:extLst>
            <a:ext uri="{FF2B5EF4-FFF2-40B4-BE49-F238E27FC236}">
              <a16:creationId xmlns="" xmlns:a16="http://schemas.microsoft.com/office/drawing/2014/main" id="{00000000-0008-0000-0600-00002F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="" xmlns:a16="http://schemas.microsoft.com/office/drawing/2014/main" id="{00000000-0008-0000-0600-000030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="" xmlns:a16="http://schemas.microsoft.com/office/drawing/2014/main" id="{00000000-0008-0000-0600-000031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50" name="Straight Connector 49">
          <a:extLst>
            <a:ext uri="{FF2B5EF4-FFF2-40B4-BE49-F238E27FC236}">
              <a16:creationId xmlns="" xmlns:a16="http://schemas.microsoft.com/office/drawing/2014/main" id="{00000000-0008-0000-0600-000032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="" xmlns:a16="http://schemas.microsoft.com/office/drawing/2014/main" id="{00000000-0008-0000-0600-000033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="" xmlns:a16="http://schemas.microsoft.com/office/drawing/2014/main" id="{00000000-0008-0000-0600-000034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53" name="Straight Connector 52">
          <a:extLst>
            <a:ext uri="{FF2B5EF4-FFF2-40B4-BE49-F238E27FC236}">
              <a16:creationId xmlns="" xmlns:a16="http://schemas.microsoft.com/office/drawing/2014/main" id="{00000000-0008-0000-0600-000035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54" name="Straight Arrow Connector 53">
          <a:extLst>
            <a:ext uri="{FF2B5EF4-FFF2-40B4-BE49-F238E27FC236}">
              <a16:creationId xmlns="" xmlns:a16="http://schemas.microsoft.com/office/drawing/2014/main" id="{00000000-0008-0000-0600-000036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="" xmlns:a16="http://schemas.microsoft.com/office/drawing/2014/main" id="{00000000-0008-0000-0600-000037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56" name="Straight Connector 55">
          <a:extLst>
            <a:ext uri="{FF2B5EF4-FFF2-40B4-BE49-F238E27FC236}">
              <a16:creationId xmlns="" xmlns:a16="http://schemas.microsoft.com/office/drawing/2014/main" id="{00000000-0008-0000-0600-000038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57" name="Straight Connector 56">
          <a:extLst>
            <a:ext uri="{FF2B5EF4-FFF2-40B4-BE49-F238E27FC236}">
              <a16:creationId xmlns="" xmlns:a16="http://schemas.microsoft.com/office/drawing/2014/main" id="{00000000-0008-0000-0600-000039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58" name="Straight Connector 57">
          <a:extLst>
            <a:ext uri="{FF2B5EF4-FFF2-40B4-BE49-F238E27FC236}">
              <a16:creationId xmlns="" xmlns:a16="http://schemas.microsoft.com/office/drawing/2014/main" id="{00000000-0008-0000-0600-00003A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="" xmlns:a16="http://schemas.microsoft.com/office/drawing/2014/main" id="{00000000-0008-0000-0600-00003B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60" name="Straight Connector 59">
          <a:extLst>
            <a:ext uri="{FF2B5EF4-FFF2-40B4-BE49-F238E27FC236}">
              <a16:creationId xmlns="" xmlns:a16="http://schemas.microsoft.com/office/drawing/2014/main" id="{00000000-0008-0000-0600-00003C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61" name="Straight Connector 60">
          <a:extLst>
            <a:ext uri="{FF2B5EF4-FFF2-40B4-BE49-F238E27FC236}">
              <a16:creationId xmlns="" xmlns:a16="http://schemas.microsoft.com/office/drawing/2014/main" id="{00000000-0008-0000-0600-00003D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62" name="Straight Arrow Connector 61">
          <a:extLst>
            <a:ext uri="{FF2B5EF4-FFF2-40B4-BE49-F238E27FC236}">
              <a16:creationId xmlns="" xmlns:a16="http://schemas.microsoft.com/office/drawing/2014/main" id="{00000000-0008-0000-0600-00003E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63" name="Straight Arrow Connector 62">
          <a:extLst>
            <a:ext uri="{FF2B5EF4-FFF2-40B4-BE49-F238E27FC236}">
              <a16:creationId xmlns="" xmlns:a16="http://schemas.microsoft.com/office/drawing/2014/main" id="{00000000-0008-0000-0600-00003F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64" name="Straight Connector 63">
          <a:extLst>
            <a:ext uri="{FF2B5EF4-FFF2-40B4-BE49-F238E27FC236}">
              <a16:creationId xmlns="" xmlns:a16="http://schemas.microsoft.com/office/drawing/2014/main" id="{00000000-0008-0000-0600-000040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65" name="Freeform 64">
          <a:extLst>
            <a:ext uri="{FF2B5EF4-FFF2-40B4-BE49-F238E27FC236}">
              <a16:creationId xmlns="" xmlns:a16="http://schemas.microsoft.com/office/drawing/2014/main" id="{00000000-0008-0000-0600-000041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66" name="Freeform 65">
          <a:extLst>
            <a:ext uri="{FF2B5EF4-FFF2-40B4-BE49-F238E27FC236}">
              <a16:creationId xmlns="" xmlns:a16="http://schemas.microsoft.com/office/drawing/2014/main" id="{00000000-0008-0000-0600-000042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67" name="Freeform 66">
          <a:extLst>
            <a:ext uri="{FF2B5EF4-FFF2-40B4-BE49-F238E27FC236}">
              <a16:creationId xmlns="" xmlns:a16="http://schemas.microsoft.com/office/drawing/2014/main" id="{00000000-0008-0000-0600-000043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="" xmlns:a16="http://schemas.microsoft.com/office/drawing/2014/main" id="{00000000-0008-0000-0600-000044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="" xmlns:a16="http://schemas.microsoft.com/office/drawing/2014/main" id="{00000000-0008-0000-0600-000045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="" xmlns:a16="http://schemas.microsoft.com/office/drawing/2014/main" id="{00000000-0008-0000-0600-000046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="" xmlns:a16="http://schemas.microsoft.com/office/drawing/2014/main" id="{00000000-0008-0000-0600-000047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72" name="Straight Arrow Connector 71">
          <a:extLst>
            <a:ext uri="{FF2B5EF4-FFF2-40B4-BE49-F238E27FC236}">
              <a16:creationId xmlns="" xmlns:a16="http://schemas.microsoft.com/office/drawing/2014/main" id="{00000000-0008-0000-0600-000048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3" name="Straight Arrow Connector 72">
          <a:extLst>
            <a:ext uri="{FF2B5EF4-FFF2-40B4-BE49-F238E27FC236}">
              <a16:creationId xmlns="" xmlns:a16="http://schemas.microsoft.com/office/drawing/2014/main" id="{00000000-0008-0000-0600-000049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74" name="Straight Arrow Connector 73">
          <a:extLst>
            <a:ext uri="{FF2B5EF4-FFF2-40B4-BE49-F238E27FC236}">
              <a16:creationId xmlns="" xmlns:a16="http://schemas.microsoft.com/office/drawing/2014/main" id="{00000000-0008-0000-0600-00004A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75" name="Straight Arrow Connector 74">
          <a:extLst>
            <a:ext uri="{FF2B5EF4-FFF2-40B4-BE49-F238E27FC236}">
              <a16:creationId xmlns="" xmlns:a16="http://schemas.microsoft.com/office/drawing/2014/main" id="{00000000-0008-0000-0600-00004B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76" name="Straight Arrow Connector 75">
          <a:extLst>
            <a:ext uri="{FF2B5EF4-FFF2-40B4-BE49-F238E27FC236}">
              <a16:creationId xmlns="" xmlns:a16="http://schemas.microsoft.com/office/drawing/2014/main" id="{00000000-0008-0000-0600-00004C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77" name="Straight Arrow Connector 76">
          <a:extLst>
            <a:ext uri="{FF2B5EF4-FFF2-40B4-BE49-F238E27FC236}">
              <a16:creationId xmlns="" xmlns:a16="http://schemas.microsoft.com/office/drawing/2014/main" id="{00000000-0008-0000-0600-00004D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78" name="Straight Arrow Connector 77">
          <a:extLst>
            <a:ext uri="{FF2B5EF4-FFF2-40B4-BE49-F238E27FC236}">
              <a16:creationId xmlns="" xmlns:a16="http://schemas.microsoft.com/office/drawing/2014/main" id="{00000000-0008-0000-0600-00004E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79" name="Straight Arrow Connector 78">
          <a:extLst>
            <a:ext uri="{FF2B5EF4-FFF2-40B4-BE49-F238E27FC236}">
              <a16:creationId xmlns="" xmlns:a16="http://schemas.microsoft.com/office/drawing/2014/main" id="{00000000-0008-0000-0600-00004F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80" name="Straight Arrow Connector 79">
          <a:extLst>
            <a:ext uri="{FF2B5EF4-FFF2-40B4-BE49-F238E27FC236}">
              <a16:creationId xmlns="" xmlns:a16="http://schemas.microsoft.com/office/drawing/2014/main" id="{00000000-0008-0000-0600-000050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81" name="Straight Arrow Connector 80">
          <a:extLst>
            <a:ext uri="{FF2B5EF4-FFF2-40B4-BE49-F238E27FC236}">
              <a16:creationId xmlns="" xmlns:a16="http://schemas.microsoft.com/office/drawing/2014/main" id="{00000000-0008-0000-0600-000051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82" name="Group 81">
          <a:extLst>
            <a:ext uri="{FF2B5EF4-FFF2-40B4-BE49-F238E27FC236}">
              <a16:creationId xmlns="" xmlns:a16="http://schemas.microsoft.com/office/drawing/2014/main" id="{00000000-0008-0000-0600-000052000000}"/>
            </a:ext>
          </a:extLst>
        </xdr:cNvPr>
        <xdr:cNvGrpSpPr/>
      </xdr:nvGrpSpPr>
      <xdr:grpSpPr>
        <a:xfrm>
          <a:off x="1122045" y="18468975"/>
          <a:ext cx="1390650" cy="192405"/>
          <a:chOff x="1876425" y="19478625"/>
          <a:chExt cx="1533525" cy="219075"/>
        </a:xfrm>
      </xdr:grpSpPr>
      <xdr:cxnSp macro="">
        <xdr:nvCxnSpPr>
          <xdr:cNvPr id="83" name="Straight Arrow Connector 82">
            <a:extLst>
              <a:ext uri="{FF2B5EF4-FFF2-40B4-BE49-F238E27FC236}">
                <a16:creationId xmlns="" xmlns:a16="http://schemas.microsoft.com/office/drawing/2014/main" id="{00000000-0008-0000-0600-000053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84" name="Group 83">
            <a:extLst>
              <a:ext uri="{FF2B5EF4-FFF2-40B4-BE49-F238E27FC236}">
                <a16:creationId xmlns="" xmlns:a16="http://schemas.microsoft.com/office/drawing/2014/main" id="{00000000-0008-0000-0600-000054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85" name="Straight Arrow Connector 84">
              <a:extLst>
                <a:ext uri="{FF2B5EF4-FFF2-40B4-BE49-F238E27FC236}">
                  <a16:creationId xmlns="" xmlns:a16="http://schemas.microsoft.com/office/drawing/2014/main" id="{00000000-0008-0000-0600-000055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Arrow Connector 85">
              <a:extLst>
                <a:ext uri="{FF2B5EF4-FFF2-40B4-BE49-F238E27FC236}">
                  <a16:creationId xmlns="" xmlns:a16="http://schemas.microsoft.com/office/drawing/2014/main" id="{00000000-0008-0000-0600-000056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="" xmlns:a16="http://schemas.microsoft.com/office/drawing/2014/main" id="{00000000-0008-0000-0600-000057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="" xmlns:a16="http://schemas.microsoft.com/office/drawing/2014/main" id="{00000000-0008-0000-0600-000058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Arrow Connector 88">
              <a:extLst>
                <a:ext uri="{FF2B5EF4-FFF2-40B4-BE49-F238E27FC236}">
                  <a16:creationId xmlns="" xmlns:a16="http://schemas.microsoft.com/office/drawing/2014/main" id="{00000000-0008-0000-0600-000059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Arrow Connector 89">
              <a:extLst>
                <a:ext uri="{FF2B5EF4-FFF2-40B4-BE49-F238E27FC236}">
                  <a16:creationId xmlns="" xmlns:a16="http://schemas.microsoft.com/office/drawing/2014/main" id="{00000000-0008-0000-0600-00005A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Arrow Connector 90">
              <a:extLst>
                <a:ext uri="{FF2B5EF4-FFF2-40B4-BE49-F238E27FC236}">
                  <a16:creationId xmlns="" xmlns:a16="http://schemas.microsoft.com/office/drawing/2014/main" id="{00000000-0008-0000-0600-00005B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Arrow Connector 91">
              <a:extLst>
                <a:ext uri="{FF2B5EF4-FFF2-40B4-BE49-F238E27FC236}">
                  <a16:creationId xmlns="" xmlns:a16="http://schemas.microsoft.com/office/drawing/2014/main" id="{00000000-0008-0000-0600-00005C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Arrow Connector 92">
              <a:extLst>
                <a:ext uri="{FF2B5EF4-FFF2-40B4-BE49-F238E27FC236}">
                  <a16:creationId xmlns="" xmlns:a16="http://schemas.microsoft.com/office/drawing/2014/main" id="{00000000-0008-0000-0600-00005D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Arrow Connector 93">
              <a:extLst>
                <a:ext uri="{FF2B5EF4-FFF2-40B4-BE49-F238E27FC236}">
                  <a16:creationId xmlns="" xmlns:a16="http://schemas.microsoft.com/office/drawing/2014/main" id="{00000000-0008-0000-0600-00005E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95" name="Group 94">
          <a:extLst>
            <a:ext uri="{FF2B5EF4-FFF2-40B4-BE49-F238E27FC236}">
              <a16:creationId xmlns="" xmlns:a16="http://schemas.microsoft.com/office/drawing/2014/main" id="{00000000-0008-0000-0600-00005F000000}"/>
            </a:ext>
          </a:extLst>
        </xdr:cNvPr>
        <xdr:cNvGrpSpPr/>
      </xdr:nvGrpSpPr>
      <xdr:grpSpPr>
        <a:xfrm>
          <a:off x="5092065" y="18468975"/>
          <a:ext cx="1440180" cy="192405"/>
          <a:chOff x="1876425" y="19478625"/>
          <a:chExt cx="1533525" cy="219075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="" xmlns:a16="http://schemas.microsoft.com/office/drawing/2014/main" id="{00000000-0008-0000-0600-000060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97" name="Group 96">
            <a:extLst>
              <a:ext uri="{FF2B5EF4-FFF2-40B4-BE49-F238E27FC236}">
                <a16:creationId xmlns="" xmlns:a16="http://schemas.microsoft.com/office/drawing/2014/main" id="{00000000-0008-0000-0600-000061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98" name="Straight Arrow Connector 97">
              <a:extLst>
                <a:ext uri="{FF2B5EF4-FFF2-40B4-BE49-F238E27FC236}">
                  <a16:creationId xmlns="" xmlns:a16="http://schemas.microsoft.com/office/drawing/2014/main" id="{00000000-0008-0000-0600-000062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" name="Straight Arrow Connector 98">
              <a:extLst>
                <a:ext uri="{FF2B5EF4-FFF2-40B4-BE49-F238E27FC236}">
                  <a16:creationId xmlns="" xmlns:a16="http://schemas.microsoft.com/office/drawing/2014/main" id="{00000000-0008-0000-0600-000063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Straight Arrow Connector 99">
              <a:extLst>
                <a:ext uri="{FF2B5EF4-FFF2-40B4-BE49-F238E27FC236}">
                  <a16:creationId xmlns="" xmlns:a16="http://schemas.microsoft.com/office/drawing/2014/main" id="{00000000-0008-0000-0600-000064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Arrow Connector 100">
              <a:extLst>
                <a:ext uri="{FF2B5EF4-FFF2-40B4-BE49-F238E27FC236}">
                  <a16:creationId xmlns="" xmlns:a16="http://schemas.microsoft.com/office/drawing/2014/main" id="{00000000-0008-0000-0600-000065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Arrow Connector 101">
              <a:extLst>
                <a:ext uri="{FF2B5EF4-FFF2-40B4-BE49-F238E27FC236}">
                  <a16:creationId xmlns="" xmlns:a16="http://schemas.microsoft.com/office/drawing/2014/main" id="{00000000-0008-0000-0600-000066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="" xmlns:a16="http://schemas.microsoft.com/office/drawing/2014/main" id="{00000000-0008-0000-0600-000067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Arrow Connector 103">
              <a:extLst>
                <a:ext uri="{FF2B5EF4-FFF2-40B4-BE49-F238E27FC236}">
                  <a16:creationId xmlns="" xmlns:a16="http://schemas.microsoft.com/office/drawing/2014/main" id="{00000000-0008-0000-0600-000068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="" xmlns:a16="http://schemas.microsoft.com/office/drawing/2014/main" id="{00000000-0008-0000-0600-000069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105">
              <a:extLst>
                <a:ext uri="{FF2B5EF4-FFF2-40B4-BE49-F238E27FC236}">
                  <a16:creationId xmlns="" xmlns:a16="http://schemas.microsoft.com/office/drawing/2014/main" id="{00000000-0008-0000-0600-00006A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" name="Straight Arrow Connector 106">
              <a:extLst>
                <a:ext uri="{FF2B5EF4-FFF2-40B4-BE49-F238E27FC236}">
                  <a16:creationId xmlns="" xmlns:a16="http://schemas.microsoft.com/office/drawing/2014/main" id="{00000000-0008-0000-0600-00006B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08" name="Straight Arrow Connector 107">
          <a:extLst>
            <a:ext uri="{FF2B5EF4-FFF2-40B4-BE49-F238E27FC236}">
              <a16:creationId xmlns="" xmlns:a16="http://schemas.microsoft.com/office/drawing/2014/main" id="{00000000-0008-0000-0600-00006C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09" name="Straight Arrow Connector 108">
          <a:extLst>
            <a:ext uri="{FF2B5EF4-FFF2-40B4-BE49-F238E27FC236}">
              <a16:creationId xmlns="" xmlns:a16="http://schemas.microsoft.com/office/drawing/2014/main" id="{00000000-0008-0000-0600-00006D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10" name="Straight Connector 109">
          <a:extLst>
            <a:ext uri="{FF2B5EF4-FFF2-40B4-BE49-F238E27FC236}">
              <a16:creationId xmlns="" xmlns:a16="http://schemas.microsoft.com/office/drawing/2014/main" id="{00000000-0008-0000-0600-00006E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11" name="Straight Arrow Connector 110">
          <a:extLst>
            <a:ext uri="{FF2B5EF4-FFF2-40B4-BE49-F238E27FC236}">
              <a16:creationId xmlns="" xmlns:a16="http://schemas.microsoft.com/office/drawing/2014/main" id="{00000000-0008-0000-0600-00006F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12" name="Straight Connector 111">
          <a:extLst>
            <a:ext uri="{FF2B5EF4-FFF2-40B4-BE49-F238E27FC236}">
              <a16:creationId xmlns="" xmlns:a16="http://schemas.microsoft.com/office/drawing/2014/main" id="{00000000-0008-0000-0600-000070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13" name="Straight Connector 112">
          <a:extLst>
            <a:ext uri="{FF2B5EF4-FFF2-40B4-BE49-F238E27FC236}">
              <a16:creationId xmlns="" xmlns:a16="http://schemas.microsoft.com/office/drawing/2014/main" id="{00000000-0008-0000-0600-000071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14" name="Straight Connector 113">
          <a:extLst>
            <a:ext uri="{FF2B5EF4-FFF2-40B4-BE49-F238E27FC236}">
              <a16:creationId xmlns="" xmlns:a16="http://schemas.microsoft.com/office/drawing/2014/main" id="{00000000-0008-0000-0600-000072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15" name="Straight Connector 114">
          <a:extLst>
            <a:ext uri="{FF2B5EF4-FFF2-40B4-BE49-F238E27FC236}">
              <a16:creationId xmlns="" xmlns:a16="http://schemas.microsoft.com/office/drawing/2014/main" id="{00000000-0008-0000-0600-000073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16" name="Straight Connector 115">
          <a:extLst>
            <a:ext uri="{FF2B5EF4-FFF2-40B4-BE49-F238E27FC236}">
              <a16:creationId xmlns="" xmlns:a16="http://schemas.microsoft.com/office/drawing/2014/main" id="{00000000-0008-0000-0600-000074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="" xmlns:a16="http://schemas.microsoft.com/office/drawing/2014/main" id="{00000000-0008-0000-0600-000075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="" xmlns:a16="http://schemas.microsoft.com/office/drawing/2014/main" id="{00000000-0008-0000-0600-000076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19" name="Straight Connector 118">
          <a:extLst>
            <a:ext uri="{FF2B5EF4-FFF2-40B4-BE49-F238E27FC236}">
              <a16:creationId xmlns="" xmlns:a16="http://schemas.microsoft.com/office/drawing/2014/main" id="{00000000-0008-0000-0600-000077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20" name="Straight Arrow Connector 119">
          <a:extLst>
            <a:ext uri="{FF2B5EF4-FFF2-40B4-BE49-F238E27FC236}">
              <a16:creationId xmlns="" xmlns:a16="http://schemas.microsoft.com/office/drawing/2014/main" id="{00000000-0008-0000-0600-000078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="" xmlns:a16="http://schemas.microsoft.com/office/drawing/2014/main" id="{00000000-0008-0000-0600-000079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22" name="Straight Connector 121">
          <a:extLst>
            <a:ext uri="{FF2B5EF4-FFF2-40B4-BE49-F238E27FC236}">
              <a16:creationId xmlns="" xmlns:a16="http://schemas.microsoft.com/office/drawing/2014/main" id="{00000000-0008-0000-0600-00007A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23" name="Straight Connector 122">
          <a:extLst>
            <a:ext uri="{FF2B5EF4-FFF2-40B4-BE49-F238E27FC236}">
              <a16:creationId xmlns="" xmlns:a16="http://schemas.microsoft.com/office/drawing/2014/main" id="{00000000-0008-0000-0600-00007B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24" name="Straight Connector 123">
          <a:extLst>
            <a:ext uri="{FF2B5EF4-FFF2-40B4-BE49-F238E27FC236}">
              <a16:creationId xmlns="" xmlns:a16="http://schemas.microsoft.com/office/drawing/2014/main" id="{00000000-0008-0000-0600-00007C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="" xmlns:a16="http://schemas.microsoft.com/office/drawing/2014/main" id="{00000000-0008-0000-0600-00007D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26" name="Straight Connector 125">
          <a:extLst>
            <a:ext uri="{FF2B5EF4-FFF2-40B4-BE49-F238E27FC236}">
              <a16:creationId xmlns="" xmlns:a16="http://schemas.microsoft.com/office/drawing/2014/main" id="{00000000-0008-0000-0600-00007E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="" xmlns:a16="http://schemas.microsoft.com/office/drawing/2014/main" id="{00000000-0008-0000-0600-00007F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28" name="Straight Arrow Connector 127">
          <a:extLst>
            <a:ext uri="{FF2B5EF4-FFF2-40B4-BE49-F238E27FC236}">
              <a16:creationId xmlns="" xmlns:a16="http://schemas.microsoft.com/office/drawing/2014/main" id="{00000000-0008-0000-0600-000080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29" name="Straight Arrow Connector 128">
          <a:extLst>
            <a:ext uri="{FF2B5EF4-FFF2-40B4-BE49-F238E27FC236}">
              <a16:creationId xmlns="" xmlns:a16="http://schemas.microsoft.com/office/drawing/2014/main" id="{00000000-0008-0000-0600-000081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30" name="Straight Connector 129">
          <a:extLst>
            <a:ext uri="{FF2B5EF4-FFF2-40B4-BE49-F238E27FC236}">
              <a16:creationId xmlns="" xmlns:a16="http://schemas.microsoft.com/office/drawing/2014/main" id="{00000000-0008-0000-0600-000082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31" name="Freeform 130">
          <a:extLst>
            <a:ext uri="{FF2B5EF4-FFF2-40B4-BE49-F238E27FC236}">
              <a16:creationId xmlns="" xmlns:a16="http://schemas.microsoft.com/office/drawing/2014/main" id="{00000000-0008-0000-0600-000083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32" name="Freeform 131">
          <a:extLst>
            <a:ext uri="{FF2B5EF4-FFF2-40B4-BE49-F238E27FC236}">
              <a16:creationId xmlns="" xmlns:a16="http://schemas.microsoft.com/office/drawing/2014/main" id="{00000000-0008-0000-0600-000084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33" name="Freeform 132">
          <a:extLst>
            <a:ext uri="{FF2B5EF4-FFF2-40B4-BE49-F238E27FC236}">
              <a16:creationId xmlns="" xmlns:a16="http://schemas.microsoft.com/office/drawing/2014/main" id="{00000000-0008-0000-0600-000085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134" name="Straight Arrow Connector 133">
          <a:extLst>
            <a:ext uri="{FF2B5EF4-FFF2-40B4-BE49-F238E27FC236}">
              <a16:creationId xmlns="" xmlns:a16="http://schemas.microsoft.com/office/drawing/2014/main" id="{00000000-0008-0000-0600-000086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135" name="Straight Arrow Connector 134">
          <a:extLst>
            <a:ext uri="{FF2B5EF4-FFF2-40B4-BE49-F238E27FC236}">
              <a16:creationId xmlns="" xmlns:a16="http://schemas.microsoft.com/office/drawing/2014/main" id="{00000000-0008-0000-0600-000087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136" name="Straight Arrow Connector 135">
          <a:extLst>
            <a:ext uri="{FF2B5EF4-FFF2-40B4-BE49-F238E27FC236}">
              <a16:creationId xmlns="" xmlns:a16="http://schemas.microsoft.com/office/drawing/2014/main" id="{00000000-0008-0000-0600-000088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="" xmlns:a16="http://schemas.microsoft.com/office/drawing/2014/main" id="{00000000-0008-0000-0600-000089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138" name="Straight Arrow Connector 137">
          <a:extLst>
            <a:ext uri="{FF2B5EF4-FFF2-40B4-BE49-F238E27FC236}">
              <a16:creationId xmlns="" xmlns:a16="http://schemas.microsoft.com/office/drawing/2014/main" id="{00000000-0008-0000-0600-00008A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139" name="Straight Arrow Connector 138">
          <a:extLst>
            <a:ext uri="{FF2B5EF4-FFF2-40B4-BE49-F238E27FC236}">
              <a16:creationId xmlns="" xmlns:a16="http://schemas.microsoft.com/office/drawing/2014/main" id="{00000000-0008-0000-0600-00008B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140" name="Straight Arrow Connector 139">
          <a:extLst>
            <a:ext uri="{FF2B5EF4-FFF2-40B4-BE49-F238E27FC236}">
              <a16:creationId xmlns="" xmlns:a16="http://schemas.microsoft.com/office/drawing/2014/main" id="{00000000-0008-0000-0600-00008C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141" name="Straight Arrow Connector 140">
          <a:extLst>
            <a:ext uri="{FF2B5EF4-FFF2-40B4-BE49-F238E27FC236}">
              <a16:creationId xmlns="" xmlns:a16="http://schemas.microsoft.com/office/drawing/2014/main" id="{00000000-0008-0000-0600-00008D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42" name="Straight Arrow Connector 141">
          <a:extLst>
            <a:ext uri="{FF2B5EF4-FFF2-40B4-BE49-F238E27FC236}">
              <a16:creationId xmlns="" xmlns:a16="http://schemas.microsoft.com/office/drawing/2014/main" id="{00000000-0008-0000-0600-00008E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43" name="Straight Arrow Connector 142">
          <a:extLst>
            <a:ext uri="{FF2B5EF4-FFF2-40B4-BE49-F238E27FC236}">
              <a16:creationId xmlns="" xmlns:a16="http://schemas.microsoft.com/office/drawing/2014/main" id="{00000000-0008-0000-0600-00008F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44" name="Straight Arrow Connector 143">
          <a:extLst>
            <a:ext uri="{FF2B5EF4-FFF2-40B4-BE49-F238E27FC236}">
              <a16:creationId xmlns="" xmlns:a16="http://schemas.microsoft.com/office/drawing/2014/main" id="{00000000-0008-0000-0600-000090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45" name="Straight Arrow Connector 144">
          <a:extLst>
            <a:ext uri="{FF2B5EF4-FFF2-40B4-BE49-F238E27FC236}">
              <a16:creationId xmlns="" xmlns:a16="http://schemas.microsoft.com/office/drawing/2014/main" id="{00000000-0008-0000-0600-000091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6" name="Straight Arrow Connector 145">
          <a:extLst>
            <a:ext uri="{FF2B5EF4-FFF2-40B4-BE49-F238E27FC236}">
              <a16:creationId xmlns="" xmlns:a16="http://schemas.microsoft.com/office/drawing/2014/main" id="{00000000-0008-0000-0600-000092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47" name="Straight Arrow Connector 146">
          <a:extLst>
            <a:ext uri="{FF2B5EF4-FFF2-40B4-BE49-F238E27FC236}">
              <a16:creationId xmlns="" xmlns:a16="http://schemas.microsoft.com/office/drawing/2014/main" id="{00000000-0008-0000-0600-000093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48" name="Group 147">
          <a:extLst>
            <a:ext uri="{FF2B5EF4-FFF2-40B4-BE49-F238E27FC236}">
              <a16:creationId xmlns="" xmlns:a16="http://schemas.microsoft.com/office/drawing/2014/main" id="{00000000-0008-0000-0600-000094000000}"/>
            </a:ext>
          </a:extLst>
        </xdr:cNvPr>
        <xdr:cNvGrpSpPr/>
      </xdr:nvGrpSpPr>
      <xdr:grpSpPr>
        <a:xfrm>
          <a:off x="1122045" y="18468975"/>
          <a:ext cx="1390650" cy="192405"/>
          <a:chOff x="1876425" y="19478625"/>
          <a:chExt cx="1533525" cy="219075"/>
        </a:xfrm>
      </xdr:grpSpPr>
      <xdr:cxnSp macro="">
        <xdr:nvCxnSpPr>
          <xdr:cNvPr id="149" name="Straight Arrow Connector 148">
            <a:extLst>
              <a:ext uri="{FF2B5EF4-FFF2-40B4-BE49-F238E27FC236}">
                <a16:creationId xmlns="" xmlns:a16="http://schemas.microsoft.com/office/drawing/2014/main" id="{00000000-0008-0000-0600-000095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50" name="Group 149">
            <a:extLst>
              <a:ext uri="{FF2B5EF4-FFF2-40B4-BE49-F238E27FC236}">
                <a16:creationId xmlns="" xmlns:a16="http://schemas.microsoft.com/office/drawing/2014/main" id="{00000000-0008-0000-0600-000096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51" name="Straight Arrow Connector 150">
              <a:extLst>
                <a:ext uri="{FF2B5EF4-FFF2-40B4-BE49-F238E27FC236}">
                  <a16:creationId xmlns="" xmlns:a16="http://schemas.microsoft.com/office/drawing/2014/main" id="{00000000-0008-0000-0600-000097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Straight Arrow Connector 151">
              <a:extLst>
                <a:ext uri="{FF2B5EF4-FFF2-40B4-BE49-F238E27FC236}">
                  <a16:creationId xmlns="" xmlns:a16="http://schemas.microsoft.com/office/drawing/2014/main" id="{00000000-0008-0000-0600-000098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" name="Straight Arrow Connector 152">
              <a:extLst>
                <a:ext uri="{FF2B5EF4-FFF2-40B4-BE49-F238E27FC236}">
                  <a16:creationId xmlns="" xmlns:a16="http://schemas.microsoft.com/office/drawing/2014/main" id="{00000000-0008-0000-0600-000099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Straight Arrow Connector 153">
              <a:extLst>
                <a:ext uri="{FF2B5EF4-FFF2-40B4-BE49-F238E27FC236}">
                  <a16:creationId xmlns="" xmlns:a16="http://schemas.microsoft.com/office/drawing/2014/main" id="{00000000-0008-0000-0600-00009A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="" xmlns:a16="http://schemas.microsoft.com/office/drawing/2014/main" id="{00000000-0008-0000-0600-00009B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="" xmlns:a16="http://schemas.microsoft.com/office/drawing/2014/main" id="{00000000-0008-0000-0600-00009C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="" xmlns:a16="http://schemas.microsoft.com/office/drawing/2014/main" id="{00000000-0008-0000-0600-00009D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="" xmlns:a16="http://schemas.microsoft.com/office/drawing/2014/main" id="{00000000-0008-0000-0600-00009E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="" xmlns:a16="http://schemas.microsoft.com/office/drawing/2014/main" id="{00000000-0008-0000-0600-00009F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="" xmlns:a16="http://schemas.microsoft.com/office/drawing/2014/main" id="{00000000-0008-0000-0600-0000A0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161" name="Group 160">
          <a:extLst>
            <a:ext uri="{FF2B5EF4-FFF2-40B4-BE49-F238E27FC236}">
              <a16:creationId xmlns="" xmlns:a16="http://schemas.microsoft.com/office/drawing/2014/main" id="{00000000-0008-0000-0600-0000A1000000}"/>
            </a:ext>
          </a:extLst>
        </xdr:cNvPr>
        <xdr:cNvGrpSpPr/>
      </xdr:nvGrpSpPr>
      <xdr:grpSpPr>
        <a:xfrm>
          <a:off x="5092065" y="18468975"/>
          <a:ext cx="1440180" cy="192405"/>
          <a:chOff x="1876425" y="19478625"/>
          <a:chExt cx="1533525" cy="219075"/>
        </a:xfrm>
      </xdr:grpSpPr>
      <xdr:cxnSp macro="">
        <xdr:nvCxnSpPr>
          <xdr:cNvPr id="162" name="Straight Arrow Connector 161">
            <a:extLst>
              <a:ext uri="{FF2B5EF4-FFF2-40B4-BE49-F238E27FC236}">
                <a16:creationId xmlns="" xmlns:a16="http://schemas.microsoft.com/office/drawing/2014/main" id="{00000000-0008-0000-0600-0000A2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63" name="Group 162">
            <a:extLst>
              <a:ext uri="{FF2B5EF4-FFF2-40B4-BE49-F238E27FC236}">
                <a16:creationId xmlns="" xmlns:a16="http://schemas.microsoft.com/office/drawing/2014/main" id="{00000000-0008-0000-0600-0000A3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64" name="Straight Arrow Connector 163">
              <a:extLst>
                <a:ext uri="{FF2B5EF4-FFF2-40B4-BE49-F238E27FC236}">
                  <a16:creationId xmlns="" xmlns:a16="http://schemas.microsoft.com/office/drawing/2014/main" id="{00000000-0008-0000-0600-0000A4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" name="Straight Arrow Connector 164">
              <a:extLst>
                <a:ext uri="{FF2B5EF4-FFF2-40B4-BE49-F238E27FC236}">
                  <a16:creationId xmlns="" xmlns:a16="http://schemas.microsoft.com/office/drawing/2014/main" id="{00000000-0008-0000-0600-0000A5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" name="Straight Arrow Connector 165">
              <a:extLst>
                <a:ext uri="{FF2B5EF4-FFF2-40B4-BE49-F238E27FC236}">
                  <a16:creationId xmlns="" xmlns:a16="http://schemas.microsoft.com/office/drawing/2014/main" id="{00000000-0008-0000-0600-0000A6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" name="Straight Arrow Connector 166">
              <a:extLst>
                <a:ext uri="{FF2B5EF4-FFF2-40B4-BE49-F238E27FC236}">
                  <a16:creationId xmlns="" xmlns:a16="http://schemas.microsoft.com/office/drawing/2014/main" id="{00000000-0008-0000-0600-0000A7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" name="Straight Arrow Connector 167">
              <a:extLst>
                <a:ext uri="{FF2B5EF4-FFF2-40B4-BE49-F238E27FC236}">
                  <a16:creationId xmlns="" xmlns:a16="http://schemas.microsoft.com/office/drawing/2014/main" id="{00000000-0008-0000-0600-0000A8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" name="Straight Arrow Connector 168">
              <a:extLst>
                <a:ext uri="{FF2B5EF4-FFF2-40B4-BE49-F238E27FC236}">
                  <a16:creationId xmlns="" xmlns:a16="http://schemas.microsoft.com/office/drawing/2014/main" id="{00000000-0008-0000-0600-0000A9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" name="Straight Arrow Connector 169">
              <a:extLst>
                <a:ext uri="{FF2B5EF4-FFF2-40B4-BE49-F238E27FC236}">
                  <a16:creationId xmlns="" xmlns:a16="http://schemas.microsoft.com/office/drawing/2014/main" id="{00000000-0008-0000-0600-0000AA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" name="Straight Arrow Connector 170">
              <a:extLst>
                <a:ext uri="{FF2B5EF4-FFF2-40B4-BE49-F238E27FC236}">
                  <a16:creationId xmlns="" xmlns:a16="http://schemas.microsoft.com/office/drawing/2014/main" id="{00000000-0008-0000-0600-0000AB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" name="Straight Arrow Connector 171">
              <a:extLst>
                <a:ext uri="{FF2B5EF4-FFF2-40B4-BE49-F238E27FC236}">
                  <a16:creationId xmlns="" xmlns:a16="http://schemas.microsoft.com/office/drawing/2014/main" id="{00000000-0008-0000-0600-0000AC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" name="Straight Arrow Connector 172">
              <a:extLst>
                <a:ext uri="{FF2B5EF4-FFF2-40B4-BE49-F238E27FC236}">
                  <a16:creationId xmlns="" xmlns:a16="http://schemas.microsoft.com/office/drawing/2014/main" id="{00000000-0008-0000-0600-0000AD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74" name="Straight Arrow Connector 173">
          <a:extLst>
            <a:ext uri="{FF2B5EF4-FFF2-40B4-BE49-F238E27FC236}">
              <a16:creationId xmlns="" xmlns:a16="http://schemas.microsoft.com/office/drawing/2014/main" id="{00000000-0008-0000-0600-0000AE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75" name="Straight Arrow Connector 174">
          <a:extLst>
            <a:ext uri="{FF2B5EF4-FFF2-40B4-BE49-F238E27FC236}">
              <a16:creationId xmlns="" xmlns:a16="http://schemas.microsoft.com/office/drawing/2014/main" id="{00000000-0008-0000-0600-0000AF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76" name="Straight Connector 175">
          <a:extLst>
            <a:ext uri="{FF2B5EF4-FFF2-40B4-BE49-F238E27FC236}">
              <a16:creationId xmlns="" xmlns:a16="http://schemas.microsoft.com/office/drawing/2014/main" id="{00000000-0008-0000-0600-0000B0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77" name="Straight Arrow Connector 176">
          <a:extLst>
            <a:ext uri="{FF2B5EF4-FFF2-40B4-BE49-F238E27FC236}">
              <a16:creationId xmlns="" xmlns:a16="http://schemas.microsoft.com/office/drawing/2014/main" id="{00000000-0008-0000-0600-0000B1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78" name="Straight Connector 177">
          <a:extLst>
            <a:ext uri="{FF2B5EF4-FFF2-40B4-BE49-F238E27FC236}">
              <a16:creationId xmlns="" xmlns:a16="http://schemas.microsoft.com/office/drawing/2014/main" id="{00000000-0008-0000-0600-0000B2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79" name="Straight Connector 178">
          <a:extLst>
            <a:ext uri="{FF2B5EF4-FFF2-40B4-BE49-F238E27FC236}">
              <a16:creationId xmlns="" xmlns:a16="http://schemas.microsoft.com/office/drawing/2014/main" id="{00000000-0008-0000-0600-0000B3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80" name="Straight Connector 179">
          <a:extLst>
            <a:ext uri="{FF2B5EF4-FFF2-40B4-BE49-F238E27FC236}">
              <a16:creationId xmlns="" xmlns:a16="http://schemas.microsoft.com/office/drawing/2014/main" id="{00000000-0008-0000-0600-0000B4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81" name="Straight Connector 180">
          <a:extLst>
            <a:ext uri="{FF2B5EF4-FFF2-40B4-BE49-F238E27FC236}">
              <a16:creationId xmlns="" xmlns:a16="http://schemas.microsoft.com/office/drawing/2014/main" id="{00000000-0008-0000-0600-0000B5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="" xmlns:a16="http://schemas.microsoft.com/office/drawing/2014/main" id="{00000000-0008-0000-0600-0000B6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83" name="Straight Connector 182">
          <a:extLst>
            <a:ext uri="{FF2B5EF4-FFF2-40B4-BE49-F238E27FC236}">
              <a16:creationId xmlns="" xmlns:a16="http://schemas.microsoft.com/office/drawing/2014/main" id="{00000000-0008-0000-0600-0000B7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84" name="Straight Arrow Connector 183">
          <a:extLst>
            <a:ext uri="{FF2B5EF4-FFF2-40B4-BE49-F238E27FC236}">
              <a16:creationId xmlns="" xmlns:a16="http://schemas.microsoft.com/office/drawing/2014/main" id="{00000000-0008-0000-0600-0000B8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85" name="Straight Connector 184">
          <a:extLst>
            <a:ext uri="{FF2B5EF4-FFF2-40B4-BE49-F238E27FC236}">
              <a16:creationId xmlns="" xmlns:a16="http://schemas.microsoft.com/office/drawing/2014/main" id="{00000000-0008-0000-0600-0000B9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86" name="Straight Arrow Connector 185">
          <a:extLst>
            <a:ext uri="{FF2B5EF4-FFF2-40B4-BE49-F238E27FC236}">
              <a16:creationId xmlns="" xmlns:a16="http://schemas.microsoft.com/office/drawing/2014/main" id="{00000000-0008-0000-0600-0000BA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87" name="Straight Arrow Connector 186">
          <a:extLst>
            <a:ext uri="{FF2B5EF4-FFF2-40B4-BE49-F238E27FC236}">
              <a16:creationId xmlns="" xmlns:a16="http://schemas.microsoft.com/office/drawing/2014/main" id="{00000000-0008-0000-0600-0000BB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88" name="Straight Connector 187">
          <a:extLst>
            <a:ext uri="{FF2B5EF4-FFF2-40B4-BE49-F238E27FC236}">
              <a16:creationId xmlns="" xmlns:a16="http://schemas.microsoft.com/office/drawing/2014/main" id="{00000000-0008-0000-0600-0000BC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89" name="Straight Connector 188">
          <a:extLst>
            <a:ext uri="{FF2B5EF4-FFF2-40B4-BE49-F238E27FC236}">
              <a16:creationId xmlns="" xmlns:a16="http://schemas.microsoft.com/office/drawing/2014/main" id="{00000000-0008-0000-0600-0000BD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90" name="Straight Connector 189">
          <a:extLst>
            <a:ext uri="{FF2B5EF4-FFF2-40B4-BE49-F238E27FC236}">
              <a16:creationId xmlns="" xmlns:a16="http://schemas.microsoft.com/office/drawing/2014/main" id="{00000000-0008-0000-0600-0000BE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="" xmlns:a16="http://schemas.microsoft.com/office/drawing/2014/main" id="{00000000-0008-0000-0600-0000BF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92" name="Straight Connector 191">
          <a:extLst>
            <a:ext uri="{FF2B5EF4-FFF2-40B4-BE49-F238E27FC236}">
              <a16:creationId xmlns="" xmlns:a16="http://schemas.microsoft.com/office/drawing/2014/main" id="{00000000-0008-0000-0600-0000C0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93" name="Straight Connector 192">
          <a:extLst>
            <a:ext uri="{FF2B5EF4-FFF2-40B4-BE49-F238E27FC236}">
              <a16:creationId xmlns="" xmlns:a16="http://schemas.microsoft.com/office/drawing/2014/main" id="{00000000-0008-0000-0600-0000C1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94" name="Straight Arrow Connector 193">
          <a:extLst>
            <a:ext uri="{FF2B5EF4-FFF2-40B4-BE49-F238E27FC236}">
              <a16:creationId xmlns="" xmlns:a16="http://schemas.microsoft.com/office/drawing/2014/main" id="{00000000-0008-0000-0600-0000C2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95" name="Straight Arrow Connector 194">
          <a:extLst>
            <a:ext uri="{FF2B5EF4-FFF2-40B4-BE49-F238E27FC236}">
              <a16:creationId xmlns="" xmlns:a16="http://schemas.microsoft.com/office/drawing/2014/main" id="{00000000-0008-0000-0600-0000C3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96" name="Straight Connector 195">
          <a:extLst>
            <a:ext uri="{FF2B5EF4-FFF2-40B4-BE49-F238E27FC236}">
              <a16:creationId xmlns="" xmlns:a16="http://schemas.microsoft.com/office/drawing/2014/main" id="{00000000-0008-0000-0600-0000C4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97" name="Freeform 196">
          <a:extLst>
            <a:ext uri="{FF2B5EF4-FFF2-40B4-BE49-F238E27FC236}">
              <a16:creationId xmlns="" xmlns:a16="http://schemas.microsoft.com/office/drawing/2014/main" id="{00000000-0008-0000-0600-0000C5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98" name="Freeform 197">
          <a:extLst>
            <a:ext uri="{FF2B5EF4-FFF2-40B4-BE49-F238E27FC236}">
              <a16:creationId xmlns="" xmlns:a16="http://schemas.microsoft.com/office/drawing/2014/main" id="{00000000-0008-0000-0600-0000C6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99" name="Freeform 198">
          <a:extLst>
            <a:ext uri="{FF2B5EF4-FFF2-40B4-BE49-F238E27FC236}">
              <a16:creationId xmlns="" xmlns:a16="http://schemas.microsoft.com/office/drawing/2014/main" id="{00000000-0008-0000-0600-0000C7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="" xmlns:a16="http://schemas.microsoft.com/office/drawing/2014/main" id="{00000000-0008-0000-0600-0000C8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01" name="Straight Arrow Connector 200">
          <a:extLst>
            <a:ext uri="{FF2B5EF4-FFF2-40B4-BE49-F238E27FC236}">
              <a16:creationId xmlns="" xmlns:a16="http://schemas.microsoft.com/office/drawing/2014/main" id="{00000000-0008-0000-0600-0000C9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="" xmlns:a16="http://schemas.microsoft.com/office/drawing/2014/main" id="{00000000-0008-0000-0600-0000CA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03" name="Straight Arrow Connector 202">
          <a:extLst>
            <a:ext uri="{FF2B5EF4-FFF2-40B4-BE49-F238E27FC236}">
              <a16:creationId xmlns="" xmlns:a16="http://schemas.microsoft.com/office/drawing/2014/main" id="{00000000-0008-0000-0600-0000CB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04" name="Straight Arrow Connector 203">
          <a:extLst>
            <a:ext uri="{FF2B5EF4-FFF2-40B4-BE49-F238E27FC236}">
              <a16:creationId xmlns="" xmlns:a16="http://schemas.microsoft.com/office/drawing/2014/main" id="{00000000-0008-0000-0600-0000CC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05" name="Straight Arrow Connector 204">
          <a:extLst>
            <a:ext uri="{FF2B5EF4-FFF2-40B4-BE49-F238E27FC236}">
              <a16:creationId xmlns="" xmlns:a16="http://schemas.microsoft.com/office/drawing/2014/main" id="{00000000-0008-0000-0600-0000CD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06" name="Straight Arrow Connector 205">
          <a:extLst>
            <a:ext uri="{FF2B5EF4-FFF2-40B4-BE49-F238E27FC236}">
              <a16:creationId xmlns="" xmlns:a16="http://schemas.microsoft.com/office/drawing/2014/main" id="{00000000-0008-0000-0600-0000CE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07" name="Straight Arrow Connector 206">
          <a:extLst>
            <a:ext uri="{FF2B5EF4-FFF2-40B4-BE49-F238E27FC236}">
              <a16:creationId xmlns="" xmlns:a16="http://schemas.microsoft.com/office/drawing/2014/main" id="{00000000-0008-0000-0600-0000CF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208" name="Straight Arrow Connector 207">
          <a:extLst>
            <a:ext uri="{FF2B5EF4-FFF2-40B4-BE49-F238E27FC236}">
              <a16:creationId xmlns="" xmlns:a16="http://schemas.microsoft.com/office/drawing/2014/main" id="{00000000-0008-0000-0600-0000D0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09" name="Straight Arrow Connector 208">
          <a:extLst>
            <a:ext uri="{FF2B5EF4-FFF2-40B4-BE49-F238E27FC236}">
              <a16:creationId xmlns="" xmlns:a16="http://schemas.microsoft.com/office/drawing/2014/main" id="{00000000-0008-0000-0600-0000D1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10" name="Straight Arrow Connector 209">
          <a:extLst>
            <a:ext uri="{FF2B5EF4-FFF2-40B4-BE49-F238E27FC236}">
              <a16:creationId xmlns="" xmlns:a16="http://schemas.microsoft.com/office/drawing/2014/main" id="{00000000-0008-0000-0600-0000D2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11" name="Straight Arrow Connector 210">
          <a:extLst>
            <a:ext uri="{FF2B5EF4-FFF2-40B4-BE49-F238E27FC236}">
              <a16:creationId xmlns="" xmlns:a16="http://schemas.microsoft.com/office/drawing/2014/main" id="{00000000-0008-0000-0600-0000D3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12" name="Straight Arrow Connector 211">
          <a:extLst>
            <a:ext uri="{FF2B5EF4-FFF2-40B4-BE49-F238E27FC236}">
              <a16:creationId xmlns="" xmlns:a16="http://schemas.microsoft.com/office/drawing/2014/main" id="{00000000-0008-0000-0600-0000D4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13" name="Straight Arrow Connector 212">
          <a:extLst>
            <a:ext uri="{FF2B5EF4-FFF2-40B4-BE49-F238E27FC236}">
              <a16:creationId xmlns="" xmlns:a16="http://schemas.microsoft.com/office/drawing/2014/main" id="{00000000-0008-0000-0600-0000D5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14" name="Group 213">
          <a:extLst>
            <a:ext uri="{FF2B5EF4-FFF2-40B4-BE49-F238E27FC236}">
              <a16:creationId xmlns="" xmlns:a16="http://schemas.microsoft.com/office/drawing/2014/main" id="{00000000-0008-0000-0600-0000D6000000}"/>
            </a:ext>
          </a:extLst>
        </xdr:cNvPr>
        <xdr:cNvGrpSpPr/>
      </xdr:nvGrpSpPr>
      <xdr:grpSpPr>
        <a:xfrm>
          <a:off x="1122045" y="18468975"/>
          <a:ext cx="1390650" cy="192405"/>
          <a:chOff x="1876425" y="19478625"/>
          <a:chExt cx="1533525" cy="219075"/>
        </a:xfrm>
      </xdr:grpSpPr>
      <xdr:cxnSp macro="">
        <xdr:nvCxnSpPr>
          <xdr:cNvPr id="215" name="Straight Arrow Connector 214">
            <a:extLst>
              <a:ext uri="{FF2B5EF4-FFF2-40B4-BE49-F238E27FC236}">
                <a16:creationId xmlns="" xmlns:a16="http://schemas.microsoft.com/office/drawing/2014/main" id="{00000000-0008-0000-0600-0000D7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16" name="Group 215">
            <a:extLst>
              <a:ext uri="{FF2B5EF4-FFF2-40B4-BE49-F238E27FC236}">
                <a16:creationId xmlns="" xmlns:a16="http://schemas.microsoft.com/office/drawing/2014/main" id="{00000000-0008-0000-0600-0000D8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17" name="Straight Arrow Connector 216">
              <a:extLst>
                <a:ext uri="{FF2B5EF4-FFF2-40B4-BE49-F238E27FC236}">
                  <a16:creationId xmlns="" xmlns:a16="http://schemas.microsoft.com/office/drawing/2014/main" id="{00000000-0008-0000-0600-0000D9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" name="Straight Arrow Connector 217">
              <a:extLst>
                <a:ext uri="{FF2B5EF4-FFF2-40B4-BE49-F238E27FC236}">
                  <a16:creationId xmlns="" xmlns:a16="http://schemas.microsoft.com/office/drawing/2014/main" id="{00000000-0008-0000-0600-0000DA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" name="Straight Arrow Connector 218">
              <a:extLst>
                <a:ext uri="{FF2B5EF4-FFF2-40B4-BE49-F238E27FC236}">
                  <a16:creationId xmlns="" xmlns:a16="http://schemas.microsoft.com/office/drawing/2014/main" id="{00000000-0008-0000-0600-0000DB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" name="Straight Arrow Connector 219">
              <a:extLst>
                <a:ext uri="{FF2B5EF4-FFF2-40B4-BE49-F238E27FC236}">
                  <a16:creationId xmlns="" xmlns:a16="http://schemas.microsoft.com/office/drawing/2014/main" id="{00000000-0008-0000-0600-0000DC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" name="Straight Arrow Connector 220">
              <a:extLst>
                <a:ext uri="{FF2B5EF4-FFF2-40B4-BE49-F238E27FC236}">
                  <a16:creationId xmlns="" xmlns:a16="http://schemas.microsoft.com/office/drawing/2014/main" id="{00000000-0008-0000-0600-0000DD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" name="Straight Arrow Connector 221">
              <a:extLst>
                <a:ext uri="{FF2B5EF4-FFF2-40B4-BE49-F238E27FC236}">
                  <a16:creationId xmlns="" xmlns:a16="http://schemas.microsoft.com/office/drawing/2014/main" id="{00000000-0008-0000-0600-0000DE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" name="Straight Arrow Connector 222">
              <a:extLst>
                <a:ext uri="{FF2B5EF4-FFF2-40B4-BE49-F238E27FC236}">
                  <a16:creationId xmlns="" xmlns:a16="http://schemas.microsoft.com/office/drawing/2014/main" id="{00000000-0008-0000-0600-0000DF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" name="Straight Arrow Connector 223">
              <a:extLst>
                <a:ext uri="{FF2B5EF4-FFF2-40B4-BE49-F238E27FC236}">
                  <a16:creationId xmlns="" xmlns:a16="http://schemas.microsoft.com/office/drawing/2014/main" id="{00000000-0008-0000-0600-0000E0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" name="Straight Arrow Connector 224">
              <a:extLst>
                <a:ext uri="{FF2B5EF4-FFF2-40B4-BE49-F238E27FC236}">
                  <a16:creationId xmlns="" xmlns:a16="http://schemas.microsoft.com/office/drawing/2014/main" id="{00000000-0008-0000-0600-0000E1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" name="Straight Arrow Connector 225">
              <a:extLst>
                <a:ext uri="{FF2B5EF4-FFF2-40B4-BE49-F238E27FC236}">
                  <a16:creationId xmlns="" xmlns:a16="http://schemas.microsoft.com/office/drawing/2014/main" id="{00000000-0008-0000-0600-0000E2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27" name="Group 226">
          <a:extLst>
            <a:ext uri="{FF2B5EF4-FFF2-40B4-BE49-F238E27FC236}">
              <a16:creationId xmlns="" xmlns:a16="http://schemas.microsoft.com/office/drawing/2014/main" id="{00000000-0008-0000-0600-0000E3000000}"/>
            </a:ext>
          </a:extLst>
        </xdr:cNvPr>
        <xdr:cNvGrpSpPr/>
      </xdr:nvGrpSpPr>
      <xdr:grpSpPr>
        <a:xfrm>
          <a:off x="5092065" y="18468975"/>
          <a:ext cx="1440180" cy="192405"/>
          <a:chOff x="1876425" y="19478625"/>
          <a:chExt cx="1533525" cy="219075"/>
        </a:xfrm>
      </xdr:grpSpPr>
      <xdr:cxnSp macro="">
        <xdr:nvCxnSpPr>
          <xdr:cNvPr id="228" name="Straight Arrow Connector 227">
            <a:extLst>
              <a:ext uri="{FF2B5EF4-FFF2-40B4-BE49-F238E27FC236}">
                <a16:creationId xmlns="" xmlns:a16="http://schemas.microsoft.com/office/drawing/2014/main" id="{00000000-0008-0000-0600-0000E4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9" name="Group 228">
            <a:extLst>
              <a:ext uri="{FF2B5EF4-FFF2-40B4-BE49-F238E27FC236}">
                <a16:creationId xmlns="" xmlns:a16="http://schemas.microsoft.com/office/drawing/2014/main" id="{00000000-0008-0000-0600-0000E5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30" name="Straight Arrow Connector 229">
              <a:extLst>
                <a:ext uri="{FF2B5EF4-FFF2-40B4-BE49-F238E27FC236}">
                  <a16:creationId xmlns="" xmlns:a16="http://schemas.microsoft.com/office/drawing/2014/main" id="{00000000-0008-0000-0600-0000E6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" name="Straight Arrow Connector 230">
              <a:extLst>
                <a:ext uri="{FF2B5EF4-FFF2-40B4-BE49-F238E27FC236}">
                  <a16:creationId xmlns="" xmlns:a16="http://schemas.microsoft.com/office/drawing/2014/main" id="{00000000-0008-0000-0600-0000E7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" name="Straight Arrow Connector 231">
              <a:extLst>
                <a:ext uri="{FF2B5EF4-FFF2-40B4-BE49-F238E27FC236}">
                  <a16:creationId xmlns="" xmlns:a16="http://schemas.microsoft.com/office/drawing/2014/main" id="{00000000-0008-0000-0600-0000E8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" name="Straight Arrow Connector 232">
              <a:extLst>
                <a:ext uri="{FF2B5EF4-FFF2-40B4-BE49-F238E27FC236}">
                  <a16:creationId xmlns="" xmlns:a16="http://schemas.microsoft.com/office/drawing/2014/main" id="{00000000-0008-0000-0600-0000E9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" name="Straight Arrow Connector 233">
              <a:extLst>
                <a:ext uri="{FF2B5EF4-FFF2-40B4-BE49-F238E27FC236}">
                  <a16:creationId xmlns="" xmlns:a16="http://schemas.microsoft.com/office/drawing/2014/main" id="{00000000-0008-0000-0600-0000EA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Straight Arrow Connector 234">
              <a:extLst>
                <a:ext uri="{FF2B5EF4-FFF2-40B4-BE49-F238E27FC236}">
                  <a16:creationId xmlns="" xmlns:a16="http://schemas.microsoft.com/office/drawing/2014/main" id="{00000000-0008-0000-0600-0000EB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" name="Straight Arrow Connector 235">
              <a:extLst>
                <a:ext uri="{FF2B5EF4-FFF2-40B4-BE49-F238E27FC236}">
                  <a16:creationId xmlns="" xmlns:a16="http://schemas.microsoft.com/office/drawing/2014/main" id="{00000000-0008-0000-0600-0000EC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" name="Straight Arrow Connector 236">
              <a:extLst>
                <a:ext uri="{FF2B5EF4-FFF2-40B4-BE49-F238E27FC236}">
                  <a16:creationId xmlns="" xmlns:a16="http://schemas.microsoft.com/office/drawing/2014/main" id="{00000000-0008-0000-0600-0000ED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" name="Straight Arrow Connector 237">
              <a:extLst>
                <a:ext uri="{FF2B5EF4-FFF2-40B4-BE49-F238E27FC236}">
                  <a16:creationId xmlns="" xmlns:a16="http://schemas.microsoft.com/office/drawing/2014/main" id="{00000000-0008-0000-0600-0000EE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" name="Straight Arrow Connector 238">
              <a:extLst>
                <a:ext uri="{FF2B5EF4-FFF2-40B4-BE49-F238E27FC236}">
                  <a16:creationId xmlns="" xmlns:a16="http://schemas.microsoft.com/office/drawing/2014/main" id="{00000000-0008-0000-0600-0000EF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240" name="Straight Arrow Connector 239">
          <a:extLst>
            <a:ext uri="{FF2B5EF4-FFF2-40B4-BE49-F238E27FC236}">
              <a16:creationId xmlns="" xmlns:a16="http://schemas.microsoft.com/office/drawing/2014/main" id="{00000000-0008-0000-0600-0000F0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241" name="Straight Arrow Connector 240">
          <a:extLst>
            <a:ext uri="{FF2B5EF4-FFF2-40B4-BE49-F238E27FC236}">
              <a16:creationId xmlns="" xmlns:a16="http://schemas.microsoft.com/office/drawing/2014/main" id="{00000000-0008-0000-0600-0000F1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242" name="Straight Connector 241">
          <a:extLst>
            <a:ext uri="{FF2B5EF4-FFF2-40B4-BE49-F238E27FC236}">
              <a16:creationId xmlns="" xmlns:a16="http://schemas.microsoft.com/office/drawing/2014/main" id="{00000000-0008-0000-0600-0000F2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243" name="Straight Arrow Connector 242">
          <a:extLst>
            <a:ext uri="{FF2B5EF4-FFF2-40B4-BE49-F238E27FC236}">
              <a16:creationId xmlns="" xmlns:a16="http://schemas.microsoft.com/office/drawing/2014/main" id="{00000000-0008-0000-0600-0000F3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244" name="Straight Connector 243">
          <a:extLst>
            <a:ext uri="{FF2B5EF4-FFF2-40B4-BE49-F238E27FC236}">
              <a16:creationId xmlns="" xmlns:a16="http://schemas.microsoft.com/office/drawing/2014/main" id="{00000000-0008-0000-0600-0000F4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245" name="Straight Connector 244">
          <a:extLst>
            <a:ext uri="{FF2B5EF4-FFF2-40B4-BE49-F238E27FC236}">
              <a16:creationId xmlns="" xmlns:a16="http://schemas.microsoft.com/office/drawing/2014/main" id="{00000000-0008-0000-0600-0000F5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246" name="Straight Connector 245">
          <a:extLst>
            <a:ext uri="{FF2B5EF4-FFF2-40B4-BE49-F238E27FC236}">
              <a16:creationId xmlns="" xmlns:a16="http://schemas.microsoft.com/office/drawing/2014/main" id="{00000000-0008-0000-0600-0000F6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247" name="Straight Connector 246">
          <a:extLst>
            <a:ext uri="{FF2B5EF4-FFF2-40B4-BE49-F238E27FC236}">
              <a16:creationId xmlns="" xmlns:a16="http://schemas.microsoft.com/office/drawing/2014/main" id="{00000000-0008-0000-0600-0000F7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248" name="Straight Connector 247">
          <a:extLst>
            <a:ext uri="{FF2B5EF4-FFF2-40B4-BE49-F238E27FC236}">
              <a16:creationId xmlns="" xmlns:a16="http://schemas.microsoft.com/office/drawing/2014/main" id="{00000000-0008-0000-0600-0000F8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249" name="Straight Connector 248">
          <a:extLst>
            <a:ext uri="{FF2B5EF4-FFF2-40B4-BE49-F238E27FC236}">
              <a16:creationId xmlns="" xmlns:a16="http://schemas.microsoft.com/office/drawing/2014/main" id="{00000000-0008-0000-0600-0000F9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250" name="Straight Arrow Connector 249">
          <a:extLst>
            <a:ext uri="{FF2B5EF4-FFF2-40B4-BE49-F238E27FC236}">
              <a16:creationId xmlns="" xmlns:a16="http://schemas.microsoft.com/office/drawing/2014/main" id="{00000000-0008-0000-0600-0000FA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251" name="Straight Connector 250">
          <a:extLst>
            <a:ext uri="{FF2B5EF4-FFF2-40B4-BE49-F238E27FC236}">
              <a16:creationId xmlns="" xmlns:a16="http://schemas.microsoft.com/office/drawing/2014/main" id="{00000000-0008-0000-0600-0000FB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252" name="Straight Arrow Connector 251">
          <a:extLst>
            <a:ext uri="{FF2B5EF4-FFF2-40B4-BE49-F238E27FC236}">
              <a16:creationId xmlns="" xmlns:a16="http://schemas.microsoft.com/office/drawing/2014/main" id="{00000000-0008-0000-0600-0000FC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253" name="Straight Arrow Connector 252">
          <a:extLst>
            <a:ext uri="{FF2B5EF4-FFF2-40B4-BE49-F238E27FC236}">
              <a16:creationId xmlns="" xmlns:a16="http://schemas.microsoft.com/office/drawing/2014/main" id="{00000000-0008-0000-0600-0000FD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254" name="Straight Connector 253">
          <a:extLst>
            <a:ext uri="{FF2B5EF4-FFF2-40B4-BE49-F238E27FC236}">
              <a16:creationId xmlns="" xmlns:a16="http://schemas.microsoft.com/office/drawing/2014/main" id="{00000000-0008-0000-0600-0000FE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255" name="Straight Connector 254">
          <a:extLst>
            <a:ext uri="{FF2B5EF4-FFF2-40B4-BE49-F238E27FC236}">
              <a16:creationId xmlns="" xmlns:a16="http://schemas.microsoft.com/office/drawing/2014/main" id="{00000000-0008-0000-0600-0000FF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256" name="Straight Connector 255">
          <a:extLst>
            <a:ext uri="{FF2B5EF4-FFF2-40B4-BE49-F238E27FC236}">
              <a16:creationId xmlns="" xmlns:a16="http://schemas.microsoft.com/office/drawing/2014/main" id="{00000000-0008-0000-0600-00000001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="" xmlns:a16="http://schemas.microsoft.com/office/drawing/2014/main" id="{00000000-0008-0000-0600-00000101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258" name="Straight Connector 257">
          <a:extLst>
            <a:ext uri="{FF2B5EF4-FFF2-40B4-BE49-F238E27FC236}">
              <a16:creationId xmlns="" xmlns:a16="http://schemas.microsoft.com/office/drawing/2014/main" id="{00000000-0008-0000-0600-00000201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="" xmlns:a16="http://schemas.microsoft.com/office/drawing/2014/main" id="{00000000-0008-0000-0600-00000301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260" name="Straight Arrow Connector 259">
          <a:extLst>
            <a:ext uri="{FF2B5EF4-FFF2-40B4-BE49-F238E27FC236}">
              <a16:creationId xmlns="" xmlns:a16="http://schemas.microsoft.com/office/drawing/2014/main" id="{00000000-0008-0000-0600-00000401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261" name="Straight Arrow Connector 260">
          <a:extLst>
            <a:ext uri="{FF2B5EF4-FFF2-40B4-BE49-F238E27FC236}">
              <a16:creationId xmlns="" xmlns:a16="http://schemas.microsoft.com/office/drawing/2014/main" id="{00000000-0008-0000-0600-00000501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262" name="Straight Connector 261">
          <a:extLst>
            <a:ext uri="{FF2B5EF4-FFF2-40B4-BE49-F238E27FC236}">
              <a16:creationId xmlns="" xmlns:a16="http://schemas.microsoft.com/office/drawing/2014/main" id="{00000000-0008-0000-0600-00000601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263" name="Freeform 262">
          <a:extLst>
            <a:ext uri="{FF2B5EF4-FFF2-40B4-BE49-F238E27FC236}">
              <a16:creationId xmlns="" xmlns:a16="http://schemas.microsoft.com/office/drawing/2014/main" id="{00000000-0008-0000-0600-00000701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264" name="Freeform 263">
          <a:extLst>
            <a:ext uri="{FF2B5EF4-FFF2-40B4-BE49-F238E27FC236}">
              <a16:creationId xmlns="" xmlns:a16="http://schemas.microsoft.com/office/drawing/2014/main" id="{00000000-0008-0000-0600-00000801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265" name="Freeform 264">
          <a:extLst>
            <a:ext uri="{FF2B5EF4-FFF2-40B4-BE49-F238E27FC236}">
              <a16:creationId xmlns="" xmlns:a16="http://schemas.microsoft.com/office/drawing/2014/main" id="{00000000-0008-0000-0600-00000901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66" name="Straight Arrow Connector 265">
          <a:extLst>
            <a:ext uri="{FF2B5EF4-FFF2-40B4-BE49-F238E27FC236}">
              <a16:creationId xmlns="" xmlns:a16="http://schemas.microsoft.com/office/drawing/2014/main" id="{00000000-0008-0000-0600-00000A01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67" name="Straight Arrow Connector 266">
          <a:extLst>
            <a:ext uri="{FF2B5EF4-FFF2-40B4-BE49-F238E27FC236}">
              <a16:creationId xmlns="" xmlns:a16="http://schemas.microsoft.com/office/drawing/2014/main" id="{00000000-0008-0000-0600-00000B01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68" name="Straight Arrow Connector 267">
          <a:extLst>
            <a:ext uri="{FF2B5EF4-FFF2-40B4-BE49-F238E27FC236}">
              <a16:creationId xmlns="" xmlns:a16="http://schemas.microsoft.com/office/drawing/2014/main" id="{00000000-0008-0000-0600-00000C01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69" name="Straight Arrow Connector 268">
          <a:extLst>
            <a:ext uri="{FF2B5EF4-FFF2-40B4-BE49-F238E27FC236}">
              <a16:creationId xmlns="" xmlns:a16="http://schemas.microsoft.com/office/drawing/2014/main" id="{00000000-0008-0000-0600-00000D01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70" name="Straight Arrow Connector 269">
          <a:extLst>
            <a:ext uri="{FF2B5EF4-FFF2-40B4-BE49-F238E27FC236}">
              <a16:creationId xmlns="" xmlns:a16="http://schemas.microsoft.com/office/drawing/2014/main" id="{00000000-0008-0000-0600-00000E01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71" name="Straight Arrow Connector 270">
          <a:extLst>
            <a:ext uri="{FF2B5EF4-FFF2-40B4-BE49-F238E27FC236}">
              <a16:creationId xmlns="" xmlns:a16="http://schemas.microsoft.com/office/drawing/2014/main" id="{00000000-0008-0000-0600-00000F01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72" name="Straight Arrow Connector 271">
          <a:extLst>
            <a:ext uri="{FF2B5EF4-FFF2-40B4-BE49-F238E27FC236}">
              <a16:creationId xmlns="" xmlns:a16="http://schemas.microsoft.com/office/drawing/2014/main" id="{00000000-0008-0000-0600-00001001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73" name="Straight Arrow Connector 272">
          <a:extLst>
            <a:ext uri="{FF2B5EF4-FFF2-40B4-BE49-F238E27FC236}">
              <a16:creationId xmlns="" xmlns:a16="http://schemas.microsoft.com/office/drawing/2014/main" id="{00000000-0008-0000-0600-00001101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2</xdr:row>
      <xdr:rowOff>152400</xdr:rowOff>
    </xdr:from>
    <xdr:to>
      <xdr:col>11</xdr:col>
      <xdr:colOff>266700</xdr:colOff>
      <xdr:row>2</xdr:row>
      <xdr:rowOff>152400</xdr:rowOff>
    </xdr:to>
    <xdr:cxnSp macro="">
      <xdr:nvCxnSpPr>
        <xdr:cNvPr id="274" name="Straight Arrow Connector 273">
          <a:extLst>
            <a:ext uri="{FF2B5EF4-FFF2-40B4-BE49-F238E27FC236}">
              <a16:creationId xmlns="" xmlns:a16="http://schemas.microsoft.com/office/drawing/2014/main" id="{00000000-0008-0000-0600-000012010000}"/>
            </a:ext>
          </a:extLst>
        </xdr:cNvPr>
        <xdr:cNvCxnSpPr/>
      </xdr:nvCxnSpPr>
      <xdr:spPr>
        <a:xfrm>
          <a:off x="1238250" y="533400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75" name="Straight Arrow Connector 274">
          <a:extLst>
            <a:ext uri="{FF2B5EF4-FFF2-40B4-BE49-F238E27FC236}">
              <a16:creationId xmlns="" xmlns:a16="http://schemas.microsoft.com/office/drawing/2014/main" id="{00000000-0008-0000-0600-00001301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76" name="Straight Arrow Connector 275">
          <a:extLst>
            <a:ext uri="{FF2B5EF4-FFF2-40B4-BE49-F238E27FC236}">
              <a16:creationId xmlns="" xmlns:a16="http://schemas.microsoft.com/office/drawing/2014/main" id="{00000000-0008-0000-0600-00001401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77" name="Straight Arrow Connector 276">
          <a:extLst>
            <a:ext uri="{FF2B5EF4-FFF2-40B4-BE49-F238E27FC236}">
              <a16:creationId xmlns="" xmlns:a16="http://schemas.microsoft.com/office/drawing/2014/main" id="{00000000-0008-0000-0600-000015010000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78" name="Straight Arrow Connector 277">
          <a:extLst>
            <a:ext uri="{FF2B5EF4-FFF2-40B4-BE49-F238E27FC236}">
              <a16:creationId xmlns="" xmlns:a16="http://schemas.microsoft.com/office/drawing/2014/main" id="{00000000-0008-0000-0600-00001601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79" name="Straight Arrow Connector 278">
          <a:extLst>
            <a:ext uri="{FF2B5EF4-FFF2-40B4-BE49-F238E27FC236}">
              <a16:creationId xmlns="" xmlns:a16="http://schemas.microsoft.com/office/drawing/2014/main" id="{00000000-0008-0000-0600-00001701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80" name="Group 279">
          <a:extLst>
            <a:ext uri="{FF2B5EF4-FFF2-40B4-BE49-F238E27FC236}">
              <a16:creationId xmlns="" xmlns:a16="http://schemas.microsoft.com/office/drawing/2014/main" id="{00000000-0008-0000-0600-000018010000}"/>
            </a:ext>
          </a:extLst>
        </xdr:cNvPr>
        <xdr:cNvGrpSpPr/>
      </xdr:nvGrpSpPr>
      <xdr:grpSpPr>
        <a:xfrm>
          <a:off x="1122045" y="18468975"/>
          <a:ext cx="1390650" cy="192405"/>
          <a:chOff x="1876425" y="19478625"/>
          <a:chExt cx="1533525" cy="219075"/>
        </a:xfrm>
      </xdr:grpSpPr>
      <xdr:cxnSp macro="">
        <xdr:nvCxnSpPr>
          <xdr:cNvPr id="281" name="Straight Arrow Connector 280">
            <a:extLst>
              <a:ext uri="{FF2B5EF4-FFF2-40B4-BE49-F238E27FC236}">
                <a16:creationId xmlns="" xmlns:a16="http://schemas.microsoft.com/office/drawing/2014/main" id="{00000000-0008-0000-0600-00001901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82" name="Group 281">
            <a:extLst>
              <a:ext uri="{FF2B5EF4-FFF2-40B4-BE49-F238E27FC236}">
                <a16:creationId xmlns="" xmlns:a16="http://schemas.microsoft.com/office/drawing/2014/main" id="{00000000-0008-0000-0600-00001A01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83" name="Straight Arrow Connector 282">
              <a:extLst>
                <a:ext uri="{FF2B5EF4-FFF2-40B4-BE49-F238E27FC236}">
                  <a16:creationId xmlns="" xmlns:a16="http://schemas.microsoft.com/office/drawing/2014/main" id="{00000000-0008-0000-0600-00001B01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" name="Straight Arrow Connector 283">
              <a:extLst>
                <a:ext uri="{FF2B5EF4-FFF2-40B4-BE49-F238E27FC236}">
                  <a16:creationId xmlns="" xmlns:a16="http://schemas.microsoft.com/office/drawing/2014/main" id="{00000000-0008-0000-0600-00001C01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" name="Straight Arrow Connector 284">
              <a:extLst>
                <a:ext uri="{FF2B5EF4-FFF2-40B4-BE49-F238E27FC236}">
                  <a16:creationId xmlns="" xmlns:a16="http://schemas.microsoft.com/office/drawing/2014/main" id="{00000000-0008-0000-0600-00001D01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" name="Straight Arrow Connector 285">
              <a:extLst>
                <a:ext uri="{FF2B5EF4-FFF2-40B4-BE49-F238E27FC236}">
                  <a16:creationId xmlns="" xmlns:a16="http://schemas.microsoft.com/office/drawing/2014/main" id="{00000000-0008-0000-0600-00001E01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" name="Straight Arrow Connector 286">
              <a:extLst>
                <a:ext uri="{FF2B5EF4-FFF2-40B4-BE49-F238E27FC236}">
                  <a16:creationId xmlns="" xmlns:a16="http://schemas.microsoft.com/office/drawing/2014/main" id="{00000000-0008-0000-0600-00001F01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" name="Straight Arrow Connector 287">
              <a:extLst>
                <a:ext uri="{FF2B5EF4-FFF2-40B4-BE49-F238E27FC236}">
                  <a16:creationId xmlns="" xmlns:a16="http://schemas.microsoft.com/office/drawing/2014/main" id="{00000000-0008-0000-0600-00002001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" name="Straight Arrow Connector 288">
              <a:extLst>
                <a:ext uri="{FF2B5EF4-FFF2-40B4-BE49-F238E27FC236}">
                  <a16:creationId xmlns="" xmlns:a16="http://schemas.microsoft.com/office/drawing/2014/main" id="{00000000-0008-0000-0600-00002101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" name="Straight Arrow Connector 289">
              <a:extLst>
                <a:ext uri="{FF2B5EF4-FFF2-40B4-BE49-F238E27FC236}">
                  <a16:creationId xmlns="" xmlns:a16="http://schemas.microsoft.com/office/drawing/2014/main" id="{00000000-0008-0000-0600-00002201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Straight Arrow Connector 290">
              <a:extLst>
                <a:ext uri="{FF2B5EF4-FFF2-40B4-BE49-F238E27FC236}">
                  <a16:creationId xmlns="" xmlns:a16="http://schemas.microsoft.com/office/drawing/2014/main" id="{00000000-0008-0000-0600-00002301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" name="Straight Arrow Connector 291">
              <a:extLst>
                <a:ext uri="{FF2B5EF4-FFF2-40B4-BE49-F238E27FC236}">
                  <a16:creationId xmlns="" xmlns:a16="http://schemas.microsoft.com/office/drawing/2014/main" id="{00000000-0008-0000-0600-00002401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3" name="Group 292">
          <a:extLst>
            <a:ext uri="{FF2B5EF4-FFF2-40B4-BE49-F238E27FC236}">
              <a16:creationId xmlns="" xmlns:a16="http://schemas.microsoft.com/office/drawing/2014/main" id="{00000000-0008-0000-0600-000025010000}"/>
            </a:ext>
          </a:extLst>
        </xdr:cNvPr>
        <xdr:cNvGrpSpPr/>
      </xdr:nvGrpSpPr>
      <xdr:grpSpPr>
        <a:xfrm>
          <a:off x="5092065" y="18468975"/>
          <a:ext cx="1440180" cy="192405"/>
          <a:chOff x="1876425" y="19478625"/>
          <a:chExt cx="1533525" cy="219075"/>
        </a:xfrm>
      </xdr:grpSpPr>
      <xdr:cxnSp macro="">
        <xdr:nvCxnSpPr>
          <xdr:cNvPr id="294" name="Straight Arrow Connector 293">
            <a:extLst>
              <a:ext uri="{FF2B5EF4-FFF2-40B4-BE49-F238E27FC236}">
                <a16:creationId xmlns="" xmlns:a16="http://schemas.microsoft.com/office/drawing/2014/main" id="{00000000-0008-0000-0600-00002601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95" name="Group 294">
            <a:extLst>
              <a:ext uri="{FF2B5EF4-FFF2-40B4-BE49-F238E27FC236}">
                <a16:creationId xmlns="" xmlns:a16="http://schemas.microsoft.com/office/drawing/2014/main" id="{00000000-0008-0000-0600-00002701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96" name="Straight Arrow Connector 295">
              <a:extLst>
                <a:ext uri="{FF2B5EF4-FFF2-40B4-BE49-F238E27FC236}">
                  <a16:creationId xmlns="" xmlns:a16="http://schemas.microsoft.com/office/drawing/2014/main" id="{00000000-0008-0000-0600-00002801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" name="Straight Arrow Connector 296">
              <a:extLst>
                <a:ext uri="{FF2B5EF4-FFF2-40B4-BE49-F238E27FC236}">
                  <a16:creationId xmlns="" xmlns:a16="http://schemas.microsoft.com/office/drawing/2014/main" id="{00000000-0008-0000-0600-00002901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" name="Straight Arrow Connector 297">
              <a:extLst>
                <a:ext uri="{FF2B5EF4-FFF2-40B4-BE49-F238E27FC236}">
                  <a16:creationId xmlns="" xmlns:a16="http://schemas.microsoft.com/office/drawing/2014/main" id="{00000000-0008-0000-0600-00002A01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" name="Straight Arrow Connector 298">
              <a:extLst>
                <a:ext uri="{FF2B5EF4-FFF2-40B4-BE49-F238E27FC236}">
                  <a16:creationId xmlns="" xmlns:a16="http://schemas.microsoft.com/office/drawing/2014/main" id="{00000000-0008-0000-0600-00002B01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" name="Straight Arrow Connector 299">
              <a:extLst>
                <a:ext uri="{FF2B5EF4-FFF2-40B4-BE49-F238E27FC236}">
                  <a16:creationId xmlns="" xmlns:a16="http://schemas.microsoft.com/office/drawing/2014/main" id="{00000000-0008-0000-0600-00002C01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Straight Arrow Connector 300">
              <a:extLst>
                <a:ext uri="{FF2B5EF4-FFF2-40B4-BE49-F238E27FC236}">
                  <a16:creationId xmlns="" xmlns:a16="http://schemas.microsoft.com/office/drawing/2014/main" id="{00000000-0008-0000-0600-00002D01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" name="Straight Arrow Connector 301">
              <a:extLst>
                <a:ext uri="{FF2B5EF4-FFF2-40B4-BE49-F238E27FC236}">
                  <a16:creationId xmlns="" xmlns:a16="http://schemas.microsoft.com/office/drawing/2014/main" id="{00000000-0008-0000-0600-00002E01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" name="Straight Arrow Connector 302">
              <a:extLst>
                <a:ext uri="{FF2B5EF4-FFF2-40B4-BE49-F238E27FC236}">
                  <a16:creationId xmlns="" xmlns:a16="http://schemas.microsoft.com/office/drawing/2014/main" id="{00000000-0008-0000-0600-00002F01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" name="Straight Arrow Connector 303">
              <a:extLst>
                <a:ext uri="{FF2B5EF4-FFF2-40B4-BE49-F238E27FC236}">
                  <a16:creationId xmlns="" xmlns:a16="http://schemas.microsoft.com/office/drawing/2014/main" id="{00000000-0008-0000-0600-00003001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" name="Straight Arrow Connector 304">
              <a:extLst>
                <a:ext uri="{FF2B5EF4-FFF2-40B4-BE49-F238E27FC236}">
                  <a16:creationId xmlns="" xmlns:a16="http://schemas.microsoft.com/office/drawing/2014/main" id="{00000000-0008-0000-0600-00003101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306" name="Straight Arrow Connector 305">
          <a:extLst>
            <a:ext uri="{FF2B5EF4-FFF2-40B4-BE49-F238E27FC236}">
              <a16:creationId xmlns="" xmlns:a16="http://schemas.microsoft.com/office/drawing/2014/main" id="{00000000-0008-0000-0600-00003201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307" name="Straight Arrow Connector 306">
          <a:extLst>
            <a:ext uri="{FF2B5EF4-FFF2-40B4-BE49-F238E27FC236}">
              <a16:creationId xmlns="" xmlns:a16="http://schemas.microsoft.com/office/drawing/2014/main" id="{00000000-0008-0000-0600-00003301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308" name="Straight Connector 307">
          <a:extLst>
            <a:ext uri="{FF2B5EF4-FFF2-40B4-BE49-F238E27FC236}">
              <a16:creationId xmlns="" xmlns:a16="http://schemas.microsoft.com/office/drawing/2014/main" id="{00000000-0008-0000-0600-00003401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309" name="Straight Arrow Connector 308">
          <a:extLst>
            <a:ext uri="{FF2B5EF4-FFF2-40B4-BE49-F238E27FC236}">
              <a16:creationId xmlns="" xmlns:a16="http://schemas.microsoft.com/office/drawing/2014/main" id="{00000000-0008-0000-0600-00003501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310" name="Straight Connector 309">
          <a:extLst>
            <a:ext uri="{FF2B5EF4-FFF2-40B4-BE49-F238E27FC236}">
              <a16:creationId xmlns="" xmlns:a16="http://schemas.microsoft.com/office/drawing/2014/main" id="{00000000-0008-0000-0600-00003601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311" name="Straight Connector 310">
          <a:extLst>
            <a:ext uri="{FF2B5EF4-FFF2-40B4-BE49-F238E27FC236}">
              <a16:creationId xmlns="" xmlns:a16="http://schemas.microsoft.com/office/drawing/2014/main" id="{00000000-0008-0000-0600-00003701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312" name="Straight Connector 311">
          <a:extLst>
            <a:ext uri="{FF2B5EF4-FFF2-40B4-BE49-F238E27FC236}">
              <a16:creationId xmlns="" xmlns:a16="http://schemas.microsoft.com/office/drawing/2014/main" id="{00000000-0008-0000-0600-00003801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313" name="Straight Connector 312">
          <a:extLst>
            <a:ext uri="{FF2B5EF4-FFF2-40B4-BE49-F238E27FC236}">
              <a16:creationId xmlns="" xmlns:a16="http://schemas.microsoft.com/office/drawing/2014/main" id="{00000000-0008-0000-0600-00003901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="" xmlns:a16="http://schemas.microsoft.com/office/drawing/2014/main" id="{00000000-0008-0000-0600-00003A01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="" xmlns:a16="http://schemas.microsoft.com/office/drawing/2014/main" id="{00000000-0008-0000-0600-00003B01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316" name="Straight Arrow Connector 315">
          <a:extLst>
            <a:ext uri="{FF2B5EF4-FFF2-40B4-BE49-F238E27FC236}">
              <a16:creationId xmlns="" xmlns:a16="http://schemas.microsoft.com/office/drawing/2014/main" id="{00000000-0008-0000-0600-00003C01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317" name="Straight Connector 316">
          <a:extLst>
            <a:ext uri="{FF2B5EF4-FFF2-40B4-BE49-F238E27FC236}">
              <a16:creationId xmlns="" xmlns:a16="http://schemas.microsoft.com/office/drawing/2014/main" id="{00000000-0008-0000-0600-00003D01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318" name="Straight Arrow Connector 317">
          <a:extLst>
            <a:ext uri="{FF2B5EF4-FFF2-40B4-BE49-F238E27FC236}">
              <a16:creationId xmlns="" xmlns:a16="http://schemas.microsoft.com/office/drawing/2014/main" id="{00000000-0008-0000-0600-00003E01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="" xmlns:a16="http://schemas.microsoft.com/office/drawing/2014/main" id="{00000000-0008-0000-0600-00003F01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320" name="Straight Connector 319">
          <a:extLst>
            <a:ext uri="{FF2B5EF4-FFF2-40B4-BE49-F238E27FC236}">
              <a16:creationId xmlns="" xmlns:a16="http://schemas.microsoft.com/office/drawing/2014/main" id="{00000000-0008-0000-0600-00004001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321" name="Straight Connector 320">
          <a:extLst>
            <a:ext uri="{FF2B5EF4-FFF2-40B4-BE49-F238E27FC236}">
              <a16:creationId xmlns="" xmlns:a16="http://schemas.microsoft.com/office/drawing/2014/main" id="{00000000-0008-0000-0600-00004101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322" name="Straight Connector 321">
          <a:extLst>
            <a:ext uri="{FF2B5EF4-FFF2-40B4-BE49-F238E27FC236}">
              <a16:creationId xmlns="" xmlns:a16="http://schemas.microsoft.com/office/drawing/2014/main" id="{00000000-0008-0000-0600-00004201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="" xmlns:a16="http://schemas.microsoft.com/office/drawing/2014/main" id="{00000000-0008-0000-0600-00004301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324" name="Straight Connector 323">
          <a:extLst>
            <a:ext uri="{FF2B5EF4-FFF2-40B4-BE49-F238E27FC236}">
              <a16:creationId xmlns="" xmlns:a16="http://schemas.microsoft.com/office/drawing/2014/main" id="{00000000-0008-0000-0600-00004401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325" name="Straight Connector 324">
          <a:extLst>
            <a:ext uri="{FF2B5EF4-FFF2-40B4-BE49-F238E27FC236}">
              <a16:creationId xmlns="" xmlns:a16="http://schemas.microsoft.com/office/drawing/2014/main" id="{00000000-0008-0000-0600-00004501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326" name="Straight Arrow Connector 325">
          <a:extLst>
            <a:ext uri="{FF2B5EF4-FFF2-40B4-BE49-F238E27FC236}">
              <a16:creationId xmlns="" xmlns:a16="http://schemas.microsoft.com/office/drawing/2014/main" id="{00000000-0008-0000-0600-00004601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327" name="Straight Arrow Connector 326">
          <a:extLst>
            <a:ext uri="{FF2B5EF4-FFF2-40B4-BE49-F238E27FC236}">
              <a16:creationId xmlns="" xmlns:a16="http://schemas.microsoft.com/office/drawing/2014/main" id="{00000000-0008-0000-0600-00004701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328" name="Straight Connector 327">
          <a:extLst>
            <a:ext uri="{FF2B5EF4-FFF2-40B4-BE49-F238E27FC236}">
              <a16:creationId xmlns="" xmlns:a16="http://schemas.microsoft.com/office/drawing/2014/main" id="{00000000-0008-0000-0600-00004801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329" name="Freeform 328">
          <a:extLst>
            <a:ext uri="{FF2B5EF4-FFF2-40B4-BE49-F238E27FC236}">
              <a16:creationId xmlns="" xmlns:a16="http://schemas.microsoft.com/office/drawing/2014/main" id="{00000000-0008-0000-0600-00004901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330" name="Freeform 329">
          <a:extLst>
            <a:ext uri="{FF2B5EF4-FFF2-40B4-BE49-F238E27FC236}">
              <a16:creationId xmlns="" xmlns:a16="http://schemas.microsoft.com/office/drawing/2014/main" id="{00000000-0008-0000-0600-00004A01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331" name="Freeform 330">
          <a:extLst>
            <a:ext uri="{FF2B5EF4-FFF2-40B4-BE49-F238E27FC236}">
              <a16:creationId xmlns="" xmlns:a16="http://schemas.microsoft.com/office/drawing/2014/main" id="{00000000-0008-0000-0600-00004B01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11</xdr:row>
      <xdr:rowOff>76200</xdr:rowOff>
    </xdr:from>
    <xdr:to>
      <xdr:col>14</xdr:col>
      <xdr:colOff>38100</xdr:colOff>
      <xdr:row>14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>
          <a:spLocks noChangeArrowheads="1"/>
        </xdr:cNvSpPr>
      </xdr:nvSpPr>
      <xdr:spPr bwMode="auto">
        <a:xfrm>
          <a:off x="8410575" y="2343150"/>
          <a:ext cx="4076700" cy="600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371475</xdr:colOff>
      <xdr:row>4</xdr:row>
      <xdr:rowOff>142875</xdr:rowOff>
    </xdr:from>
    <xdr:to>
      <xdr:col>9</xdr:col>
      <xdr:colOff>38100</xdr:colOff>
      <xdr:row>11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SpPr>
          <a:spLocks noChangeArrowheads="1"/>
        </xdr:cNvSpPr>
      </xdr:nvSpPr>
      <xdr:spPr bwMode="auto">
        <a:xfrm>
          <a:off x="8877300" y="1047750"/>
          <a:ext cx="428625" cy="1295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247650</xdr:colOff>
      <xdr:row>5</xdr:row>
      <xdr:rowOff>104775</xdr:rowOff>
    </xdr:from>
    <xdr:to>
      <xdr:col>12</xdr:col>
      <xdr:colOff>485775</xdr:colOff>
      <xdr:row>11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SpPr>
          <a:spLocks noChangeArrowheads="1"/>
        </xdr:cNvSpPr>
      </xdr:nvSpPr>
      <xdr:spPr bwMode="auto">
        <a:xfrm>
          <a:off x="11515725" y="1181100"/>
          <a:ext cx="238125" cy="1152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247650</xdr:colOff>
      <xdr:row>10</xdr:row>
      <xdr:rowOff>161925</xdr:rowOff>
    </xdr:from>
    <xdr:to>
      <xdr:col>8</xdr:col>
      <xdr:colOff>361950</xdr:colOff>
      <xdr:row>10</xdr:row>
      <xdr:rowOff>161925</xdr:rowOff>
    </xdr:to>
    <xdr:sp macro="" textlink="">
      <xdr:nvSpPr>
        <xdr:cNvPr id="5" name="Line 4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SpPr>
          <a:spLocks noChangeShapeType="1"/>
        </xdr:cNvSpPr>
      </xdr:nvSpPr>
      <xdr:spPr bwMode="auto">
        <a:xfrm>
          <a:off x="8401050" y="2257425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514350</xdr:colOff>
      <xdr:row>10</xdr:row>
      <xdr:rowOff>161925</xdr:rowOff>
    </xdr:from>
    <xdr:to>
      <xdr:col>14</xdr:col>
      <xdr:colOff>9525</xdr:colOff>
      <xdr:row>10</xdr:row>
      <xdr:rowOff>161925</xdr:rowOff>
    </xdr:to>
    <xdr:sp macro="" textlink="">
      <xdr:nvSpPr>
        <xdr:cNvPr id="6" name="Line 5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SpPr>
          <a:spLocks noChangeShapeType="1"/>
        </xdr:cNvSpPr>
      </xdr:nvSpPr>
      <xdr:spPr bwMode="auto">
        <a:xfrm flipV="1">
          <a:off x="11782425" y="2257425"/>
          <a:ext cx="676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495300</xdr:colOff>
      <xdr:row>7</xdr:row>
      <xdr:rowOff>133350</xdr:rowOff>
    </xdr:from>
    <xdr:to>
      <xdr:col>8</xdr:col>
      <xdr:colOff>495300</xdr:colOff>
      <xdr:row>11</xdr:row>
      <xdr:rowOff>76200</xdr:rowOff>
    </xdr:to>
    <xdr:sp macro="" textlink="">
      <xdr:nvSpPr>
        <xdr:cNvPr id="7" name="Line 6">
          <a:extLst>
            <a:ext uri="{FF2B5EF4-FFF2-40B4-BE49-F238E27FC236}">
              <a16:creationId xmlns="" xmlns:a16="http://schemas.microsoft.com/office/drawing/2014/main" id="{00000000-0008-0000-0B00-000007000000}"/>
            </a:ext>
          </a:extLst>
        </xdr:cNvPr>
        <xdr:cNvSpPr>
          <a:spLocks noChangeShapeType="1"/>
        </xdr:cNvSpPr>
      </xdr:nvSpPr>
      <xdr:spPr bwMode="auto">
        <a:xfrm>
          <a:off x="9001125" y="1609725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361950</xdr:colOff>
      <xdr:row>7</xdr:row>
      <xdr:rowOff>123825</xdr:rowOff>
    </xdr:from>
    <xdr:to>
      <xdr:col>12</xdr:col>
      <xdr:colOff>361950</xdr:colOff>
      <xdr:row>11</xdr:row>
      <xdr:rowOff>76200</xdr:rowOff>
    </xdr:to>
    <xdr:sp macro="" textlink="">
      <xdr:nvSpPr>
        <xdr:cNvPr id="8" name="Line 7"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SpPr>
          <a:spLocks noChangeShapeType="1"/>
        </xdr:cNvSpPr>
      </xdr:nvSpPr>
      <xdr:spPr bwMode="auto">
        <a:xfrm>
          <a:off x="11630025" y="1600200"/>
          <a:ext cx="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20</xdr:row>
      <xdr:rowOff>152400</xdr:rowOff>
    </xdr:from>
    <xdr:to>
      <xdr:col>14</xdr:col>
      <xdr:colOff>76200</xdr:colOff>
      <xdr:row>27</xdr:row>
      <xdr:rowOff>228600</xdr:rowOff>
    </xdr:to>
    <xdr:sp macro="" textlink="">
      <xdr:nvSpPr>
        <xdr:cNvPr id="9" name="Rectangle 8">
          <a:extLst>
            <a:ext uri="{FF2B5EF4-FFF2-40B4-BE49-F238E27FC236}">
              <a16:creationId xmlns="" xmlns:a16="http://schemas.microsoft.com/office/drawing/2014/main" id="{00000000-0008-0000-0B00-000009000000}"/>
            </a:ext>
          </a:extLst>
        </xdr:cNvPr>
        <xdr:cNvSpPr>
          <a:spLocks noChangeArrowheads="1"/>
        </xdr:cNvSpPr>
      </xdr:nvSpPr>
      <xdr:spPr bwMode="auto">
        <a:xfrm>
          <a:off x="8382000" y="4419600"/>
          <a:ext cx="4143375" cy="1295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180975</xdr:colOff>
      <xdr:row>20</xdr:row>
      <xdr:rowOff>219075</xdr:rowOff>
    </xdr:from>
    <xdr:to>
      <xdr:col>14</xdr:col>
      <xdr:colOff>180975</xdr:colOff>
      <xdr:row>27</xdr:row>
      <xdr:rowOff>285750</xdr:rowOff>
    </xdr:to>
    <xdr:sp macro="" textlink="">
      <xdr:nvSpPr>
        <xdr:cNvPr id="10" name="Line 9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>
          <a:spLocks noChangeShapeType="1"/>
        </xdr:cNvSpPr>
      </xdr:nvSpPr>
      <xdr:spPr bwMode="auto">
        <a:xfrm>
          <a:off x="12630150" y="4486275"/>
          <a:ext cx="0" cy="12858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371475</xdr:colOff>
      <xdr:row>23</xdr:row>
      <xdr:rowOff>95250</xdr:rowOff>
    </xdr:from>
    <xdr:to>
      <xdr:col>9</xdr:col>
      <xdr:colOff>19050</xdr:colOff>
      <xdr:row>26</xdr:row>
      <xdr:rowOff>114300</xdr:rowOff>
    </xdr:to>
    <xdr:sp macro="" textlink="">
      <xdr:nvSpPr>
        <xdr:cNvPr id="11" name="Rectangle 10">
          <a:extLst>
            <a:ext uri="{FF2B5EF4-FFF2-40B4-BE49-F238E27FC236}">
              <a16:creationId xmlns="" xmlns:a16="http://schemas.microsoft.com/office/drawing/2014/main" id="{00000000-0008-0000-0B00-00000B000000}"/>
            </a:ext>
          </a:extLst>
        </xdr:cNvPr>
        <xdr:cNvSpPr>
          <a:spLocks noChangeArrowheads="1"/>
        </xdr:cNvSpPr>
      </xdr:nvSpPr>
      <xdr:spPr bwMode="auto">
        <a:xfrm>
          <a:off x="8877300" y="4981575"/>
          <a:ext cx="409575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209550</xdr:colOff>
      <xdr:row>23</xdr:row>
      <xdr:rowOff>95250</xdr:rowOff>
    </xdr:from>
    <xdr:to>
      <xdr:col>12</xdr:col>
      <xdr:colOff>419100</xdr:colOff>
      <xdr:row>26</xdr:row>
      <xdr:rowOff>95250</xdr:rowOff>
    </xdr:to>
    <xdr:sp macro="" textlink="">
      <xdr:nvSpPr>
        <xdr:cNvPr id="12" name="Rectangle 11">
          <a:extLst>
            <a:ext uri="{FF2B5EF4-FFF2-40B4-BE49-F238E27FC236}">
              <a16:creationId xmlns="" xmlns:a16="http://schemas.microsoft.com/office/drawing/2014/main" id="{00000000-0008-0000-0B00-00000C000000}"/>
            </a:ext>
          </a:extLst>
        </xdr:cNvPr>
        <xdr:cNvSpPr>
          <a:spLocks noChangeArrowheads="1"/>
        </xdr:cNvSpPr>
      </xdr:nvSpPr>
      <xdr:spPr bwMode="auto">
        <a:xfrm>
          <a:off x="11477625" y="4981575"/>
          <a:ext cx="20955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485775</xdr:colOff>
      <xdr:row>4</xdr:row>
      <xdr:rowOff>0</xdr:rowOff>
    </xdr:from>
    <xdr:to>
      <xdr:col>12</xdr:col>
      <xdr:colOff>333375</xdr:colOff>
      <xdr:row>4</xdr:row>
      <xdr:rowOff>0</xdr:rowOff>
    </xdr:to>
    <xdr:sp macro="" textlink="">
      <xdr:nvSpPr>
        <xdr:cNvPr id="13" name="Line 12">
          <a:extLst>
            <a:ext uri="{FF2B5EF4-FFF2-40B4-BE49-F238E27FC236}">
              <a16:creationId xmlns="" xmlns:a16="http://schemas.microsoft.com/office/drawing/2014/main" id="{00000000-0008-0000-0B00-00000D000000}"/>
            </a:ext>
          </a:extLst>
        </xdr:cNvPr>
        <xdr:cNvSpPr>
          <a:spLocks noChangeShapeType="1"/>
        </xdr:cNvSpPr>
      </xdr:nvSpPr>
      <xdr:spPr bwMode="auto">
        <a:xfrm>
          <a:off x="8991600" y="904875"/>
          <a:ext cx="2609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247650</xdr:colOff>
      <xdr:row>15</xdr:row>
      <xdr:rowOff>304800</xdr:rowOff>
    </xdr:from>
    <xdr:to>
      <xdr:col>14</xdr:col>
      <xdr:colOff>57150</xdr:colOff>
      <xdr:row>15</xdr:row>
      <xdr:rowOff>304800</xdr:rowOff>
    </xdr:to>
    <xdr:sp macro="" textlink="">
      <xdr:nvSpPr>
        <xdr:cNvPr id="14" name="Line 13">
          <a:extLst>
            <a:ext uri="{FF2B5EF4-FFF2-40B4-BE49-F238E27FC236}">
              <a16:creationId xmlns="" xmlns:a16="http://schemas.microsoft.com/office/drawing/2014/main" id="{00000000-0008-0000-0B00-00000E000000}"/>
            </a:ext>
          </a:extLst>
        </xdr:cNvPr>
        <xdr:cNvSpPr>
          <a:spLocks noChangeShapeType="1"/>
        </xdr:cNvSpPr>
      </xdr:nvSpPr>
      <xdr:spPr bwMode="auto">
        <a:xfrm flipV="1">
          <a:off x="8401050" y="3267075"/>
          <a:ext cx="410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209550</xdr:colOff>
      <xdr:row>11</xdr:row>
      <xdr:rowOff>66675</xdr:rowOff>
    </xdr:from>
    <xdr:to>
      <xdr:col>14</xdr:col>
      <xdr:colOff>219075</xdr:colOff>
      <xdr:row>14</xdr:row>
      <xdr:rowOff>142875</xdr:rowOff>
    </xdr:to>
    <xdr:sp macro="" textlink="">
      <xdr:nvSpPr>
        <xdr:cNvPr id="15" name="Line 14">
          <a:extLst>
            <a:ext uri="{FF2B5EF4-FFF2-40B4-BE49-F238E27FC236}">
              <a16:creationId xmlns="" xmlns:a16="http://schemas.microsoft.com/office/drawing/2014/main" id="{00000000-0008-0000-0B00-00000F000000}"/>
            </a:ext>
          </a:extLst>
        </xdr:cNvPr>
        <xdr:cNvSpPr>
          <a:spLocks noChangeShapeType="1"/>
        </xdr:cNvSpPr>
      </xdr:nvSpPr>
      <xdr:spPr bwMode="auto">
        <a:xfrm flipH="1" flipV="1">
          <a:off x="12658725" y="2333625"/>
          <a:ext cx="9525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R55"/>
  <sheetViews>
    <sheetView topLeftCell="A10" workbookViewId="0">
      <selection activeCell="H12" sqref="H12"/>
    </sheetView>
  </sheetViews>
  <sheetFormatPr defaultColWidth="8.88671875" defaultRowHeight="15.6"/>
  <cols>
    <col min="1" max="1" width="11.5546875" style="1" customWidth="1"/>
    <col min="2" max="2" width="19.109375" style="1" bestFit="1" customWidth="1"/>
    <col min="3" max="3" width="7.88671875" style="1" customWidth="1"/>
    <col min="4" max="4" width="8.5546875" style="1" customWidth="1"/>
    <col min="5" max="5" width="9.6640625" style="1" customWidth="1"/>
    <col min="6" max="6" width="10.33203125" style="1" customWidth="1"/>
    <col min="7" max="7" width="9.6640625" style="1" customWidth="1"/>
    <col min="8" max="8" width="11.5546875" style="1" customWidth="1"/>
    <col min="9" max="9" width="8.88671875" style="1"/>
    <col min="10" max="10" width="34.5546875" style="1" bestFit="1" customWidth="1"/>
    <col min="11" max="11" width="11.33203125" style="1" customWidth="1"/>
    <col min="12" max="14" width="8.88671875" style="1"/>
    <col min="15" max="15" width="37.44140625" style="1" bestFit="1" customWidth="1"/>
    <col min="16" max="16384" width="8.88671875" style="1"/>
  </cols>
  <sheetData>
    <row r="3" spans="1:18" ht="16.5" customHeight="1" thickBot="1"/>
    <row r="4" spans="1:18" ht="16.2" thickBot="1">
      <c r="B4" s="3" t="s">
        <v>12</v>
      </c>
      <c r="C4" s="284" t="s">
        <v>13</v>
      </c>
      <c r="D4" s="284"/>
      <c r="E4" s="284"/>
      <c r="F4" s="284"/>
      <c r="G4" s="4"/>
      <c r="H4" s="5"/>
      <c r="J4" s="1" t="s">
        <v>14</v>
      </c>
      <c r="O4" s="273"/>
      <c r="P4" s="273"/>
      <c r="Q4" s="273"/>
      <c r="R4" s="273"/>
    </row>
    <row r="5" spans="1:18" ht="31.2">
      <c r="B5" s="6" t="s">
        <v>0</v>
      </c>
      <c r="C5" s="7" t="s">
        <v>2</v>
      </c>
      <c r="D5" s="7" t="s">
        <v>3</v>
      </c>
      <c r="E5" s="7" t="s">
        <v>4</v>
      </c>
      <c r="F5" s="8" t="s">
        <v>5</v>
      </c>
      <c r="G5" s="8" t="s">
        <v>6</v>
      </c>
      <c r="H5" s="9" t="s">
        <v>7</v>
      </c>
      <c r="J5" s="1" t="s">
        <v>15</v>
      </c>
      <c r="K5" s="2">
        <v>18.141999999999999</v>
      </c>
      <c r="L5" s="1" t="s">
        <v>16</v>
      </c>
      <c r="O5" s="273"/>
      <c r="P5" s="273"/>
      <c r="Q5" s="273"/>
      <c r="R5" s="273"/>
    </row>
    <row r="6" spans="1:18">
      <c r="A6" s="16"/>
      <c r="B6" s="10" t="s">
        <v>1</v>
      </c>
      <c r="C6" s="11">
        <v>0.23</v>
      </c>
      <c r="D6" s="11">
        <v>19.2</v>
      </c>
      <c r="E6" s="12">
        <f>3.35-0.355</f>
        <v>2.9950000000000001</v>
      </c>
      <c r="F6" s="13">
        <f>PRODUCT(C6:E6)</f>
        <v>13.225920000000002</v>
      </c>
      <c r="G6" s="14">
        <f>0.7*F6</f>
        <v>9.2581440000000015</v>
      </c>
      <c r="H6" s="15" t="s">
        <v>10</v>
      </c>
      <c r="J6" s="1" t="s">
        <v>17</v>
      </c>
      <c r="O6" s="273"/>
      <c r="P6" s="273"/>
      <c r="Q6" s="273"/>
      <c r="R6" s="273"/>
    </row>
    <row r="7" spans="1:18" ht="16.2" thickBot="1">
      <c r="B7" s="17" t="s">
        <v>8</v>
      </c>
      <c r="C7" s="18"/>
      <c r="D7" s="18"/>
      <c r="E7" s="18"/>
      <c r="F7" s="19">
        <v>13.5</v>
      </c>
      <c r="G7" s="19">
        <v>9.5</v>
      </c>
      <c r="H7" s="20" t="s">
        <v>10</v>
      </c>
      <c r="J7" s="1" t="s">
        <v>18</v>
      </c>
      <c r="K7" s="1">
        <f>1.2*K5</f>
        <v>21.770399999999999</v>
      </c>
      <c r="L7" s="1" t="s">
        <v>16</v>
      </c>
      <c r="O7" s="273"/>
      <c r="P7" s="273"/>
      <c r="Q7" s="273"/>
      <c r="R7" s="273"/>
    </row>
    <row r="8" spans="1:18" ht="16.2" thickBot="1">
      <c r="B8" s="22"/>
      <c r="C8" s="23"/>
      <c r="D8" s="23"/>
      <c r="E8" s="23"/>
      <c r="F8" s="23"/>
      <c r="G8" s="23"/>
      <c r="H8" s="24"/>
      <c r="J8" s="1" t="s">
        <v>19</v>
      </c>
      <c r="K8" s="1">
        <v>125</v>
      </c>
      <c r="O8" s="273"/>
      <c r="P8" s="273"/>
      <c r="Q8" s="273"/>
      <c r="R8" s="273"/>
    </row>
    <row r="9" spans="1:18">
      <c r="B9" s="25" t="s">
        <v>9</v>
      </c>
      <c r="C9" s="26">
        <v>0.115</v>
      </c>
      <c r="D9" s="26">
        <v>19.2</v>
      </c>
      <c r="E9" s="12">
        <f>E6</f>
        <v>2.9950000000000001</v>
      </c>
      <c r="F9" s="27">
        <f>PRODUCT(C9:E9)</f>
        <v>6.6129600000000011</v>
      </c>
      <c r="G9" s="28">
        <f>0.75*F9</f>
        <v>4.9597200000000008</v>
      </c>
      <c r="H9" s="29" t="s">
        <v>10</v>
      </c>
      <c r="J9" s="1" t="s">
        <v>20</v>
      </c>
      <c r="O9" s="273"/>
      <c r="P9" s="273"/>
      <c r="Q9" s="273"/>
      <c r="R9" s="273"/>
    </row>
    <row r="10" spans="1:18" ht="16.2" thickBot="1">
      <c r="B10" s="17" t="s">
        <v>8</v>
      </c>
      <c r="C10" s="18"/>
      <c r="D10" s="18"/>
      <c r="E10" s="18"/>
      <c r="F10" s="19">
        <v>7</v>
      </c>
      <c r="G10" s="19">
        <v>5</v>
      </c>
      <c r="H10" s="20" t="s">
        <v>10</v>
      </c>
      <c r="J10" s="1" t="str">
        <f>"•Self-weight = 25 kN/m3*0.125m*"&amp;K7&amp;" "</f>
        <v xml:space="preserve">•Self-weight = 25 kN/m3*0.125m*21.7704 </v>
      </c>
      <c r="K10" s="1">
        <f>25*K8/1000*K7</f>
        <v>68.032499999999999</v>
      </c>
      <c r="O10" s="273"/>
      <c r="P10" s="273"/>
      <c r="Q10" s="273"/>
      <c r="R10" s="273"/>
    </row>
    <row r="11" spans="1:18" ht="16.2" thickBot="1">
      <c r="B11" s="22"/>
      <c r="C11" s="23"/>
      <c r="D11" s="23"/>
      <c r="E11" s="23"/>
      <c r="F11" s="23"/>
      <c r="G11" s="23"/>
      <c r="H11" s="24"/>
      <c r="J11" s="1" t="str">
        <f>"•Floor-finish = 1.5 kN/m2*"&amp;K7&amp;" m2"</f>
        <v>•Floor-finish = 1.5 kN/m2*21.7704 m2</v>
      </c>
      <c r="K11" s="1">
        <f>1*K7</f>
        <v>21.770399999999999</v>
      </c>
      <c r="O11" s="273"/>
      <c r="P11" s="273"/>
      <c r="Q11" s="273"/>
      <c r="R11" s="273"/>
    </row>
    <row r="12" spans="1:18">
      <c r="B12" s="25" t="s">
        <v>11</v>
      </c>
      <c r="C12" s="26"/>
      <c r="D12" s="26"/>
      <c r="E12" s="26"/>
      <c r="F12" s="26"/>
      <c r="G12" s="26"/>
      <c r="H12" s="29"/>
      <c r="J12" s="1" t="s">
        <v>308</v>
      </c>
      <c r="K12" s="2">
        <v>0.14799999999999999</v>
      </c>
      <c r="O12" s="273"/>
      <c r="P12" s="273"/>
      <c r="Q12" s="273"/>
      <c r="R12" s="273"/>
    </row>
    <row r="13" spans="1:18">
      <c r="B13" s="10" t="s">
        <v>9</v>
      </c>
      <c r="C13" s="11">
        <v>0.115</v>
      </c>
      <c r="D13" s="11">
        <v>19.2</v>
      </c>
      <c r="E13" s="13">
        <f>3.47/3.28</f>
        <v>1.0579268292682928</v>
      </c>
      <c r="F13" s="13">
        <f>PRODUCT(C13:E13)</f>
        <v>2.335902439024391</v>
      </c>
      <c r="G13" s="14"/>
      <c r="H13" s="15" t="s">
        <v>10</v>
      </c>
      <c r="J13" s="1" t="s">
        <v>309</v>
      </c>
      <c r="K13" s="2">
        <v>0.3</v>
      </c>
      <c r="O13" s="273"/>
      <c r="P13" s="273"/>
      <c r="Q13" s="273"/>
      <c r="R13" s="273"/>
    </row>
    <row r="14" spans="1:18" ht="16.2" thickBot="1">
      <c r="B14" s="17" t="s">
        <v>8</v>
      </c>
      <c r="C14" s="18"/>
      <c r="D14" s="18"/>
      <c r="E14" s="18"/>
      <c r="F14" s="19">
        <v>2.5</v>
      </c>
      <c r="G14" s="18"/>
      <c r="H14" s="20" t="s">
        <v>10</v>
      </c>
      <c r="J14" s="1" t="s">
        <v>310</v>
      </c>
      <c r="K14" s="2">
        <v>1.93</v>
      </c>
      <c r="M14" s="1">
        <f>1.9+1.5+1.3</f>
        <v>4.7</v>
      </c>
      <c r="N14" s="1">
        <f>M14*(1.93*2)</f>
        <v>18.141999999999999</v>
      </c>
      <c r="O14" s="273"/>
      <c r="P14" s="273"/>
      <c r="Q14" s="273"/>
      <c r="R14" s="273"/>
    </row>
    <row r="15" spans="1:18" ht="16.2" thickBot="1">
      <c r="J15" s="1" t="s">
        <v>311</v>
      </c>
      <c r="K15" s="2">
        <v>6</v>
      </c>
      <c r="O15" s="273"/>
      <c r="P15" s="273"/>
      <c r="Q15" s="273"/>
      <c r="R15" s="273"/>
    </row>
    <row r="16" spans="1:18" ht="16.2" thickBot="1">
      <c r="C16" s="7" t="s">
        <v>2</v>
      </c>
      <c r="D16" s="7" t="s">
        <v>3</v>
      </c>
      <c r="E16" s="7" t="s">
        <v>4</v>
      </c>
      <c r="F16" s="1" t="s">
        <v>37</v>
      </c>
      <c r="J16" s="1" t="s">
        <v>290</v>
      </c>
      <c r="K16" s="280">
        <f>0.5*K12*K13*K14*K15*25</f>
        <v>6.4268999999999989</v>
      </c>
      <c r="O16" s="273"/>
      <c r="P16" s="273"/>
      <c r="Q16" s="273"/>
      <c r="R16" s="273"/>
    </row>
    <row r="17" spans="2:18" ht="16.2" thickBot="1">
      <c r="C17" s="26">
        <v>0.115</v>
      </c>
      <c r="D17" s="26">
        <v>19.2</v>
      </c>
      <c r="E17" s="12">
        <f>3.35-0.125</f>
        <v>3.2250000000000001</v>
      </c>
      <c r="F17" s="1">
        <f>4.42+2.13</f>
        <v>6.55</v>
      </c>
      <c r="G17" s="27">
        <f>PRODUCT(C17:F17)</f>
        <v>46.641240000000003</v>
      </c>
      <c r="H17" s="28"/>
      <c r="J17" s="1" t="s">
        <v>21</v>
      </c>
      <c r="K17" s="280">
        <f>K10+K11+K16</f>
        <v>96.229799999999997</v>
      </c>
      <c r="O17" s="273"/>
      <c r="P17" s="278"/>
      <c r="Q17" s="273"/>
      <c r="R17" s="273"/>
    </row>
    <row r="18" spans="2:18" ht="16.2" thickBot="1">
      <c r="B18" s="1" t="s">
        <v>220</v>
      </c>
      <c r="C18" s="26">
        <v>0.115</v>
      </c>
      <c r="D18" s="26">
        <v>19.2</v>
      </c>
      <c r="E18" s="12">
        <v>2.1</v>
      </c>
      <c r="F18" s="1">
        <v>0.76</v>
      </c>
      <c r="G18" s="27">
        <f>PRODUCT(C18:F18)</f>
        <v>3.5239680000000009</v>
      </c>
      <c r="H18" s="14"/>
      <c r="J18" s="1" t="s">
        <v>22</v>
      </c>
      <c r="K18" s="280">
        <f>K17/2</f>
        <v>48.114899999999999</v>
      </c>
      <c r="O18" s="273"/>
      <c r="P18" s="273"/>
      <c r="Q18" s="273"/>
      <c r="R18" s="273"/>
    </row>
    <row r="19" spans="2:18">
      <c r="C19" s="26">
        <v>0.115</v>
      </c>
      <c r="D19" s="26">
        <v>19.2</v>
      </c>
      <c r="E19" s="12">
        <v>2</v>
      </c>
      <c r="F19" s="1">
        <v>1.06</v>
      </c>
      <c r="G19" s="27">
        <v>0</v>
      </c>
      <c r="J19" s="1" t="s">
        <v>23</v>
      </c>
      <c r="K19" s="281">
        <f>1.93*2</f>
        <v>3.86</v>
      </c>
      <c r="O19" s="273"/>
      <c r="P19" s="273"/>
      <c r="Q19" s="273"/>
      <c r="R19" s="273"/>
    </row>
    <row r="20" spans="2:18">
      <c r="J20" s="1" t="s">
        <v>24</v>
      </c>
      <c r="K20" s="280">
        <f>K18/K19</f>
        <v>12.465</v>
      </c>
      <c r="O20" s="273"/>
      <c r="P20" s="273"/>
      <c r="Q20" s="273"/>
      <c r="R20" s="273"/>
    </row>
    <row r="21" spans="2:18">
      <c r="C21" s="11"/>
      <c r="D21" s="11"/>
      <c r="E21" s="11"/>
      <c r="G21" s="14">
        <f>G17-G18-G19</f>
        <v>43.117272</v>
      </c>
      <c r="H21" s="14"/>
      <c r="J21" s="1" t="s">
        <v>8</v>
      </c>
      <c r="K21" s="30">
        <v>4</v>
      </c>
      <c r="O21" s="273"/>
      <c r="P21" s="273"/>
      <c r="Q21" s="273"/>
      <c r="R21" s="273"/>
    </row>
    <row r="22" spans="2:18" ht="16.2" thickBot="1">
      <c r="B22" s="1" t="s">
        <v>221</v>
      </c>
      <c r="C22" s="18"/>
      <c r="D22" s="18"/>
      <c r="E22" s="18"/>
      <c r="G22" s="1">
        <v>18.86</v>
      </c>
      <c r="O22" s="273"/>
      <c r="P22" s="273"/>
      <c r="Q22" s="273"/>
      <c r="R22" s="273"/>
    </row>
    <row r="23" spans="2:18" ht="16.2" thickBot="1">
      <c r="G23" s="97">
        <f>G21/G22</f>
        <v>2.2861756097560977</v>
      </c>
      <c r="H23" s="19"/>
      <c r="J23" s="1" t="s">
        <v>25</v>
      </c>
      <c r="O23" s="273"/>
      <c r="P23" s="273"/>
      <c r="Q23" s="273"/>
      <c r="R23" s="273"/>
    </row>
    <row r="24" spans="2:18">
      <c r="H24" s="1">
        <f>5/12.26</f>
        <v>0.40783034257748779</v>
      </c>
      <c r="J24" s="1" t="s">
        <v>26</v>
      </c>
      <c r="K24" s="1">
        <f>3*K7</f>
        <v>65.311199999999999</v>
      </c>
      <c r="O24" s="273"/>
      <c r="P24" s="278"/>
      <c r="Q24" s="273"/>
      <c r="R24" s="273"/>
    </row>
    <row r="25" spans="2:18">
      <c r="J25" s="1" t="s">
        <v>22</v>
      </c>
      <c r="K25" s="1">
        <f>K24/2</f>
        <v>32.6556</v>
      </c>
      <c r="O25" s="273"/>
      <c r="P25" s="273"/>
      <c r="Q25" s="273"/>
      <c r="R25" s="273"/>
    </row>
    <row r="26" spans="2:18">
      <c r="J26" s="1" t="s">
        <v>23</v>
      </c>
      <c r="K26" s="280">
        <f>K19</f>
        <v>3.86</v>
      </c>
      <c r="L26" s="273"/>
      <c r="M26" s="273"/>
      <c r="N26" s="273"/>
      <c r="O26" s="273"/>
      <c r="P26" s="273"/>
      <c r="Q26" s="273"/>
      <c r="R26" s="273"/>
    </row>
    <row r="27" spans="2:18">
      <c r="J27" s="1" t="s">
        <v>24</v>
      </c>
      <c r="K27" s="280">
        <f>K25/K26</f>
        <v>8.4600000000000009</v>
      </c>
      <c r="L27" s="282">
        <f>K20+K27</f>
        <v>20.925000000000001</v>
      </c>
      <c r="M27" s="274"/>
      <c r="N27" s="273"/>
      <c r="O27" s="273"/>
      <c r="P27" s="273"/>
      <c r="Q27" s="273"/>
    </row>
    <row r="28" spans="2:18">
      <c r="B28" s="273"/>
      <c r="C28" s="274"/>
      <c r="D28" s="274"/>
      <c r="E28" s="274"/>
      <c r="F28" s="273"/>
      <c r="G28" s="273"/>
      <c r="H28" s="273"/>
      <c r="J28" s="1" t="s">
        <v>8</v>
      </c>
      <c r="K28" s="30">
        <v>2.5</v>
      </c>
      <c r="L28" s="273"/>
      <c r="M28" s="275"/>
      <c r="N28" s="273"/>
      <c r="O28" s="275"/>
      <c r="P28" s="276"/>
      <c r="Q28" s="273"/>
    </row>
    <row r="29" spans="2:18">
      <c r="B29" s="273"/>
      <c r="C29" s="273"/>
      <c r="D29" s="273"/>
      <c r="E29" s="275"/>
      <c r="F29" s="273"/>
      <c r="G29" s="275"/>
      <c r="H29" s="276"/>
      <c r="J29" s="273"/>
      <c r="K29" s="273"/>
      <c r="L29" s="273"/>
      <c r="M29" s="275"/>
      <c r="N29" s="273"/>
      <c r="O29" s="275"/>
      <c r="P29" s="276"/>
      <c r="Q29" s="273"/>
    </row>
    <row r="30" spans="2:18">
      <c r="B30" s="273"/>
      <c r="C30" s="273"/>
      <c r="D30" s="273"/>
      <c r="E30" s="275"/>
      <c r="F30" s="273"/>
      <c r="G30" s="275"/>
      <c r="H30" s="276"/>
      <c r="J30" s="273"/>
      <c r="K30" s="273"/>
      <c r="L30" s="273"/>
      <c r="M30" s="275"/>
      <c r="N30" s="273"/>
      <c r="O30" s="275"/>
      <c r="P30" s="273"/>
      <c r="Q30" s="273"/>
    </row>
    <row r="31" spans="2:18">
      <c r="B31" s="273"/>
      <c r="C31" s="273"/>
      <c r="D31" s="273"/>
      <c r="E31" s="275"/>
      <c r="F31" s="273"/>
      <c r="G31" s="275"/>
      <c r="H31" s="273"/>
      <c r="J31" s="273"/>
      <c r="K31" s="273"/>
      <c r="L31" s="273"/>
      <c r="M31" s="273"/>
      <c r="N31" s="273"/>
      <c r="O31" s="273"/>
      <c r="P31" s="273"/>
      <c r="Q31" s="273"/>
    </row>
    <row r="32" spans="2:18">
      <c r="B32" s="273"/>
      <c r="C32" s="273"/>
      <c r="D32" s="273"/>
      <c r="E32" s="273"/>
      <c r="F32" s="273"/>
      <c r="G32" s="273"/>
      <c r="H32" s="273"/>
      <c r="J32" s="273"/>
      <c r="K32" s="273"/>
      <c r="L32" s="273"/>
      <c r="M32" s="273"/>
      <c r="N32" s="273"/>
      <c r="O32" s="276"/>
      <c r="P32" s="276"/>
      <c r="Q32" s="273"/>
    </row>
    <row r="33" spans="1:17">
      <c r="B33" s="273"/>
      <c r="C33" s="273"/>
      <c r="D33" s="273"/>
      <c r="E33" s="273"/>
      <c r="F33" s="273"/>
      <c r="G33" s="276"/>
      <c r="H33" s="276"/>
      <c r="I33" s="21"/>
      <c r="J33" s="273"/>
      <c r="K33" s="273"/>
      <c r="L33" s="273"/>
      <c r="M33" s="273"/>
      <c r="N33" s="273"/>
      <c r="O33" s="273"/>
      <c r="P33" s="273"/>
      <c r="Q33" s="273"/>
    </row>
    <row r="34" spans="1:17">
      <c r="B34" s="273"/>
      <c r="C34" s="273"/>
      <c r="D34" s="273"/>
      <c r="E34" s="273"/>
      <c r="F34" s="273"/>
      <c r="G34" s="273"/>
      <c r="H34" s="273"/>
      <c r="J34" s="273"/>
      <c r="K34" s="273"/>
      <c r="L34" s="273"/>
      <c r="M34" s="273"/>
      <c r="N34" s="273"/>
      <c r="O34" s="277"/>
      <c r="P34" s="278"/>
      <c r="Q34" s="273"/>
    </row>
    <row r="35" spans="1:17">
      <c r="B35" s="273"/>
      <c r="C35" s="273"/>
      <c r="D35" s="273"/>
      <c r="E35" s="273"/>
      <c r="F35" s="273"/>
      <c r="G35" s="277"/>
      <c r="H35" s="278"/>
      <c r="J35" s="273"/>
      <c r="K35" s="273"/>
      <c r="L35" s="273"/>
      <c r="M35" s="273"/>
      <c r="N35" s="273"/>
      <c r="O35" s="273"/>
      <c r="P35" s="273"/>
      <c r="Q35" s="273"/>
    </row>
    <row r="36" spans="1:17">
      <c r="B36" s="273"/>
      <c r="C36" s="279"/>
      <c r="D36" s="273"/>
      <c r="E36" s="275"/>
      <c r="F36" s="275"/>
      <c r="G36" s="276"/>
      <c r="H36" s="273"/>
      <c r="J36" s="273"/>
      <c r="K36" s="273"/>
      <c r="L36" s="273"/>
      <c r="M36" s="273"/>
      <c r="N36" s="273"/>
      <c r="O36" s="273"/>
      <c r="P36" s="273"/>
      <c r="Q36" s="273"/>
    </row>
    <row r="37" spans="1:17">
      <c r="A37" s="32"/>
      <c r="B37" s="273"/>
      <c r="C37" s="274"/>
      <c r="D37" s="274"/>
      <c r="E37" s="274"/>
      <c r="F37" s="273"/>
      <c r="G37" s="273"/>
      <c r="H37" s="273"/>
      <c r="I37" s="247"/>
      <c r="J37" s="273"/>
      <c r="K37" s="274"/>
      <c r="L37" s="274"/>
      <c r="M37" s="274"/>
      <c r="N37" s="273"/>
      <c r="O37" s="273"/>
      <c r="P37" s="273"/>
      <c r="Q37" s="273"/>
    </row>
    <row r="38" spans="1:17">
      <c r="A38" s="31"/>
      <c r="B38" s="273"/>
      <c r="C38" s="274"/>
      <c r="D38" s="274"/>
      <c r="E38" s="274"/>
      <c r="F38" s="273"/>
      <c r="G38" s="273"/>
      <c r="H38" s="273"/>
      <c r="I38" s="247"/>
      <c r="J38" s="273"/>
      <c r="K38" s="273"/>
      <c r="L38" s="273"/>
      <c r="M38" s="275"/>
      <c r="N38" s="273"/>
      <c r="O38" s="275"/>
      <c r="P38" s="276"/>
      <c r="Q38" s="273"/>
    </row>
    <row r="39" spans="1:17">
      <c r="B39" s="273"/>
      <c r="C39" s="273"/>
      <c r="D39" s="273"/>
      <c r="E39" s="275"/>
      <c r="F39" s="273"/>
      <c r="G39" s="275"/>
      <c r="H39" s="276"/>
      <c r="I39" s="247"/>
      <c r="J39" s="273"/>
      <c r="K39" s="273"/>
      <c r="L39" s="273"/>
      <c r="M39" s="275"/>
      <c r="N39" s="273"/>
      <c r="O39" s="275"/>
      <c r="P39" s="276"/>
      <c r="Q39" s="273"/>
    </row>
    <row r="40" spans="1:17">
      <c r="B40" s="273"/>
      <c r="C40" s="273"/>
      <c r="D40" s="273"/>
      <c r="E40" s="275"/>
      <c r="F40" s="273"/>
      <c r="G40" s="275"/>
      <c r="H40" s="276"/>
      <c r="I40" s="247"/>
      <c r="J40" s="273"/>
      <c r="K40" s="273"/>
      <c r="L40" s="273"/>
      <c r="M40" s="275"/>
      <c r="N40" s="273"/>
      <c r="O40" s="275"/>
      <c r="P40" s="273"/>
      <c r="Q40" s="273"/>
    </row>
    <row r="41" spans="1:17">
      <c r="B41" s="273"/>
      <c r="C41" s="273"/>
      <c r="D41" s="273"/>
      <c r="E41" s="275"/>
      <c r="F41" s="273"/>
      <c r="G41" s="275"/>
      <c r="H41" s="273"/>
      <c r="I41" s="247"/>
      <c r="J41" s="273"/>
      <c r="K41" s="273"/>
      <c r="L41" s="273"/>
      <c r="M41" s="273"/>
      <c r="N41" s="273"/>
      <c r="O41" s="273"/>
      <c r="P41" s="273"/>
      <c r="Q41" s="273"/>
    </row>
    <row r="42" spans="1:17">
      <c r="A42" s="32"/>
      <c r="B42" s="273"/>
      <c r="C42" s="273"/>
      <c r="D42" s="273"/>
      <c r="E42" s="273"/>
      <c r="F42" s="273"/>
      <c r="G42" s="273"/>
      <c r="H42" s="273"/>
      <c r="I42" s="247"/>
      <c r="J42" s="273"/>
      <c r="K42" s="273"/>
      <c r="L42" s="273"/>
      <c r="M42" s="273"/>
      <c r="N42" s="273"/>
      <c r="O42" s="276"/>
      <c r="P42" s="276"/>
      <c r="Q42" s="273"/>
    </row>
    <row r="43" spans="1:17">
      <c r="A43" s="31"/>
      <c r="B43" s="273"/>
      <c r="C43" s="273"/>
      <c r="D43" s="273"/>
      <c r="E43" s="273"/>
      <c r="F43" s="273"/>
      <c r="G43" s="276"/>
      <c r="H43" s="276"/>
      <c r="I43" s="247"/>
      <c r="J43" s="273"/>
      <c r="K43" s="273"/>
      <c r="L43" s="273"/>
      <c r="M43" s="273"/>
      <c r="N43" s="273"/>
      <c r="O43" s="273"/>
      <c r="P43" s="273"/>
      <c r="Q43" s="273"/>
    </row>
    <row r="44" spans="1:17">
      <c r="B44" s="273"/>
      <c r="C44" s="273"/>
      <c r="D44" s="273"/>
      <c r="E44" s="273"/>
      <c r="F44" s="273"/>
      <c r="G44" s="273"/>
      <c r="H44" s="273"/>
      <c r="I44" s="247"/>
      <c r="J44" s="273"/>
      <c r="K44" s="273"/>
      <c r="L44" s="273"/>
      <c r="M44" s="273"/>
      <c r="N44" s="273"/>
      <c r="O44" s="277"/>
      <c r="P44" s="278"/>
      <c r="Q44" s="273"/>
    </row>
    <row r="45" spans="1:17">
      <c r="A45" s="31"/>
      <c r="B45" s="273"/>
      <c r="C45" s="273"/>
      <c r="D45" s="273"/>
      <c r="E45" s="273"/>
      <c r="F45" s="273"/>
      <c r="G45" s="277"/>
      <c r="H45" s="278"/>
      <c r="I45" s="247"/>
      <c r="J45" s="273"/>
      <c r="K45" s="273"/>
      <c r="L45" s="273"/>
      <c r="M45" s="273"/>
      <c r="N45" s="273"/>
      <c r="O45" s="273"/>
      <c r="P45" s="273"/>
      <c r="Q45" s="273"/>
    </row>
    <row r="46" spans="1:17">
      <c r="B46" s="273"/>
      <c r="C46" s="279"/>
      <c r="D46" s="273"/>
      <c r="E46" s="275"/>
      <c r="F46" s="275"/>
      <c r="G46" s="276"/>
      <c r="H46" s="273"/>
      <c r="I46" s="247"/>
      <c r="J46" s="273"/>
      <c r="K46" s="273"/>
      <c r="L46" s="273"/>
      <c r="M46" s="273"/>
      <c r="N46" s="273"/>
      <c r="O46" s="273"/>
      <c r="P46" s="273"/>
      <c r="Q46" s="273"/>
    </row>
    <row r="47" spans="1:17">
      <c r="B47" s="273"/>
      <c r="C47" s="273"/>
      <c r="D47" s="273"/>
      <c r="E47" s="275"/>
      <c r="F47" s="273"/>
      <c r="G47" s="275"/>
      <c r="H47" s="276"/>
      <c r="I47" s="247"/>
      <c r="J47" s="273"/>
      <c r="K47" s="274"/>
      <c r="L47" s="274"/>
      <c r="M47" s="274"/>
      <c r="N47" s="273"/>
      <c r="O47" s="273"/>
      <c r="P47" s="273"/>
      <c r="Q47" s="273"/>
    </row>
    <row r="48" spans="1:17">
      <c r="B48" s="273"/>
      <c r="C48" s="273"/>
      <c r="D48" s="273"/>
      <c r="E48" s="275"/>
      <c r="F48" s="273"/>
      <c r="G48" s="275"/>
      <c r="H48" s="276"/>
      <c r="I48" s="247"/>
      <c r="J48" s="273"/>
      <c r="K48" s="273"/>
      <c r="L48" s="273"/>
      <c r="M48" s="275"/>
      <c r="N48" s="273"/>
      <c r="O48" s="275"/>
      <c r="P48" s="276"/>
      <c r="Q48" s="273"/>
    </row>
    <row r="49" spans="2:17">
      <c r="B49" s="273"/>
      <c r="C49" s="273"/>
      <c r="D49" s="273"/>
      <c r="E49" s="275"/>
      <c r="F49" s="273"/>
      <c r="G49" s="275"/>
      <c r="H49" s="273"/>
      <c r="I49" s="247"/>
      <c r="J49" s="273"/>
      <c r="K49" s="273"/>
      <c r="L49" s="273"/>
      <c r="M49" s="275"/>
      <c r="N49" s="273"/>
      <c r="O49" s="275"/>
      <c r="P49" s="276"/>
      <c r="Q49" s="273"/>
    </row>
    <row r="50" spans="2:17">
      <c r="B50" s="247"/>
      <c r="C50" s="247"/>
      <c r="D50" s="247"/>
      <c r="E50" s="247"/>
      <c r="F50" s="247"/>
      <c r="G50" s="247"/>
      <c r="H50" s="247"/>
      <c r="I50" s="247"/>
      <c r="J50" s="273"/>
      <c r="K50" s="273"/>
      <c r="L50" s="273"/>
      <c r="M50" s="275"/>
      <c r="N50" s="273"/>
      <c r="O50" s="275"/>
      <c r="P50" s="273"/>
      <c r="Q50" s="273"/>
    </row>
    <row r="51" spans="2:17">
      <c r="B51" s="247"/>
      <c r="C51" s="247"/>
      <c r="D51" s="247"/>
      <c r="E51" s="247"/>
      <c r="F51" s="247"/>
      <c r="G51" s="248"/>
      <c r="H51" s="248"/>
      <c r="I51" s="247"/>
      <c r="J51" s="273"/>
      <c r="K51" s="273"/>
      <c r="L51" s="273"/>
      <c r="M51" s="273"/>
      <c r="N51" s="273"/>
      <c r="O51" s="273"/>
      <c r="P51" s="273"/>
      <c r="Q51" s="273"/>
    </row>
    <row r="52" spans="2:17">
      <c r="B52" s="247"/>
      <c r="C52" s="247"/>
      <c r="D52" s="247"/>
      <c r="E52" s="247"/>
      <c r="F52" s="247"/>
      <c r="G52" s="247"/>
      <c r="H52" s="247"/>
      <c r="I52" s="247"/>
      <c r="J52" s="273"/>
      <c r="K52" s="273"/>
      <c r="L52" s="273"/>
      <c r="M52" s="273"/>
      <c r="N52" s="273"/>
      <c r="O52" s="276"/>
      <c r="P52" s="276"/>
      <c r="Q52" s="273"/>
    </row>
    <row r="53" spans="2:17">
      <c r="B53" s="247"/>
      <c r="C53" s="247"/>
      <c r="D53" s="247"/>
      <c r="E53" s="247"/>
      <c r="F53" s="247"/>
      <c r="G53" s="249"/>
      <c r="H53" s="250"/>
      <c r="I53" s="247"/>
      <c r="J53" s="273"/>
      <c r="K53" s="273"/>
      <c r="L53" s="273"/>
      <c r="M53" s="273"/>
      <c r="N53" s="273"/>
      <c r="O53" s="273"/>
      <c r="P53" s="273"/>
      <c r="Q53" s="273"/>
    </row>
    <row r="54" spans="2:17">
      <c r="B54" s="247"/>
      <c r="C54" s="247"/>
      <c r="D54" s="247"/>
      <c r="E54" s="247"/>
      <c r="F54" s="247"/>
      <c r="G54" s="247"/>
      <c r="H54" s="247"/>
      <c r="I54" s="247"/>
      <c r="J54" s="273"/>
      <c r="K54" s="273"/>
      <c r="L54" s="273"/>
      <c r="M54" s="273"/>
      <c r="N54" s="273"/>
      <c r="O54" s="277"/>
      <c r="P54" s="278"/>
      <c r="Q54" s="273"/>
    </row>
    <row r="55" spans="2:17">
      <c r="B55" s="247"/>
      <c r="C55" s="247"/>
      <c r="D55" s="247"/>
      <c r="E55" s="247"/>
      <c r="F55" s="247"/>
      <c r="G55" s="247"/>
      <c r="H55" s="247"/>
      <c r="I55" s="247"/>
    </row>
  </sheetData>
  <mergeCells count="1">
    <mergeCell ref="C4:F4"/>
  </mergeCells>
  <phoneticPr fontId="1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WVL83"/>
  <sheetViews>
    <sheetView tabSelected="1" view="pageBreakPreview" topLeftCell="A66" zoomScale="96" zoomScaleSheetLayoutView="96" workbookViewId="0">
      <selection activeCell="B2" sqref="B2:I76"/>
    </sheetView>
  </sheetViews>
  <sheetFormatPr defaultRowHeight="15.6"/>
  <cols>
    <col min="1" max="2" width="8.88671875" style="91"/>
    <col min="3" max="3" width="9" style="91" bestFit="1" customWidth="1"/>
    <col min="4" max="4" width="14.33203125" style="91" customWidth="1"/>
    <col min="5" max="5" width="11.6640625" style="91" customWidth="1"/>
    <col min="6" max="8" width="9" style="91" bestFit="1" customWidth="1"/>
    <col min="9" max="12" width="8.88671875" style="91"/>
    <col min="13" max="13" width="7.5546875" style="91" customWidth="1"/>
    <col min="14" max="14" width="10" style="91" bestFit="1" customWidth="1"/>
    <col min="15" max="16" width="8.88671875" style="91"/>
    <col min="17" max="17" width="6.109375" style="91" bestFit="1" customWidth="1"/>
    <col min="18" max="18" width="4.44140625" style="33" bestFit="1" customWidth="1"/>
    <col min="19" max="16132" width="8.88671875" style="33"/>
    <col min="16133" max="16384" width="8.88671875" style="91"/>
  </cols>
  <sheetData>
    <row r="1" spans="2:9" s="96" customFormat="1" ht="17.399999999999999">
      <c r="B1" s="287" t="s">
        <v>148</v>
      </c>
      <c r="C1" s="287"/>
      <c r="D1" s="287"/>
      <c r="E1" s="287"/>
      <c r="F1" s="287"/>
      <c r="G1" s="107"/>
      <c r="H1" s="107"/>
      <c r="I1" s="107"/>
    </row>
    <row r="2" spans="2:9" s="96" customFormat="1">
      <c r="B2" s="108" t="s">
        <v>149</v>
      </c>
      <c r="C2" s="108"/>
      <c r="D2" s="108" t="s">
        <v>150</v>
      </c>
      <c r="E2" s="107"/>
      <c r="F2" s="107"/>
      <c r="G2" s="107"/>
      <c r="H2" s="107"/>
      <c r="I2" s="107"/>
    </row>
    <row r="3" spans="2:9" s="96" customFormat="1">
      <c r="B3" s="107" t="s">
        <v>151</v>
      </c>
      <c r="C3" s="107"/>
      <c r="D3" s="107"/>
      <c r="E3" s="107"/>
      <c r="F3" s="107"/>
      <c r="G3" s="107"/>
      <c r="H3" s="107"/>
      <c r="I3" s="107"/>
    </row>
    <row r="4" spans="2:9" s="96" customFormat="1">
      <c r="B4" s="107" t="s">
        <v>152</v>
      </c>
      <c r="C4" s="107"/>
      <c r="D4" s="107"/>
      <c r="E4" s="107"/>
      <c r="F4" s="107"/>
      <c r="G4" s="107"/>
      <c r="H4" s="107"/>
      <c r="I4" s="109"/>
    </row>
    <row r="5" spans="2:9" s="96" customFormat="1">
      <c r="B5" s="107"/>
      <c r="C5" s="107" t="s">
        <v>153</v>
      </c>
      <c r="D5" s="107"/>
      <c r="E5" s="110">
        <v>0.35</v>
      </c>
      <c r="F5" s="107" t="s">
        <v>32</v>
      </c>
      <c r="G5" s="107"/>
      <c r="H5" s="107"/>
      <c r="I5" s="109"/>
    </row>
    <row r="6" spans="2:9" s="96" customFormat="1">
      <c r="B6" s="107"/>
      <c r="C6" s="107" t="s">
        <v>83</v>
      </c>
      <c r="D6" s="107"/>
      <c r="E6" s="110">
        <v>0.35</v>
      </c>
      <c r="F6" s="107" t="s">
        <v>32</v>
      </c>
      <c r="G6" s="107"/>
      <c r="H6" s="107"/>
      <c r="I6" s="109"/>
    </row>
    <row r="7" spans="2:9" s="96" customFormat="1">
      <c r="B7" s="107" t="s">
        <v>154</v>
      </c>
      <c r="C7" s="107"/>
      <c r="D7" s="107"/>
      <c r="E7" s="110">
        <v>120</v>
      </c>
      <c r="F7" s="107" t="s">
        <v>155</v>
      </c>
      <c r="G7" s="107"/>
      <c r="H7" s="107"/>
      <c r="I7" s="109"/>
    </row>
    <row r="8" spans="2:9" s="96" customFormat="1">
      <c r="B8" s="107" t="s">
        <v>156</v>
      </c>
      <c r="C8" s="107"/>
      <c r="D8" s="107"/>
      <c r="E8" s="110">
        <v>500</v>
      </c>
      <c r="F8" s="107" t="s">
        <v>157</v>
      </c>
      <c r="G8" s="107"/>
      <c r="H8" s="107"/>
      <c r="I8" s="109"/>
    </row>
    <row r="9" spans="2:9" s="96" customFormat="1">
      <c r="B9" s="107" t="s">
        <v>158</v>
      </c>
      <c r="C9" s="107"/>
      <c r="D9" s="107"/>
      <c r="E9" s="110">
        <v>20</v>
      </c>
      <c r="F9" s="107" t="s">
        <v>157</v>
      </c>
      <c r="G9" s="107" t="str">
        <f>+IF(E9=20,"( M 20 )",IF(E9=25,"( M 25 )"," "))</f>
        <v>( M 20 )</v>
      </c>
      <c r="H9" s="107"/>
      <c r="I9" s="109"/>
    </row>
    <row r="10" spans="2:9" s="96" customFormat="1">
      <c r="B10" s="107" t="s">
        <v>159</v>
      </c>
      <c r="C10" s="107"/>
      <c r="D10" s="107"/>
      <c r="E10" s="381">
        <v>519.96910000000003</v>
      </c>
      <c r="F10" s="107"/>
      <c r="G10" s="107"/>
      <c r="H10" s="107"/>
      <c r="I10" s="109"/>
    </row>
    <row r="11" spans="2:9" s="96" customFormat="1">
      <c r="B11" s="107" t="s">
        <v>42</v>
      </c>
      <c r="C11" s="107"/>
      <c r="D11" s="107"/>
      <c r="E11" s="111">
        <f>E10/1.5</f>
        <v>346.64606666666668</v>
      </c>
      <c r="F11" s="107" t="s">
        <v>30</v>
      </c>
      <c r="G11" s="107"/>
      <c r="H11" s="107"/>
      <c r="I11" s="109"/>
    </row>
    <row r="12" spans="2:9" s="96" customFormat="1">
      <c r="B12" s="107"/>
      <c r="C12" s="107"/>
      <c r="D12" s="107"/>
      <c r="E12" s="107"/>
      <c r="F12" s="107"/>
      <c r="G12" s="107"/>
      <c r="H12" s="107"/>
      <c r="I12" s="109"/>
    </row>
    <row r="13" spans="2:9" s="96" customFormat="1">
      <c r="B13" s="107" t="s">
        <v>160</v>
      </c>
      <c r="C13" s="107"/>
      <c r="D13" s="107"/>
      <c r="E13" s="111">
        <f>E11/E7</f>
        <v>2.8887172222222222</v>
      </c>
      <c r="F13" s="107" t="s">
        <v>161</v>
      </c>
      <c r="G13" s="107"/>
      <c r="H13" s="107"/>
      <c r="I13" s="109"/>
    </row>
    <row r="14" spans="2:9" s="96" customFormat="1">
      <c r="B14" s="107" t="s">
        <v>162</v>
      </c>
      <c r="C14" s="107"/>
      <c r="D14" s="107"/>
      <c r="E14" s="111">
        <f>20*1.5*E13</f>
        <v>86.661516666666671</v>
      </c>
      <c r="F14" s="107"/>
      <c r="G14" s="107"/>
      <c r="H14" s="107"/>
      <c r="I14" s="109"/>
    </row>
    <row r="15" spans="2:9" s="96" customFormat="1">
      <c r="B15" s="107" t="s">
        <v>42</v>
      </c>
      <c r="C15" s="107"/>
      <c r="D15" s="107"/>
      <c r="E15" s="111">
        <f>E11</f>
        <v>346.64606666666668</v>
      </c>
      <c r="F15" s="107" t="s">
        <v>30</v>
      </c>
      <c r="G15" s="107"/>
      <c r="H15" s="107"/>
      <c r="I15" s="107"/>
    </row>
    <row r="16" spans="2:9" s="96" customFormat="1">
      <c r="B16" s="107" t="s">
        <v>163</v>
      </c>
      <c r="C16" s="107"/>
      <c r="D16" s="107"/>
      <c r="E16" s="112">
        <f>SUM(E14:E15)</f>
        <v>433.30758333333335</v>
      </c>
      <c r="F16" s="107" t="s">
        <v>30</v>
      </c>
      <c r="G16" s="107"/>
      <c r="H16" s="107"/>
      <c r="I16" s="107"/>
    </row>
    <row r="17" spans="2:9" s="96" customFormat="1">
      <c r="B17" s="107" t="s">
        <v>164</v>
      </c>
      <c r="C17" s="107"/>
      <c r="D17" s="107"/>
      <c r="E17" s="111">
        <f>E16/E7</f>
        <v>3.6108965277777778</v>
      </c>
      <c r="F17" s="107" t="s">
        <v>161</v>
      </c>
      <c r="G17" s="107"/>
      <c r="H17" s="107"/>
      <c r="I17" s="107"/>
    </row>
    <row r="18" spans="2:9" s="96" customFormat="1">
      <c r="B18" s="107" t="s">
        <v>165</v>
      </c>
      <c r="C18" s="107"/>
      <c r="D18" s="107"/>
      <c r="E18" s="113">
        <f>SQRT(E17)</f>
        <v>1.9002359137164464</v>
      </c>
      <c r="F18" s="107"/>
      <c r="G18" s="107">
        <f>E18*3.28</f>
        <v>6.2327737969899442</v>
      </c>
      <c r="H18" s="107"/>
      <c r="I18" s="107"/>
    </row>
    <row r="19" spans="2:9" s="96" customFormat="1">
      <c r="B19" s="107"/>
      <c r="C19" s="107"/>
      <c r="D19" s="107"/>
      <c r="E19" s="107"/>
      <c r="F19" s="107"/>
      <c r="G19" s="107"/>
      <c r="H19" s="107"/>
      <c r="I19" s="107"/>
    </row>
    <row r="20" spans="2:9" s="96" customFormat="1">
      <c r="B20" s="107" t="s">
        <v>166</v>
      </c>
      <c r="C20" s="107"/>
      <c r="D20" s="114"/>
      <c r="E20" s="114"/>
      <c r="F20" s="114"/>
      <c r="G20" s="114"/>
      <c r="H20" s="107"/>
      <c r="I20" s="107"/>
    </row>
    <row r="21" spans="2:9" s="96" customFormat="1">
      <c r="B21" s="107"/>
      <c r="C21" s="107" t="s">
        <v>167</v>
      </c>
      <c r="D21" s="114"/>
      <c r="E21" s="283">
        <v>2.1335999999999999</v>
      </c>
      <c r="F21" s="107" t="s">
        <v>32</v>
      </c>
      <c r="G21" s="115">
        <f>E21*3.28</f>
        <v>6.9982079999999991</v>
      </c>
      <c r="H21" s="107"/>
      <c r="I21" s="107"/>
    </row>
    <row r="22" spans="2:9" s="96" customFormat="1">
      <c r="B22" s="107"/>
      <c r="C22" s="107" t="s">
        <v>50</v>
      </c>
      <c r="D22" s="114"/>
      <c r="E22" s="283">
        <f>E21</f>
        <v>2.1335999999999999</v>
      </c>
      <c r="F22" s="107" t="s">
        <v>32</v>
      </c>
      <c r="G22" s="107"/>
      <c r="H22" s="107"/>
      <c r="I22" s="107"/>
    </row>
    <row r="23" spans="2:9" s="96" customFormat="1">
      <c r="B23" s="107" t="s">
        <v>168</v>
      </c>
      <c r="C23" s="107"/>
      <c r="D23" s="107"/>
      <c r="E23" s="107">
        <f>E21*E21</f>
        <v>4.55224896</v>
      </c>
      <c r="F23" s="107" t="s">
        <v>161</v>
      </c>
      <c r="G23" s="107"/>
      <c r="H23" s="107"/>
      <c r="I23" s="107" t="str">
        <f>IF(E23&lt;E17,"Increase Area","OK")</f>
        <v>OK</v>
      </c>
    </row>
    <row r="24" spans="2:9" s="96" customFormat="1">
      <c r="B24" s="107" t="s">
        <v>169</v>
      </c>
      <c r="C24" s="107"/>
      <c r="D24" s="107"/>
      <c r="E24" s="111">
        <f>E10/E23</f>
        <v>114.2224655481057</v>
      </c>
      <c r="F24" s="107" t="s">
        <v>155</v>
      </c>
      <c r="G24" s="107"/>
      <c r="H24" s="107"/>
      <c r="I24" s="107"/>
    </row>
    <row r="25" spans="2:9" s="96" customFormat="1">
      <c r="B25" s="107" t="s">
        <v>170</v>
      </c>
      <c r="C25" s="107"/>
      <c r="D25" s="107"/>
      <c r="E25" s="107"/>
      <c r="F25" s="111">
        <f>E24*E21*((E21-E5)/2)*(E21-E5)/2*0.5</f>
        <v>96.910196336305759</v>
      </c>
      <c r="G25" s="107" t="s">
        <v>78</v>
      </c>
      <c r="H25" s="107"/>
      <c r="I25" s="107"/>
    </row>
    <row r="26" spans="2:9" s="96" customFormat="1">
      <c r="B26" s="288"/>
      <c r="C26" s="288"/>
      <c r="D26" s="288"/>
      <c r="E26" s="107"/>
      <c r="F26" s="116"/>
      <c r="G26" s="107"/>
      <c r="H26" s="107"/>
      <c r="I26" s="107"/>
    </row>
    <row r="27" spans="2:9" s="96" customFormat="1">
      <c r="B27" s="107"/>
      <c r="C27" s="107"/>
      <c r="D27" s="107"/>
      <c r="E27" s="107"/>
      <c r="F27" s="107"/>
      <c r="G27" s="107"/>
      <c r="H27" s="107"/>
      <c r="I27" s="107"/>
    </row>
    <row r="28" spans="2:9" s="96" customFormat="1">
      <c r="B28" s="107" t="s">
        <v>171</v>
      </c>
      <c r="C28" s="107"/>
      <c r="D28" s="107"/>
      <c r="E28" s="107"/>
      <c r="F28" s="107"/>
      <c r="G28" s="107"/>
      <c r="H28" s="107"/>
      <c r="I28" s="107"/>
    </row>
    <row r="29" spans="2:9" s="96" customFormat="1">
      <c r="B29" s="107" t="s">
        <v>172</v>
      </c>
      <c r="C29" s="107"/>
      <c r="D29" s="107"/>
      <c r="E29" s="107" t="s">
        <v>173</v>
      </c>
      <c r="F29" s="107"/>
      <c r="G29" s="107"/>
      <c r="H29" s="107"/>
      <c r="I29" s="107"/>
    </row>
    <row r="30" spans="2:9" s="96" customFormat="1">
      <c r="B30" s="107"/>
      <c r="C30" s="107"/>
      <c r="D30" s="107"/>
      <c r="E30" s="107"/>
      <c r="F30" s="107"/>
      <c r="G30" s="107"/>
      <c r="H30" s="107"/>
      <c r="I30" s="107"/>
    </row>
    <row r="31" spans="2:9" s="96" customFormat="1">
      <c r="B31" s="107"/>
      <c r="C31" s="107"/>
      <c r="D31" s="107" t="s">
        <v>44</v>
      </c>
      <c r="E31" s="111">
        <f>SQRT((F25*10^6)/(0.138*E9*E21*1000))</f>
        <v>128.28435482248346</v>
      </c>
      <c r="F31" s="116" t="s">
        <v>27</v>
      </c>
      <c r="G31" s="107"/>
      <c r="H31" s="107"/>
      <c r="I31" s="107"/>
    </row>
    <row r="32" spans="2:9" s="96" customFormat="1">
      <c r="B32" s="107"/>
      <c r="C32" s="107"/>
      <c r="D32" s="107"/>
      <c r="E32" s="117"/>
      <c r="F32" s="116"/>
      <c r="G32" s="107"/>
      <c r="H32" s="107"/>
      <c r="I32" s="107"/>
    </row>
    <row r="33" spans="2:9" s="96" customFormat="1">
      <c r="B33" s="107" t="s">
        <v>174</v>
      </c>
      <c r="C33" s="107"/>
      <c r="D33" s="107"/>
      <c r="E33" s="107"/>
      <c r="F33" s="107"/>
      <c r="G33" s="107"/>
      <c r="H33" s="107"/>
      <c r="I33" s="107"/>
    </row>
    <row r="34" spans="2:9" s="96" customFormat="1">
      <c r="B34" s="107"/>
      <c r="C34" s="107"/>
      <c r="D34" s="107"/>
      <c r="E34" s="107"/>
      <c r="F34" s="107"/>
      <c r="G34" s="107"/>
      <c r="H34" s="107"/>
      <c r="I34" s="107"/>
    </row>
    <row r="35" spans="2:9" s="96" customFormat="1">
      <c r="B35" s="107"/>
      <c r="C35" s="107"/>
      <c r="D35" s="107" t="s">
        <v>175</v>
      </c>
      <c r="E35" s="118">
        <v>400</v>
      </c>
      <c r="F35" s="107" t="s">
        <v>27</v>
      </c>
      <c r="G35" s="107"/>
      <c r="H35" s="107"/>
      <c r="I35" s="107"/>
    </row>
    <row r="36" spans="2:9" s="96" customFormat="1">
      <c r="B36" s="107"/>
      <c r="C36" s="107"/>
      <c r="D36" s="107" t="s">
        <v>45</v>
      </c>
      <c r="E36" s="119">
        <f>E35+50</f>
        <v>450</v>
      </c>
      <c r="F36" s="107" t="s">
        <v>27</v>
      </c>
      <c r="G36" s="107"/>
      <c r="H36" s="107"/>
      <c r="I36" s="107"/>
    </row>
    <row r="37" spans="2:9" s="96" customFormat="1">
      <c r="B37" s="120" t="s">
        <v>176</v>
      </c>
      <c r="C37" s="108"/>
      <c r="D37" s="108"/>
      <c r="E37" s="107"/>
      <c r="F37" s="107"/>
      <c r="G37" s="107"/>
      <c r="H37" s="107"/>
      <c r="I37" s="107"/>
    </row>
    <row r="38" spans="2:9" s="96" customFormat="1">
      <c r="B38" s="107" t="s">
        <v>177</v>
      </c>
      <c r="C38" s="107"/>
      <c r="D38" s="107"/>
      <c r="E38" s="107"/>
      <c r="F38" s="107"/>
      <c r="G38" s="107"/>
      <c r="H38" s="107"/>
      <c r="I38" s="107"/>
    </row>
    <row r="39" spans="2:9" s="96" customFormat="1">
      <c r="B39" s="107"/>
      <c r="C39" s="107"/>
      <c r="D39" s="107"/>
      <c r="E39" s="107"/>
      <c r="F39" s="107"/>
      <c r="G39" s="107"/>
      <c r="H39" s="107"/>
      <c r="I39" s="107"/>
    </row>
    <row r="40" spans="2:9" s="96" customFormat="1">
      <c r="B40" s="107" t="s">
        <v>178</v>
      </c>
      <c r="C40" s="107"/>
      <c r="D40" s="111">
        <f>E24*(E21*((E21/2-E5/2)-E35/1000))</f>
        <v>119.85414481627294</v>
      </c>
      <c r="E40" s="107" t="s">
        <v>30</v>
      </c>
      <c r="F40" s="107"/>
      <c r="G40" s="107"/>
      <c r="H40" s="107"/>
      <c r="I40" s="107"/>
    </row>
    <row r="41" spans="2:9" s="96" customFormat="1">
      <c r="B41" s="107" t="s">
        <v>179</v>
      </c>
      <c r="C41" s="107"/>
      <c r="D41" s="107"/>
      <c r="E41" s="107" t="s">
        <v>180</v>
      </c>
      <c r="F41" s="121">
        <f>D40*1000/(E22*1000*E35)</f>
        <v>0.14043652139139592</v>
      </c>
      <c r="G41" s="107" t="s">
        <v>157</v>
      </c>
      <c r="H41" s="107"/>
      <c r="I41" s="107"/>
    </row>
    <row r="42" spans="2:9" s="96" customFormat="1">
      <c r="B42" s="107"/>
      <c r="C42" s="107"/>
      <c r="D42" s="107"/>
      <c r="E42" s="107"/>
      <c r="F42" s="107"/>
      <c r="G42" s="107"/>
      <c r="H42" s="107"/>
      <c r="I42" s="107"/>
    </row>
    <row r="43" spans="2:9" s="96" customFormat="1">
      <c r="B43" s="107" t="s">
        <v>181</v>
      </c>
      <c r="C43" s="114"/>
      <c r="D43" s="114"/>
      <c r="E43" s="114"/>
      <c r="F43" s="114"/>
      <c r="G43" s="107" t="str">
        <f>+G9</f>
        <v>( M 20 )</v>
      </c>
      <c r="H43" s="107">
        <v>0.28000000000000003</v>
      </c>
      <c r="I43" s="107"/>
    </row>
    <row r="44" spans="2:9" s="96" customFormat="1">
      <c r="B44" s="107" t="s">
        <v>182</v>
      </c>
      <c r="C44" s="122" t="s">
        <v>183</v>
      </c>
      <c r="D44" s="110">
        <v>0.29199999999999998</v>
      </c>
      <c r="E44" s="107" t="s">
        <v>184</v>
      </c>
      <c r="F44" s="107" t="s">
        <v>185</v>
      </c>
      <c r="G44" s="107"/>
      <c r="H44" s="114"/>
      <c r="I44" s="107"/>
    </row>
    <row r="45" spans="2:9" s="96" customFormat="1">
      <c r="B45" s="107"/>
      <c r="C45" s="107"/>
      <c r="D45" s="107" t="s">
        <v>186</v>
      </c>
      <c r="E45" s="108" t="str">
        <f>IF(D44&gt;=F41,"OK"," Revised the Depth")</f>
        <v>OK</v>
      </c>
      <c r="F45" s="107"/>
      <c r="G45" s="107"/>
      <c r="H45" s="107"/>
      <c r="I45" s="107"/>
    </row>
    <row r="46" spans="2:9" s="96" customFormat="1">
      <c r="B46" s="107"/>
      <c r="C46" s="107" t="s">
        <v>187</v>
      </c>
      <c r="D46" s="107"/>
      <c r="E46" s="107"/>
      <c r="F46" s="107"/>
      <c r="G46" s="107"/>
      <c r="H46" s="107"/>
      <c r="I46" s="107"/>
    </row>
    <row r="47" spans="2:9" s="96" customFormat="1">
      <c r="B47" s="107"/>
      <c r="C47" s="107"/>
      <c r="D47" s="109"/>
      <c r="E47" s="107"/>
      <c r="F47" s="107"/>
      <c r="G47" s="107"/>
      <c r="H47" s="107"/>
      <c r="I47" s="107"/>
    </row>
    <row r="48" spans="2:9" s="96" customFormat="1">
      <c r="B48" s="120" t="s">
        <v>188</v>
      </c>
      <c r="C48" s="108"/>
      <c r="D48" s="108"/>
      <c r="E48" s="107"/>
      <c r="F48" s="107"/>
      <c r="G48" s="107"/>
      <c r="H48" s="107"/>
      <c r="I48" s="107"/>
    </row>
    <row r="49" spans="2:9" s="96" customFormat="1">
      <c r="B49" s="107" t="s">
        <v>189</v>
      </c>
      <c r="C49" s="107"/>
      <c r="D49" s="107"/>
      <c r="E49" s="107"/>
      <c r="F49" s="107"/>
      <c r="G49" s="107"/>
      <c r="H49" s="107"/>
      <c r="I49" s="107"/>
    </row>
    <row r="50" spans="2:9" s="96" customFormat="1">
      <c r="B50" s="107"/>
      <c r="C50" s="107" t="s">
        <v>178</v>
      </c>
      <c r="D50" s="107"/>
      <c r="E50" s="121">
        <f>E24*(E23-(E5+E35/1000)*(E6+E35/1000))</f>
        <v>455.71896312919057</v>
      </c>
      <c r="F50" s="107" t="s">
        <v>30</v>
      </c>
      <c r="G50" s="107"/>
      <c r="H50" s="107"/>
      <c r="I50" s="107"/>
    </row>
    <row r="51" spans="2:9" s="96" customFormat="1">
      <c r="B51" s="107" t="s">
        <v>190</v>
      </c>
      <c r="C51" s="107"/>
      <c r="D51" s="107"/>
      <c r="E51" s="123"/>
      <c r="F51" s="107"/>
      <c r="G51" s="107"/>
      <c r="H51" s="107"/>
      <c r="I51" s="107"/>
    </row>
    <row r="52" spans="2:9" s="96" customFormat="1">
      <c r="B52" s="107"/>
      <c r="C52" s="107" t="s">
        <v>191</v>
      </c>
      <c r="D52" s="122" t="s">
        <v>192</v>
      </c>
      <c r="E52" s="123">
        <f>2*(E5*1000+E35+E6*1000+E35)</f>
        <v>3000</v>
      </c>
      <c r="F52" s="107" t="s">
        <v>27</v>
      </c>
      <c r="G52" s="107"/>
      <c r="H52" s="107"/>
      <c r="I52" s="107"/>
    </row>
    <row r="53" spans="2:9" s="96" customFormat="1">
      <c r="B53" s="107"/>
      <c r="C53" s="107"/>
      <c r="D53" s="107"/>
      <c r="E53" s="107"/>
      <c r="F53" s="107"/>
      <c r="G53" s="107"/>
      <c r="H53" s="107"/>
      <c r="I53" s="107"/>
    </row>
    <row r="54" spans="2:9" s="96" customFormat="1">
      <c r="B54" s="107" t="s">
        <v>193</v>
      </c>
      <c r="C54" s="107"/>
      <c r="D54" s="107"/>
      <c r="E54" s="111">
        <f>E50*1000/(E52*E35)</f>
        <v>0.3797658026076588</v>
      </c>
      <c r="F54" s="107" t="s">
        <v>157</v>
      </c>
      <c r="G54" s="107"/>
      <c r="H54" s="107"/>
      <c r="I54" s="107"/>
    </row>
    <row r="55" spans="2:9" s="96" customFormat="1">
      <c r="B55" s="107" t="s">
        <v>194</v>
      </c>
      <c r="C55" s="107"/>
      <c r="D55" s="107"/>
      <c r="E55" s="107"/>
      <c r="F55" s="107"/>
      <c r="G55" s="107"/>
      <c r="H55" s="107"/>
      <c r="I55" s="107"/>
    </row>
    <row r="56" spans="2:9" s="96" customFormat="1">
      <c r="B56" s="122" t="s">
        <v>183</v>
      </c>
      <c r="C56" s="111">
        <f>0.25*SQRT(E9)</f>
        <v>1.1180339887498949</v>
      </c>
      <c r="D56" s="107" t="s">
        <v>184</v>
      </c>
      <c r="E56" s="107"/>
      <c r="F56" s="107"/>
      <c r="G56" s="107"/>
      <c r="H56" s="107"/>
      <c r="I56" s="107"/>
    </row>
    <row r="57" spans="2:9" s="96" customFormat="1">
      <c r="B57" s="122" t="s">
        <v>195</v>
      </c>
      <c r="C57" s="107" t="s">
        <v>196</v>
      </c>
      <c r="D57" s="107" t="s">
        <v>197</v>
      </c>
      <c r="E57" s="107"/>
      <c r="F57" s="107"/>
      <c r="G57" s="107"/>
      <c r="H57" s="107"/>
      <c r="I57" s="107"/>
    </row>
    <row r="58" spans="2:9" s="96" customFormat="1">
      <c r="B58" s="107"/>
      <c r="C58" s="107"/>
      <c r="D58" s="107" t="s">
        <v>198</v>
      </c>
      <c r="E58" s="107"/>
      <c r="F58" s="107"/>
      <c r="G58" s="107"/>
      <c r="H58" s="107"/>
      <c r="I58" s="107"/>
    </row>
    <row r="59" spans="2:9" s="96" customFormat="1">
      <c r="B59" s="107"/>
      <c r="C59" s="107"/>
      <c r="D59" s="107" t="s">
        <v>46</v>
      </c>
      <c r="E59" s="107">
        <f>E6/E5</f>
        <v>1</v>
      </c>
      <c r="F59" s="107"/>
      <c r="G59" s="107"/>
      <c r="H59" s="107"/>
      <c r="I59" s="107"/>
    </row>
    <row r="60" spans="2:9" s="96" customFormat="1">
      <c r="B60" s="107"/>
      <c r="C60" s="107"/>
      <c r="D60" s="107" t="s">
        <v>199</v>
      </c>
      <c r="E60" s="107">
        <f>0.5+E59</f>
        <v>1.5</v>
      </c>
      <c r="F60" s="107" t="s">
        <v>200</v>
      </c>
      <c r="G60" s="107"/>
      <c r="H60" s="107"/>
      <c r="I60" s="107"/>
    </row>
    <row r="61" spans="2:9" s="96" customFormat="1">
      <c r="B61" s="107"/>
      <c r="C61" s="107"/>
      <c r="D61" s="107" t="s">
        <v>201</v>
      </c>
      <c r="E61" s="107" t="str">
        <f>IF(E60&gt;1,"1",E60)</f>
        <v>1</v>
      </c>
      <c r="F61" s="107"/>
      <c r="G61" s="107"/>
      <c r="H61" s="107"/>
      <c r="I61" s="107"/>
    </row>
    <row r="62" spans="2:9" s="96" customFormat="1">
      <c r="B62" s="107"/>
      <c r="C62" s="107"/>
      <c r="D62" s="107" t="s">
        <v>202</v>
      </c>
      <c r="E62" s="111">
        <f>E61*C56</f>
        <v>1.1180339887498949</v>
      </c>
      <c r="F62" s="107" t="s">
        <v>157</v>
      </c>
      <c r="G62" s="107"/>
      <c r="H62" s="107"/>
      <c r="I62" s="107"/>
    </row>
    <row r="63" spans="2:9" s="96" customFormat="1">
      <c r="B63" s="107"/>
      <c r="C63" s="288" t="s">
        <v>186</v>
      </c>
      <c r="D63" s="288"/>
      <c r="E63" s="108" t="str">
        <f>IF(E62&gt;E54,"OK","Revised")</f>
        <v>OK</v>
      </c>
      <c r="F63" s="107" t="s">
        <v>203</v>
      </c>
      <c r="G63" s="107"/>
      <c r="H63" s="107"/>
      <c r="I63" s="107"/>
    </row>
    <row r="64" spans="2:9" s="96" customFormat="1">
      <c r="B64" s="107"/>
      <c r="C64" s="107"/>
      <c r="D64" s="107"/>
      <c r="E64" s="107"/>
      <c r="F64" s="107"/>
      <c r="G64" s="107"/>
      <c r="H64" s="107"/>
      <c r="I64" s="107"/>
    </row>
    <row r="65" spans="2:20" s="96" customFormat="1">
      <c r="B65" s="289" t="s">
        <v>204</v>
      </c>
      <c r="C65" s="289"/>
      <c r="D65" s="289"/>
      <c r="E65" s="289"/>
      <c r="F65" s="107"/>
      <c r="G65" s="107"/>
      <c r="H65" s="107"/>
      <c r="I65" s="107"/>
    </row>
    <row r="66" spans="2:20" s="96" customFormat="1">
      <c r="B66" s="107" t="s">
        <v>205</v>
      </c>
      <c r="C66" s="107"/>
      <c r="D66" s="107"/>
      <c r="E66" s="107"/>
      <c r="F66" s="107"/>
      <c r="G66" s="107"/>
      <c r="H66" s="107"/>
      <c r="I66" s="107"/>
    </row>
    <row r="67" spans="2:20" s="96" customFormat="1">
      <c r="B67" s="122" t="s">
        <v>206</v>
      </c>
      <c r="C67" s="107"/>
      <c r="D67" s="107"/>
      <c r="E67" s="107"/>
      <c r="F67" s="107"/>
      <c r="G67" s="107"/>
      <c r="H67" s="107"/>
      <c r="I67" s="107"/>
    </row>
    <row r="68" spans="2:20" s="96" customFormat="1">
      <c r="B68" s="107"/>
      <c r="C68" s="107" t="s">
        <v>207</v>
      </c>
      <c r="D68" s="111">
        <f>((0.87*E8*E9*E22*1000*E35)-SQRT((0.87*E8*E9*E22*1000*E35)^2-4*(0.87*E8*E8)*(F25*10^6*E9*E22*1000)))/(2*0.87*E8*E8)</f>
        <v>566.35105249531625</v>
      </c>
      <c r="E68" s="107" t="s">
        <v>208</v>
      </c>
      <c r="F68" s="107" t="s">
        <v>209</v>
      </c>
      <c r="G68" s="124" t="s">
        <v>210</v>
      </c>
      <c r="H68" s="107"/>
      <c r="I68" s="107"/>
    </row>
    <row r="69" spans="2:20" s="96" customFormat="1">
      <c r="B69" s="107"/>
      <c r="C69" s="107" t="s">
        <v>211</v>
      </c>
      <c r="D69" s="111">
        <f>D68/E21</f>
        <v>265.44387537275793</v>
      </c>
      <c r="E69" s="107"/>
      <c r="F69" s="107"/>
      <c r="G69" s="107">
        <f>0.0012*1000*E35</f>
        <v>480</v>
      </c>
      <c r="H69" s="107" t="s">
        <v>212</v>
      </c>
      <c r="I69" s="107"/>
      <c r="L69" s="285"/>
      <c r="M69" s="285"/>
      <c r="N69" s="285"/>
      <c r="O69" s="285"/>
      <c r="P69" s="285"/>
      <c r="Q69" s="285"/>
      <c r="R69" s="285"/>
      <c r="S69" s="285"/>
      <c r="T69" s="285"/>
    </row>
    <row r="70" spans="2:20" s="96" customFormat="1">
      <c r="B70" s="107"/>
      <c r="C70" s="288" t="s">
        <v>213</v>
      </c>
      <c r="D70" s="288"/>
      <c r="E70" s="111">
        <f>+IF(D69&gt;G69,D69,G69)</f>
        <v>480</v>
      </c>
      <c r="F70" s="107" t="str">
        <f>+H69</f>
        <v>mm²</v>
      </c>
      <c r="G70" s="107"/>
      <c r="H70" s="107"/>
      <c r="I70" s="107"/>
      <c r="L70" s="251"/>
      <c r="M70" s="251"/>
      <c r="N70" s="251"/>
      <c r="O70" s="251"/>
      <c r="P70" s="251"/>
      <c r="Q70" s="251"/>
      <c r="R70" s="251"/>
      <c r="S70" s="251"/>
      <c r="T70" s="251"/>
    </row>
    <row r="71" spans="2:20" s="96" customFormat="1">
      <c r="B71" s="107"/>
      <c r="C71" s="107" t="s">
        <v>214</v>
      </c>
      <c r="D71" s="107"/>
      <c r="E71" s="113">
        <f>D69*100/(1000*E35)</f>
        <v>6.6360968843189483E-2</v>
      </c>
      <c r="F71" s="107"/>
      <c r="G71" s="107"/>
      <c r="H71" s="107"/>
      <c r="I71" s="107"/>
      <c r="L71" s="252"/>
      <c r="M71" s="252"/>
      <c r="N71" s="252"/>
      <c r="O71" s="252"/>
      <c r="P71" s="252"/>
      <c r="Q71" s="252"/>
      <c r="R71" s="252"/>
      <c r="S71" s="252"/>
      <c r="T71" s="252"/>
    </row>
    <row r="72" spans="2:20" s="96" customFormat="1">
      <c r="B72" s="107" t="s">
        <v>215</v>
      </c>
      <c r="C72" s="107"/>
      <c r="D72" s="110">
        <v>12</v>
      </c>
      <c r="E72" s="123" t="s">
        <v>216</v>
      </c>
      <c r="F72" s="111">
        <f>+(PI()/4*D72^2)*1000/E70</f>
        <v>235.61944901923451</v>
      </c>
      <c r="G72" s="107" t="s">
        <v>217</v>
      </c>
      <c r="H72" s="107"/>
      <c r="I72" s="107"/>
      <c r="L72" s="253"/>
      <c r="M72" s="253"/>
      <c r="N72" s="254"/>
      <c r="O72" s="253"/>
      <c r="P72" s="253"/>
      <c r="Q72" s="254"/>
      <c r="R72" s="254"/>
      <c r="S72" s="253"/>
      <c r="T72" s="253"/>
    </row>
    <row r="73" spans="2:20" s="96" customFormat="1">
      <c r="B73" s="107"/>
      <c r="C73" s="107"/>
      <c r="D73" s="107"/>
      <c r="E73" s="107"/>
      <c r="F73" s="107"/>
      <c r="G73" s="107"/>
      <c r="H73" s="107"/>
      <c r="I73" s="107"/>
      <c r="L73" s="253"/>
      <c r="M73" s="253"/>
      <c r="N73" s="254"/>
      <c r="O73" s="253"/>
      <c r="P73" s="253"/>
      <c r="Q73" s="254"/>
      <c r="R73" s="254"/>
      <c r="S73" s="254"/>
      <c r="T73" s="254"/>
    </row>
    <row r="74" spans="2:20" s="96" customFormat="1">
      <c r="B74" s="107" t="s">
        <v>218</v>
      </c>
      <c r="C74" s="107"/>
      <c r="D74" s="107">
        <f>+D72</f>
        <v>12</v>
      </c>
      <c r="E74" s="123" t="s">
        <v>216</v>
      </c>
      <c r="F74" s="125">
        <v>150</v>
      </c>
      <c r="G74" s="107" t="s">
        <v>217</v>
      </c>
      <c r="H74" s="107"/>
      <c r="I74" s="107"/>
      <c r="L74" s="253"/>
      <c r="M74" s="253"/>
      <c r="N74" s="254"/>
      <c r="O74" s="253"/>
      <c r="P74" s="253"/>
      <c r="Q74" s="254"/>
      <c r="R74" s="254"/>
      <c r="S74" s="254"/>
      <c r="T74" s="254"/>
    </row>
    <row r="75" spans="2:20" s="96" customFormat="1">
      <c r="B75" s="107"/>
      <c r="C75" s="286" t="s">
        <v>219</v>
      </c>
      <c r="D75" s="286"/>
      <c r="E75" s="111">
        <f>+PI()*D74^2/4*1000/F74</f>
        <v>753.9822368615504</v>
      </c>
      <c r="F75" s="107" t="s">
        <v>212</v>
      </c>
      <c r="G75" s="107"/>
      <c r="H75" s="107"/>
      <c r="I75" s="107"/>
      <c r="L75" s="253"/>
      <c r="M75" s="253"/>
      <c r="N75" s="254"/>
      <c r="O75" s="253"/>
      <c r="P75" s="253"/>
      <c r="Q75" s="254"/>
      <c r="R75" s="254"/>
      <c r="S75" s="253"/>
      <c r="T75" s="253"/>
    </row>
    <row r="76" spans="2:20" s="96" customFormat="1">
      <c r="B76" s="107"/>
      <c r="C76" s="107"/>
      <c r="D76" s="107"/>
      <c r="E76" s="107"/>
      <c r="F76" s="123" t="str">
        <f>+IF(E75&gt;E70,"Hence Ok.","Incr. Ast.")</f>
        <v>Hence Ok.</v>
      </c>
      <c r="G76" s="123"/>
      <c r="H76" s="123"/>
      <c r="I76" s="107"/>
      <c r="L76" s="253"/>
      <c r="M76" s="253"/>
      <c r="N76" s="254"/>
      <c r="O76" s="253"/>
      <c r="P76" s="253"/>
      <c r="Q76" s="254"/>
      <c r="R76" s="254"/>
      <c r="S76" s="254"/>
      <c r="T76" s="254"/>
    </row>
    <row r="77" spans="2:20">
      <c r="L77" s="253"/>
      <c r="M77" s="253"/>
      <c r="N77" s="254"/>
      <c r="O77" s="253"/>
      <c r="P77" s="253"/>
      <c r="Q77" s="254"/>
      <c r="R77" s="254"/>
      <c r="S77" s="254"/>
      <c r="T77" s="254"/>
    </row>
    <row r="78" spans="2:20">
      <c r="L78" s="253"/>
      <c r="M78" s="253"/>
      <c r="N78" s="254"/>
      <c r="O78" s="253"/>
      <c r="P78" s="253"/>
      <c r="Q78" s="254"/>
      <c r="R78" s="254"/>
      <c r="S78" s="253"/>
      <c r="T78" s="253"/>
    </row>
    <row r="79" spans="2:20">
      <c r="L79" s="253"/>
      <c r="M79" s="253"/>
      <c r="N79" s="254"/>
      <c r="O79" s="253"/>
      <c r="P79" s="253"/>
      <c r="Q79" s="254"/>
      <c r="R79" s="254"/>
      <c r="S79" s="254"/>
      <c r="T79" s="254"/>
    </row>
    <row r="80" spans="2:20">
      <c r="L80" s="253"/>
      <c r="M80" s="253"/>
      <c r="N80" s="254"/>
      <c r="O80" s="253"/>
      <c r="P80" s="253"/>
      <c r="Q80" s="254"/>
      <c r="R80" s="254"/>
      <c r="S80" s="254"/>
      <c r="T80" s="254"/>
    </row>
    <row r="81" spans="12:20">
      <c r="L81" s="253"/>
      <c r="M81" s="253"/>
      <c r="N81" s="254"/>
      <c r="O81" s="253"/>
      <c r="P81" s="253"/>
      <c r="Q81" s="254"/>
      <c r="R81" s="254"/>
      <c r="S81" s="253"/>
      <c r="T81" s="253"/>
    </row>
    <row r="82" spans="12:20">
      <c r="L82" s="253"/>
      <c r="M82" s="253"/>
      <c r="N82" s="254"/>
      <c r="O82" s="253"/>
      <c r="P82" s="253"/>
      <c r="Q82" s="254"/>
      <c r="R82" s="254"/>
      <c r="S82" s="254"/>
      <c r="T82" s="254"/>
    </row>
    <row r="83" spans="12:20">
      <c r="L83" s="253"/>
      <c r="M83" s="253"/>
      <c r="N83" s="254"/>
      <c r="O83" s="253"/>
      <c r="P83" s="253"/>
      <c r="Q83" s="254"/>
      <c r="R83" s="254"/>
      <c r="S83" s="254"/>
      <c r="T83" s="254"/>
    </row>
  </sheetData>
  <mergeCells count="7">
    <mergeCell ref="L69:T69"/>
    <mergeCell ref="C75:D75"/>
    <mergeCell ref="B1:F1"/>
    <mergeCell ref="B26:D26"/>
    <mergeCell ref="C63:D63"/>
    <mergeCell ref="B65:E65"/>
    <mergeCell ref="C70:D7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4:R26"/>
  <sheetViews>
    <sheetView zoomScale="85" zoomScaleNormal="85" workbookViewId="0">
      <selection activeCell="S8" sqref="S8"/>
    </sheetView>
  </sheetViews>
  <sheetFormatPr defaultColWidth="9.109375" defaultRowHeight="13.8"/>
  <cols>
    <col min="1" max="1" width="9.109375" style="262"/>
    <col min="2" max="2" width="12.5546875" style="262" customWidth="1"/>
    <col min="3" max="3" width="13.6640625" style="262" customWidth="1"/>
    <col min="4" max="4" width="12.6640625" style="262" bestFit="1" customWidth="1"/>
    <col min="5" max="5" width="15.6640625" style="262" customWidth="1"/>
    <col min="6" max="10" width="9.109375" style="262"/>
    <col min="11" max="11" width="10.88671875" style="262" bestFit="1" customWidth="1"/>
    <col min="12" max="12" width="16.33203125" style="262" bestFit="1" customWidth="1"/>
    <col min="13" max="16384" width="9.109375" style="262"/>
  </cols>
  <sheetData>
    <row r="4" spans="2:18" ht="14.4">
      <c r="B4" s="260" t="s">
        <v>292</v>
      </c>
      <c r="C4" s="261"/>
      <c r="D4" s="261"/>
      <c r="E4" s="261"/>
      <c r="F4" s="261"/>
    </row>
    <row r="5" spans="2:18" ht="14.4">
      <c r="B5" s="255" t="s">
        <v>131</v>
      </c>
      <c r="C5" s="255" t="s">
        <v>132</v>
      </c>
      <c r="D5" s="255" t="s">
        <v>133</v>
      </c>
      <c r="E5" s="255" t="s">
        <v>134</v>
      </c>
      <c r="F5" s="257" t="s">
        <v>135</v>
      </c>
      <c r="G5" s="263"/>
    </row>
    <row r="6" spans="2:18" ht="16.2" customHeight="1">
      <c r="B6" s="256" t="s">
        <v>222</v>
      </c>
      <c r="C6" s="256" t="s">
        <v>222</v>
      </c>
      <c r="D6" s="256" t="s">
        <v>222</v>
      </c>
      <c r="E6" s="256" t="s">
        <v>222</v>
      </c>
      <c r="F6" s="258" t="s">
        <v>34</v>
      </c>
      <c r="G6" s="263"/>
      <c r="K6" s="92" t="s">
        <v>137</v>
      </c>
      <c r="L6" s="92" t="s">
        <v>138</v>
      </c>
      <c r="M6" s="264" t="s">
        <v>139</v>
      </c>
      <c r="N6" s="264" t="s">
        <v>140</v>
      </c>
      <c r="O6" s="264" t="s">
        <v>141</v>
      </c>
      <c r="P6" s="265" t="s">
        <v>142</v>
      </c>
      <c r="Q6" s="265" t="s">
        <v>143</v>
      </c>
      <c r="R6" s="266"/>
    </row>
    <row r="7" spans="2:18" ht="17.399999999999999" customHeight="1">
      <c r="B7" s="259" t="s">
        <v>136</v>
      </c>
      <c r="C7" s="259">
        <v>1</v>
      </c>
      <c r="D7" s="259">
        <v>2</v>
      </c>
      <c r="E7" s="267" t="s">
        <v>293</v>
      </c>
      <c r="F7" s="259">
        <v>435.69310000000002</v>
      </c>
      <c r="G7" s="263" t="s">
        <v>295</v>
      </c>
      <c r="K7" s="263" t="str">
        <f t="shared" ref="K7:K24" si="0">G7</f>
        <v>A1</v>
      </c>
      <c r="L7" s="268">
        <f>F7/1.5</f>
        <v>290.46206666666666</v>
      </c>
      <c r="M7" s="268" t="s">
        <v>146</v>
      </c>
      <c r="N7" s="290" t="s">
        <v>144</v>
      </c>
      <c r="O7" s="290" t="s">
        <v>145</v>
      </c>
      <c r="P7" s="269">
        <f>ROUNDUP(Q7,1)</f>
        <v>6.1</v>
      </c>
      <c r="Q7" s="269">
        <f>SQRT((L7+0.1*F7+4.4*18)/120)*3.28</f>
        <v>6.086671533448218</v>
      </c>
      <c r="R7" s="266">
        <f>P7*P7</f>
        <v>37.209999999999994</v>
      </c>
    </row>
    <row r="8" spans="2:18" ht="30" customHeight="1">
      <c r="B8" s="259" t="s">
        <v>136</v>
      </c>
      <c r="C8" s="259">
        <v>2</v>
      </c>
      <c r="D8" s="259">
        <v>4</v>
      </c>
      <c r="E8" s="267" t="s">
        <v>293</v>
      </c>
      <c r="F8" s="259">
        <v>585.30550000000005</v>
      </c>
      <c r="G8" s="263" t="s">
        <v>147</v>
      </c>
      <c r="H8" s="262">
        <f>F9+F7</f>
        <v>1026.2151000000001</v>
      </c>
      <c r="K8" s="263" t="str">
        <f t="shared" si="0"/>
        <v>A2</v>
      </c>
      <c r="L8" s="268">
        <f t="shared" ref="L8:L24" si="1">F8/1.5</f>
        <v>390.20366666666672</v>
      </c>
      <c r="M8" s="268" t="s">
        <v>291</v>
      </c>
      <c r="N8" s="291"/>
      <c r="O8" s="291"/>
      <c r="P8" s="269">
        <f t="shared" ref="P8:P21" si="2">ROUNDUP(Q8,1)</f>
        <v>6.8999999999999995</v>
      </c>
      <c r="Q8" s="269">
        <f>SQRT((L8+0.1*F8+4.4*18)/120)*3.28</f>
        <v>6.8797574306721661</v>
      </c>
      <c r="R8" s="266">
        <f>P8*P8</f>
        <v>47.609999999999992</v>
      </c>
    </row>
    <row r="9" spans="2:18" ht="30" customHeight="1">
      <c r="B9" s="259" t="s">
        <v>136</v>
      </c>
      <c r="C9" s="259">
        <v>3</v>
      </c>
      <c r="D9" s="259">
        <v>6</v>
      </c>
      <c r="E9" s="267" t="s">
        <v>293</v>
      </c>
      <c r="F9" s="259">
        <v>590.52200000000005</v>
      </c>
      <c r="G9" s="263" t="s">
        <v>297</v>
      </c>
      <c r="K9" s="263" t="str">
        <f t="shared" si="0"/>
        <v>A3</v>
      </c>
      <c r="L9" s="268">
        <f t="shared" si="1"/>
        <v>393.68133333333338</v>
      </c>
      <c r="M9" s="268" t="s">
        <v>291</v>
      </c>
      <c r="N9" s="291"/>
      <c r="O9" s="291"/>
      <c r="P9" s="269">
        <f t="shared" si="2"/>
        <v>7</v>
      </c>
      <c r="Q9" s="269">
        <f t="shared" ref="Q9:Q24" si="3">SQRT((L9+0.1*F9+4.4*18)/120)*3.28</f>
        <v>6.9057667478065845</v>
      </c>
      <c r="R9" s="266">
        <f t="shared" ref="R9:R18" si="4">P9*P9</f>
        <v>49</v>
      </c>
    </row>
    <row r="10" spans="2:18" ht="30" customHeight="1">
      <c r="B10" s="259" t="s">
        <v>136</v>
      </c>
      <c r="C10" s="259">
        <v>4</v>
      </c>
      <c r="D10" s="259">
        <v>8</v>
      </c>
      <c r="E10" s="267" t="s">
        <v>293</v>
      </c>
      <c r="F10" s="259">
        <v>195.16550000000001</v>
      </c>
      <c r="G10" s="263" t="s">
        <v>296</v>
      </c>
      <c r="K10" s="263" t="str">
        <f t="shared" si="0"/>
        <v>A4</v>
      </c>
      <c r="L10" s="268">
        <f t="shared" si="1"/>
        <v>130.11033333333333</v>
      </c>
      <c r="M10" s="268" t="s">
        <v>227</v>
      </c>
      <c r="N10" s="291"/>
      <c r="O10" s="291"/>
      <c r="P10" s="269">
        <f t="shared" si="2"/>
        <v>4.5999999999999996</v>
      </c>
      <c r="Q10" s="269">
        <f t="shared" si="3"/>
        <v>4.5293589885447485</v>
      </c>
      <c r="R10" s="266">
        <f t="shared" si="4"/>
        <v>21.159999999999997</v>
      </c>
    </row>
    <row r="11" spans="2:18" ht="30" customHeight="1">
      <c r="B11" s="259" t="s">
        <v>136</v>
      </c>
      <c r="C11" s="259">
        <v>5</v>
      </c>
      <c r="D11" s="259">
        <v>10</v>
      </c>
      <c r="E11" s="267" t="s">
        <v>293</v>
      </c>
      <c r="F11" s="259">
        <v>708.04510000000005</v>
      </c>
      <c r="G11" s="263" t="s">
        <v>33</v>
      </c>
      <c r="H11" s="262">
        <f>F11+F12</f>
        <v>1477.1494</v>
      </c>
      <c r="K11" s="263" t="str">
        <f t="shared" si="0"/>
        <v>B1</v>
      </c>
      <c r="L11" s="268">
        <f t="shared" si="1"/>
        <v>472.0300666666667</v>
      </c>
      <c r="M11" s="268" t="s">
        <v>302</v>
      </c>
      <c r="N11" s="291"/>
      <c r="O11" s="291"/>
      <c r="P11" s="269">
        <f t="shared" si="2"/>
        <v>7.5</v>
      </c>
      <c r="Q11" s="269">
        <f t="shared" si="3"/>
        <v>7.4677622650132323</v>
      </c>
      <c r="R11" s="266">
        <f t="shared" si="4"/>
        <v>56.25</v>
      </c>
    </row>
    <row r="12" spans="2:18" ht="30" customHeight="1">
      <c r="B12" s="259" t="s">
        <v>136</v>
      </c>
      <c r="C12" s="259">
        <v>6</v>
      </c>
      <c r="D12" s="259">
        <v>12</v>
      </c>
      <c r="E12" s="267" t="s">
        <v>293</v>
      </c>
      <c r="F12" s="259">
        <v>769.10429999999997</v>
      </c>
      <c r="G12" s="263" t="s">
        <v>36</v>
      </c>
      <c r="K12" s="263" t="str">
        <f t="shared" si="0"/>
        <v>B2</v>
      </c>
      <c r="L12" s="268">
        <f t="shared" si="1"/>
        <v>512.73619999999994</v>
      </c>
      <c r="M12" s="268" t="s">
        <v>302</v>
      </c>
      <c r="N12" s="291"/>
      <c r="O12" s="291"/>
      <c r="P12" s="269">
        <f t="shared" si="2"/>
        <v>7.8</v>
      </c>
      <c r="Q12" s="269">
        <f t="shared" si="3"/>
        <v>7.7436638530005073</v>
      </c>
      <c r="R12" s="266">
        <f t="shared" si="4"/>
        <v>60.839999999999996</v>
      </c>
    </row>
    <row r="13" spans="2:18" ht="30" customHeight="1">
      <c r="B13" s="259" t="s">
        <v>136</v>
      </c>
      <c r="C13" s="259">
        <v>7</v>
      </c>
      <c r="D13" s="259">
        <v>14</v>
      </c>
      <c r="E13" s="267" t="s">
        <v>293</v>
      </c>
      <c r="F13" s="259">
        <v>930.39689999999996</v>
      </c>
      <c r="G13" s="263" t="s">
        <v>298</v>
      </c>
      <c r="K13" s="263" t="str">
        <f t="shared" si="0"/>
        <v>B3</v>
      </c>
      <c r="L13" s="268">
        <f t="shared" si="1"/>
        <v>620.26459999999997</v>
      </c>
      <c r="M13" s="268" t="s">
        <v>307</v>
      </c>
      <c r="N13" s="291"/>
      <c r="O13" s="291"/>
      <c r="P13" s="269">
        <f t="shared" si="2"/>
        <v>8.5</v>
      </c>
      <c r="Q13" s="269">
        <f t="shared" si="3"/>
        <v>8.4291548377916676</v>
      </c>
      <c r="R13" s="266">
        <f t="shared" si="4"/>
        <v>72.25</v>
      </c>
    </row>
    <row r="14" spans="2:18" ht="30" customHeight="1">
      <c r="B14" s="259" t="s">
        <v>136</v>
      </c>
      <c r="C14" s="259">
        <v>8</v>
      </c>
      <c r="D14" s="259">
        <v>16</v>
      </c>
      <c r="E14" s="267" t="s">
        <v>293</v>
      </c>
      <c r="F14" s="259">
        <v>813.58420000000001</v>
      </c>
      <c r="G14" s="263" t="s">
        <v>299</v>
      </c>
      <c r="H14" s="262">
        <f>F14+F23</f>
        <v>1446.1684</v>
      </c>
      <c r="K14" s="263" t="str">
        <f t="shared" si="0"/>
        <v>B4</v>
      </c>
      <c r="L14" s="268">
        <f t="shared" si="1"/>
        <v>542.38946666666664</v>
      </c>
      <c r="M14" s="268" t="s">
        <v>302</v>
      </c>
      <c r="N14" s="291"/>
      <c r="O14" s="291"/>
      <c r="P14" s="269">
        <f t="shared" si="2"/>
        <v>8</v>
      </c>
      <c r="Q14" s="269">
        <f t="shared" si="3"/>
        <v>7.9386158238882478</v>
      </c>
      <c r="R14" s="266">
        <f t="shared" si="4"/>
        <v>64</v>
      </c>
    </row>
    <row r="15" spans="2:18" ht="30" customHeight="1">
      <c r="B15" s="259" t="s">
        <v>136</v>
      </c>
      <c r="C15" s="259">
        <v>9</v>
      </c>
      <c r="D15" s="259">
        <v>18</v>
      </c>
      <c r="E15" s="267" t="s">
        <v>293</v>
      </c>
      <c r="F15" s="259">
        <v>679.94590000000005</v>
      </c>
      <c r="G15" s="263" t="s">
        <v>294</v>
      </c>
      <c r="K15" s="263" t="str">
        <f t="shared" si="0"/>
        <v>C1</v>
      </c>
      <c r="L15" s="268">
        <f t="shared" si="1"/>
        <v>453.2972666666667</v>
      </c>
      <c r="M15" s="268" t="s">
        <v>302</v>
      </c>
      <c r="N15" s="291"/>
      <c r="O15" s="291"/>
      <c r="P15" s="269">
        <f t="shared" si="2"/>
        <v>7.3999999999999995</v>
      </c>
      <c r="Q15" s="269">
        <f t="shared" si="3"/>
        <v>7.3373085385370622</v>
      </c>
      <c r="R15" s="266">
        <f t="shared" si="4"/>
        <v>54.759999999999991</v>
      </c>
    </row>
    <row r="16" spans="2:18" ht="30" customHeight="1">
      <c r="B16" s="259" t="s">
        <v>136</v>
      </c>
      <c r="C16" s="259">
        <v>10</v>
      </c>
      <c r="D16" s="259">
        <v>20</v>
      </c>
      <c r="E16" s="267" t="s">
        <v>293</v>
      </c>
      <c r="F16" s="259">
        <v>752.45119999999997</v>
      </c>
      <c r="G16" s="263" t="s">
        <v>303</v>
      </c>
      <c r="K16" s="263" t="str">
        <f t="shared" si="0"/>
        <v>C2</v>
      </c>
      <c r="L16" s="268">
        <f t="shared" si="1"/>
        <v>501.6341333333333</v>
      </c>
      <c r="M16" s="268" t="s">
        <v>302</v>
      </c>
      <c r="N16" s="291"/>
      <c r="O16" s="291"/>
      <c r="P16" s="269">
        <f t="shared" si="2"/>
        <v>7.6999999999999993</v>
      </c>
      <c r="Q16" s="269">
        <f t="shared" si="3"/>
        <v>7.6693997152435456</v>
      </c>
      <c r="R16" s="266">
        <f t="shared" si="4"/>
        <v>59.289999999999992</v>
      </c>
    </row>
    <row r="17" spans="2:18" ht="30" customHeight="1">
      <c r="B17" s="259" t="s">
        <v>136</v>
      </c>
      <c r="C17" s="259">
        <v>11</v>
      </c>
      <c r="D17" s="259">
        <v>22</v>
      </c>
      <c r="E17" s="267" t="s">
        <v>293</v>
      </c>
      <c r="F17" s="259">
        <v>953.70389999999998</v>
      </c>
      <c r="G17" s="263" t="s">
        <v>304</v>
      </c>
      <c r="K17" s="263" t="str">
        <f t="shared" si="0"/>
        <v>C3</v>
      </c>
      <c r="L17" s="268">
        <f t="shared" si="1"/>
        <v>635.80259999999998</v>
      </c>
      <c r="M17" s="268" t="s">
        <v>307</v>
      </c>
      <c r="N17" s="291"/>
      <c r="O17" s="291"/>
      <c r="P17" s="269">
        <f t="shared" si="2"/>
        <v>8.6</v>
      </c>
      <c r="Q17" s="269">
        <f t="shared" si="3"/>
        <v>8.52365178763187</v>
      </c>
      <c r="R17" s="266">
        <f t="shared" si="4"/>
        <v>73.959999999999994</v>
      </c>
    </row>
    <row r="18" spans="2:18" ht="30" customHeight="1">
      <c r="B18" s="259" t="s">
        <v>136</v>
      </c>
      <c r="C18" s="259">
        <v>12</v>
      </c>
      <c r="D18" s="259">
        <v>24</v>
      </c>
      <c r="E18" s="267" t="s">
        <v>293</v>
      </c>
      <c r="F18" s="259">
        <v>880.85239999999999</v>
      </c>
      <c r="G18" s="263" t="s">
        <v>300</v>
      </c>
      <c r="H18" s="262">
        <f>F18+F24</f>
        <v>1522.1444000000001</v>
      </c>
      <c r="K18" s="263" t="str">
        <f t="shared" si="0"/>
        <v>C4</v>
      </c>
      <c r="L18" s="268">
        <f t="shared" si="1"/>
        <v>587.23493333333329</v>
      </c>
      <c r="M18" s="268" t="s">
        <v>302</v>
      </c>
      <c r="N18" s="292"/>
      <c r="O18" s="292"/>
      <c r="P18" s="269">
        <f>ROUNDUP(Q18,1)</f>
        <v>8.2999999999999989</v>
      </c>
      <c r="Q18" s="269">
        <f>SQRT((L18+0.1*F18+4.4*18)/120)*3.28</f>
        <v>8.2246731610792772</v>
      </c>
      <c r="R18" s="266">
        <f t="shared" si="4"/>
        <v>68.889999999999986</v>
      </c>
    </row>
    <row r="19" spans="2:18" ht="30" customHeight="1">
      <c r="B19" s="259" t="s">
        <v>136</v>
      </c>
      <c r="C19" s="259">
        <v>13</v>
      </c>
      <c r="D19" s="259">
        <v>26</v>
      </c>
      <c r="E19" s="267" t="s">
        <v>293</v>
      </c>
      <c r="F19" s="259">
        <v>530.30309999999997</v>
      </c>
      <c r="G19" s="270" t="s">
        <v>223</v>
      </c>
      <c r="K19" s="271" t="str">
        <f t="shared" si="0"/>
        <v>D1</v>
      </c>
      <c r="L19" s="268">
        <f t="shared" si="1"/>
        <v>353.53539999999998</v>
      </c>
      <c r="M19" s="268" t="s">
        <v>291</v>
      </c>
      <c r="N19" s="93"/>
      <c r="O19" s="93"/>
      <c r="P19" s="269">
        <f t="shared" si="2"/>
        <v>6.6</v>
      </c>
      <c r="Q19" s="269">
        <f t="shared" si="3"/>
        <v>6.5992814094061272</v>
      </c>
      <c r="R19" s="266"/>
    </row>
    <row r="20" spans="2:18" ht="30" customHeight="1">
      <c r="B20" s="259" t="s">
        <v>136</v>
      </c>
      <c r="C20" s="259">
        <v>14</v>
      </c>
      <c r="D20" s="259">
        <v>28</v>
      </c>
      <c r="E20" s="267" t="s">
        <v>293</v>
      </c>
      <c r="F20" s="259">
        <v>655.01059999999995</v>
      </c>
      <c r="G20" s="270" t="s">
        <v>224</v>
      </c>
      <c r="K20" s="271" t="str">
        <f t="shared" si="0"/>
        <v>D2</v>
      </c>
      <c r="L20" s="268">
        <f t="shared" si="1"/>
        <v>436.6737333333333</v>
      </c>
      <c r="M20" s="268" t="s">
        <v>291</v>
      </c>
      <c r="N20" s="93"/>
      <c r="O20" s="93"/>
      <c r="P20" s="269">
        <f t="shared" si="2"/>
        <v>7.3</v>
      </c>
      <c r="Q20" s="269">
        <f t="shared" si="3"/>
        <v>7.2195698028560598</v>
      </c>
      <c r="R20" s="266"/>
    </row>
    <row r="21" spans="2:18" ht="30" customHeight="1">
      <c r="B21" s="259" t="s">
        <v>136</v>
      </c>
      <c r="C21" s="259">
        <v>15</v>
      </c>
      <c r="D21" s="259">
        <v>30</v>
      </c>
      <c r="E21" s="267" t="s">
        <v>293</v>
      </c>
      <c r="F21" s="259">
        <v>695.1336</v>
      </c>
      <c r="G21" s="271" t="s">
        <v>225</v>
      </c>
      <c r="K21" s="272" t="str">
        <f t="shared" si="0"/>
        <v>D3</v>
      </c>
      <c r="L21" s="268">
        <f t="shared" si="1"/>
        <v>463.42239999999998</v>
      </c>
      <c r="M21" s="272" t="s">
        <v>302</v>
      </c>
      <c r="N21" s="94"/>
      <c r="O21" s="94"/>
      <c r="P21" s="269">
        <f t="shared" si="2"/>
        <v>7.5</v>
      </c>
      <c r="Q21" s="269">
        <f t="shared" si="3"/>
        <v>7.4081044361248933</v>
      </c>
      <c r="R21" s="266"/>
    </row>
    <row r="22" spans="2:18" ht="30" customHeight="1">
      <c r="B22" s="259" t="s">
        <v>136</v>
      </c>
      <c r="C22" s="259">
        <v>16</v>
      </c>
      <c r="D22" s="259">
        <v>32</v>
      </c>
      <c r="E22" s="267" t="s">
        <v>293</v>
      </c>
      <c r="F22" s="259">
        <v>525.03899999999999</v>
      </c>
      <c r="G22" s="271" t="s">
        <v>301</v>
      </c>
      <c r="K22" s="272" t="str">
        <f t="shared" si="0"/>
        <v>D4</v>
      </c>
      <c r="L22" s="268">
        <f t="shared" si="1"/>
        <v>350.02600000000001</v>
      </c>
      <c r="M22" s="272" t="s">
        <v>291</v>
      </c>
      <c r="N22" s="95"/>
      <c r="O22" s="94"/>
      <c r="P22" s="269">
        <f>ROUNDUP(Q22,1)</f>
        <v>6.6</v>
      </c>
      <c r="Q22" s="269">
        <f t="shared" si="3"/>
        <v>6.5718103518994928</v>
      </c>
      <c r="R22" s="266"/>
    </row>
    <row r="23" spans="2:18" ht="30" customHeight="1">
      <c r="B23" s="259" t="s">
        <v>136</v>
      </c>
      <c r="C23" s="259">
        <v>17</v>
      </c>
      <c r="D23" s="259">
        <v>34</v>
      </c>
      <c r="E23" s="267" t="s">
        <v>293</v>
      </c>
      <c r="F23" s="259">
        <v>632.58420000000001</v>
      </c>
      <c r="G23" s="271" t="s">
        <v>305</v>
      </c>
      <c r="K23" s="272" t="str">
        <f t="shared" si="0"/>
        <v>B5</v>
      </c>
      <c r="L23" s="268">
        <f t="shared" si="1"/>
        <v>421.72280000000001</v>
      </c>
      <c r="M23" s="268" t="s">
        <v>291</v>
      </c>
      <c r="N23" s="95"/>
      <c r="O23" s="93"/>
      <c r="P23" s="269">
        <f t="shared" ref="P23:P24" si="5">ROUNDUP(Q23,1)</f>
        <v>7.1999999999999993</v>
      </c>
      <c r="Q23" s="269">
        <f t="shared" si="3"/>
        <v>7.1120128639553704</v>
      </c>
      <c r="R23" s="266"/>
    </row>
    <row r="24" spans="2:18" ht="30" customHeight="1">
      <c r="B24" s="259" t="s">
        <v>136</v>
      </c>
      <c r="C24" s="259">
        <v>18</v>
      </c>
      <c r="D24" s="259">
        <v>36</v>
      </c>
      <c r="E24" s="267" t="s">
        <v>293</v>
      </c>
      <c r="F24" s="259">
        <v>641.29200000000003</v>
      </c>
      <c r="G24" s="271" t="s">
        <v>306</v>
      </c>
      <c r="K24" s="272" t="str">
        <f t="shared" si="0"/>
        <v>C5</v>
      </c>
      <c r="L24" s="268">
        <f t="shared" si="1"/>
        <v>427.52800000000002</v>
      </c>
      <c r="M24" s="269" t="s">
        <v>291</v>
      </c>
      <c r="N24" s="95"/>
      <c r="O24" s="90"/>
      <c r="P24" s="269">
        <f t="shared" si="5"/>
        <v>7.1999999999999993</v>
      </c>
      <c r="Q24" s="269">
        <f t="shared" si="3"/>
        <v>7.1539674892561065</v>
      </c>
      <c r="R24" s="266"/>
    </row>
    <row r="25" spans="2:18" ht="15.6">
      <c r="K25" s="269"/>
      <c r="L25" s="268"/>
      <c r="M25" s="269"/>
      <c r="N25" s="95"/>
      <c r="O25" s="90"/>
      <c r="P25" s="269"/>
      <c r="Q25" s="269"/>
      <c r="R25" s="266"/>
    </row>
    <row r="26" spans="2:18" ht="15.6">
      <c r="K26" s="269"/>
      <c r="L26" s="268"/>
      <c r="M26" s="269"/>
      <c r="N26" s="94"/>
      <c r="O26" s="90"/>
      <c r="P26" s="269"/>
      <c r="Q26" s="269"/>
      <c r="R26" s="266"/>
    </row>
  </sheetData>
  <mergeCells count="2">
    <mergeCell ref="O7:O18"/>
    <mergeCell ref="N7:N18"/>
  </mergeCells>
  <phoneticPr fontId="1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S186"/>
  <sheetViews>
    <sheetView topLeftCell="A103" workbookViewId="0">
      <selection activeCell="J20" sqref="J20"/>
    </sheetView>
  </sheetViews>
  <sheetFormatPr defaultColWidth="8.88671875" defaultRowHeight="13.8"/>
  <cols>
    <col min="1" max="1" width="3.6640625" style="91" bestFit="1" customWidth="1"/>
    <col min="2" max="2" width="2.44140625" style="91" customWidth="1"/>
    <col min="3" max="3" width="4" style="91" bestFit="1" customWidth="1"/>
    <col min="4" max="4" width="5" style="91" customWidth="1"/>
    <col min="5" max="5" width="6.33203125" style="91" customWidth="1"/>
    <col min="6" max="6" width="7.5546875" style="91" customWidth="1"/>
    <col min="7" max="8" width="8.88671875" style="91"/>
    <col min="9" max="9" width="14.6640625" style="91" customWidth="1"/>
    <col min="10" max="10" width="11.5546875" style="91" bestFit="1" customWidth="1"/>
    <col min="11" max="11" width="8.88671875" style="91"/>
    <col min="12" max="12" width="6" style="91" customWidth="1"/>
    <col min="13" max="13" width="8.109375" style="91" customWidth="1"/>
    <col min="14" max="15" width="5.6640625" style="91" customWidth="1"/>
    <col min="16" max="16384" width="8.88671875" style="91"/>
  </cols>
  <sheetData>
    <row r="2" spans="1:16" s="99" customFormat="1">
      <c r="E2" s="34" t="s">
        <v>47</v>
      </c>
      <c r="F2" s="35">
        <f>+K37</f>
        <v>2.13</v>
      </c>
      <c r="G2" s="36" t="s">
        <v>32</v>
      </c>
      <c r="I2" s="99">
        <f>+I3+E14/2-F2*1000-L2*1000/2</f>
        <v>942</v>
      </c>
      <c r="K2" s="34" t="s">
        <v>48</v>
      </c>
      <c r="L2" s="35">
        <f>+K38</f>
        <v>2.13</v>
      </c>
      <c r="M2" s="36" t="s">
        <v>32</v>
      </c>
      <c r="N2" s="35"/>
    </row>
    <row r="3" spans="1:16">
      <c r="C3" s="99"/>
      <c r="H3" s="102" t="s">
        <v>49</v>
      </c>
      <c r="I3" s="37">
        <v>3962</v>
      </c>
      <c r="J3" s="99"/>
    </row>
    <row r="4" spans="1:16" ht="14.4" thickBot="1"/>
    <row r="5" spans="1:16">
      <c r="A5" s="38"/>
      <c r="C5" s="296">
        <f>(A8-C8)/2</f>
        <v>890</v>
      </c>
      <c r="D5" s="39"/>
      <c r="E5" s="40"/>
      <c r="F5" s="41"/>
      <c r="G5" s="42"/>
      <c r="H5" s="43"/>
      <c r="I5" s="44"/>
      <c r="J5" s="45"/>
      <c r="K5" s="40"/>
      <c r="L5" s="41"/>
      <c r="M5" s="42"/>
      <c r="N5" s="43"/>
      <c r="O5" s="44"/>
    </row>
    <row r="6" spans="1:16">
      <c r="A6" s="44"/>
      <c r="C6" s="296"/>
      <c r="D6" s="39"/>
      <c r="E6" s="43"/>
      <c r="F6" s="44"/>
      <c r="G6" s="45"/>
      <c r="H6" s="43"/>
      <c r="I6" s="44"/>
      <c r="J6" s="45"/>
      <c r="K6" s="43"/>
      <c r="L6" s="44"/>
      <c r="M6" s="45"/>
      <c r="N6" s="43"/>
      <c r="O6" s="44"/>
    </row>
    <row r="7" spans="1:16" ht="14.4" thickBot="1">
      <c r="A7" s="44"/>
      <c r="C7" s="296"/>
      <c r="D7" s="39"/>
      <c r="E7" s="43"/>
      <c r="F7" s="44"/>
      <c r="G7" s="45"/>
      <c r="H7" s="46"/>
      <c r="I7" s="47"/>
      <c r="J7" s="48"/>
      <c r="K7" s="43"/>
      <c r="L7" s="44"/>
      <c r="M7" s="45"/>
      <c r="N7" s="43"/>
      <c r="O7" s="44"/>
    </row>
    <row r="8" spans="1:16" ht="18" customHeight="1">
      <c r="A8" s="297">
        <f>+J24*1000</f>
        <v>2130</v>
      </c>
      <c r="B8" s="100"/>
      <c r="C8" s="296">
        <f>+E14</f>
        <v>350</v>
      </c>
      <c r="D8" s="39"/>
      <c r="E8" s="298" t="s">
        <v>43</v>
      </c>
      <c r="F8" s="40"/>
      <c r="G8" s="41"/>
      <c r="H8" s="41"/>
      <c r="I8" s="41"/>
      <c r="J8" s="41"/>
      <c r="K8" s="42"/>
      <c r="L8" s="298" t="s">
        <v>35</v>
      </c>
      <c r="M8" s="49"/>
      <c r="N8" s="43"/>
      <c r="O8" s="44"/>
    </row>
    <row r="9" spans="1:16" ht="18" customHeight="1" thickBot="1">
      <c r="A9" s="297"/>
      <c r="B9" s="100"/>
      <c r="C9" s="296"/>
      <c r="D9" s="39"/>
      <c r="E9" s="299"/>
      <c r="F9" s="46"/>
      <c r="G9" s="47"/>
      <c r="H9" s="47"/>
      <c r="I9" s="47"/>
      <c r="J9" s="47"/>
      <c r="K9" s="48"/>
      <c r="L9" s="299"/>
      <c r="M9" s="50"/>
      <c r="N9" s="43"/>
      <c r="O9" s="44"/>
    </row>
    <row r="10" spans="1:16" ht="16.2">
      <c r="A10" s="51" t="s">
        <v>50</v>
      </c>
      <c r="C10" s="296">
        <f>+C5</f>
        <v>890</v>
      </c>
      <c r="D10" s="39"/>
      <c r="E10" s="43"/>
      <c r="F10" s="44"/>
      <c r="G10" s="45"/>
      <c r="H10" s="40"/>
      <c r="I10" s="41"/>
      <c r="J10" s="42"/>
      <c r="K10" s="43"/>
      <c r="L10" s="44"/>
      <c r="M10" s="45"/>
      <c r="N10" s="43"/>
      <c r="O10" s="44"/>
    </row>
    <row r="11" spans="1:16">
      <c r="A11" s="44"/>
      <c r="C11" s="296"/>
      <c r="D11" s="39"/>
      <c r="E11" s="43"/>
      <c r="F11" s="44"/>
      <c r="G11" s="45"/>
      <c r="H11" s="43"/>
      <c r="I11" s="44"/>
      <c r="J11" s="45"/>
      <c r="K11" s="43"/>
      <c r="L11" s="44"/>
      <c r="M11" s="45"/>
      <c r="N11" s="43"/>
      <c r="O11" s="44"/>
      <c r="P11" s="91">
        <f>4191/900</f>
        <v>4.6566666666666663</v>
      </c>
    </row>
    <row r="12" spans="1:16" ht="14.4" thickBot="1">
      <c r="A12" s="52"/>
      <c r="C12" s="296"/>
      <c r="D12" s="39"/>
      <c r="E12" s="46"/>
      <c r="F12" s="47"/>
      <c r="G12" s="48"/>
      <c r="H12" s="43"/>
      <c r="I12" s="44"/>
      <c r="J12" s="45"/>
      <c r="K12" s="46"/>
      <c r="L12" s="47"/>
      <c r="M12" s="48"/>
      <c r="N12" s="43"/>
      <c r="O12" s="44"/>
    </row>
    <row r="14" spans="1:16" s="99" customFormat="1">
      <c r="E14" s="53">
        <v>350</v>
      </c>
      <c r="F14" s="54"/>
      <c r="H14" s="91"/>
      <c r="I14" s="99">
        <f>+I3-E14/2-L14/2</f>
        <v>3537</v>
      </c>
      <c r="L14" s="55">
        <v>500</v>
      </c>
      <c r="M14" s="55">
        <f>(L2*1000-L14)/2</f>
        <v>815</v>
      </c>
      <c r="O14" s="35"/>
    </row>
    <row r="16" spans="1:16">
      <c r="E16" s="56"/>
      <c r="F16" s="44"/>
      <c r="G16" s="44"/>
      <c r="H16" s="44">
        <f>F2*1000+I2+L2*1000</f>
        <v>5202</v>
      </c>
      <c r="I16" s="44"/>
      <c r="J16" s="44"/>
      <c r="K16" s="44"/>
      <c r="L16" s="44"/>
      <c r="M16" s="57"/>
      <c r="N16" s="44"/>
    </row>
    <row r="18" spans="5:19">
      <c r="H18" s="102" t="s">
        <v>51</v>
      </c>
      <c r="I18" s="102" t="s">
        <v>40</v>
      </c>
      <c r="J18" s="105">
        <v>290</v>
      </c>
      <c r="K18" s="91" t="s">
        <v>30</v>
      </c>
    </row>
    <row r="19" spans="5:19">
      <c r="H19" s="102" t="s">
        <v>52</v>
      </c>
      <c r="I19" s="102" t="s">
        <v>40</v>
      </c>
      <c r="J19" s="106">
        <v>472</v>
      </c>
      <c r="K19" s="91" t="s">
        <v>30</v>
      </c>
    </row>
    <row r="20" spans="5:19">
      <c r="H20" s="102" t="s">
        <v>53</v>
      </c>
      <c r="I20" s="102" t="s">
        <v>40</v>
      </c>
      <c r="J20" s="103">
        <v>120</v>
      </c>
      <c r="K20" s="91" t="s">
        <v>29</v>
      </c>
      <c r="O20" s="91">
        <f>1.5/1.2</f>
        <v>1.25</v>
      </c>
      <c r="P20" s="91">
        <f>(1.2+1.5)/2</f>
        <v>1.35</v>
      </c>
      <c r="Q20" s="91">
        <f>1.2/1.35</f>
        <v>0.88888888888888884</v>
      </c>
      <c r="R20" s="91">
        <f>1.5/1.35</f>
        <v>1.1111111111111109</v>
      </c>
      <c r="S20" s="91">
        <f>Q20+R20</f>
        <v>1.9999999999999998</v>
      </c>
    </row>
    <row r="21" spans="5:19">
      <c r="H21" s="102" t="s">
        <v>54</v>
      </c>
      <c r="I21" s="102" t="s">
        <v>40</v>
      </c>
      <c r="J21" s="59">
        <f>1.1*(J18+J19)/J20</f>
        <v>6.9850000000000003</v>
      </c>
      <c r="K21" s="91" t="s">
        <v>41</v>
      </c>
    </row>
    <row r="22" spans="5:19">
      <c r="E22" s="91" t="s">
        <v>55</v>
      </c>
      <c r="H22" s="102" t="s">
        <v>56</v>
      </c>
      <c r="I22" s="102" t="s">
        <v>40</v>
      </c>
      <c r="J22" s="59">
        <f>+J21</f>
        <v>6.9850000000000003</v>
      </c>
    </row>
    <row r="23" spans="5:19">
      <c r="H23" s="102" t="s">
        <v>57</v>
      </c>
      <c r="I23" s="102" t="s">
        <v>40</v>
      </c>
      <c r="J23" s="59">
        <f>J18*I3/(J18+J19)/1000</f>
        <v>1.5078477690288714</v>
      </c>
      <c r="K23" s="91" t="s">
        <v>32</v>
      </c>
    </row>
    <row r="24" spans="5:19">
      <c r="H24" s="102" t="s">
        <v>58</v>
      </c>
      <c r="I24" s="102" t="s">
        <v>40</v>
      </c>
      <c r="J24" s="58">
        <v>2.13</v>
      </c>
      <c r="K24" s="91" t="s">
        <v>32</v>
      </c>
      <c r="L24" s="91">
        <f>J24*3.28</f>
        <v>6.9863999999999988</v>
      </c>
    </row>
    <row r="25" spans="5:19">
      <c r="E25" s="300" t="s">
        <v>226</v>
      </c>
      <c r="F25" s="300"/>
      <c r="G25" s="300"/>
      <c r="H25" s="300"/>
      <c r="I25" s="300"/>
      <c r="J25" s="300"/>
      <c r="K25" s="300"/>
      <c r="L25" s="300"/>
      <c r="M25" s="300"/>
    </row>
    <row r="26" spans="5:19">
      <c r="E26" s="295" t="str">
        <f>"A1("&amp;I3/1000&amp;"+"&amp;E14/2/1000&amp;"-L1/2) = (A1+A2)X"</f>
        <v>A1(3.962+0.175-L1/2) = (A1+A2)X</v>
      </c>
      <c r="F26" s="295"/>
      <c r="G26" s="295"/>
      <c r="H26" s="295"/>
      <c r="I26" s="295"/>
      <c r="J26" s="295"/>
      <c r="K26" s="295"/>
      <c r="L26" s="295"/>
      <c r="M26" s="295"/>
    </row>
    <row r="27" spans="5:19">
      <c r="E27" s="295" t="str">
        <f>"BL1("&amp;I3/1000+E14/2/1000&amp;"-L1/2) = (BL1+BL2)X"</f>
        <v>BL1(4.137-L1/2) = (BL1+BL2)X</v>
      </c>
      <c r="F27" s="295"/>
      <c r="G27" s="295"/>
      <c r="H27" s="295"/>
      <c r="I27" s="295"/>
      <c r="J27" s="295"/>
      <c r="K27" s="295"/>
      <c r="L27" s="295"/>
      <c r="M27" s="295"/>
    </row>
    <row r="28" spans="5:19">
      <c r="E28" s="295" t="str">
        <f>"X="&amp;"BL1("&amp;I3/1000+E14/2/1000&amp;"-L1/2) / (BL1+BL2)"</f>
        <v>X=BL1(4.137-L1/2) / (BL1+BL2)</v>
      </c>
      <c r="F28" s="295"/>
      <c r="G28" s="295"/>
      <c r="H28" s="295"/>
      <c r="I28" s="295"/>
      <c r="J28" s="295"/>
      <c r="K28" s="295"/>
      <c r="L28" s="295"/>
      <c r="M28" s="295"/>
    </row>
    <row r="29" spans="5:19">
      <c r="E29" s="295" t="str">
        <f>"X="&amp;"BL1("&amp;I3/1000+E14/2/1000&amp;"-L1/2) / A"</f>
        <v>X=BL1(4.137-L1/2) / A</v>
      </c>
      <c r="F29" s="295"/>
      <c r="G29" s="295"/>
      <c r="H29" s="295"/>
      <c r="I29" s="295"/>
      <c r="J29" s="295"/>
      <c r="K29" s="295"/>
      <c r="L29" s="295"/>
      <c r="M29" s="295"/>
    </row>
    <row r="30" spans="5:19">
      <c r="E30" s="295" t="str">
        <f>"2*A*X/B="&amp;2*(I3/1000+E14/2/1000)&amp;"*L1-L1^2"</f>
        <v>2*A*X/B=8.274*L1-L1^2</v>
      </c>
      <c r="F30" s="295"/>
      <c r="G30" s="295"/>
      <c r="H30" s="295"/>
      <c r="I30" s="295"/>
      <c r="J30" s="295"/>
      <c r="K30" s="295"/>
      <c r="L30" s="295"/>
      <c r="M30" s="295"/>
    </row>
    <row r="31" spans="5:19">
      <c r="E31" s="295" t="str">
        <f>"L1^2"&amp;"-"&amp;2*(I3/1000+E14/2/1000)&amp;"*L1+2*A*X/B = 0"</f>
        <v>L1^2-8.274*L1+2*A*X/B = 0</v>
      </c>
      <c r="F31" s="295"/>
      <c r="G31" s="295"/>
      <c r="H31" s="295"/>
      <c r="I31" s="295"/>
      <c r="J31" s="295"/>
      <c r="K31" s="295"/>
      <c r="L31" s="295"/>
      <c r="M31" s="295"/>
    </row>
    <row r="32" spans="5:19">
      <c r="E32" s="99"/>
      <c r="F32" s="99"/>
      <c r="G32" s="99"/>
      <c r="H32" s="99"/>
      <c r="I32" s="99"/>
      <c r="J32" s="99"/>
      <c r="K32" s="99"/>
      <c r="L32" s="99"/>
      <c r="M32" s="99"/>
    </row>
    <row r="33" spans="5:13">
      <c r="E33" s="99"/>
      <c r="F33" s="99"/>
      <c r="G33" s="102" t="s">
        <v>38</v>
      </c>
      <c r="H33" s="102" t="s">
        <v>40</v>
      </c>
      <c r="I33" s="91">
        <v>1</v>
      </c>
      <c r="J33" s="99"/>
      <c r="K33" s="99"/>
      <c r="L33" s="99"/>
      <c r="M33" s="99"/>
    </row>
    <row r="34" spans="5:13">
      <c r="E34" s="99"/>
      <c r="F34" s="99"/>
      <c r="G34" s="102" t="s">
        <v>39</v>
      </c>
      <c r="H34" s="102" t="s">
        <v>40</v>
      </c>
      <c r="I34" s="60">
        <f>-2*(I3/1000+E14/2/1000)</f>
        <v>-8.2740000000000009</v>
      </c>
      <c r="J34" s="99"/>
      <c r="K34" s="99"/>
      <c r="L34" s="99"/>
      <c r="M34" s="99"/>
    </row>
    <row r="35" spans="5:13">
      <c r="E35" s="99"/>
      <c r="F35" s="99"/>
      <c r="G35" s="102" t="s">
        <v>59</v>
      </c>
      <c r="H35" s="102" t="s">
        <v>40</v>
      </c>
      <c r="I35" s="60">
        <f>2*J22*J23/J24</f>
        <v>9.889499217527387</v>
      </c>
      <c r="J35" s="99"/>
      <c r="K35" s="99"/>
      <c r="L35" s="99"/>
      <c r="M35" s="99"/>
    </row>
    <row r="36" spans="5:13">
      <c r="E36" s="99"/>
      <c r="F36" s="99"/>
      <c r="J36" s="99"/>
      <c r="K36" s="99"/>
      <c r="L36" s="99"/>
      <c r="M36" s="99"/>
    </row>
    <row r="37" spans="5:13">
      <c r="G37" s="102" t="s">
        <v>60</v>
      </c>
      <c r="H37" s="102" t="s">
        <v>40</v>
      </c>
      <c r="I37" s="59">
        <f>MIN((-I34-SQRT(I34^2-4*I33*I35))/(2*I33),(-I34+SQRT(I34^2-4*I33*I35))/(2*I33))</f>
        <v>1.4490138053790877</v>
      </c>
      <c r="J37" s="102" t="s">
        <v>61</v>
      </c>
      <c r="K37" s="58">
        <v>2.13</v>
      </c>
      <c r="L37" s="91" t="s">
        <v>32</v>
      </c>
      <c r="M37" s="91">
        <f>K37*3.28</f>
        <v>6.9863999999999988</v>
      </c>
    </row>
    <row r="38" spans="5:13">
      <c r="G38" s="102" t="s">
        <v>62</v>
      </c>
      <c r="H38" s="102" t="s">
        <v>40</v>
      </c>
      <c r="I38" s="59">
        <f>(J22-J24*I37)/J24</f>
        <v>1.8303289176256075</v>
      </c>
      <c r="J38" s="102" t="s">
        <v>63</v>
      </c>
      <c r="K38" s="58">
        <v>2.13</v>
      </c>
      <c r="L38" s="91" t="s">
        <v>32</v>
      </c>
      <c r="M38" s="91">
        <f>K38*3.28</f>
        <v>6.9863999999999988</v>
      </c>
    </row>
    <row r="40" spans="5:13">
      <c r="G40" s="102" t="s">
        <v>64</v>
      </c>
      <c r="H40" s="102" t="s">
        <v>40</v>
      </c>
      <c r="I40" s="104">
        <f>1.5*(J18+J19)/(K37*J24+K38*J24)</f>
        <v>125.96707002578856</v>
      </c>
      <c r="J40" s="91" t="s">
        <v>29</v>
      </c>
    </row>
    <row r="41" spans="5:13">
      <c r="G41" s="102" t="s">
        <v>65</v>
      </c>
      <c r="H41" s="102" t="s">
        <v>40</v>
      </c>
      <c r="I41" s="58">
        <v>350</v>
      </c>
      <c r="J41" s="91" t="s">
        <v>27</v>
      </c>
    </row>
    <row r="42" spans="5:13">
      <c r="G42" s="102" t="s">
        <v>66</v>
      </c>
      <c r="H42" s="102" t="s">
        <v>40</v>
      </c>
      <c r="I42" s="98">
        <v>600</v>
      </c>
      <c r="J42" s="91" t="s">
        <v>27</v>
      </c>
    </row>
    <row r="43" spans="5:13">
      <c r="G43" s="102" t="s">
        <v>67</v>
      </c>
      <c r="H43" s="102" t="s">
        <v>40</v>
      </c>
      <c r="I43" s="58">
        <v>400</v>
      </c>
      <c r="J43" s="91" t="s">
        <v>27</v>
      </c>
    </row>
    <row r="44" spans="5:13">
      <c r="G44" s="102" t="s">
        <v>68</v>
      </c>
      <c r="H44" s="102" t="s">
        <v>40</v>
      </c>
      <c r="I44" s="58">
        <v>50</v>
      </c>
      <c r="J44" s="91" t="s">
        <v>27</v>
      </c>
    </row>
    <row r="45" spans="5:13">
      <c r="G45" s="102" t="s">
        <v>69</v>
      </c>
      <c r="H45" s="102" t="s">
        <v>40</v>
      </c>
      <c r="I45" s="58">
        <v>20</v>
      </c>
      <c r="J45" s="91" t="s">
        <v>28</v>
      </c>
    </row>
    <row r="46" spans="5:13">
      <c r="G46" s="102" t="s">
        <v>70</v>
      </c>
      <c r="H46" s="102" t="s">
        <v>40</v>
      </c>
      <c r="I46" s="58">
        <v>500</v>
      </c>
      <c r="J46" s="91" t="s">
        <v>28</v>
      </c>
    </row>
    <row r="47" spans="5:13">
      <c r="G47" s="102" t="s">
        <v>71</v>
      </c>
      <c r="H47" s="102" t="s">
        <v>40</v>
      </c>
      <c r="I47" s="58">
        <v>20</v>
      </c>
      <c r="J47" s="91" t="s">
        <v>27</v>
      </c>
    </row>
    <row r="48" spans="5:13">
      <c r="G48" s="102" t="s">
        <v>72</v>
      </c>
      <c r="H48" s="102" t="s">
        <v>40</v>
      </c>
      <c r="I48" s="58">
        <v>8</v>
      </c>
      <c r="J48" s="91" t="s">
        <v>27</v>
      </c>
    </row>
    <row r="49" spans="5:13">
      <c r="G49" s="102" t="s">
        <v>73</v>
      </c>
      <c r="H49" s="102" t="s">
        <v>40</v>
      </c>
      <c r="I49" s="91">
        <v>12</v>
      </c>
      <c r="J49" s="91" t="s">
        <v>27</v>
      </c>
    </row>
    <row r="50" spans="5:13">
      <c r="G50" s="102" t="s">
        <v>74</v>
      </c>
      <c r="H50" s="102" t="s">
        <v>40</v>
      </c>
      <c r="I50" s="91">
        <f>+I41-I44-I49/2</f>
        <v>294</v>
      </c>
      <c r="J50" s="91" t="s">
        <v>27</v>
      </c>
    </row>
    <row r="51" spans="5:13">
      <c r="G51" s="102" t="s">
        <v>75</v>
      </c>
      <c r="H51" s="102" t="s">
        <v>40</v>
      </c>
      <c r="I51" s="91">
        <f>+I42-I44-I47/2</f>
        <v>540</v>
      </c>
      <c r="J51" s="91" t="s">
        <v>27</v>
      </c>
    </row>
    <row r="52" spans="5:13">
      <c r="G52" s="102"/>
      <c r="H52" s="102"/>
    </row>
    <row r="53" spans="5:13" ht="14.4">
      <c r="G53" s="61" t="s">
        <v>76</v>
      </c>
    </row>
    <row r="54" spans="5:13">
      <c r="G54" s="102" t="s">
        <v>77</v>
      </c>
      <c r="H54" s="102" t="s">
        <v>40</v>
      </c>
      <c r="I54" s="60">
        <f>I40*F2*(C5/1000)^2/2</f>
        <v>106.26411971830987</v>
      </c>
      <c r="J54" s="91" t="s">
        <v>78</v>
      </c>
    </row>
    <row r="55" spans="5:13">
      <c r="G55" s="102" t="s">
        <v>79</v>
      </c>
      <c r="H55" s="102" t="s">
        <v>40</v>
      </c>
      <c r="I55" s="60">
        <f>SQRT(I54*1000000/(0.138*I45*F2*1000))</f>
        <v>134.44633928178567</v>
      </c>
      <c r="J55" s="91" t="s">
        <v>27</v>
      </c>
    </row>
    <row r="56" spans="5:13">
      <c r="E56" s="295" t="s">
        <v>80</v>
      </c>
      <c r="F56" s="295"/>
      <c r="G56" s="295"/>
      <c r="H56" s="295"/>
      <c r="I56" s="295"/>
      <c r="J56" s="295"/>
      <c r="K56" s="295"/>
      <c r="L56" s="295"/>
      <c r="M56" s="295"/>
    </row>
    <row r="57" spans="5:13" ht="16.2">
      <c r="E57" s="99"/>
      <c r="F57" s="102" t="s">
        <v>81</v>
      </c>
      <c r="G57" s="294" t="s">
        <v>82</v>
      </c>
      <c r="H57" s="294"/>
      <c r="I57" s="62">
        <f>0.87*I46^2/(I45*F2*1000)</f>
        <v>5.1056338028169019</v>
      </c>
      <c r="J57" s="99"/>
      <c r="K57" s="99"/>
      <c r="L57" s="99"/>
      <c r="M57" s="99"/>
    </row>
    <row r="58" spans="5:13">
      <c r="E58" s="99"/>
      <c r="F58" s="102" t="s">
        <v>83</v>
      </c>
      <c r="G58" s="293" t="s">
        <v>84</v>
      </c>
      <c r="H58" s="294"/>
      <c r="I58" s="63">
        <f>-0.87*I46*I81</f>
        <v>-127890</v>
      </c>
      <c r="J58" s="99"/>
      <c r="K58" s="99"/>
      <c r="L58" s="99"/>
      <c r="M58" s="99"/>
    </row>
    <row r="59" spans="5:13">
      <c r="E59" s="99"/>
      <c r="F59" s="102" t="s">
        <v>85</v>
      </c>
      <c r="G59" s="293" t="s">
        <v>86</v>
      </c>
      <c r="H59" s="294"/>
      <c r="I59" s="102">
        <f>+I54*1000000</f>
        <v>106264119.71830986</v>
      </c>
      <c r="J59" s="99"/>
      <c r="K59" s="99"/>
      <c r="L59" s="99"/>
      <c r="M59" s="99"/>
    </row>
    <row r="60" spans="5:13">
      <c r="G60" s="102"/>
      <c r="H60" s="102"/>
    </row>
    <row r="61" spans="5:13">
      <c r="G61" s="102" t="s">
        <v>87</v>
      </c>
      <c r="H61" s="102" t="s">
        <v>40</v>
      </c>
      <c r="I61" s="60">
        <f>MIN((-I58-SQRT(I58^2-4*I57*I59))/(2*I57),(-I58+SQRT(I58^2-4*I57*I59))/(2*I57))</f>
        <v>860.46048476020303</v>
      </c>
      <c r="J61" s="91" t="s">
        <v>31</v>
      </c>
    </row>
    <row r="62" spans="5:13">
      <c r="G62" s="102" t="s">
        <v>88</v>
      </c>
      <c r="H62" s="102" t="s">
        <v>40</v>
      </c>
      <c r="I62" s="60">
        <f>0.12%*F2*1000*I41</f>
        <v>894.59999999999991</v>
      </c>
      <c r="J62" s="91" t="s">
        <v>31</v>
      </c>
      <c r="K62" s="91" t="str">
        <f>IF(I62&lt;I61,"ok","provide Ast,min")</f>
        <v>provide Ast,min</v>
      </c>
    </row>
    <row r="63" spans="5:13">
      <c r="G63" s="102" t="s">
        <v>89</v>
      </c>
      <c r="H63" s="102" t="s">
        <v>40</v>
      </c>
      <c r="I63" s="60">
        <f>MAX(I61:I62)</f>
        <v>894.59999999999991</v>
      </c>
      <c r="J63" s="91" t="s">
        <v>31</v>
      </c>
    </row>
    <row r="64" spans="5:13">
      <c r="G64" s="102" t="s">
        <v>90</v>
      </c>
      <c r="H64" s="102" t="s">
        <v>40</v>
      </c>
      <c r="I64" s="60">
        <f>+F2*1000*PI()/4*I49^2/I63</f>
        <v>269.27937030769658</v>
      </c>
      <c r="J64" s="91" t="s">
        <v>27</v>
      </c>
    </row>
    <row r="65" spans="5:13">
      <c r="G65" s="102" t="s">
        <v>91</v>
      </c>
      <c r="H65" s="102" t="s">
        <v>40</v>
      </c>
      <c r="I65" s="60">
        <v>150</v>
      </c>
      <c r="J65" s="91" t="s">
        <v>27</v>
      </c>
      <c r="K65" s="91" t="str">
        <f>IF(I65&lt;I64,"ok")</f>
        <v>ok</v>
      </c>
    </row>
    <row r="66" spans="5:13">
      <c r="G66" s="102"/>
      <c r="H66" s="102"/>
      <c r="I66" s="60"/>
    </row>
    <row r="67" spans="5:13">
      <c r="G67" s="102" t="s">
        <v>92</v>
      </c>
      <c r="H67" s="102" t="s">
        <v>40</v>
      </c>
      <c r="I67" s="60">
        <f>I40*L2*(C5/1000)^2/2</f>
        <v>106.26411971830987</v>
      </c>
      <c r="J67" s="91" t="s">
        <v>78</v>
      </c>
    </row>
    <row r="68" spans="5:13">
      <c r="G68" s="102" t="s">
        <v>79</v>
      </c>
      <c r="H68" s="102" t="s">
        <v>40</v>
      </c>
      <c r="I68" s="60">
        <f>SQRT(I54*1000000/(0.138*I45*L2*1000))</f>
        <v>134.44633928178567</v>
      </c>
      <c r="J68" s="91" t="s">
        <v>27</v>
      </c>
    </row>
    <row r="69" spans="5:13">
      <c r="E69" s="295" t="s">
        <v>80</v>
      </c>
      <c r="F69" s="295"/>
      <c r="G69" s="295"/>
      <c r="H69" s="295"/>
      <c r="I69" s="295"/>
      <c r="J69" s="295"/>
      <c r="K69" s="295"/>
      <c r="L69" s="295"/>
      <c r="M69" s="295"/>
    </row>
    <row r="70" spans="5:13" ht="16.2">
      <c r="E70" s="99"/>
      <c r="F70" s="102" t="s">
        <v>81</v>
      </c>
      <c r="G70" s="294" t="s">
        <v>82</v>
      </c>
      <c r="H70" s="294"/>
      <c r="I70" s="62">
        <f>0.87*I46^2/(I45*L2*1000)</f>
        <v>5.1056338028169019</v>
      </c>
      <c r="J70" s="99"/>
      <c r="K70" s="99"/>
      <c r="L70" s="99"/>
      <c r="M70" s="99"/>
    </row>
    <row r="71" spans="5:13">
      <c r="E71" s="99"/>
      <c r="F71" s="102" t="s">
        <v>83</v>
      </c>
      <c r="G71" s="293" t="s">
        <v>84</v>
      </c>
      <c r="H71" s="294"/>
      <c r="I71" s="63">
        <f>-0.87*I46*I81</f>
        <v>-127890</v>
      </c>
      <c r="J71" s="99"/>
      <c r="K71" s="99"/>
      <c r="L71" s="99"/>
      <c r="M71" s="99"/>
    </row>
    <row r="72" spans="5:13">
      <c r="E72" s="99"/>
      <c r="F72" s="102" t="s">
        <v>85</v>
      </c>
      <c r="G72" s="293" t="s">
        <v>86</v>
      </c>
      <c r="H72" s="294"/>
      <c r="I72" s="102">
        <f>+I67*1000000</f>
        <v>106264119.71830986</v>
      </c>
      <c r="J72" s="99"/>
      <c r="K72" s="99"/>
      <c r="L72" s="99"/>
      <c r="M72" s="99"/>
    </row>
    <row r="73" spans="5:13">
      <c r="G73" s="102"/>
      <c r="H73" s="102"/>
    </row>
    <row r="74" spans="5:13">
      <c r="G74" s="102" t="s">
        <v>87</v>
      </c>
      <c r="H74" s="102" t="s">
        <v>40</v>
      </c>
      <c r="I74" s="60">
        <f>MIN((-I71-SQRT(I71^2-4*I70*I72))/(2*I70),(-I71+SQRT(I71^2-4*I70*I72))/(2*I70))</f>
        <v>860.46048476020303</v>
      </c>
      <c r="J74" s="91" t="s">
        <v>31</v>
      </c>
    </row>
    <row r="75" spans="5:13">
      <c r="G75" s="102" t="s">
        <v>88</v>
      </c>
      <c r="H75" s="102" t="s">
        <v>40</v>
      </c>
      <c r="I75" s="60">
        <f>0.12%*L2*1000*I41</f>
        <v>894.59999999999991</v>
      </c>
      <c r="J75" s="91" t="s">
        <v>31</v>
      </c>
      <c r="K75" s="91" t="str">
        <f>IF(I75&lt;I74,"ok","provide Ast,min")</f>
        <v>provide Ast,min</v>
      </c>
    </row>
    <row r="76" spans="5:13">
      <c r="G76" s="102" t="s">
        <v>89</v>
      </c>
      <c r="H76" s="102" t="s">
        <v>40</v>
      </c>
      <c r="I76" s="60">
        <f>MAX(I74:I75)</f>
        <v>894.59999999999991</v>
      </c>
      <c r="J76" s="91" t="s">
        <v>31</v>
      </c>
    </row>
    <row r="77" spans="5:13">
      <c r="G77" s="102" t="s">
        <v>90</v>
      </c>
      <c r="H77" s="102" t="s">
        <v>40</v>
      </c>
      <c r="I77" s="60">
        <f>L2*1000*PI()/4*I49^2/I76</f>
        <v>269.27937030769658</v>
      </c>
      <c r="J77" s="91" t="s">
        <v>27</v>
      </c>
    </row>
    <row r="78" spans="5:13">
      <c r="G78" s="102" t="s">
        <v>91</v>
      </c>
      <c r="H78" s="102" t="s">
        <v>40</v>
      </c>
      <c r="I78" s="60">
        <v>150</v>
      </c>
      <c r="J78" s="91" t="s">
        <v>27</v>
      </c>
      <c r="K78" s="91" t="str">
        <f>IF(I78&lt;I77,"ok")</f>
        <v>ok</v>
      </c>
    </row>
    <row r="79" spans="5:13">
      <c r="G79" s="102"/>
      <c r="H79" s="102"/>
    </row>
    <row r="80" spans="5:13" ht="14.4">
      <c r="G80" s="61" t="s">
        <v>93</v>
      </c>
    </row>
    <row r="81" spans="1:15">
      <c r="G81" s="102" t="s">
        <v>94</v>
      </c>
      <c r="H81" s="102" t="s">
        <v>40</v>
      </c>
      <c r="I81" s="91">
        <f>+I50</f>
        <v>294</v>
      </c>
      <c r="J81" s="91" t="s">
        <v>27</v>
      </c>
    </row>
    <row r="82" spans="1:15">
      <c r="G82" s="102" t="s">
        <v>95</v>
      </c>
      <c r="H82" s="102" t="s">
        <v>40</v>
      </c>
      <c r="I82" s="60">
        <f>I40*K37*((J24-C8/1000)/2-I81/1000)</f>
        <v>159.912676056338</v>
      </c>
      <c r="J82" s="91" t="s">
        <v>30</v>
      </c>
    </row>
    <row r="83" spans="1:15">
      <c r="G83" s="102" t="s">
        <v>96</v>
      </c>
      <c r="H83" s="102" t="s">
        <v>40</v>
      </c>
      <c r="I83" s="59">
        <f>I82*1000/(K37*1000*I81)</f>
        <v>0.25536181542642844</v>
      </c>
      <c r="J83" s="91" t="s">
        <v>28</v>
      </c>
    </row>
    <row r="84" spans="1:15">
      <c r="G84" s="102" t="s">
        <v>97</v>
      </c>
      <c r="H84" s="102" t="s">
        <v>40</v>
      </c>
      <c r="I84" s="91">
        <v>1</v>
      </c>
    </row>
    <row r="85" spans="1:15" ht="14.4">
      <c r="G85" s="102" t="s">
        <v>98</v>
      </c>
      <c r="H85" s="102" t="s">
        <v>40</v>
      </c>
      <c r="I85" s="59">
        <f>I84*0.25*SQRT(I45)</f>
        <v>1.1180339887498949</v>
      </c>
      <c r="J85" s="91" t="s">
        <v>28</v>
      </c>
      <c r="K85" s="64" t="str">
        <f>IF(I85&gt;I83,"ok","not ok")</f>
        <v>ok</v>
      </c>
    </row>
    <row r="86" spans="1:15">
      <c r="G86" s="102" t="s">
        <v>99</v>
      </c>
      <c r="H86" s="102" t="s">
        <v>40</v>
      </c>
      <c r="I86" s="60">
        <f>I40*K38*((J24-C8/1000)/2-I81/1000)</f>
        <v>159.912676056338</v>
      </c>
      <c r="J86" s="91" t="s">
        <v>30</v>
      </c>
    </row>
    <row r="87" spans="1:15">
      <c r="G87" s="102" t="s">
        <v>96</v>
      </c>
      <c r="H87" s="102" t="s">
        <v>40</v>
      </c>
      <c r="I87" s="59">
        <f>I86*1000/(K37*1000*I81)</f>
        <v>0.25536181542642844</v>
      </c>
      <c r="J87" s="91" t="s">
        <v>28</v>
      </c>
    </row>
    <row r="88" spans="1:15">
      <c r="G88" s="102" t="s">
        <v>97</v>
      </c>
      <c r="H88" s="102" t="s">
        <v>40</v>
      </c>
      <c r="I88" s="91">
        <v>1</v>
      </c>
    </row>
    <row r="89" spans="1:15" ht="14.4">
      <c r="G89" s="102" t="s">
        <v>98</v>
      </c>
      <c r="H89" s="102" t="s">
        <v>40</v>
      </c>
      <c r="I89" s="59">
        <f>I88*0.25*SQRT(I47)</f>
        <v>1.1180339887498949</v>
      </c>
      <c r="J89" s="91" t="s">
        <v>28</v>
      </c>
      <c r="K89" s="64" t="str">
        <f>IF(I89&gt;I87,"ok","not ok")</f>
        <v>ok</v>
      </c>
    </row>
    <row r="91" spans="1:15" ht="14.4">
      <c r="G91" s="61" t="s">
        <v>100</v>
      </c>
    </row>
    <row r="92" spans="1:15" s="99" customFormat="1">
      <c r="E92" s="35">
        <f>+J18*1.5</f>
        <v>435</v>
      </c>
      <c r="F92" s="35"/>
      <c r="G92" s="36"/>
      <c r="K92" s="34"/>
      <c r="L92" s="35">
        <f>+J19*1.5</f>
        <v>708</v>
      </c>
      <c r="M92" s="36"/>
      <c r="N92" s="35"/>
    </row>
    <row r="93" spans="1:15">
      <c r="C93" s="99"/>
      <c r="H93" s="102" t="s">
        <v>49</v>
      </c>
      <c r="I93" s="99">
        <f>I3</f>
        <v>3962</v>
      </c>
      <c r="J93" s="99"/>
    </row>
    <row r="94" spans="1:15" ht="14.4" thickBot="1">
      <c r="A94" s="44"/>
      <c r="B94" s="44"/>
      <c r="C94" s="44"/>
      <c r="D94" s="44"/>
    </row>
    <row r="95" spans="1:15">
      <c r="A95" s="44"/>
      <c r="B95" s="44"/>
      <c r="C95" s="65"/>
      <c r="D95" s="39"/>
      <c r="E95" s="49"/>
      <c r="F95" s="43"/>
      <c r="G95" s="44"/>
      <c r="H95" s="44"/>
      <c r="I95" s="44"/>
      <c r="J95" s="44"/>
      <c r="K95" s="44"/>
      <c r="L95" s="49"/>
      <c r="M95" s="43"/>
      <c r="N95" s="44"/>
      <c r="O95" s="44"/>
    </row>
    <row r="96" spans="1:15">
      <c r="A96" s="44"/>
      <c r="B96" s="44"/>
      <c r="C96" s="65"/>
      <c r="D96" s="39"/>
      <c r="E96" s="66"/>
      <c r="F96" s="43"/>
      <c r="G96" s="44"/>
      <c r="H96" s="44"/>
      <c r="I96" s="44"/>
      <c r="J96" s="44"/>
      <c r="K96" s="44"/>
      <c r="L96" s="66"/>
      <c r="M96" s="43"/>
      <c r="N96" s="44"/>
      <c r="O96" s="44"/>
    </row>
    <row r="97" spans="1:15">
      <c r="A97" s="44"/>
      <c r="B97" s="44"/>
      <c r="C97" s="65"/>
      <c r="D97" s="39"/>
      <c r="E97" s="66"/>
      <c r="F97" s="43"/>
      <c r="G97" s="44"/>
      <c r="H97" s="44"/>
      <c r="I97" s="44"/>
      <c r="J97" s="44"/>
      <c r="K97" s="44"/>
      <c r="L97" s="66"/>
      <c r="M97" s="43"/>
      <c r="N97" s="44"/>
      <c r="O97" s="44"/>
    </row>
    <row r="98" spans="1:15" ht="19.5" customHeight="1" thickBot="1">
      <c r="A98" s="65"/>
      <c r="B98" s="100"/>
      <c r="C98" s="65"/>
      <c r="D98" s="39"/>
      <c r="E98" s="67" t="s">
        <v>43</v>
      </c>
      <c r="F98" s="43"/>
      <c r="G98" s="44"/>
      <c r="H98" s="44"/>
      <c r="I98" s="44"/>
      <c r="J98" s="44"/>
      <c r="K98" s="44"/>
      <c r="L98" s="67" t="s">
        <v>35</v>
      </c>
      <c r="M98" s="43"/>
      <c r="N98" s="44"/>
      <c r="O98" s="44"/>
    </row>
    <row r="99" spans="1:15" ht="19.5" customHeight="1">
      <c r="A99" s="65"/>
      <c r="B99" s="100"/>
      <c r="C99" s="65"/>
      <c r="D99" s="39"/>
      <c r="E99" s="68"/>
      <c r="F99" s="69"/>
      <c r="G99" s="41"/>
      <c r="H99" s="41"/>
      <c r="I99" s="41"/>
      <c r="J99" s="41"/>
      <c r="K99" s="70"/>
      <c r="L99" s="71"/>
      <c r="M99" s="72"/>
      <c r="N99" s="44"/>
      <c r="O99" s="44"/>
    </row>
    <row r="100" spans="1:15" ht="14.4" thickBot="1">
      <c r="A100" s="51"/>
      <c r="B100" s="44"/>
      <c r="C100" s="73">
        <f>+I42</f>
        <v>600</v>
      </c>
      <c r="D100" s="74" t="s">
        <v>27</v>
      </c>
      <c r="E100" s="43"/>
      <c r="F100" s="75"/>
      <c r="G100" s="76"/>
      <c r="H100" s="44"/>
      <c r="I100" s="44"/>
      <c r="J100" s="44"/>
      <c r="K100" s="77"/>
      <c r="L100" s="44"/>
      <c r="M100" s="78"/>
      <c r="N100" s="44"/>
      <c r="O100" s="44"/>
    </row>
    <row r="101" spans="1:15">
      <c r="A101" s="44"/>
      <c r="B101" s="44"/>
      <c r="C101" s="65"/>
      <c r="D101" s="39"/>
      <c r="E101" s="43"/>
      <c r="F101" s="44"/>
      <c r="G101" s="44"/>
      <c r="H101" s="79"/>
      <c r="I101" s="44"/>
      <c r="J101" s="80"/>
      <c r="K101" s="44"/>
      <c r="L101" s="44"/>
      <c r="M101" s="45"/>
      <c r="N101" s="44"/>
      <c r="O101" s="44"/>
    </row>
    <row r="102" spans="1:15" ht="14.4" thickBot="1">
      <c r="A102" s="44"/>
      <c r="B102" s="44"/>
      <c r="C102" s="65"/>
      <c r="D102" s="39"/>
      <c r="E102" s="46"/>
      <c r="F102" s="47"/>
      <c r="G102" s="47"/>
      <c r="H102" s="81"/>
      <c r="I102" s="47"/>
      <c r="J102" s="82"/>
      <c r="K102" s="47"/>
      <c r="L102" s="47"/>
      <c r="M102" s="48"/>
      <c r="N102" s="44"/>
      <c r="O102" s="44"/>
    </row>
    <row r="103" spans="1:15" ht="14.4" thickBot="1">
      <c r="A103" s="44"/>
      <c r="B103" s="44"/>
      <c r="C103" s="44"/>
      <c r="D103" s="44"/>
    </row>
    <row r="104" spans="1:15" ht="14.4" thickBot="1">
      <c r="E104" s="83"/>
      <c r="F104" s="84"/>
      <c r="G104" s="85"/>
      <c r="K104" s="83"/>
      <c r="L104" s="84"/>
      <c r="M104" s="85"/>
    </row>
    <row r="105" spans="1:15">
      <c r="E105" s="102"/>
      <c r="F105" s="91">
        <f>I40*J24</f>
        <v>268.3098591549296</v>
      </c>
      <c r="G105" s="91" t="s">
        <v>10</v>
      </c>
      <c r="L105" s="91">
        <f>+F105</f>
        <v>268.3098591549296</v>
      </c>
      <c r="M105" s="91" t="s">
        <v>10</v>
      </c>
    </row>
    <row r="107" spans="1:15">
      <c r="E107" s="101">
        <f>+E14/2/1000</f>
        <v>0.17499999999999999</v>
      </c>
      <c r="F107" s="91">
        <f>+F2-E107</f>
        <v>1.9549999999999998</v>
      </c>
      <c r="K107" s="99">
        <f>+L2-M107</f>
        <v>1.0649999999999999</v>
      </c>
      <c r="M107" s="99">
        <f>L2/2</f>
        <v>1.0649999999999999</v>
      </c>
    </row>
    <row r="110" spans="1:15">
      <c r="L110" s="99">
        <f>L92-L118</f>
        <v>422.25</v>
      </c>
    </row>
    <row r="113" spans="5:13">
      <c r="E113" s="86">
        <f>F105*E107</f>
        <v>46.95422535211268</v>
      </c>
      <c r="H113" s="101">
        <f>F105*(E107+F107)-E92</f>
        <v>136.5</v>
      </c>
      <c r="J113" s="91">
        <f>L92-L105*(K107+M107)</f>
        <v>136.5</v>
      </c>
    </row>
    <row r="114" spans="5:13" ht="14.4" thickBot="1">
      <c r="E114" s="87"/>
      <c r="F114" s="87"/>
      <c r="G114" s="87"/>
      <c r="H114" s="87"/>
      <c r="I114" s="87"/>
      <c r="J114" s="87"/>
      <c r="K114" s="87"/>
      <c r="L114" s="87"/>
      <c r="M114" s="87"/>
    </row>
    <row r="115" spans="5:13" ht="14.4" thickTop="1"/>
    <row r="117" spans="5:13">
      <c r="F117" s="91">
        <f>E119*F107/(E119+H113)</f>
        <v>1.4462598425196846</v>
      </c>
    </row>
    <row r="118" spans="5:13" ht="14.4">
      <c r="I118" s="88" t="s">
        <v>101</v>
      </c>
      <c r="L118" s="99">
        <f>L105*M107</f>
        <v>285.75</v>
      </c>
    </row>
    <row r="119" spans="5:13">
      <c r="E119" s="86">
        <f>+E92-E113</f>
        <v>388.0457746478873</v>
      </c>
    </row>
    <row r="121" spans="5:13">
      <c r="G121" s="86">
        <f>+E92*F117-F105*(E107+F117)^2/2</f>
        <v>276.49901574803147</v>
      </c>
    </row>
    <row r="122" spans="5:13">
      <c r="H122" s="101">
        <f>E92*F107-F105*(E107+F107)^2/2</f>
        <v>241.77750000000003</v>
      </c>
    </row>
    <row r="124" spans="5:13">
      <c r="J124" s="91">
        <f>+L92*K107-L105*(K107+M107)^2/2</f>
        <v>145.37250000000006</v>
      </c>
    </row>
    <row r="126" spans="5:13" ht="14.4" thickBot="1">
      <c r="E126" s="87"/>
      <c r="F126" s="87"/>
      <c r="G126" s="87"/>
      <c r="H126" s="87"/>
      <c r="I126" s="87"/>
      <c r="J126" s="87"/>
      <c r="K126" s="87"/>
      <c r="L126" s="87"/>
      <c r="M126" s="87"/>
    </row>
    <row r="127" spans="5:13" ht="14.4" thickTop="1"/>
    <row r="128" spans="5:13">
      <c r="E128" s="91">
        <f>F105*E107^2/2</f>
        <v>4.108494718309859</v>
      </c>
    </row>
    <row r="129" spans="5:13" ht="14.4">
      <c r="I129" s="88" t="s">
        <v>102</v>
      </c>
    </row>
    <row r="130" spans="5:13">
      <c r="L130" s="99">
        <f>+L105*M107^2/2</f>
        <v>152.16187499999998</v>
      </c>
    </row>
    <row r="133" spans="5:13" ht="14.4">
      <c r="G133" s="61" t="s">
        <v>103</v>
      </c>
    </row>
    <row r="134" spans="5:13">
      <c r="G134" s="102" t="s">
        <v>104</v>
      </c>
      <c r="H134" s="102" t="s">
        <v>40</v>
      </c>
      <c r="I134" s="60">
        <f>H122</f>
        <v>241.77750000000003</v>
      </c>
      <c r="J134" s="91" t="s">
        <v>78</v>
      </c>
    </row>
    <row r="135" spans="5:13">
      <c r="G135" s="102" t="s">
        <v>79</v>
      </c>
      <c r="H135" s="102" t="s">
        <v>40</v>
      </c>
      <c r="I135" s="60">
        <f>SQRT(I134*1000000/(0.133*I45*I43))</f>
        <v>476.6911919484175</v>
      </c>
      <c r="J135" s="91" t="s">
        <v>27</v>
      </c>
    </row>
    <row r="136" spans="5:13">
      <c r="G136" s="102" t="s">
        <v>105</v>
      </c>
      <c r="H136" s="102" t="s">
        <v>40</v>
      </c>
      <c r="I136" s="60">
        <f>I51</f>
        <v>540</v>
      </c>
      <c r="J136" s="91" t="s">
        <v>27</v>
      </c>
      <c r="K136" s="91" t="str">
        <f>IF(I136&gt;I135,"ok")</f>
        <v>ok</v>
      </c>
    </row>
    <row r="137" spans="5:13">
      <c r="E137" s="295" t="s">
        <v>80</v>
      </c>
      <c r="F137" s="295"/>
      <c r="G137" s="295"/>
      <c r="H137" s="295"/>
      <c r="I137" s="295"/>
      <c r="J137" s="295"/>
      <c r="K137" s="295"/>
      <c r="L137" s="295"/>
      <c r="M137" s="295"/>
    </row>
    <row r="138" spans="5:13" ht="16.2">
      <c r="E138" s="99"/>
      <c r="F138" s="102" t="s">
        <v>81</v>
      </c>
      <c r="G138" s="294" t="s">
        <v>82</v>
      </c>
      <c r="H138" s="294"/>
      <c r="I138" s="62">
        <f>0.87*I46^2/(I45*I43)</f>
        <v>27.1875</v>
      </c>
      <c r="J138" s="99"/>
      <c r="K138" s="99"/>
      <c r="L138" s="99"/>
      <c r="M138" s="99"/>
    </row>
    <row r="139" spans="5:13">
      <c r="E139" s="99"/>
      <c r="F139" s="102" t="s">
        <v>83</v>
      </c>
      <c r="G139" s="293" t="s">
        <v>84</v>
      </c>
      <c r="H139" s="294"/>
      <c r="I139" s="63">
        <f>-0.87*I46*I136</f>
        <v>-234900</v>
      </c>
      <c r="J139" s="99"/>
      <c r="K139" s="99"/>
      <c r="L139" s="99"/>
      <c r="M139" s="99"/>
    </row>
    <row r="140" spans="5:13">
      <c r="E140" s="99"/>
      <c r="F140" s="102" t="s">
        <v>85</v>
      </c>
      <c r="G140" s="293" t="s">
        <v>86</v>
      </c>
      <c r="H140" s="294"/>
      <c r="I140" s="102">
        <f>+I134*1000000</f>
        <v>241777500.00000003</v>
      </c>
      <c r="J140" s="99"/>
      <c r="K140" s="99"/>
      <c r="L140" s="99"/>
      <c r="M140" s="99"/>
    </row>
    <row r="141" spans="5:13">
      <c r="G141" s="102"/>
      <c r="H141" s="102"/>
    </row>
    <row r="142" spans="5:13">
      <c r="G142" s="102" t="s">
        <v>87</v>
      </c>
      <c r="H142" s="102" t="s">
        <v>40</v>
      </c>
      <c r="I142" s="60">
        <f>MIN((-I139-SQRT(I139^2-4*I138*I140))/(2*I138),(-I139+SQRT(I139^2-4*I138*I140))/(2*I138))</f>
        <v>1194.3905421888328</v>
      </c>
      <c r="J142" s="91" t="s">
        <v>31</v>
      </c>
    </row>
    <row r="143" spans="5:13">
      <c r="G143" s="102" t="s">
        <v>88</v>
      </c>
      <c r="H143" s="102" t="s">
        <v>40</v>
      </c>
      <c r="I143" s="60">
        <f>0.12%*I42*I43</f>
        <v>288</v>
      </c>
      <c r="J143" s="91" t="s">
        <v>31</v>
      </c>
      <c r="K143" s="91" t="str">
        <f>IF(I143&lt;I142,"ok","provide Ast,min")</f>
        <v>ok</v>
      </c>
    </row>
    <row r="144" spans="5:13">
      <c r="G144" s="102" t="s">
        <v>89</v>
      </c>
      <c r="H144" s="102" t="s">
        <v>40</v>
      </c>
      <c r="I144" s="60">
        <f>MAX(I142:I143)</f>
        <v>1194.3905421888328</v>
      </c>
      <c r="J144" s="91" t="s">
        <v>31</v>
      </c>
    </row>
    <row r="145" spans="5:13">
      <c r="G145" s="102" t="s">
        <v>106</v>
      </c>
      <c r="H145" s="102" t="s">
        <v>40</v>
      </c>
      <c r="I145" s="60">
        <f>+I144/(PI()/4*I47^2)</f>
        <v>3.801863175431234</v>
      </c>
      <c r="J145" s="91" t="s">
        <v>27</v>
      </c>
    </row>
    <row r="146" spans="5:13">
      <c r="G146" s="102" t="s">
        <v>107</v>
      </c>
      <c r="H146" s="102" t="s">
        <v>40</v>
      </c>
      <c r="I146" s="60">
        <v>4</v>
      </c>
      <c r="J146" s="91" t="s">
        <v>27</v>
      </c>
      <c r="K146" s="91" t="str">
        <f>IF(I146&gt;I145,"ok")</f>
        <v>ok</v>
      </c>
    </row>
    <row r="148" spans="5:13">
      <c r="G148" s="102" t="s">
        <v>108</v>
      </c>
      <c r="H148" s="102" t="s">
        <v>40</v>
      </c>
      <c r="I148" s="60">
        <f>L130</f>
        <v>152.16187499999998</v>
      </c>
      <c r="J148" s="91" t="s">
        <v>78</v>
      </c>
    </row>
    <row r="149" spans="5:13">
      <c r="G149" s="102" t="s">
        <v>79</v>
      </c>
      <c r="H149" s="102" t="s">
        <v>40</v>
      </c>
      <c r="I149" s="60">
        <f>SQRT(L130*1000000/(0.138*I45*I43))</f>
        <v>371.25164690016788</v>
      </c>
      <c r="J149" s="91" t="s">
        <v>27</v>
      </c>
      <c r="K149" s="91" t="str">
        <f>IF(I149&lt;I51,"ok")</f>
        <v>ok</v>
      </c>
    </row>
    <row r="150" spans="5:13">
      <c r="G150" s="102" t="s">
        <v>105</v>
      </c>
      <c r="H150" s="102" t="s">
        <v>40</v>
      </c>
      <c r="I150" s="60">
        <f>I136</f>
        <v>540</v>
      </c>
      <c r="J150" s="91" t="s">
        <v>27</v>
      </c>
      <c r="K150" s="91" t="str">
        <f>IF(I150&gt;I52,"ok")</f>
        <v>ok</v>
      </c>
    </row>
    <row r="151" spans="5:13">
      <c r="E151" s="295" t="s">
        <v>80</v>
      </c>
      <c r="F151" s="295"/>
      <c r="G151" s="295"/>
      <c r="H151" s="295"/>
      <c r="I151" s="295"/>
      <c r="J151" s="295"/>
      <c r="K151" s="295"/>
      <c r="L151" s="295"/>
      <c r="M151" s="295"/>
    </row>
    <row r="152" spans="5:13" ht="16.2">
      <c r="E152" s="99"/>
      <c r="F152" s="102" t="s">
        <v>81</v>
      </c>
      <c r="G152" s="294" t="s">
        <v>82</v>
      </c>
      <c r="H152" s="294"/>
      <c r="I152" s="62">
        <f>0.87*I46^2/(I45*I43)</f>
        <v>27.1875</v>
      </c>
      <c r="J152" s="99"/>
      <c r="K152" s="99"/>
      <c r="L152" s="99"/>
      <c r="M152" s="99"/>
    </row>
    <row r="153" spans="5:13">
      <c r="E153" s="99"/>
      <c r="F153" s="102" t="s">
        <v>83</v>
      </c>
      <c r="G153" s="293" t="s">
        <v>84</v>
      </c>
      <c r="H153" s="294"/>
      <c r="I153" s="63">
        <f>-0.87*I46*I150</f>
        <v>-234900</v>
      </c>
      <c r="J153" s="99"/>
      <c r="K153" s="99"/>
      <c r="L153" s="99"/>
      <c r="M153" s="99"/>
    </row>
    <row r="154" spans="5:13">
      <c r="E154" s="99"/>
      <c r="F154" s="102" t="s">
        <v>85</v>
      </c>
      <c r="G154" s="293" t="s">
        <v>86</v>
      </c>
      <c r="H154" s="294"/>
      <c r="I154" s="102">
        <f>+I148*1000000</f>
        <v>152161874.99999997</v>
      </c>
      <c r="J154" s="99"/>
      <c r="K154" s="99"/>
      <c r="L154" s="99"/>
      <c r="M154" s="99"/>
    </row>
    <row r="155" spans="5:13">
      <c r="G155" s="102"/>
      <c r="H155" s="102"/>
    </row>
    <row r="156" spans="5:13">
      <c r="G156" s="102" t="s">
        <v>87</v>
      </c>
      <c r="H156" s="102" t="s">
        <v>40</v>
      </c>
      <c r="I156" s="60">
        <f>MIN((-I153-SQRT(I153^2-4*I152*I154))/(2*I152),(-I153+SQRT(I153^2-4*I152*I154))/(2*I152))</f>
        <v>705.35736492383717</v>
      </c>
      <c r="J156" s="91" t="s">
        <v>31</v>
      </c>
    </row>
    <row r="157" spans="5:13">
      <c r="G157" s="102" t="s">
        <v>88</v>
      </c>
      <c r="H157" s="102" t="s">
        <v>40</v>
      </c>
      <c r="I157" s="60">
        <f>0.12%*I42*I43</f>
        <v>288</v>
      </c>
      <c r="J157" s="91" t="s">
        <v>31</v>
      </c>
      <c r="K157" s="91" t="str">
        <f>IF(I157&lt;I156,"ok","provide Ast,min")</f>
        <v>ok</v>
      </c>
    </row>
    <row r="158" spans="5:13">
      <c r="G158" s="102" t="s">
        <v>89</v>
      </c>
      <c r="H158" s="102" t="s">
        <v>40</v>
      </c>
      <c r="I158" s="60">
        <f>MAX(I156:I157)</f>
        <v>705.35736492383717</v>
      </c>
      <c r="J158" s="91" t="s">
        <v>31</v>
      </c>
    </row>
    <row r="159" spans="5:13">
      <c r="G159" s="102" t="s">
        <v>106</v>
      </c>
      <c r="H159" s="102" t="s">
        <v>40</v>
      </c>
      <c r="I159" s="60">
        <f>+I158/(PI()/4*I47^2)</f>
        <v>2.2452222254780509</v>
      </c>
      <c r="J159" s="91" t="s">
        <v>27</v>
      </c>
    </row>
    <row r="160" spans="5:13">
      <c r="G160" s="102" t="s">
        <v>107</v>
      </c>
      <c r="H160" s="102" t="s">
        <v>40</v>
      </c>
      <c r="I160" s="60">
        <v>3</v>
      </c>
      <c r="J160" s="91" t="s">
        <v>27</v>
      </c>
      <c r="K160" s="91" t="str">
        <f>IF(I160&gt;I159,"ok")</f>
        <v>ok</v>
      </c>
      <c r="L160" s="91">
        <f>4*3.14*16*16/4</f>
        <v>803.84</v>
      </c>
    </row>
    <row r="162" spans="7:11" ht="14.4">
      <c r="G162" s="61" t="s">
        <v>109</v>
      </c>
    </row>
    <row r="163" spans="7:11">
      <c r="G163" s="102" t="s">
        <v>110</v>
      </c>
      <c r="H163" s="102" t="s">
        <v>40</v>
      </c>
      <c r="I163" s="60">
        <f>L92-L105*(M107+L14/1000/2+I51/1000)</f>
        <v>210.28521126760558</v>
      </c>
      <c r="J163" s="91" t="s">
        <v>30</v>
      </c>
    </row>
    <row r="164" spans="7:11">
      <c r="G164" s="102" t="s">
        <v>111</v>
      </c>
      <c r="H164" s="102" t="s">
        <v>40</v>
      </c>
      <c r="I164" s="60">
        <f>E92-F105*(E14/1000+I51/1000)</f>
        <v>196.20422535211264</v>
      </c>
      <c r="J164" s="91" t="s">
        <v>30</v>
      </c>
    </row>
    <row r="166" spans="7:11">
      <c r="G166" s="102" t="s">
        <v>96</v>
      </c>
      <c r="H166" s="102" t="s">
        <v>40</v>
      </c>
      <c r="I166" s="59">
        <f>MAX(I163:I164)*1000/(I43*I51)</f>
        <v>0.97354264475743324</v>
      </c>
      <c r="J166" s="91" t="s">
        <v>28</v>
      </c>
    </row>
    <row r="167" spans="7:11">
      <c r="G167" s="102" t="s">
        <v>112</v>
      </c>
      <c r="H167" s="102" t="s">
        <v>40</v>
      </c>
      <c r="I167" s="59">
        <f>I146*PI()/4*I47^2/(I43*I51)*100</f>
        <v>0.58177641733144314</v>
      </c>
      <c r="J167" s="91" t="s">
        <v>113</v>
      </c>
    </row>
    <row r="168" spans="7:11">
      <c r="G168" s="102" t="s">
        <v>114</v>
      </c>
      <c r="H168" s="102" t="s">
        <v>40</v>
      </c>
      <c r="I168" s="59">
        <f>0.56+(0.62-0.56)/(1-0.75)*(I167-0.75)</f>
        <v>0.51962634015954645</v>
      </c>
      <c r="J168" s="91" t="s">
        <v>28</v>
      </c>
    </row>
    <row r="169" spans="7:11">
      <c r="G169" s="102" t="s">
        <v>115</v>
      </c>
      <c r="H169" s="102" t="s">
        <v>40</v>
      </c>
      <c r="I169" s="60">
        <f>(MAX(I163:I164)*1000-I168*I43*I51)/1000</f>
        <v>98.045921793143521</v>
      </c>
      <c r="J169" s="91" t="s">
        <v>30</v>
      </c>
    </row>
    <row r="170" spans="7:11">
      <c r="G170" s="102" t="s">
        <v>116</v>
      </c>
      <c r="H170" s="102" t="s">
        <v>40</v>
      </c>
      <c r="I170" s="60">
        <f>0.87*I46*2*PI()/4*I48^2*I51/(I169*1000)</f>
        <v>240.85370637165209</v>
      </c>
      <c r="J170" s="91" t="s">
        <v>27</v>
      </c>
    </row>
    <row r="171" spans="7:11">
      <c r="G171" s="102" t="s">
        <v>117</v>
      </c>
      <c r="H171" s="102" t="s">
        <v>40</v>
      </c>
      <c r="I171" s="91">
        <v>125</v>
      </c>
      <c r="J171" s="91" t="s">
        <v>27</v>
      </c>
      <c r="K171" s="91" t="str">
        <f>IF(I171&lt;I170,"ok")</f>
        <v>ok</v>
      </c>
    </row>
    <row r="173" spans="7:11" ht="14.4">
      <c r="G173" s="89" t="s">
        <v>118</v>
      </c>
    </row>
    <row r="174" spans="7:11">
      <c r="G174" s="102" t="s">
        <v>119</v>
      </c>
      <c r="H174" s="102" t="s">
        <v>40</v>
      </c>
      <c r="I174" s="101">
        <f>+I41</f>
        <v>350</v>
      </c>
      <c r="J174" s="91" t="s">
        <v>27</v>
      </c>
    </row>
    <row r="175" spans="7:11">
      <c r="G175" s="102" t="s">
        <v>120</v>
      </c>
      <c r="H175" s="102" t="s">
        <v>40</v>
      </c>
      <c r="I175" s="101">
        <f>+A8/1000</f>
        <v>2.13</v>
      </c>
      <c r="J175" s="91" t="s">
        <v>32</v>
      </c>
    </row>
    <row r="176" spans="7:11">
      <c r="G176" s="102" t="s">
        <v>121</v>
      </c>
      <c r="H176" s="102" t="s">
        <v>40</v>
      </c>
      <c r="I176" s="101">
        <f>+F2</f>
        <v>2.13</v>
      </c>
      <c r="J176" s="91" t="s">
        <v>32</v>
      </c>
    </row>
    <row r="177" spans="7:10">
      <c r="G177" s="102" t="s">
        <v>122</v>
      </c>
      <c r="H177" s="102" t="s">
        <v>40</v>
      </c>
      <c r="I177" s="101">
        <f>+A8/1000</f>
        <v>2.13</v>
      </c>
      <c r="J177" s="91" t="s">
        <v>32</v>
      </c>
    </row>
    <row r="178" spans="7:10">
      <c r="G178" s="102" t="s">
        <v>123</v>
      </c>
      <c r="H178" s="102" t="s">
        <v>40</v>
      </c>
      <c r="I178" s="101">
        <f>+L2</f>
        <v>2.13</v>
      </c>
      <c r="J178" s="91" t="s">
        <v>32</v>
      </c>
    </row>
    <row r="179" spans="7:10">
      <c r="G179" s="102" t="s">
        <v>124</v>
      </c>
      <c r="H179" s="102" t="s">
        <v>40</v>
      </c>
      <c r="I179" s="101" t="str">
        <f>"TMT-"&amp;I49&amp;" @"&amp;I65&amp;"c/c"</f>
        <v>TMT-12 @150c/c</v>
      </c>
    </row>
    <row r="180" spans="7:10">
      <c r="G180" s="102" t="s">
        <v>125</v>
      </c>
      <c r="H180" s="102" t="s">
        <v>40</v>
      </c>
      <c r="I180" s="101">
        <f>+I42</f>
        <v>600</v>
      </c>
      <c r="J180" s="91" t="s">
        <v>27</v>
      </c>
    </row>
    <row r="181" spans="7:10">
      <c r="G181" s="102" t="s">
        <v>126</v>
      </c>
      <c r="H181" s="102" t="s">
        <v>40</v>
      </c>
      <c r="I181" s="101">
        <f>+I43</f>
        <v>400</v>
      </c>
      <c r="J181" s="91" t="s">
        <v>27</v>
      </c>
    </row>
    <row r="182" spans="7:10">
      <c r="G182" s="102" t="s">
        <v>127</v>
      </c>
      <c r="H182" s="102" t="s">
        <v>40</v>
      </c>
      <c r="I182" s="101" t="str">
        <f>I146&amp;" Nos TMT-"&amp;I47</f>
        <v>4 Nos TMT-20</v>
      </c>
    </row>
    <row r="183" spans="7:10">
      <c r="G183" s="102" t="s">
        <v>128</v>
      </c>
      <c r="H183" s="102" t="s">
        <v>40</v>
      </c>
      <c r="I183" s="101" t="str">
        <f>I160&amp;" Nos TMT-"&amp;I47</f>
        <v>3 Nos TMT-20</v>
      </c>
    </row>
    <row r="184" spans="7:10">
      <c r="G184" s="102" t="s">
        <v>129</v>
      </c>
      <c r="H184" s="102" t="s">
        <v>40</v>
      </c>
      <c r="I184" s="101" t="str">
        <f>"TMT-"&amp;I48&amp;" @"&amp;I171&amp;"c/c"</f>
        <v>TMT-8 @125c/c</v>
      </c>
    </row>
    <row r="185" spans="7:10">
      <c r="G185" s="102" t="s">
        <v>69</v>
      </c>
      <c r="H185" s="102" t="s">
        <v>40</v>
      </c>
      <c r="I185" s="101" t="str">
        <f>"M"&amp;I45</f>
        <v>M20</v>
      </c>
    </row>
    <row r="186" spans="7:10">
      <c r="G186" s="102" t="s">
        <v>130</v>
      </c>
      <c r="H186" s="102" t="s">
        <v>40</v>
      </c>
      <c r="I186" s="101">
        <f>+I44</f>
        <v>50</v>
      </c>
      <c r="J186" s="91" t="s">
        <v>27</v>
      </c>
    </row>
  </sheetData>
  <mergeCells count="29">
    <mergeCell ref="E30:M30"/>
    <mergeCell ref="C5:C7"/>
    <mergeCell ref="A8:A9"/>
    <mergeCell ref="C8:C9"/>
    <mergeCell ref="E8:E9"/>
    <mergeCell ref="L8:L9"/>
    <mergeCell ref="C10:C12"/>
    <mergeCell ref="E25:M25"/>
    <mergeCell ref="E26:M26"/>
    <mergeCell ref="E27:M27"/>
    <mergeCell ref="E28:M28"/>
    <mergeCell ref="E29:M29"/>
    <mergeCell ref="G139:H139"/>
    <mergeCell ref="E31:M31"/>
    <mergeCell ref="E56:M56"/>
    <mergeCell ref="G57:H57"/>
    <mergeCell ref="G58:H58"/>
    <mergeCell ref="G59:H59"/>
    <mergeCell ref="E69:M69"/>
    <mergeCell ref="G70:H70"/>
    <mergeCell ref="G71:H71"/>
    <mergeCell ref="G72:H72"/>
    <mergeCell ref="E137:M137"/>
    <mergeCell ref="G138:H138"/>
    <mergeCell ref="G140:H140"/>
    <mergeCell ref="E151:M151"/>
    <mergeCell ref="G152:H152"/>
    <mergeCell ref="G153:H153"/>
    <mergeCell ref="G154:H15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6"/>
  <sheetViews>
    <sheetView workbookViewId="0">
      <selection activeCell="D19" sqref="D19"/>
    </sheetView>
  </sheetViews>
  <sheetFormatPr defaultColWidth="8.88671875" defaultRowHeight="13.2"/>
  <cols>
    <col min="1" max="1" width="19.109375" style="126" customWidth="1"/>
    <col min="2" max="2" width="13.6640625" style="126" customWidth="1"/>
    <col min="3" max="3" width="33.44140625" style="126" customWidth="1"/>
    <col min="4" max="4" width="19.88671875" style="126" customWidth="1"/>
    <col min="5" max="5" width="10.6640625" style="126" customWidth="1"/>
    <col min="6" max="6" width="14.6640625" style="126" customWidth="1"/>
    <col min="7" max="7" width="10.6640625" style="126" customWidth="1"/>
    <col min="8" max="8" width="5.33203125" style="126" customWidth="1"/>
    <col min="9" max="9" width="11.44140625" style="126" customWidth="1"/>
    <col min="10" max="10" width="8.88671875" style="126"/>
    <col min="11" max="11" width="12.33203125" style="126" customWidth="1"/>
    <col min="12" max="14" width="8.88671875" style="126"/>
    <col min="15" max="15" width="5.33203125" style="126" customWidth="1"/>
    <col min="16" max="256" width="8.88671875" style="126"/>
    <col min="257" max="257" width="19.109375" style="126" customWidth="1"/>
    <col min="258" max="258" width="13.6640625" style="126" customWidth="1"/>
    <col min="259" max="259" width="33.44140625" style="126" customWidth="1"/>
    <col min="260" max="260" width="19.88671875" style="126" customWidth="1"/>
    <col min="261" max="261" width="10.6640625" style="126" customWidth="1"/>
    <col min="262" max="262" width="14.6640625" style="126" customWidth="1"/>
    <col min="263" max="263" width="10.6640625" style="126" customWidth="1"/>
    <col min="264" max="264" width="5.33203125" style="126" customWidth="1"/>
    <col min="265" max="265" width="11.44140625" style="126" customWidth="1"/>
    <col min="266" max="266" width="8.88671875" style="126"/>
    <col min="267" max="267" width="12.33203125" style="126" customWidth="1"/>
    <col min="268" max="270" width="8.88671875" style="126"/>
    <col min="271" max="271" width="5.33203125" style="126" customWidth="1"/>
    <col min="272" max="512" width="8.88671875" style="126"/>
    <col min="513" max="513" width="19.109375" style="126" customWidth="1"/>
    <col min="514" max="514" width="13.6640625" style="126" customWidth="1"/>
    <col min="515" max="515" width="33.44140625" style="126" customWidth="1"/>
    <col min="516" max="516" width="19.88671875" style="126" customWidth="1"/>
    <col min="517" max="517" width="10.6640625" style="126" customWidth="1"/>
    <col min="518" max="518" width="14.6640625" style="126" customWidth="1"/>
    <col min="519" max="519" width="10.6640625" style="126" customWidth="1"/>
    <col min="520" max="520" width="5.33203125" style="126" customWidth="1"/>
    <col min="521" max="521" width="11.44140625" style="126" customWidth="1"/>
    <col min="522" max="522" width="8.88671875" style="126"/>
    <col min="523" max="523" width="12.33203125" style="126" customWidth="1"/>
    <col min="524" max="526" width="8.88671875" style="126"/>
    <col min="527" max="527" width="5.33203125" style="126" customWidth="1"/>
    <col min="528" max="768" width="8.88671875" style="126"/>
    <col min="769" max="769" width="19.109375" style="126" customWidth="1"/>
    <col min="770" max="770" width="13.6640625" style="126" customWidth="1"/>
    <col min="771" max="771" width="33.44140625" style="126" customWidth="1"/>
    <col min="772" max="772" width="19.88671875" style="126" customWidth="1"/>
    <col min="773" max="773" width="10.6640625" style="126" customWidth="1"/>
    <col min="774" max="774" width="14.6640625" style="126" customWidth="1"/>
    <col min="775" max="775" width="10.6640625" style="126" customWidth="1"/>
    <col min="776" max="776" width="5.33203125" style="126" customWidth="1"/>
    <col min="777" max="777" width="11.44140625" style="126" customWidth="1"/>
    <col min="778" max="778" width="8.88671875" style="126"/>
    <col min="779" max="779" width="12.33203125" style="126" customWidth="1"/>
    <col min="780" max="782" width="8.88671875" style="126"/>
    <col min="783" max="783" width="5.33203125" style="126" customWidth="1"/>
    <col min="784" max="1024" width="8.88671875" style="126"/>
    <col min="1025" max="1025" width="19.109375" style="126" customWidth="1"/>
    <col min="1026" max="1026" width="13.6640625" style="126" customWidth="1"/>
    <col min="1027" max="1027" width="33.44140625" style="126" customWidth="1"/>
    <col min="1028" max="1028" width="19.88671875" style="126" customWidth="1"/>
    <col min="1029" max="1029" width="10.6640625" style="126" customWidth="1"/>
    <col min="1030" max="1030" width="14.6640625" style="126" customWidth="1"/>
    <col min="1031" max="1031" width="10.6640625" style="126" customWidth="1"/>
    <col min="1032" max="1032" width="5.33203125" style="126" customWidth="1"/>
    <col min="1033" max="1033" width="11.44140625" style="126" customWidth="1"/>
    <col min="1034" max="1034" width="8.88671875" style="126"/>
    <col min="1035" max="1035" width="12.33203125" style="126" customWidth="1"/>
    <col min="1036" max="1038" width="8.88671875" style="126"/>
    <col min="1039" max="1039" width="5.33203125" style="126" customWidth="1"/>
    <col min="1040" max="1280" width="8.88671875" style="126"/>
    <col min="1281" max="1281" width="19.109375" style="126" customWidth="1"/>
    <col min="1282" max="1282" width="13.6640625" style="126" customWidth="1"/>
    <col min="1283" max="1283" width="33.44140625" style="126" customWidth="1"/>
    <col min="1284" max="1284" width="19.88671875" style="126" customWidth="1"/>
    <col min="1285" max="1285" width="10.6640625" style="126" customWidth="1"/>
    <col min="1286" max="1286" width="14.6640625" style="126" customWidth="1"/>
    <col min="1287" max="1287" width="10.6640625" style="126" customWidth="1"/>
    <col min="1288" max="1288" width="5.33203125" style="126" customWidth="1"/>
    <col min="1289" max="1289" width="11.44140625" style="126" customWidth="1"/>
    <col min="1290" max="1290" width="8.88671875" style="126"/>
    <col min="1291" max="1291" width="12.33203125" style="126" customWidth="1"/>
    <col min="1292" max="1294" width="8.88671875" style="126"/>
    <col min="1295" max="1295" width="5.33203125" style="126" customWidth="1"/>
    <col min="1296" max="1536" width="8.88671875" style="126"/>
    <col min="1537" max="1537" width="19.109375" style="126" customWidth="1"/>
    <col min="1538" max="1538" width="13.6640625" style="126" customWidth="1"/>
    <col min="1539" max="1539" width="33.44140625" style="126" customWidth="1"/>
    <col min="1540" max="1540" width="19.88671875" style="126" customWidth="1"/>
    <col min="1541" max="1541" width="10.6640625" style="126" customWidth="1"/>
    <col min="1542" max="1542" width="14.6640625" style="126" customWidth="1"/>
    <col min="1543" max="1543" width="10.6640625" style="126" customWidth="1"/>
    <col min="1544" max="1544" width="5.33203125" style="126" customWidth="1"/>
    <col min="1545" max="1545" width="11.44140625" style="126" customWidth="1"/>
    <col min="1546" max="1546" width="8.88671875" style="126"/>
    <col min="1547" max="1547" width="12.33203125" style="126" customWidth="1"/>
    <col min="1548" max="1550" width="8.88671875" style="126"/>
    <col min="1551" max="1551" width="5.33203125" style="126" customWidth="1"/>
    <col min="1552" max="1792" width="8.88671875" style="126"/>
    <col min="1793" max="1793" width="19.109375" style="126" customWidth="1"/>
    <col min="1794" max="1794" width="13.6640625" style="126" customWidth="1"/>
    <col min="1795" max="1795" width="33.44140625" style="126" customWidth="1"/>
    <col min="1796" max="1796" width="19.88671875" style="126" customWidth="1"/>
    <col min="1797" max="1797" width="10.6640625" style="126" customWidth="1"/>
    <col min="1798" max="1798" width="14.6640625" style="126" customWidth="1"/>
    <col min="1799" max="1799" width="10.6640625" style="126" customWidth="1"/>
    <col min="1800" max="1800" width="5.33203125" style="126" customWidth="1"/>
    <col min="1801" max="1801" width="11.44140625" style="126" customWidth="1"/>
    <col min="1802" max="1802" width="8.88671875" style="126"/>
    <col min="1803" max="1803" width="12.33203125" style="126" customWidth="1"/>
    <col min="1804" max="1806" width="8.88671875" style="126"/>
    <col min="1807" max="1807" width="5.33203125" style="126" customWidth="1"/>
    <col min="1808" max="2048" width="8.88671875" style="126"/>
    <col min="2049" max="2049" width="19.109375" style="126" customWidth="1"/>
    <col min="2050" max="2050" width="13.6640625" style="126" customWidth="1"/>
    <col min="2051" max="2051" width="33.44140625" style="126" customWidth="1"/>
    <col min="2052" max="2052" width="19.88671875" style="126" customWidth="1"/>
    <col min="2053" max="2053" width="10.6640625" style="126" customWidth="1"/>
    <col min="2054" max="2054" width="14.6640625" style="126" customWidth="1"/>
    <col min="2055" max="2055" width="10.6640625" style="126" customWidth="1"/>
    <col min="2056" max="2056" width="5.33203125" style="126" customWidth="1"/>
    <col min="2057" max="2057" width="11.44140625" style="126" customWidth="1"/>
    <col min="2058" max="2058" width="8.88671875" style="126"/>
    <col min="2059" max="2059" width="12.33203125" style="126" customWidth="1"/>
    <col min="2060" max="2062" width="8.88671875" style="126"/>
    <col min="2063" max="2063" width="5.33203125" style="126" customWidth="1"/>
    <col min="2064" max="2304" width="8.88671875" style="126"/>
    <col min="2305" max="2305" width="19.109375" style="126" customWidth="1"/>
    <col min="2306" max="2306" width="13.6640625" style="126" customWidth="1"/>
    <col min="2307" max="2307" width="33.44140625" style="126" customWidth="1"/>
    <col min="2308" max="2308" width="19.88671875" style="126" customWidth="1"/>
    <col min="2309" max="2309" width="10.6640625" style="126" customWidth="1"/>
    <col min="2310" max="2310" width="14.6640625" style="126" customWidth="1"/>
    <col min="2311" max="2311" width="10.6640625" style="126" customWidth="1"/>
    <col min="2312" max="2312" width="5.33203125" style="126" customWidth="1"/>
    <col min="2313" max="2313" width="11.44140625" style="126" customWidth="1"/>
    <col min="2314" max="2314" width="8.88671875" style="126"/>
    <col min="2315" max="2315" width="12.33203125" style="126" customWidth="1"/>
    <col min="2316" max="2318" width="8.88671875" style="126"/>
    <col min="2319" max="2319" width="5.33203125" style="126" customWidth="1"/>
    <col min="2320" max="2560" width="8.88671875" style="126"/>
    <col min="2561" max="2561" width="19.109375" style="126" customWidth="1"/>
    <col min="2562" max="2562" width="13.6640625" style="126" customWidth="1"/>
    <col min="2563" max="2563" width="33.44140625" style="126" customWidth="1"/>
    <col min="2564" max="2564" width="19.88671875" style="126" customWidth="1"/>
    <col min="2565" max="2565" width="10.6640625" style="126" customWidth="1"/>
    <col min="2566" max="2566" width="14.6640625" style="126" customWidth="1"/>
    <col min="2567" max="2567" width="10.6640625" style="126" customWidth="1"/>
    <col min="2568" max="2568" width="5.33203125" style="126" customWidth="1"/>
    <col min="2569" max="2569" width="11.44140625" style="126" customWidth="1"/>
    <col min="2570" max="2570" width="8.88671875" style="126"/>
    <col min="2571" max="2571" width="12.33203125" style="126" customWidth="1"/>
    <col min="2572" max="2574" width="8.88671875" style="126"/>
    <col min="2575" max="2575" width="5.33203125" style="126" customWidth="1"/>
    <col min="2576" max="2816" width="8.88671875" style="126"/>
    <col min="2817" max="2817" width="19.109375" style="126" customWidth="1"/>
    <col min="2818" max="2818" width="13.6640625" style="126" customWidth="1"/>
    <col min="2819" max="2819" width="33.44140625" style="126" customWidth="1"/>
    <col min="2820" max="2820" width="19.88671875" style="126" customWidth="1"/>
    <col min="2821" max="2821" width="10.6640625" style="126" customWidth="1"/>
    <col min="2822" max="2822" width="14.6640625" style="126" customWidth="1"/>
    <col min="2823" max="2823" width="10.6640625" style="126" customWidth="1"/>
    <col min="2824" max="2824" width="5.33203125" style="126" customWidth="1"/>
    <col min="2825" max="2825" width="11.44140625" style="126" customWidth="1"/>
    <col min="2826" max="2826" width="8.88671875" style="126"/>
    <col min="2827" max="2827" width="12.33203125" style="126" customWidth="1"/>
    <col min="2828" max="2830" width="8.88671875" style="126"/>
    <col min="2831" max="2831" width="5.33203125" style="126" customWidth="1"/>
    <col min="2832" max="3072" width="8.88671875" style="126"/>
    <col min="3073" max="3073" width="19.109375" style="126" customWidth="1"/>
    <col min="3074" max="3074" width="13.6640625" style="126" customWidth="1"/>
    <col min="3075" max="3075" width="33.44140625" style="126" customWidth="1"/>
    <col min="3076" max="3076" width="19.88671875" style="126" customWidth="1"/>
    <col min="3077" max="3077" width="10.6640625" style="126" customWidth="1"/>
    <col min="3078" max="3078" width="14.6640625" style="126" customWidth="1"/>
    <col min="3079" max="3079" width="10.6640625" style="126" customWidth="1"/>
    <col min="3080" max="3080" width="5.33203125" style="126" customWidth="1"/>
    <col min="3081" max="3081" width="11.44140625" style="126" customWidth="1"/>
    <col min="3082" max="3082" width="8.88671875" style="126"/>
    <col min="3083" max="3083" width="12.33203125" style="126" customWidth="1"/>
    <col min="3084" max="3086" width="8.88671875" style="126"/>
    <col min="3087" max="3087" width="5.33203125" style="126" customWidth="1"/>
    <col min="3088" max="3328" width="8.88671875" style="126"/>
    <col min="3329" max="3329" width="19.109375" style="126" customWidth="1"/>
    <col min="3330" max="3330" width="13.6640625" style="126" customWidth="1"/>
    <col min="3331" max="3331" width="33.44140625" style="126" customWidth="1"/>
    <col min="3332" max="3332" width="19.88671875" style="126" customWidth="1"/>
    <col min="3333" max="3333" width="10.6640625" style="126" customWidth="1"/>
    <col min="3334" max="3334" width="14.6640625" style="126" customWidth="1"/>
    <col min="3335" max="3335" width="10.6640625" style="126" customWidth="1"/>
    <col min="3336" max="3336" width="5.33203125" style="126" customWidth="1"/>
    <col min="3337" max="3337" width="11.44140625" style="126" customWidth="1"/>
    <col min="3338" max="3338" width="8.88671875" style="126"/>
    <col min="3339" max="3339" width="12.33203125" style="126" customWidth="1"/>
    <col min="3340" max="3342" width="8.88671875" style="126"/>
    <col min="3343" max="3343" width="5.33203125" style="126" customWidth="1"/>
    <col min="3344" max="3584" width="8.88671875" style="126"/>
    <col min="3585" max="3585" width="19.109375" style="126" customWidth="1"/>
    <col min="3586" max="3586" width="13.6640625" style="126" customWidth="1"/>
    <col min="3587" max="3587" width="33.44140625" style="126" customWidth="1"/>
    <col min="3588" max="3588" width="19.88671875" style="126" customWidth="1"/>
    <col min="3589" max="3589" width="10.6640625" style="126" customWidth="1"/>
    <col min="3590" max="3590" width="14.6640625" style="126" customWidth="1"/>
    <col min="3591" max="3591" width="10.6640625" style="126" customWidth="1"/>
    <col min="3592" max="3592" width="5.33203125" style="126" customWidth="1"/>
    <col min="3593" max="3593" width="11.44140625" style="126" customWidth="1"/>
    <col min="3594" max="3594" width="8.88671875" style="126"/>
    <col min="3595" max="3595" width="12.33203125" style="126" customWidth="1"/>
    <col min="3596" max="3598" width="8.88671875" style="126"/>
    <col min="3599" max="3599" width="5.33203125" style="126" customWidth="1"/>
    <col min="3600" max="3840" width="8.88671875" style="126"/>
    <col min="3841" max="3841" width="19.109375" style="126" customWidth="1"/>
    <col min="3842" max="3842" width="13.6640625" style="126" customWidth="1"/>
    <col min="3843" max="3843" width="33.44140625" style="126" customWidth="1"/>
    <col min="3844" max="3844" width="19.88671875" style="126" customWidth="1"/>
    <col min="3845" max="3845" width="10.6640625" style="126" customWidth="1"/>
    <col min="3846" max="3846" width="14.6640625" style="126" customWidth="1"/>
    <col min="3847" max="3847" width="10.6640625" style="126" customWidth="1"/>
    <col min="3848" max="3848" width="5.33203125" style="126" customWidth="1"/>
    <col min="3849" max="3849" width="11.44140625" style="126" customWidth="1"/>
    <col min="3850" max="3850" width="8.88671875" style="126"/>
    <col min="3851" max="3851" width="12.33203125" style="126" customWidth="1"/>
    <col min="3852" max="3854" width="8.88671875" style="126"/>
    <col min="3855" max="3855" width="5.33203125" style="126" customWidth="1"/>
    <col min="3856" max="4096" width="8.88671875" style="126"/>
    <col min="4097" max="4097" width="19.109375" style="126" customWidth="1"/>
    <col min="4098" max="4098" width="13.6640625" style="126" customWidth="1"/>
    <col min="4099" max="4099" width="33.44140625" style="126" customWidth="1"/>
    <col min="4100" max="4100" width="19.88671875" style="126" customWidth="1"/>
    <col min="4101" max="4101" width="10.6640625" style="126" customWidth="1"/>
    <col min="4102" max="4102" width="14.6640625" style="126" customWidth="1"/>
    <col min="4103" max="4103" width="10.6640625" style="126" customWidth="1"/>
    <col min="4104" max="4104" width="5.33203125" style="126" customWidth="1"/>
    <col min="4105" max="4105" width="11.44140625" style="126" customWidth="1"/>
    <col min="4106" max="4106" width="8.88671875" style="126"/>
    <col min="4107" max="4107" width="12.33203125" style="126" customWidth="1"/>
    <col min="4108" max="4110" width="8.88671875" style="126"/>
    <col min="4111" max="4111" width="5.33203125" style="126" customWidth="1"/>
    <col min="4112" max="4352" width="8.88671875" style="126"/>
    <col min="4353" max="4353" width="19.109375" style="126" customWidth="1"/>
    <col min="4354" max="4354" width="13.6640625" style="126" customWidth="1"/>
    <col min="4355" max="4355" width="33.44140625" style="126" customWidth="1"/>
    <col min="4356" max="4356" width="19.88671875" style="126" customWidth="1"/>
    <col min="4357" max="4357" width="10.6640625" style="126" customWidth="1"/>
    <col min="4358" max="4358" width="14.6640625" style="126" customWidth="1"/>
    <col min="4359" max="4359" width="10.6640625" style="126" customWidth="1"/>
    <col min="4360" max="4360" width="5.33203125" style="126" customWidth="1"/>
    <col min="4361" max="4361" width="11.44140625" style="126" customWidth="1"/>
    <col min="4362" max="4362" width="8.88671875" style="126"/>
    <col min="4363" max="4363" width="12.33203125" style="126" customWidth="1"/>
    <col min="4364" max="4366" width="8.88671875" style="126"/>
    <col min="4367" max="4367" width="5.33203125" style="126" customWidth="1"/>
    <col min="4368" max="4608" width="8.88671875" style="126"/>
    <col min="4609" max="4609" width="19.109375" style="126" customWidth="1"/>
    <col min="4610" max="4610" width="13.6640625" style="126" customWidth="1"/>
    <col min="4611" max="4611" width="33.44140625" style="126" customWidth="1"/>
    <col min="4612" max="4612" width="19.88671875" style="126" customWidth="1"/>
    <col min="4613" max="4613" width="10.6640625" style="126" customWidth="1"/>
    <col min="4614" max="4614" width="14.6640625" style="126" customWidth="1"/>
    <col min="4615" max="4615" width="10.6640625" style="126" customWidth="1"/>
    <col min="4616" max="4616" width="5.33203125" style="126" customWidth="1"/>
    <col min="4617" max="4617" width="11.44140625" style="126" customWidth="1"/>
    <col min="4618" max="4618" width="8.88671875" style="126"/>
    <col min="4619" max="4619" width="12.33203125" style="126" customWidth="1"/>
    <col min="4620" max="4622" width="8.88671875" style="126"/>
    <col min="4623" max="4623" width="5.33203125" style="126" customWidth="1"/>
    <col min="4624" max="4864" width="8.88671875" style="126"/>
    <col min="4865" max="4865" width="19.109375" style="126" customWidth="1"/>
    <col min="4866" max="4866" width="13.6640625" style="126" customWidth="1"/>
    <col min="4867" max="4867" width="33.44140625" style="126" customWidth="1"/>
    <col min="4868" max="4868" width="19.88671875" style="126" customWidth="1"/>
    <col min="4869" max="4869" width="10.6640625" style="126" customWidth="1"/>
    <col min="4870" max="4870" width="14.6640625" style="126" customWidth="1"/>
    <col min="4871" max="4871" width="10.6640625" style="126" customWidth="1"/>
    <col min="4872" max="4872" width="5.33203125" style="126" customWidth="1"/>
    <col min="4873" max="4873" width="11.44140625" style="126" customWidth="1"/>
    <col min="4874" max="4874" width="8.88671875" style="126"/>
    <col min="4875" max="4875" width="12.33203125" style="126" customWidth="1"/>
    <col min="4876" max="4878" width="8.88671875" style="126"/>
    <col min="4879" max="4879" width="5.33203125" style="126" customWidth="1"/>
    <col min="4880" max="5120" width="8.88671875" style="126"/>
    <col min="5121" max="5121" width="19.109375" style="126" customWidth="1"/>
    <col min="5122" max="5122" width="13.6640625" style="126" customWidth="1"/>
    <col min="5123" max="5123" width="33.44140625" style="126" customWidth="1"/>
    <col min="5124" max="5124" width="19.88671875" style="126" customWidth="1"/>
    <col min="5125" max="5125" width="10.6640625" style="126" customWidth="1"/>
    <col min="5126" max="5126" width="14.6640625" style="126" customWidth="1"/>
    <col min="5127" max="5127" width="10.6640625" style="126" customWidth="1"/>
    <col min="5128" max="5128" width="5.33203125" style="126" customWidth="1"/>
    <col min="5129" max="5129" width="11.44140625" style="126" customWidth="1"/>
    <col min="5130" max="5130" width="8.88671875" style="126"/>
    <col min="5131" max="5131" width="12.33203125" style="126" customWidth="1"/>
    <col min="5132" max="5134" width="8.88671875" style="126"/>
    <col min="5135" max="5135" width="5.33203125" style="126" customWidth="1"/>
    <col min="5136" max="5376" width="8.88671875" style="126"/>
    <col min="5377" max="5377" width="19.109375" style="126" customWidth="1"/>
    <col min="5378" max="5378" width="13.6640625" style="126" customWidth="1"/>
    <col min="5379" max="5379" width="33.44140625" style="126" customWidth="1"/>
    <col min="5380" max="5380" width="19.88671875" style="126" customWidth="1"/>
    <col min="5381" max="5381" width="10.6640625" style="126" customWidth="1"/>
    <col min="5382" max="5382" width="14.6640625" style="126" customWidth="1"/>
    <col min="5383" max="5383" width="10.6640625" style="126" customWidth="1"/>
    <col min="5384" max="5384" width="5.33203125" style="126" customWidth="1"/>
    <col min="5385" max="5385" width="11.44140625" style="126" customWidth="1"/>
    <col min="5386" max="5386" width="8.88671875" style="126"/>
    <col min="5387" max="5387" width="12.33203125" style="126" customWidth="1"/>
    <col min="5388" max="5390" width="8.88671875" style="126"/>
    <col min="5391" max="5391" width="5.33203125" style="126" customWidth="1"/>
    <col min="5392" max="5632" width="8.88671875" style="126"/>
    <col min="5633" max="5633" width="19.109375" style="126" customWidth="1"/>
    <col min="5634" max="5634" width="13.6640625" style="126" customWidth="1"/>
    <col min="5635" max="5635" width="33.44140625" style="126" customWidth="1"/>
    <col min="5636" max="5636" width="19.88671875" style="126" customWidth="1"/>
    <col min="5637" max="5637" width="10.6640625" style="126" customWidth="1"/>
    <col min="5638" max="5638" width="14.6640625" style="126" customWidth="1"/>
    <col min="5639" max="5639" width="10.6640625" style="126" customWidth="1"/>
    <col min="5640" max="5640" width="5.33203125" style="126" customWidth="1"/>
    <col min="5641" max="5641" width="11.44140625" style="126" customWidth="1"/>
    <col min="5642" max="5642" width="8.88671875" style="126"/>
    <col min="5643" max="5643" width="12.33203125" style="126" customWidth="1"/>
    <col min="5644" max="5646" width="8.88671875" style="126"/>
    <col min="5647" max="5647" width="5.33203125" style="126" customWidth="1"/>
    <col min="5648" max="5888" width="8.88671875" style="126"/>
    <col min="5889" max="5889" width="19.109375" style="126" customWidth="1"/>
    <col min="5890" max="5890" width="13.6640625" style="126" customWidth="1"/>
    <col min="5891" max="5891" width="33.44140625" style="126" customWidth="1"/>
    <col min="5892" max="5892" width="19.88671875" style="126" customWidth="1"/>
    <col min="5893" max="5893" width="10.6640625" style="126" customWidth="1"/>
    <col min="5894" max="5894" width="14.6640625" style="126" customWidth="1"/>
    <col min="5895" max="5895" width="10.6640625" style="126" customWidth="1"/>
    <col min="5896" max="5896" width="5.33203125" style="126" customWidth="1"/>
    <col min="5897" max="5897" width="11.44140625" style="126" customWidth="1"/>
    <col min="5898" max="5898" width="8.88671875" style="126"/>
    <col min="5899" max="5899" width="12.33203125" style="126" customWidth="1"/>
    <col min="5900" max="5902" width="8.88671875" style="126"/>
    <col min="5903" max="5903" width="5.33203125" style="126" customWidth="1"/>
    <col min="5904" max="6144" width="8.88671875" style="126"/>
    <col min="6145" max="6145" width="19.109375" style="126" customWidth="1"/>
    <col min="6146" max="6146" width="13.6640625" style="126" customWidth="1"/>
    <col min="6147" max="6147" width="33.44140625" style="126" customWidth="1"/>
    <col min="6148" max="6148" width="19.88671875" style="126" customWidth="1"/>
    <col min="6149" max="6149" width="10.6640625" style="126" customWidth="1"/>
    <col min="6150" max="6150" width="14.6640625" style="126" customWidth="1"/>
    <col min="6151" max="6151" width="10.6640625" style="126" customWidth="1"/>
    <col min="6152" max="6152" width="5.33203125" style="126" customWidth="1"/>
    <col min="6153" max="6153" width="11.44140625" style="126" customWidth="1"/>
    <col min="6154" max="6154" width="8.88671875" style="126"/>
    <col min="6155" max="6155" width="12.33203125" style="126" customWidth="1"/>
    <col min="6156" max="6158" width="8.88671875" style="126"/>
    <col min="6159" max="6159" width="5.33203125" style="126" customWidth="1"/>
    <col min="6160" max="6400" width="8.88671875" style="126"/>
    <col min="6401" max="6401" width="19.109375" style="126" customWidth="1"/>
    <col min="6402" max="6402" width="13.6640625" style="126" customWidth="1"/>
    <col min="6403" max="6403" width="33.44140625" style="126" customWidth="1"/>
    <col min="6404" max="6404" width="19.88671875" style="126" customWidth="1"/>
    <col min="6405" max="6405" width="10.6640625" style="126" customWidth="1"/>
    <col min="6406" max="6406" width="14.6640625" style="126" customWidth="1"/>
    <col min="6407" max="6407" width="10.6640625" style="126" customWidth="1"/>
    <col min="6408" max="6408" width="5.33203125" style="126" customWidth="1"/>
    <col min="6409" max="6409" width="11.44140625" style="126" customWidth="1"/>
    <col min="6410" max="6410" width="8.88671875" style="126"/>
    <col min="6411" max="6411" width="12.33203125" style="126" customWidth="1"/>
    <col min="6412" max="6414" width="8.88671875" style="126"/>
    <col min="6415" max="6415" width="5.33203125" style="126" customWidth="1"/>
    <col min="6416" max="6656" width="8.88671875" style="126"/>
    <col min="6657" max="6657" width="19.109375" style="126" customWidth="1"/>
    <col min="6658" max="6658" width="13.6640625" style="126" customWidth="1"/>
    <col min="6659" max="6659" width="33.44140625" style="126" customWidth="1"/>
    <col min="6660" max="6660" width="19.88671875" style="126" customWidth="1"/>
    <col min="6661" max="6661" width="10.6640625" style="126" customWidth="1"/>
    <col min="6662" max="6662" width="14.6640625" style="126" customWidth="1"/>
    <col min="6663" max="6663" width="10.6640625" style="126" customWidth="1"/>
    <col min="6664" max="6664" width="5.33203125" style="126" customWidth="1"/>
    <col min="6665" max="6665" width="11.44140625" style="126" customWidth="1"/>
    <col min="6666" max="6666" width="8.88671875" style="126"/>
    <col min="6667" max="6667" width="12.33203125" style="126" customWidth="1"/>
    <col min="6668" max="6670" width="8.88671875" style="126"/>
    <col min="6671" max="6671" width="5.33203125" style="126" customWidth="1"/>
    <col min="6672" max="6912" width="8.88671875" style="126"/>
    <col min="6913" max="6913" width="19.109375" style="126" customWidth="1"/>
    <col min="6914" max="6914" width="13.6640625" style="126" customWidth="1"/>
    <col min="6915" max="6915" width="33.44140625" style="126" customWidth="1"/>
    <col min="6916" max="6916" width="19.88671875" style="126" customWidth="1"/>
    <col min="6917" max="6917" width="10.6640625" style="126" customWidth="1"/>
    <col min="6918" max="6918" width="14.6640625" style="126" customWidth="1"/>
    <col min="6919" max="6919" width="10.6640625" style="126" customWidth="1"/>
    <col min="6920" max="6920" width="5.33203125" style="126" customWidth="1"/>
    <col min="6921" max="6921" width="11.44140625" style="126" customWidth="1"/>
    <col min="6922" max="6922" width="8.88671875" style="126"/>
    <col min="6923" max="6923" width="12.33203125" style="126" customWidth="1"/>
    <col min="6924" max="6926" width="8.88671875" style="126"/>
    <col min="6927" max="6927" width="5.33203125" style="126" customWidth="1"/>
    <col min="6928" max="7168" width="8.88671875" style="126"/>
    <col min="7169" max="7169" width="19.109375" style="126" customWidth="1"/>
    <col min="7170" max="7170" width="13.6640625" style="126" customWidth="1"/>
    <col min="7171" max="7171" width="33.44140625" style="126" customWidth="1"/>
    <col min="7172" max="7172" width="19.88671875" style="126" customWidth="1"/>
    <col min="7173" max="7173" width="10.6640625" style="126" customWidth="1"/>
    <col min="7174" max="7174" width="14.6640625" style="126" customWidth="1"/>
    <col min="7175" max="7175" width="10.6640625" style="126" customWidth="1"/>
    <col min="7176" max="7176" width="5.33203125" style="126" customWidth="1"/>
    <col min="7177" max="7177" width="11.44140625" style="126" customWidth="1"/>
    <col min="7178" max="7178" width="8.88671875" style="126"/>
    <col min="7179" max="7179" width="12.33203125" style="126" customWidth="1"/>
    <col min="7180" max="7182" width="8.88671875" style="126"/>
    <col min="7183" max="7183" width="5.33203125" style="126" customWidth="1"/>
    <col min="7184" max="7424" width="8.88671875" style="126"/>
    <col min="7425" max="7425" width="19.109375" style="126" customWidth="1"/>
    <col min="7426" max="7426" width="13.6640625" style="126" customWidth="1"/>
    <col min="7427" max="7427" width="33.44140625" style="126" customWidth="1"/>
    <col min="7428" max="7428" width="19.88671875" style="126" customWidth="1"/>
    <col min="7429" max="7429" width="10.6640625" style="126" customWidth="1"/>
    <col min="7430" max="7430" width="14.6640625" style="126" customWidth="1"/>
    <col min="7431" max="7431" width="10.6640625" style="126" customWidth="1"/>
    <col min="7432" max="7432" width="5.33203125" style="126" customWidth="1"/>
    <col min="7433" max="7433" width="11.44140625" style="126" customWidth="1"/>
    <col min="7434" max="7434" width="8.88671875" style="126"/>
    <col min="7435" max="7435" width="12.33203125" style="126" customWidth="1"/>
    <col min="7436" max="7438" width="8.88671875" style="126"/>
    <col min="7439" max="7439" width="5.33203125" style="126" customWidth="1"/>
    <col min="7440" max="7680" width="8.88671875" style="126"/>
    <col min="7681" max="7681" width="19.109375" style="126" customWidth="1"/>
    <col min="7682" max="7682" width="13.6640625" style="126" customWidth="1"/>
    <col min="7683" max="7683" width="33.44140625" style="126" customWidth="1"/>
    <col min="7684" max="7684" width="19.88671875" style="126" customWidth="1"/>
    <col min="7685" max="7685" width="10.6640625" style="126" customWidth="1"/>
    <col min="7686" max="7686" width="14.6640625" style="126" customWidth="1"/>
    <col min="7687" max="7687" width="10.6640625" style="126" customWidth="1"/>
    <col min="7688" max="7688" width="5.33203125" style="126" customWidth="1"/>
    <col min="7689" max="7689" width="11.44140625" style="126" customWidth="1"/>
    <col min="7690" max="7690" width="8.88671875" style="126"/>
    <col min="7691" max="7691" width="12.33203125" style="126" customWidth="1"/>
    <col min="7692" max="7694" width="8.88671875" style="126"/>
    <col min="7695" max="7695" width="5.33203125" style="126" customWidth="1"/>
    <col min="7696" max="7936" width="8.88671875" style="126"/>
    <col min="7937" max="7937" width="19.109375" style="126" customWidth="1"/>
    <col min="7938" max="7938" width="13.6640625" style="126" customWidth="1"/>
    <col min="7939" max="7939" width="33.44140625" style="126" customWidth="1"/>
    <col min="7940" max="7940" width="19.88671875" style="126" customWidth="1"/>
    <col min="7941" max="7941" width="10.6640625" style="126" customWidth="1"/>
    <col min="7942" max="7942" width="14.6640625" style="126" customWidth="1"/>
    <col min="7943" max="7943" width="10.6640625" style="126" customWidth="1"/>
    <col min="7944" max="7944" width="5.33203125" style="126" customWidth="1"/>
    <col min="7945" max="7945" width="11.44140625" style="126" customWidth="1"/>
    <col min="7946" max="7946" width="8.88671875" style="126"/>
    <col min="7947" max="7947" width="12.33203125" style="126" customWidth="1"/>
    <col min="7948" max="7950" width="8.88671875" style="126"/>
    <col min="7951" max="7951" width="5.33203125" style="126" customWidth="1"/>
    <col min="7952" max="8192" width="8.88671875" style="126"/>
    <col min="8193" max="8193" width="19.109375" style="126" customWidth="1"/>
    <col min="8194" max="8194" width="13.6640625" style="126" customWidth="1"/>
    <col min="8195" max="8195" width="33.44140625" style="126" customWidth="1"/>
    <col min="8196" max="8196" width="19.88671875" style="126" customWidth="1"/>
    <col min="8197" max="8197" width="10.6640625" style="126" customWidth="1"/>
    <col min="8198" max="8198" width="14.6640625" style="126" customWidth="1"/>
    <col min="8199" max="8199" width="10.6640625" style="126" customWidth="1"/>
    <col min="8200" max="8200" width="5.33203125" style="126" customWidth="1"/>
    <col min="8201" max="8201" width="11.44140625" style="126" customWidth="1"/>
    <col min="8202" max="8202" width="8.88671875" style="126"/>
    <col min="8203" max="8203" width="12.33203125" style="126" customWidth="1"/>
    <col min="8204" max="8206" width="8.88671875" style="126"/>
    <col min="8207" max="8207" width="5.33203125" style="126" customWidth="1"/>
    <col min="8208" max="8448" width="8.88671875" style="126"/>
    <col min="8449" max="8449" width="19.109375" style="126" customWidth="1"/>
    <col min="8450" max="8450" width="13.6640625" style="126" customWidth="1"/>
    <col min="8451" max="8451" width="33.44140625" style="126" customWidth="1"/>
    <col min="8452" max="8452" width="19.88671875" style="126" customWidth="1"/>
    <col min="8453" max="8453" width="10.6640625" style="126" customWidth="1"/>
    <col min="8454" max="8454" width="14.6640625" style="126" customWidth="1"/>
    <col min="8455" max="8455" width="10.6640625" style="126" customWidth="1"/>
    <col min="8456" max="8456" width="5.33203125" style="126" customWidth="1"/>
    <col min="8457" max="8457" width="11.44140625" style="126" customWidth="1"/>
    <col min="8458" max="8458" width="8.88671875" style="126"/>
    <col min="8459" max="8459" width="12.33203125" style="126" customWidth="1"/>
    <col min="8460" max="8462" width="8.88671875" style="126"/>
    <col min="8463" max="8463" width="5.33203125" style="126" customWidth="1"/>
    <col min="8464" max="8704" width="8.88671875" style="126"/>
    <col min="8705" max="8705" width="19.109375" style="126" customWidth="1"/>
    <col min="8706" max="8706" width="13.6640625" style="126" customWidth="1"/>
    <col min="8707" max="8707" width="33.44140625" style="126" customWidth="1"/>
    <col min="8708" max="8708" width="19.88671875" style="126" customWidth="1"/>
    <col min="8709" max="8709" width="10.6640625" style="126" customWidth="1"/>
    <col min="8710" max="8710" width="14.6640625" style="126" customWidth="1"/>
    <col min="8711" max="8711" width="10.6640625" style="126" customWidth="1"/>
    <col min="8712" max="8712" width="5.33203125" style="126" customWidth="1"/>
    <col min="8713" max="8713" width="11.44140625" style="126" customWidth="1"/>
    <col min="8714" max="8714" width="8.88671875" style="126"/>
    <col min="8715" max="8715" width="12.33203125" style="126" customWidth="1"/>
    <col min="8716" max="8718" width="8.88671875" style="126"/>
    <col min="8719" max="8719" width="5.33203125" style="126" customWidth="1"/>
    <col min="8720" max="8960" width="8.88671875" style="126"/>
    <col min="8961" max="8961" width="19.109375" style="126" customWidth="1"/>
    <col min="8962" max="8962" width="13.6640625" style="126" customWidth="1"/>
    <col min="8963" max="8963" width="33.44140625" style="126" customWidth="1"/>
    <col min="8964" max="8964" width="19.88671875" style="126" customWidth="1"/>
    <col min="8965" max="8965" width="10.6640625" style="126" customWidth="1"/>
    <col min="8966" max="8966" width="14.6640625" style="126" customWidth="1"/>
    <col min="8967" max="8967" width="10.6640625" style="126" customWidth="1"/>
    <col min="8968" max="8968" width="5.33203125" style="126" customWidth="1"/>
    <col min="8969" max="8969" width="11.44140625" style="126" customWidth="1"/>
    <col min="8970" max="8970" width="8.88671875" style="126"/>
    <col min="8971" max="8971" width="12.33203125" style="126" customWidth="1"/>
    <col min="8972" max="8974" width="8.88671875" style="126"/>
    <col min="8975" max="8975" width="5.33203125" style="126" customWidth="1"/>
    <col min="8976" max="9216" width="8.88671875" style="126"/>
    <col min="9217" max="9217" width="19.109375" style="126" customWidth="1"/>
    <col min="9218" max="9218" width="13.6640625" style="126" customWidth="1"/>
    <col min="9219" max="9219" width="33.44140625" style="126" customWidth="1"/>
    <col min="9220" max="9220" width="19.88671875" style="126" customWidth="1"/>
    <col min="9221" max="9221" width="10.6640625" style="126" customWidth="1"/>
    <col min="9222" max="9222" width="14.6640625" style="126" customWidth="1"/>
    <col min="9223" max="9223" width="10.6640625" style="126" customWidth="1"/>
    <col min="9224" max="9224" width="5.33203125" style="126" customWidth="1"/>
    <col min="9225" max="9225" width="11.44140625" style="126" customWidth="1"/>
    <col min="9226" max="9226" width="8.88671875" style="126"/>
    <col min="9227" max="9227" width="12.33203125" style="126" customWidth="1"/>
    <col min="9228" max="9230" width="8.88671875" style="126"/>
    <col min="9231" max="9231" width="5.33203125" style="126" customWidth="1"/>
    <col min="9232" max="9472" width="8.88671875" style="126"/>
    <col min="9473" max="9473" width="19.109375" style="126" customWidth="1"/>
    <col min="9474" max="9474" width="13.6640625" style="126" customWidth="1"/>
    <col min="9475" max="9475" width="33.44140625" style="126" customWidth="1"/>
    <col min="9476" max="9476" width="19.88671875" style="126" customWidth="1"/>
    <col min="9477" max="9477" width="10.6640625" style="126" customWidth="1"/>
    <col min="9478" max="9478" width="14.6640625" style="126" customWidth="1"/>
    <col min="9479" max="9479" width="10.6640625" style="126" customWidth="1"/>
    <col min="9480" max="9480" width="5.33203125" style="126" customWidth="1"/>
    <col min="9481" max="9481" width="11.44140625" style="126" customWidth="1"/>
    <col min="9482" max="9482" width="8.88671875" style="126"/>
    <col min="9483" max="9483" width="12.33203125" style="126" customWidth="1"/>
    <col min="9484" max="9486" width="8.88671875" style="126"/>
    <col min="9487" max="9487" width="5.33203125" style="126" customWidth="1"/>
    <col min="9488" max="9728" width="8.88671875" style="126"/>
    <col min="9729" max="9729" width="19.109375" style="126" customWidth="1"/>
    <col min="9730" max="9730" width="13.6640625" style="126" customWidth="1"/>
    <col min="9731" max="9731" width="33.44140625" style="126" customWidth="1"/>
    <col min="9732" max="9732" width="19.88671875" style="126" customWidth="1"/>
    <col min="9733" max="9733" width="10.6640625" style="126" customWidth="1"/>
    <col min="9734" max="9734" width="14.6640625" style="126" customWidth="1"/>
    <col min="9735" max="9735" width="10.6640625" style="126" customWidth="1"/>
    <col min="9736" max="9736" width="5.33203125" style="126" customWidth="1"/>
    <col min="9737" max="9737" width="11.44140625" style="126" customWidth="1"/>
    <col min="9738" max="9738" width="8.88671875" style="126"/>
    <col min="9739" max="9739" width="12.33203125" style="126" customWidth="1"/>
    <col min="9740" max="9742" width="8.88671875" style="126"/>
    <col min="9743" max="9743" width="5.33203125" style="126" customWidth="1"/>
    <col min="9744" max="9984" width="8.88671875" style="126"/>
    <col min="9985" max="9985" width="19.109375" style="126" customWidth="1"/>
    <col min="9986" max="9986" width="13.6640625" style="126" customWidth="1"/>
    <col min="9987" max="9987" width="33.44140625" style="126" customWidth="1"/>
    <col min="9988" max="9988" width="19.88671875" style="126" customWidth="1"/>
    <col min="9989" max="9989" width="10.6640625" style="126" customWidth="1"/>
    <col min="9990" max="9990" width="14.6640625" style="126" customWidth="1"/>
    <col min="9991" max="9991" width="10.6640625" style="126" customWidth="1"/>
    <col min="9992" max="9992" width="5.33203125" style="126" customWidth="1"/>
    <col min="9993" max="9993" width="11.44140625" style="126" customWidth="1"/>
    <col min="9994" max="9994" width="8.88671875" style="126"/>
    <col min="9995" max="9995" width="12.33203125" style="126" customWidth="1"/>
    <col min="9996" max="9998" width="8.88671875" style="126"/>
    <col min="9999" max="9999" width="5.33203125" style="126" customWidth="1"/>
    <col min="10000" max="10240" width="8.88671875" style="126"/>
    <col min="10241" max="10241" width="19.109375" style="126" customWidth="1"/>
    <col min="10242" max="10242" width="13.6640625" style="126" customWidth="1"/>
    <col min="10243" max="10243" width="33.44140625" style="126" customWidth="1"/>
    <col min="10244" max="10244" width="19.88671875" style="126" customWidth="1"/>
    <col min="10245" max="10245" width="10.6640625" style="126" customWidth="1"/>
    <col min="10246" max="10246" width="14.6640625" style="126" customWidth="1"/>
    <col min="10247" max="10247" width="10.6640625" style="126" customWidth="1"/>
    <col min="10248" max="10248" width="5.33203125" style="126" customWidth="1"/>
    <col min="10249" max="10249" width="11.44140625" style="126" customWidth="1"/>
    <col min="10250" max="10250" width="8.88671875" style="126"/>
    <col min="10251" max="10251" width="12.33203125" style="126" customWidth="1"/>
    <col min="10252" max="10254" width="8.88671875" style="126"/>
    <col min="10255" max="10255" width="5.33203125" style="126" customWidth="1"/>
    <col min="10256" max="10496" width="8.88671875" style="126"/>
    <col min="10497" max="10497" width="19.109375" style="126" customWidth="1"/>
    <col min="10498" max="10498" width="13.6640625" style="126" customWidth="1"/>
    <col min="10499" max="10499" width="33.44140625" style="126" customWidth="1"/>
    <col min="10500" max="10500" width="19.88671875" style="126" customWidth="1"/>
    <col min="10501" max="10501" width="10.6640625" style="126" customWidth="1"/>
    <col min="10502" max="10502" width="14.6640625" style="126" customWidth="1"/>
    <col min="10503" max="10503" width="10.6640625" style="126" customWidth="1"/>
    <col min="10504" max="10504" width="5.33203125" style="126" customWidth="1"/>
    <col min="10505" max="10505" width="11.44140625" style="126" customWidth="1"/>
    <col min="10506" max="10506" width="8.88671875" style="126"/>
    <col min="10507" max="10507" width="12.33203125" style="126" customWidth="1"/>
    <col min="10508" max="10510" width="8.88671875" style="126"/>
    <col min="10511" max="10511" width="5.33203125" style="126" customWidth="1"/>
    <col min="10512" max="10752" width="8.88671875" style="126"/>
    <col min="10753" max="10753" width="19.109375" style="126" customWidth="1"/>
    <col min="10754" max="10754" width="13.6640625" style="126" customWidth="1"/>
    <col min="10755" max="10755" width="33.44140625" style="126" customWidth="1"/>
    <col min="10756" max="10756" width="19.88671875" style="126" customWidth="1"/>
    <col min="10757" max="10757" width="10.6640625" style="126" customWidth="1"/>
    <col min="10758" max="10758" width="14.6640625" style="126" customWidth="1"/>
    <col min="10759" max="10759" width="10.6640625" style="126" customWidth="1"/>
    <col min="10760" max="10760" width="5.33203125" style="126" customWidth="1"/>
    <col min="10761" max="10761" width="11.44140625" style="126" customWidth="1"/>
    <col min="10762" max="10762" width="8.88671875" style="126"/>
    <col min="10763" max="10763" width="12.33203125" style="126" customWidth="1"/>
    <col min="10764" max="10766" width="8.88671875" style="126"/>
    <col min="10767" max="10767" width="5.33203125" style="126" customWidth="1"/>
    <col min="10768" max="11008" width="8.88671875" style="126"/>
    <col min="11009" max="11009" width="19.109375" style="126" customWidth="1"/>
    <col min="11010" max="11010" width="13.6640625" style="126" customWidth="1"/>
    <col min="11011" max="11011" width="33.44140625" style="126" customWidth="1"/>
    <col min="11012" max="11012" width="19.88671875" style="126" customWidth="1"/>
    <col min="11013" max="11013" width="10.6640625" style="126" customWidth="1"/>
    <col min="11014" max="11014" width="14.6640625" style="126" customWidth="1"/>
    <col min="11015" max="11015" width="10.6640625" style="126" customWidth="1"/>
    <col min="11016" max="11016" width="5.33203125" style="126" customWidth="1"/>
    <col min="11017" max="11017" width="11.44140625" style="126" customWidth="1"/>
    <col min="11018" max="11018" width="8.88671875" style="126"/>
    <col min="11019" max="11019" width="12.33203125" style="126" customWidth="1"/>
    <col min="11020" max="11022" width="8.88671875" style="126"/>
    <col min="11023" max="11023" width="5.33203125" style="126" customWidth="1"/>
    <col min="11024" max="11264" width="8.88671875" style="126"/>
    <col min="11265" max="11265" width="19.109375" style="126" customWidth="1"/>
    <col min="11266" max="11266" width="13.6640625" style="126" customWidth="1"/>
    <col min="11267" max="11267" width="33.44140625" style="126" customWidth="1"/>
    <col min="11268" max="11268" width="19.88671875" style="126" customWidth="1"/>
    <col min="11269" max="11269" width="10.6640625" style="126" customWidth="1"/>
    <col min="11270" max="11270" width="14.6640625" style="126" customWidth="1"/>
    <col min="11271" max="11271" width="10.6640625" style="126" customWidth="1"/>
    <col min="11272" max="11272" width="5.33203125" style="126" customWidth="1"/>
    <col min="11273" max="11273" width="11.44140625" style="126" customWidth="1"/>
    <col min="11274" max="11274" width="8.88671875" style="126"/>
    <col min="11275" max="11275" width="12.33203125" style="126" customWidth="1"/>
    <col min="11276" max="11278" width="8.88671875" style="126"/>
    <col min="11279" max="11279" width="5.33203125" style="126" customWidth="1"/>
    <col min="11280" max="11520" width="8.88671875" style="126"/>
    <col min="11521" max="11521" width="19.109375" style="126" customWidth="1"/>
    <col min="11522" max="11522" width="13.6640625" style="126" customWidth="1"/>
    <col min="11523" max="11523" width="33.44140625" style="126" customWidth="1"/>
    <col min="11524" max="11524" width="19.88671875" style="126" customWidth="1"/>
    <col min="11525" max="11525" width="10.6640625" style="126" customWidth="1"/>
    <col min="11526" max="11526" width="14.6640625" style="126" customWidth="1"/>
    <col min="11527" max="11527" width="10.6640625" style="126" customWidth="1"/>
    <col min="11528" max="11528" width="5.33203125" style="126" customWidth="1"/>
    <col min="11529" max="11529" width="11.44140625" style="126" customWidth="1"/>
    <col min="11530" max="11530" width="8.88671875" style="126"/>
    <col min="11531" max="11531" width="12.33203125" style="126" customWidth="1"/>
    <col min="11532" max="11534" width="8.88671875" style="126"/>
    <col min="11535" max="11535" width="5.33203125" style="126" customWidth="1"/>
    <col min="11536" max="11776" width="8.88671875" style="126"/>
    <col min="11777" max="11777" width="19.109375" style="126" customWidth="1"/>
    <col min="11778" max="11778" width="13.6640625" style="126" customWidth="1"/>
    <col min="11779" max="11779" width="33.44140625" style="126" customWidth="1"/>
    <col min="11780" max="11780" width="19.88671875" style="126" customWidth="1"/>
    <col min="11781" max="11781" width="10.6640625" style="126" customWidth="1"/>
    <col min="11782" max="11782" width="14.6640625" style="126" customWidth="1"/>
    <col min="11783" max="11783" width="10.6640625" style="126" customWidth="1"/>
    <col min="11784" max="11784" width="5.33203125" style="126" customWidth="1"/>
    <col min="11785" max="11785" width="11.44140625" style="126" customWidth="1"/>
    <col min="11786" max="11786" width="8.88671875" style="126"/>
    <col min="11787" max="11787" width="12.33203125" style="126" customWidth="1"/>
    <col min="11788" max="11790" width="8.88671875" style="126"/>
    <col min="11791" max="11791" width="5.33203125" style="126" customWidth="1"/>
    <col min="11792" max="12032" width="8.88671875" style="126"/>
    <col min="12033" max="12033" width="19.109375" style="126" customWidth="1"/>
    <col min="12034" max="12034" width="13.6640625" style="126" customWidth="1"/>
    <col min="12035" max="12035" width="33.44140625" style="126" customWidth="1"/>
    <col min="12036" max="12036" width="19.88671875" style="126" customWidth="1"/>
    <col min="12037" max="12037" width="10.6640625" style="126" customWidth="1"/>
    <col min="12038" max="12038" width="14.6640625" style="126" customWidth="1"/>
    <col min="12039" max="12039" width="10.6640625" style="126" customWidth="1"/>
    <col min="12040" max="12040" width="5.33203125" style="126" customWidth="1"/>
    <col min="12041" max="12041" width="11.44140625" style="126" customWidth="1"/>
    <col min="12042" max="12042" width="8.88671875" style="126"/>
    <col min="12043" max="12043" width="12.33203125" style="126" customWidth="1"/>
    <col min="12044" max="12046" width="8.88671875" style="126"/>
    <col min="12047" max="12047" width="5.33203125" style="126" customWidth="1"/>
    <col min="12048" max="12288" width="8.88671875" style="126"/>
    <col min="12289" max="12289" width="19.109375" style="126" customWidth="1"/>
    <col min="12290" max="12290" width="13.6640625" style="126" customWidth="1"/>
    <col min="12291" max="12291" width="33.44140625" style="126" customWidth="1"/>
    <col min="12292" max="12292" width="19.88671875" style="126" customWidth="1"/>
    <col min="12293" max="12293" width="10.6640625" style="126" customWidth="1"/>
    <col min="12294" max="12294" width="14.6640625" style="126" customWidth="1"/>
    <col min="12295" max="12295" width="10.6640625" style="126" customWidth="1"/>
    <col min="12296" max="12296" width="5.33203125" style="126" customWidth="1"/>
    <col min="12297" max="12297" width="11.44140625" style="126" customWidth="1"/>
    <col min="12298" max="12298" width="8.88671875" style="126"/>
    <col min="12299" max="12299" width="12.33203125" style="126" customWidth="1"/>
    <col min="12300" max="12302" width="8.88671875" style="126"/>
    <col min="12303" max="12303" width="5.33203125" style="126" customWidth="1"/>
    <col min="12304" max="12544" width="8.88671875" style="126"/>
    <col min="12545" max="12545" width="19.109375" style="126" customWidth="1"/>
    <col min="12546" max="12546" width="13.6640625" style="126" customWidth="1"/>
    <col min="12547" max="12547" width="33.44140625" style="126" customWidth="1"/>
    <col min="12548" max="12548" width="19.88671875" style="126" customWidth="1"/>
    <col min="12549" max="12549" width="10.6640625" style="126" customWidth="1"/>
    <col min="12550" max="12550" width="14.6640625" style="126" customWidth="1"/>
    <col min="12551" max="12551" width="10.6640625" style="126" customWidth="1"/>
    <col min="12552" max="12552" width="5.33203125" style="126" customWidth="1"/>
    <col min="12553" max="12553" width="11.44140625" style="126" customWidth="1"/>
    <col min="12554" max="12554" width="8.88671875" style="126"/>
    <col min="12555" max="12555" width="12.33203125" style="126" customWidth="1"/>
    <col min="12556" max="12558" width="8.88671875" style="126"/>
    <col min="12559" max="12559" width="5.33203125" style="126" customWidth="1"/>
    <col min="12560" max="12800" width="8.88671875" style="126"/>
    <col min="12801" max="12801" width="19.109375" style="126" customWidth="1"/>
    <col min="12802" max="12802" width="13.6640625" style="126" customWidth="1"/>
    <col min="12803" max="12803" width="33.44140625" style="126" customWidth="1"/>
    <col min="12804" max="12804" width="19.88671875" style="126" customWidth="1"/>
    <col min="12805" max="12805" width="10.6640625" style="126" customWidth="1"/>
    <col min="12806" max="12806" width="14.6640625" style="126" customWidth="1"/>
    <col min="12807" max="12807" width="10.6640625" style="126" customWidth="1"/>
    <col min="12808" max="12808" width="5.33203125" style="126" customWidth="1"/>
    <col min="12809" max="12809" width="11.44140625" style="126" customWidth="1"/>
    <col min="12810" max="12810" width="8.88671875" style="126"/>
    <col min="12811" max="12811" width="12.33203125" style="126" customWidth="1"/>
    <col min="12812" max="12814" width="8.88671875" style="126"/>
    <col min="12815" max="12815" width="5.33203125" style="126" customWidth="1"/>
    <col min="12816" max="13056" width="8.88671875" style="126"/>
    <col min="13057" max="13057" width="19.109375" style="126" customWidth="1"/>
    <col min="13058" max="13058" width="13.6640625" style="126" customWidth="1"/>
    <col min="13059" max="13059" width="33.44140625" style="126" customWidth="1"/>
    <col min="13060" max="13060" width="19.88671875" style="126" customWidth="1"/>
    <col min="13061" max="13061" width="10.6640625" style="126" customWidth="1"/>
    <col min="13062" max="13062" width="14.6640625" style="126" customWidth="1"/>
    <col min="13063" max="13063" width="10.6640625" style="126" customWidth="1"/>
    <col min="13064" max="13064" width="5.33203125" style="126" customWidth="1"/>
    <col min="13065" max="13065" width="11.44140625" style="126" customWidth="1"/>
    <col min="13066" max="13066" width="8.88671875" style="126"/>
    <col min="13067" max="13067" width="12.33203125" style="126" customWidth="1"/>
    <col min="13068" max="13070" width="8.88671875" style="126"/>
    <col min="13071" max="13071" width="5.33203125" style="126" customWidth="1"/>
    <col min="13072" max="13312" width="8.88671875" style="126"/>
    <col min="13313" max="13313" width="19.109375" style="126" customWidth="1"/>
    <col min="13314" max="13314" width="13.6640625" style="126" customWidth="1"/>
    <col min="13315" max="13315" width="33.44140625" style="126" customWidth="1"/>
    <col min="13316" max="13316" width="19.88671875" style="126" customWidth="1"/>
    <col min="13317" max="13317" width="10.6640625" style="126" customWidth="1"/>
    <col min="13318" max="13318" width="14.6640625" style="126" customWidth="1"/>
    <col min="13319" max="13319" width="10.6640625" style="126" customWidth="1"/>
    <col min="13320" max="13320" width="5.33203125" style="126" customWidth="1"/>
    <col min="13321" max="13321" width="11.44140625" style="126" customWidth="1"/>
    <col min="13322" max="13322" width="8.88671875" style="126"/>
    <col min="13323" max="13323" width="12.33203125" style="126" customWidth="1"/>
    <col min="13324" max="13326" width="8.88671875" style="126"/>
    <col min="13327" max="13327" width="5.33203125" style="126" customWidth="1"/>
    <col min="13328" max="13568" width="8.88671875" style="126"/>
    <col min="13569" max="13569" width="19.109375" style="126" customWidth="1"/>
    <col min="13570" max="13570" width="13.6640625" style="126" customWidth="1"/>
    <col min="13571" max="13571" width="33.44140625" style="126" customWidth="1"/>
    <col min="13572" max="13572" width="19.88671875" style="126" customWidth="1"/>
    <col min="13573" max="13573" width="10.6640625" style="126" customWidth="1"/>
    <col min="13574" max="13574" width="14.6640625" style="126" customWidth="1"/>
    <col min="13575" max="13575" width="10.6640625" style="126" customWidth="1"/>
    <col min="13576" max="13576" width="5.33203125" style="126" customWidth="1"/>
    <col min="13577" max="13577" width="11.44140625" style="126" customWidth="1"/>
    <col min="13578" max="13578" width="8.88671875" style="126"/>
    <col min="13579" max="13579" width="12.33203125" style="126" customWidth="1"/>
    <col min="13580" max="13582" width="8.88671875" style="126"/>
    <col min="13583" max="13583" width="5.33203125" style="126" customWidth="1"/>
    <col min="13584" max="13824" width="8.88671875" style="126"/>
    <col min="13825" max="13825" width="19.109375" style="126" customWidth="1"/>
    <col min="13826" max="13826" width="13.6640625" style="126" customWidth="1"/>
    <col min="13827" max="13827" width="33.44140625" style="126" customWidth="1"/>
    <col min="13828" max="13828" width="19.88671875" style="126" customWidth="1"/>
    <col min="13829" max="13829" width="10.6640625" style="126" customWidth="1"/>
    <col min="13830" max="13830" width="14.6640625" style="126" customWidth="1"/>
    <col min="13831" max="13831" width="10.6640625" style="126" customWidth="1"/>
    <col min="13832" max="13832" width="5.33203125" style="126" customWidth="1"/>
    <col min="13833" max="13833" width="11.44140625" style="126" customWidth="1"/>
    <col min="13834" max="13834" width="8.88671875" style="126"/>
    <col min="13835" max="13835" width="12.33203125" style="126" customWidth="1"/>
    <col min="13836" max="13838" width="8.88671875" style="126"/>
    <col min="13839" max="13839" width="5.33203125" style="126" customWidth="1"/>
    <col min="13840" max="14080" width="8.88671875" style="126"/>
    <col min="14081" max="14081" width="19.109375" style="126" customWidth="1"/>
    <col min="14082" max="14082" width="13.6640625" style="126" customWidth="1"/>
    <col min="14083" max="14083" width="33.44140625" style="126" customWidth="1"/>
    <col min="14084" max="14084" width="19.88671875" style="126" customWidth="1"/>
    <col min="14085" max="14085" width="10.6640625" style="126" customWidth="1"/>
    <col min="14086" max="14086" width="14.6640625" style="126" customWidth="1"/>
    <col min="14087" max="14087" width="10.6640625" style="126" customWidth="1"/>
    <col min="14088" max="14088" width="5.33203125" style="126" customWidth="1"/>
    <col min="14089" max="14089" width="11.44140625" style="126" customWidth="1"/>
    <col min="14090" max="14090" width="8.88671875" style="126"/>
    <col min="14091" max="14091" width="12.33203125" style="126" customWidth="1"/>
    <col min="14092" max="14094" width="8.88671875" style="126"/>
    <col min="14095" max="14095" width="5.33203125" style="126" customWidth="1"/>
    <col min="14096" max="14336" width="8.88671875" style="126"/>
    <col min="14337" max="14337" width="19.109375" style="126" customWidth="1"/>
    <col min="14338" max="14338" width="13.6640625" style="126" customWidth="1"/>
    <col min="14339" max="14339" width="33.44140625" style="126" customWidth="1"/>
    <col min="14340" max="14340" width="19.88671875" style="126" customWidth="1"/>
    <col min="14341" max="14341" width="10.6640625" style="126" customWidth="1"/>
    <col min="14342" max="14342" width="14.6640625" style="126" customWidth="1"/>
    <col min="14343" max="14343" width="10.6640625" style="126" customWidth="1"/>
    <col min="14344" max="14344" width="5.33203125" style="126" customWidth="1"/>
    <col min="14345" max="14345" width="11.44140625" style="126" customWidth="1"/>
    <col min="14346" max="14346" width="8.88671875" style="126"/>
    <col min="14347" max="14347" width="12.33203125" style="126" customWidth="1"/>
    <col min="14348" max="14350" width="8.88671875" style="126"/>
    <col min="14351" max="14351" width="5.33203125" style="126" customWidth="1"/>
    <col min="14352" max="14592" width="8.88671875" style="126"/>
    <col min="14593" max="14593" width="19.109375" style="126" customWidth="1"/>
    <col min="14594" max="14594" width="13.6640625" style="126" customWidth="1"/>
    <col min="14595" max="14595" width="33.44140625" style="126" customWidth="1"/>
    <col min="14596" max="14596" width="19.88671875" style="126" customWidth="1"/>
    <col min="14597" max="14597" width="10.6640625" style="126" customWidth="1"/>
    <col min="14598" max="14598" width="14.6640625" style="126" customWidth="1"/>
    <col min="14599" max="14599" width="10.6640625" style="126" customWidth="1"/>
    <col min="14600" max="14600" width="5.33203125" style="126" customWidth="1"/>
    <col min="14601" max="14601" width="11.44140625" style="126" customWidth="1"/>
    <col min="14602" max="14602" width="8.88671875" style="126"/>
    <col min="14603" max="14603" width="12.33203125" style="126" customWidth="1"/>
    <col min="14604" max="14606" width="8.88671875" style="126"/>
    <col min="14607" max="14607" width="5.33203125" style="126" customWidth="1"/>
    <col min="14608" max="14848" width="8.88671875" style="126"/>
    <col min="14849" max="14849" width="19.109375" style="126" customWidth="1"/>
    <col min="14850" max="14850" width="13.6640625" style="126" customWidth="1"/>
    <col min="14851" max="14851" width="33.44140625" style="126" customWidth="1"/>
    <col min="14852" max="14852" width="19.88671875" style="126" customWidth="1"/>
    <col min="14853" max="14853" width="10.6640625" style="126" customWidth="1"/>
    <col min="14854" max="14854" width="14.6640625" style="126" customWidth="1"/>
    <col min="14855" max="14855" width="10.6640625" style="126" customWidth="1"/>
    <col min="14856" max="14856" width="5.33203125" style="126" customWidth="1"/>
    <col min="14857" max="14857" width="11.44140625" style="126" customWidth="1"/>
    <col min="14858" max="14858" width="8.88671875" style="126"/>
    <col min="14859" max="14859" width="12.33203125" style="126" customWidth="1"/>
    <col min="14860" max="14862" width="8.88671875" style="126"/>
    <col min="14863" max="14863" width="5.33203125" style="126" customWidth="1"/>
    <col min="14864" max="15104" width="8.88671875" style="126"/>
    <col min="15105" max="15105" width="19.109375" style="126" customWidth="1"/>
    <col min="15106" max="15106" width="13.6640625" style="126" customWidth="1"/>
    <col min="15107" max="15107" width="33.44140625" style="126" customWidth="1"/>
    <col min="15108" max="15108" width="19.88671875" style="126" customWidth="1"/>
    <col min="15109" max="15109" width="10.6640625" style="126" customWidth="1"/>
    <col min="15110" max="15110" width="14.6640625" style="126" customWidth="1"/>
    <col min="15111" max="15111" width="10.6640625" style="126" customWidth="1"/>
    <col min="15112" max="15112" width="5.33203125" style="126" customWidth="1"/>
    <col min="15113" max="15113" width="11.44140625" style="126" customWidth="1"/>
    <col min="15114" max="15114" width="8.88671875" style="126"/>
    <col min="15115" max="15115" width="12.33203125" style="126" customWidth="1"/>
    <col min="15116" max="15118" width="8.88671875" style="126"/>
    <col min="15119" max="15119" width="5.33203125" style="126" customWidth="1"/>
    <col min="15120" max="15360" width="8.88671875" style="126"/>
    <col min="15361" max="15361" width="19.109375" style="126" customWidth="1"/>
    <col min="15362" max="15362" width="13.6640625" style="126" customWidth="1"/>
    <col min="15363" max="15363" width="33.44140625" style="126" customWidth="1"/>
    <col min="15364" max="15364" width="19.88671875" style="126" customWidth="1"/>
    <col min="15365" max="15365" width="10.6640625" style="126" customWidth="1"/>
    <col min="15366" max="15366" width="14.6640625" style="126" customWidth="1"/>
    <col min="15367" max="15367" width="10.6640625" style="126" customWidth="1"/>
    <col min="15368" max="15368" width="5.33203125" style="126" customWidth="1"/>
    <col min="15369" max="15369" width="11.44140625" style="126" customWidth="1"/>
    <col min="15370" max="15370" width="8.88671875" style="126"/>
    <col min="15371" max="15371" width="12.33203125" style="126" customWidth="1"/>
    <col min="15372" max="15374" width="8.88671875" style="126"/>
    <col min="15375" max="15375" width="5.33203125" style="126" customWidth="1"/>
    <col min="15376" max="15616" width="8.88671875" style="126"/>
    <col min="15617" max="15617" width="19.109375" style="126" customWidth="1"/>
    <col min="15618" max="15618" width="13.6640625" style="126" customWidth="1"/>
    <col min="15619" max="15619" width="33.44140625" style="126" customWidth="1"/>
    <col min="15620" max="15620" width="19.88671875" style="126" customWidth="1"/>
    <col min="15621" max="15621" width="10.6640625" style="126" customWidth="1"/>
    <col min="15622" max="15622" width="14.6640625" style="126" customWidth="1"/>
    <col min="15623" max="15623" width="10.6640625" style="126" customWidth="1"/>
    <col min="15624" max="15624" width="5.33203125" style="126" customWidth="1"/>
    <col min="15625" max="15625" width="11.44140625" style="126" customWidth="1"/>
    <col min="15626" max="15626" width="8.88671875" style="126"/>
    <col min="15627" max="15627" width="12.33203125" style="126" customWidth="1"/>
    <col min="15628" max="15630" width="8.88671875" style="126"/>
    <col min="15631" max="15631" width="5.33203125" style="126" customWidth="1"/>
    <col min="15632" max="15872" width="8.88671875" style="126"/>
    <col min="15873" max="15873" width="19.109375" style="126" customWidth="1"/>
    <col min="15874" max="15874" width="13.6640625" style="126" customWidth="1"/>
    <col min="15875" max="15875" width="33.44140625" style="126" customWidth="1"/>
    <col min="15876" max="15876" width="19.88671875" style="126" customWidth="1"/>
    <col min="15877" max="15877" width="10.6640625" style="126" customWidth="1"/>
    <col min="15878" max="15878" width="14.6640625" style="126" customWidth="1"/>
    <col min="15879" max="15879" width="10.6640625" style="126" customWidth="1"/>
    <col min="15880" max="15880" width="5.33203125" style="126" customWidth="1"/>
    <col min="15881" max="15881" width="11.44140625" style="126" customWidth="1"/>
    <col min="15882" max="15882" width="8.88671875" style="126"/>
    <col min="15883" max="15883" width="12.33203125" style="126" customWidth="1"/>
    <col min="15884" max="15886" width="8.88671875" style="126"/>
    <col min="15887" max="15887" width="5.33203125" style="126" customWidth="1"/>
    <col min="15888" max="16128" width="8.88671875" style="126"/>
    <col min="16129" max="16129" width="19.109375" style="126" customWidth="1"/>
    <col min="16130" max="16130" width="13.6640625" style="126" customWidth="1"/>
    <col min="16131" max="16131" width="33.44140625" style="126" customWidth="1"/>
    <col min="16132" max="16132" width="19.88671875" style="126" customWidth="1"/>
    <col min="16133" max="16133" width="10.6640625" style="126" customWidth="1"/>
    <col min="16134" max="16134" width="14.6640625" style="126" customWidth="1"/>
    <col min="16135" max="16135" width="10.6640625" style="126" customWidth="1"/>
    <col min="16136" max="16136" width="5.33203125" style="126" customWidth="1"/>
    <col min="16137" max="16137" width="11.44140625" style="126" customWidth="1"/>
    <col min="16138" max="16138" width="8.88671875" style="126"/>
    <col min="16139" max="16139" width="12.33203125" style="126" customWidth="1"/>
    <col min="16140" max="16142" width="8.88671875" style="126"/>
    <col min="16143" max="16143" width="5.33203125" style="126" customWidth="1"/>
    <col min="16144" max="16384" width="8.88671875" style="126"/>
  </cols>
  <sheetData>
    <row r="1" spans="1:18" ht="18" thickBot="1">
      <c r="A1" s="369" t="s">
        <v>228</v>
      </c>
      <c r="B1" s="370"/>
      <c r="C1" s="370"/>
      <c r="D1" s="370"/>
      <c r="E1" s="370"/>
      <c r="F1" s="370"/>
      <c r="G1" s="371"/>
      <c r="I1" s="372" t="s">
        <v>229</v>
      </c>
      <c r="J1" s="373"/>
      <c r="K1" s="373"/>
      <c r="L1" s="373"/>
      <c r="M1" s="127" t="s">
        <v>230</v>
      </c>
      <c r="N1" s="127" t="s">
        <v>231</v>
      </c>
      <c r="O1" s="127"/>
      <c r="P1" s="128" t="s">
        <v>231</v>
      </c>
      <c r="Q1" s="129"/>
      <c r="R1" s="129"/>
    </row>
    <row r="2" spans="1:18" ht="17.399999999999999">
      <c r="A2" s="130" t="s">
        <v>33</v>
      </c>
      <c r="B2" s="131">
        <f>'joint reaction'!L18</f>
        <v>587.23493333333329</v>
      </c>
      <c r="C2" s="132" t="s">
        <v>34</v>
      </c>
      <c r="D2" s="130" t="s">
        <v>232</v>
      </c>
      <c r="E2" s="133">
        <f>(B3+B2)*1.1/B4</f>
        <v>9.3019935555555566</v>
      </c>
      <c r="F2" s="130" t="s">
        <v>233</v>
      </c>
      <c r="G2" s="134">
        <v>1</v>
      </c>
      <c r="I2" s="135" t="s">
        <v>35</v>
      </c>
      <c r="J2" s="136">
        <v>2.7</v>
      </c>
      <c r="K2" s="129" t="s">
        <v>234</v>
      </c>
      <c r="L2" s="137">
        <f>(J3/2-Q2-(B5*0.5))-J4</f>
        <v>1.0523834913428711</v>
      </c>
      <c r="M2" s="129" t="s">
        <v>235</v>
      </c>
      <c r="N2" s="129">
        <f>(B2+B3)/(J2*J3)+(B2+B3)*L2*6/(J2*J3^2)</f>
        <v>153.60471456039915</v>
      </c>
      <c r="O2" s="129" t="str">
        <f>IF((P2*1.25)&gt;N2,"OK","NO")</f>
        <v>NO</v>
      </c>
      <c r="P2" s="138">
        <v>100</v>
      </c>
      <c r="Q2" s="139">
        <v>0.6</v>
      </c>
      <c r="R2" s="129" t="s">
        <v>236</v>
      </c>
    </row>
    <row r="3" spans="1:18" ht="18" thickBot="1">
      <c r="A3" s="135" t="s">
        <v>36</v>
      </c>
      <c r="B3" s="140">
        <f>'joint reaction'!L24</f>
        <v>427.52800000000002</v>
      </c>
      <c r="C3" s="141" t="s">
        <v>34</v>
      </c>
      <c r="D3" s="135" t="s">
        <v>237</v>
      </c>
      <c r="E3" s="142">
        <v>2.13</v>
      </c>
      <c r="F3" s="135" t="s">
        <v>238</v>
      </c>
      <c r="G3" s="143">
        <v>1</v>
      </c>
      <c r="I3" s="144" t="s">
        <v>37</v>
      </c>
      <c r="J3" s="145">
        <v>5.34</v>
      </c>
      <c r="K3" s="146"/>
      <c r="L3" s="146"/>
      <c r="M3" s="146" t="s">
        <v>239</v>
      </c>
      <c r="N3" s="146">
        <f>(B2+B3)/(J2*J3)-(B2+B3)*L2*6/(J2*J3^2)</f>
        <v>-12.841372441751162</v>
      </c>
      <c r="O3" s="146" t="str">
        <f>IF((P3*1.25)&gt;N3,"OK","NO")</f>
        <v>OK</v>
      </c>
      <c r="P3" s="147">
        <v>100</v>
      </c>
      <c r="Q3" s="129"/>
      <c r="R3" s="129"/>
    </row>
    <row r="4" spans="1:18" ht="15">
      <c r="A4" s="135" t="s">
        <v>231</v>
      </c>
      <c r="B4" s="148">
        <v>120</v>
      </c>
      <c r="C4" s="141" t="s">
        <v>240</v>
      </c>
      <c r="D4" s="135" t="s">
        <v>241</v>
      </c>
      <c r="E4" s="149">
        <f>E2/E3</f>
        <v>4.3671331246739706</v>
      </c>
      <c r="F4" s="135" t="str">
        <f>CONCATENATE("CF FROM  ",A2)</f>
        <v>CF FROM  B1</v>
      </c>
      <c r="G4" s="150">
        <f>B3*B7/(B3+B2)</f>
        <v>0.84261650865712878</v>
      </c>
      <c r="H4" s="126">
        <f>G4*3.281</f>
        <v>2.7646247649040396</v>
      </c>
      <c r="I4" s="151" t="s">
        <v>242</v>
      </c>
      <c r="J4" s="152">
        <f>G4</f>
        <v>0.84261650865712878</v>
      </c>
      <c r="K4" s="153"/>
    </row>
    <row r="5" spans="1:18">
      <c r="A5" s="135" t="str">
        <f>CONCATENATE("Dimension of ", A3)</f>
        <v>Dimension of B2</v>
      </c>
      <c r="B5" s="148">
        <v>0.35</v>
      </c>
      <c r="C5" s="141" t="s">
        <v>32</v>
      </c>
      <c r="D5" s="135" t="s">
        <v>243</v>
      </c>
      <c r="E5" s="154">
        <v>20</v>
      </c>
      <c r="F5" s="135" t="s">
        <v>244</v>
      </c>
      <c r="G5" s="149">
        <f>G2+B5/2+B7+B6/2+G3</f>
        <v>4.3499999999999996</v>
      </c>
      <c r="H5" s="126">
        <f>H4-9</f>
        <v>-6.2353752350959599</v>
      </c>
      <c r="I5" s="126">
        <f>E4*3.281</f>
        <v>14.328563782055298</v>
      </c>
    </row>
    <row r="6" spans="1:18" ht="15">
      <c r="A6" s="135" t="str">
        <f>CONCATENATE("Dimension of ", A2)</f>
        <v>Dimension of B1</v>
      </c>
      <c r="B6" s="148">
        <v>0.35</v>
      </c>
      <c r="C6" s="141" t="s">
        <v>32</v>
      </c>
      <c r="D6" s="155" t="s">
        <v>245</v>
      </c>
      <c r="E6" s="156">
        <v>500</v>
      </c>
      <c r="F6" s="157" t="s">
        <v>246</v>
      </c>
      <c r="G6" s="158">
        <f>1.5*(B2+B3)/(E3*E4)</f>
        <v>163.6363636363636</v>
      </c>
      <c r="H6" s="126">
        <f>H5*12</f>
        <v>-74.824502821151526</v>
      </c>
      <c r="I6" s="126">
        <f>I5-21</f>
        <v>-6.6714362179447022</v>
      </c>
      <c r="O6" s="126">
        <f>G4*3.281</f>
        <v>2.7646247649040396</v>
      </c>
      <c r="Q6" s="159"/>
    </row>
    <row r="7" spans="1:18" ht="13.8" thickBot="1">
      <c r="A7" s="144" t="s">
        <v>247</v>
      </c>
      <c r="B7" s="160">
        <v>2</v>
      </c>
      <c r="C7" s="161" t="s">
        <v>32</v>
      </c>
      <c r="D7" s="162" t="s">
        <v>248</v>
      </c>
      <c r="E7" s="163">
        <f>(E3-B6)*0.5</f>
        <v>0.8899999999999999</v>
      </c>
      <c r="F7" s="164"/>
      <c r="G7" s="163" t="s">
        <v>249</v>
      </c>
      <c r="I7" s="126">
        <f>I6*12</f>
        <v>-80.057234615336426</v>
      </c>
      <c r="P7" s="126">
        <v>7.9977338173264112</v>
      </c>
    </row>
    <row r="8" spans="1:18" ht="18" thickBot="1">
      <c r="A8" s="374" t="s">
        <v>250</v>
      </c>
      <c r="B8" s="375"/>
      <c r="C8" s="375"/>
      <c r="D8" s="375"/>
      <c r="E8" s="375"/>
      <c r="F8" s="375"/>
      <c r="G8" s="376"/>
    </row>
    <row r="9" spans="1:18" ht="13.8" thickBot="1">
      <c r="A9" s="377" t="s">
        <v>251</v>
      </c>
      <c r="B9" s="378"/>
      <c r="C9" s="165" t="s">
        <v>252</v>
      </c>
      <c r="D9" s="166" t="s">
        <v>253</v>
      </c>
      <c r="E9" s="377" t="s">
        <v>254</v>
      </c>
      <c r="F9" s="379"/>
      <c r="G9" s="380"/>
      <c r="I9" s="126">
        <f>(I10-1)*12</f>
        <v>27.372</v>
      </c>
      <c r="J9" s="153">
        <f>B2</f>
        <v>587.23493333333329</v>
      </c>
      <c r="K9" s="126" t="str">
        <f>A2</f>
        <v>B1</v>
      </c>
      <c r="M9" s="167">
        <f>B3</f>
        <v>427.52800000000002</v>
      </c>
    </row>
    <row r="10" spans="1:18" ht="15.75" customHeight="1">
      <c r="A10" s="367" t="str">
        <f>CONCATENATE("SF AT ",A2," LEFT")</f>
        <v>SF AT B1 LEFT</v>
      </c>
      <c r="B10" s="368"/>
      <c r="C10" s="168">
        <f>-G6*E3*(G2+B5/2)</f>
        <v>-409.540909090909</v>
      </c>
      <c r="D10" s="169">
        <f>G6*E3*(G2+B5/2)^2/2</f>
        <v>240.60528409090907</v>
      </c>
      <c r="E10" s="170" t="s">
        <v>255</v>
      </c>
      <c r="F10" s="171"/>
      <c r="G10" s="172">
        <f>1.5*MAX(B2:B3)-G6*(B5+D16/1000)^2</f>
        <v>802.03923636363641</v>
      </c>
      <c r="I10" s="126">
        <f>I11*3.281</f>
        <v>3.2810000000000001</v>
      </c>
      <c r="N10" s="126">
        <f>N11*3.281</f>
        <v>3.2810000000000001</v>
      </c>
      <c r="O10" s="126" t="str">
        <f>A3</f>
        <v>B2</v>
      </c>
    </row>
    <row r="11" spans="1:18">
      <c r="A11" s="363" t="str">
        <f>CONCATENATE("SF AT ",A2," RIGHT")</f>
        <v>SF AT B1 RIGHT</v>
      </c>
      <c r="B11" s="364"/>
      <c r="C11" s="139">
        <f>B2*1.5+C10</f>
        <v>471.31149090909099</v>
      </c>
      <c r="D11" s="141"/>
      <c r="E11" s="365" t="s">
        <v>256</v>
      </c>
      <c r="F11" s="362"/>
      <c r="G11" s="173">
        <f>B5</f>
        <v>0.35</v>
      </c>
      <c r="I11" s="174">
        <f>G2</f>
        <v>1</v>
      </c>
      <c r="N11" s="175">
        <f>G3</f>
        <v>1</v>
      </c>
    </row>
    <row r="12" spans="1:18">
      <c r="A12" s="363" t="str">
        <f>CONCATENATE("SF AT ",A3," LEFT")</f>
        <v>SF AT B2 LEFT</v>
      </c>
      <c r="B12" s="364"/>
      <c r="C12" s="139">
        <f>-(B3*1.5-C13)</f>
        <v>-231.75109090909103</v>
      </c>
      <c r="D12" s="149">
        <f>G6*E3*(G3+B6/2)^2/2</f>
        <v>240.60528409090907</v>
      </c>
      <c r="E12" s="365" t="s">
        <v>257</v>
      </c>
      <c r="F12" s="362"/>
      <c r="G12" s="173">
        <f>B6</f>
        <v>0.35</v>
      </c>
      <c r="P12" s="126">
        <f>E4*3.281</f>
        <v>14.328563782055298</v>
      </c>
    </row>
    <row r="13" spans="1:18">
      <c r="A13" s="363" t="str">
        <f>CONCATENATE("SF AT",A3, " RIGHT")</f>
        <v>SF ATB2 RIGHT</v>
      </c>
      <c r="B13" s="366"/>
      <c r="C13" s="139">
        <f>G6*E3*(G3+B6/2)</f>
        <v>409.540909090909</v>
      </c>
      <c r="D13" s="141"/>
      <c r="E13" s="365" t="s">
        <v>258</v>
      </c>
      <c r="F13" s="362"/>
      <c r="G13" s="176">
        <f>(G11*1000+D16)*2+(G12*1000+D16)*2</f>
        <v>2776</v>
      </c>
      <c r="P13" s="126">
        <f>P12-17</f>
        <v>-2.6714362179447022</v>
      </c>
    </row>
    <row r="14" spans="1:18" ht="13.8" thickBot="1">
      <c r="A14" s="177" t="s">
        <v>259</v>
      </c>
      <c r="B14" s="178"/>
      <c r="C14" s="179">
        <f>B7*C11/(C11-C12)</f>
        <v>1.3407383726502349</v>
      </c>
      <c r="D14" s="180">
        <f>G6*E3*(C14+G2+B5/2)^2/2-1.5*B2*C14</f>
        <v>-78.031055520977588</v>
      </c>
      <c r="E14" s="348" t="s">
        <v>260</v>
      </c>
      <c r="F14" s="349"/>
      <c r="G14" s="176">
        <f>MIN(G11:G12)/MAX(G11:G12)</f>
        <v>1</v>
      </c>
      <c r="O14" s="181">
        <f>D16+50</f>
        <v>394</v>
      </c>
      <c r="P14" s="126">
        <f>P13*12</f>
        <v>-32.057234615336426</v>
      </c>
    </row>
    <row r="15" spans="1:18">
      <c r="A15" s="350" t="s">
        <v>261</v>
      </c>
      <c r="B15" s="351"/>
      <c r="C15" s="352"/>
      <c r="D15" s="182">
        <f>SQRT(MAX(ABS(D10),ABS(D12),ABS(D14))*10^6/(0.133*E5*E3*1000))</f>
        <v>206.07341132326786</v>
      </c>
      <c r="E15" s="348" t="s">
        <v>262</v>
      </c>
      <c r="F15" s="349"/>
      <c r="G15" s="176">
        <f>IF(0.5+G14&lt;1,(0.5+G14),1)</f>
        <v>1</v>
      </c>
    </row>
    <row r="16" spans="1:18" ht="28.2" thickBot="1">
      <c r="A16" s="183" t="s">
        <v>263</v>
      </c>
      <c r="B16" s="184">
        <v>400</v>
      </c>
      <c r="C16" s="185" t="s">
        <v>264</v>
      </c>
      <c r="D16" s="186">
        <f>B16-B19/2-50</f>
        <v>344</v>
      </c>
      <c r="E16" s="348" t="s">
        <v>265</v>
      </c>
      <c r="F16" s="349"/>
      <c r="G16" s="187">
        <f>0.25*SQRT(E5)</f>
        <v>1.1180339887498949</v>
      </c>
    </row>
    <row r="17" spans="1:15" ht="17.399999999999999" customHeight="1">
      <c r="A17" s="353"/>
      <c r="B17" s="354"/>
      <c r="C17" s="357" t="s">
        <v>266</v>
      </c>
      <c r="D17" s="188">
        <f>D33</f>
        <v>1707.3543673501126</v>
      </c>
      <c r="E17" s="359" t="s">
        <v>267</v>
      </c>
      <c r="F17" s="360"/>
      <c r="G17" s="187">
        <f>G15*G16</f>
        <v>1.1180339887498949</v>
      </c>
      <c r="L17" s="159">
        <f>E4</f>
        <v>4.3671331246739706</v>
      </c>
    </row>
    <row r="18" spans="1:15" ht="26.4" customHeight="1" thickBot="1">
      <c r="A18" s="355"/>
      <c r="B18" s="356"/>
      <c r="C18" s="358"/>
      <c r="D18" s="189" t="str">
        <f>IF(B20&gt;=D17,"OK","NOT OK")</f>
        <v>OK</v>
      </c>
      <c r="E18" s="361" t="s">
        <v>268</v>
      </c>
      <c r="F18" s="362"/>
      <c r="G18" s="187">
        <f>G10*1000/(G13*D16)</f>
        <v>0.8398809106750097</v>
      </c>
      <c r="L18" s="159">
        <f>I11+B5+B7+G3</f>
        <v>4.3499999999999996</v>
      </c>
    </row>
    <row r="19" spans="1:15" ht="13.2" customHeight="1">
      <c r="A19" s="170" t="s">
        <v>269</v>
      </c>
      <c r="B19" s="190">
        <v>12</v>
      </c>
      <c r="C19" s="191" t="s">
        <v>270</v>
      </c>
      <c r="D19" s="192">
        <v>100</v>
      </c>
      <c r="E19" s="326" t="str">
        <f>IF(G17&gt;G18,"SAFE IN TWO WAY","Not SAFE")</f>
        <v>SAFE IN TWO WAY</v>
      </c>
      <c r="F19" s="327"/>
      <c r="G19" s="328"/>
      <c r="I19" s="126">
        <f>B20/2</f>
        <v>1204.4866233863268</v>
      </c>
      <c r="L19" s="159"/>
      <c r="O19" s="126">
        <f>SQRT(D12*10^6/(0.133*20*2000))</f>
        <v>212.66536426965561</v>
      </c>
    </row>
    <row r="20" spans="1:15" ht="17.399999999999999" customHeight="1">
      <c r="A20" s="193" t="s">
        <v>271</v>
      </c>
      <c r="B20" s="194">
        <f>PI()*B19^2/4*1000/D19*E3</f>
        <v>2408.9732467726535</v>
      </c>
      <c r="C20" s="195" t="s">
        <v>272</v>
      </c>
      <c r="D20" s="149">
        <f>B20/(E3*1000*D16)*100</f>
        <v>0.32877132421288535</v>
      </c>
      <c r="E20" s="329"/>
      <c r="F20" s="330"/>
      <c r="G20" s="331"/>
      <c r="L20" s="159"/>
    </row>
    <row r="21" spans="1:15" ht="23.4">
      <c r="A21" s="335" t="s">
        <v>273</v>
      </c>
      <c r="B21" s="336"/>
      <c r="C21" s="337"/>
      <c r="D21" s="196">
        <f>MAX(ABS(C10),ABS(C11),ABS(C12),ABS(C13))-(B6/2+D16/1000)*G6*E3</f>
        <v>290.41640000000018</v>
      </c>
      <c r="E21" s="332"/>
      <c r="F21" s="333"/>
      <c r="G21" s="334"/>
    </row>
    <row r="22" spans="1:15" ht="13.2" customHeight="1">
      <c r="A22" s="193" t="s">
        <v>274</v>
      </c>
      <c r="B22" s="139">
        <f>0.8*E5/(6.89*D20)</f>
        <v>7.0632866213335914</v>
      </c>
      <c r="C22" s="195" t="s">
        <v>275</v>
      </c>
      <c r="D22" s="149">
        <f>IF(B22&gt;1,B22,1)</f>
        <v>7.0632866213335914</v>
      </c>
      <c r="E22" s="338" t="str">
        <f>IF(D23&gt;B23,"SAFE IN ONE WAY","NOT OK")</f>
        <v>SAFE IN ONE WAY</v>
      </c>
      <c r="F22" s="339"/>
      <c r="G22" s="340"/>
    </row>
    <row r="23" spans="1:15" ht="13.95" customHeight="1" thickBot="1">
      <c r="A23" s="197" t="s">
        <v>276</v>
      </c>
      <c r="B23" s="179">
        <f>D21*1000/(E3*1000*D16)</f>
        <v>0.39635385959165875</v>
      </c>
      <c r="C23" s="146" t="s">
        <v>277</v>
      </c>
      <c r="D23" s="198">
        <f>(0.85*SQRT(0.8*E5)*(SQRT(1+5*D22)-1))/(6*D22)</f>
        <v>0.403246175360155</v>
      </c>
      <c r="E23" s="341"/>
      <c r="F23" s="342"/>
      <c r="G23" s="343"/>
    </row>
    <row r="24" spans="1:15" ht="21.6" customHeight="1" thickBot="1">
      <c r="A24" s="344" t="s">
        <v>278</v>
      </c>
      <c r="B24" s="345"/>
      <c r="C24" s="345"/>
      <c r="D24" s="345"/>
      <c r="E24" s="345"/>
      <c r="F24" s="345"/>
      <c r="G24" s="346"/>
      <c r="O24" s="199">
        <f>E3</f>
        <v>2.13</v>
      </c>
    </row>
    <row r="25" spans="1:15" ht="21.6" hidden="1" customHeight="1">
      <c r="A25" s="200"/>
      <c r="B25" s="201"/>
      <c r="C25" s="201" t="s">
        <v>38</v>
      </c>
      <c r="D25" s="201">
        <f>0.87*E6^2/(E5*E3*1000)</f>
        <v>5.1056338028169019</v>
      </c>
      <c r="E25" s="201"/>
      <c r="F25" s="201"/>
      <c r="G25" s="202"/>
      <c r="O25" s="199"/>
    </row>
    <row r="26" spans="1:15" ht="21.6" hidden="1" customHeight="1">
      <c r="A26" s="200"/>
      <c r="B26" s="201"/>
      <c r="C26" s="201" t="s">
        <v>39</v>
      </c>
      <c r="D26" s="201">
        <f>-0.87*E6*D16</f>
        <v>-149640</v>
      </c>
      <c r="E26" s="201"/>
      <c r="F26" s="201"/>
      <c r="G26" s="202"/>
      <c r="O26" s="199"/>
    </row>
    <row r="27" spans="1:15" ht="26.4" customHeight="1" thickBot="1">
      <c r="A27" s="203" t="str">
        <f>CONCATENATE("BM ",A2, " Per Width")</f>
        <v>BM B1 Per Width</v>
      </c>
      <c r="B27" s="204">
        <f>G6*E3*(G2+B5/2)^2/2</f>
        <v>240.60528409090907</v>
      </c>
      <c r="C27" s="205" t="s">
        <v>279</v>
      </c>
      <c r="D27" s="206">
        <f>(-$D$26-SQRT($D$26^2-(4*$D$25*B27*10^6)))/(2*$D$25)</f>
        <v>1707.3543673501126</v>
      </c>
      <c r="E27" s="207" t="s">
        <v>280</v>
      </c>
      <c r="F27" s="208">
        <f>0.0012*E3*1000*(D16+50)</f>
        <v>1007.0639999999999</v>
      </c>
      <c r="G27" s="209" t="s">
        <v>281</v>
      </c>
    </row>
    <row r="28" spans="1:15" ht="25.95" customHeight="1" thickBot="1">
      <c r="A28" s="210" t="s">
        <v>282</v>
      </c>
      <c r="B28" s="211">
        <v>12</v>
      </c>
      <c r="C28" s="212" t="s">
        <v>283</v>
      </c>
      <c r="D28" s="213">
        <v>100</v>
      </c>
      <c r="E28" s="307" t="str">
        <f>CONCATENATE("Bottom Bars To Be Provided at ",A2, "                                         ",B28," Dia @ ",D28," C/C")</f>
        <v>Bottom Bars To Be Provided at B1                                         12 Dia @ 100 C/C</v>
      </c>
      <c r="F28" s="308"/>
      <c r="G28" s="309"/>
    </row>
    <row r="29" spans="1:15" ht="45" thickBot="1">
      <c r="A29" s="205" t="s">
        <v>284</v>
      </c>
      <c r="B29" s="214">
        <f>PI()*B28^2/4*1000/D28*$E$3</f>
        <v>2408.9732467726535</v>
      </c>
      <c r="C29" s="347" t="str">
        <f>IF(B29&gt;=D27,"OK", "NOT OK")</f>
        <v>OK</v>
      </c>
      <c r="D29" s="319"/>
      <c r="E29" s="313"/>
      <c r="F29" s="314"/>
      <c r="G29" s="315"/>
      <c r="I29" s="215"/>
    </row>
    <row r="30" spans="1:15" ht="25.95" customHeight="1">
      <c r="A30" s="216" t="str">
        <f>CONCATENATE("BM AT "," 0 SHEAR FORCE  kN.m")</f>
        <v>BM AT  0 SHEAR FORCE  kN.m</v>
      </c>
      <c r="B30" s="217">
        <f>ABS(D14)</f>
        <v>78.031055520977588</v>
      </c>
      <c r="C30" s="205" t="s">
        <v>279</v>
      </c>
      <c r="D30" s="206">
        <f>(-$D$26-SQRT($D$26^2-(4*$D$25*B30*10^6)))/(2*$D$25)</f>
        <v>531.08185651480278</v>
      </c>
      <c r="E30" s="307" t="str">
        <f>CONCATENATE("Top Bars To Be Provided at 0 SF", "                                             ",B31," Dia @ ",D31," C/C")</f>
        <v>Top Bars To Be Provided at 0 SF                                             12 Dia @ 100 C/C</v>
      </c>
      <c r="F30" s="308"/>
      <c r="G30" s="309"/>
    </row>
    <row r="31" spans="1:15" ht="25.95" customHeight="1" thickBot="1">
      <c r="A31" s="210" t="s">
        <v>282</v>
      </c>
      <c r="B31" s="211">
        <v>12</v>
      </c>
      <c r="C31" s="212" t="s">
        <v>283</v>
      </c>
      <c r="D31" s="213">
        <v>100</v>
      </c>
      <c r="E31" s="310"/>
      <c r="F31" s="311"/>
      <c r="G31" s="312"/>
    </row>
    <row r="32" spans="1:15" ht="45" thickBot="1">
      <c r="A32" s="218" t="s">
        <v>284</v>
      </c>
      <c r="B32" s="219">
        <f>PI()*B31^2/4*1000/D31*$E$3</f>
        <v>2408.9732467726535</v>
      </c>
      <c r="C32" s="316" t="str">
        <f>IF(B32&gt;=D30,"OK", "NOT OK")</f>
        <v>OK</v>
      </c>
      <c r="D32" s="317"/>
      <c r="E32" s="313"/>
      <c r="F32" s="314"/>
      <c r="G32" s="315"/>
    </row>
    <row r="33" spans="1:8" ht="25.2" customHeight="1">
      <c r="A33" s="203" t="str">
        <f>CONCATENATE("BM ",A3, " ")</f>
        <v xml:space="preserve">BM B2 </v>
      </c>
      <c r="B33" s="217">
        <f>G6*E3*(G3+B6/2)^2/2</f>
        <v>240.60528409090907</v>
      </c>
      <c r="C33" s="220" t="s">
        <v>279</v>
      </c>
      <c r="D33" s="206">
        <f>(-$D$26-SQRT($D$26^2-(4*$D$25*B33*10^6)))/(2*$D$25)</f>
        <v>1707.3543673501126</v>
      </c>
      <c r="E33" s="307" t="str">
        <f>CONCATENATE("Bottom Bars To Be Provided at ",A3, "                                           ",B34," Dia @ ",D34," C/C")</f>
        <v>Bottom Bars To Be Provided at B2                                           12 Dia @ 100 C/C</v>
      </c>
      <c r="F33" s="308"/>
      <c r="G33" s="309"/>
    </row>
    <row r="34" spans="1:8" ht="26.4" thickBot="1">
      <c r="A34" s="210" t="s">
        <v>282</v>
      </c>
      <c r="B34" s="211">
        <v>12</v>
      </c>
      <c r="C34" s="221" t="s">
        <v>283</v>
      </c>
      <c r="D34" s="213">
        <v>100</v>
      </c>
      <c r="E34" s="310"/>
      <c r="F34" s="311"/>
      <c r="G34" s="312"/>
    </row>
    <row r="35" spans="1:8" ht="45" thickBot="1">
      <c r="A35" s="222" t="s">
        <v>284</v>
      </c>
      <c r="B35" s="214">
        <f>PI()*B34^2/4*1000/D34*$E$3</f>
        <v>2408.9732467726535</v>
      </c>
      <c r="C35" s="318" t="str">
        <f>IF(B35&gt;=D33,"OK", "NOT OK")</f>
        <v>OK</v>
      </c>
      <c r="D35" s="319"/>
      <c r="E35" s="313"/>
      <c r="F35" s="314"/>
      <c r="G35" s="315"/>
    </row>
    <row r="36" spans="1:8" ht="22.95" customHeight="1" thickBot="1">
      <c r="A36" s="320" t="s">
        <v>285</v>
      </c>
      <c r="B36" s="321"/>
      <c r="C36" s="321"/>
      <c r="D36" s="321"/>
      <c r="E36" s="321"/>
      <c r="F36" s="321"/>
      <c r="G36" s="322"/>
    </row>
    <row r="37" spans="1:8" ht="13.8" thickBot="1">
      <c r="A37" s="323" t="str">
        <f>CONCATENATE("Under Column ",A2)</f>
        <v>Under Column B1</v>
      </c>
      <c r="B37" s="324"/>
      <c r="C37" s="325"/>
      <c r="D37" s="324" t="str">
        <f>CONCATENATE("Under Column ",A3)</f>
        <v>Under Column B2</v>
      </c>
      <c r="E37" s="324"/>
      <c r="F37" s="324"/>
      <c r="G37" s="325"/>
    </row>
    <row r="38" spans="1:8" ht="42" customHeight="1">
      <c r="A38" s="223" t="str">
        <f>CONCATENATE("Factored  Pressure under ",A2," kN/m")</f>
        <v>Factored  Pressure under B1 kN/m</v>
      </c>
      <c r="B38" s="224">
        <f>(1.5*B2)/(E3*1)</f>
        <v>413.54572769953052</v>
      </c>
      <c r="C38" s="132" t="s">
        <v>34</v>
      </c>
      <c r="D38" s="225" t="str">
        <f>CONCATENATE("Factored  Pressure under ",A3," kN/m")</f>
        <v>Factored  Pressure under B2 kN/m</v>
      </c>
      <c r="E38" s="226">
        <f>(1.5*B3)/E3</f>
        <v>301.0760563380282</v>
      </c>
      <c r="F38" s="132" t="s">
        <v>34</v>
      </c>
      <c r="G38" s="301"/>
    </row>
    <row r="39" spans="1:8">
      <c r="A39" s="227" t="s">
        <v>286</v>
      </c>
      <c r="B39" s="228">
        <f>B38*((E3-B5)/2)^2/2</f>
        <v>163.78478545539903</v>
      </c>
      <c r="C39" s="141" t="s">
        <v>287</v>
      </c>
      <c r="D39" s="229" t="s">
        <v>286</v>
      </c>
      <c r="E39" s="230">
        <f>E38*((E3-B6)/2)^2/2</f>
        <v>119.24117211267604</v>
      </c>
      <c r="F39" s="141" t="s">
        <v>287</v>
      </c>
      <c r="G39" s="302"/>
    </row>
    <row r="40" spans="1:8">
      <c r="A40" s="227" t="str">
        <f>CONCATENATE(A2," Effective Width")</f>
        <v>B1 Effective Width</v>
      </c>
      <c r="B40" s="228">
        <f>B5*1000+(D16-20)+MIN((D16-20),G2*1000)</f>
        <v>998</v>
      </c>
      <c r="C40" s="176" t="s">
        <v>32</v>
      </c>
      <c r="D40" s="231" t="str">
        <f>CONCATENATE(A3," Effective Width")</f>
        <v>B2 Effective Width</v>
      </c>
      <c r="E40" s="230">
        <f>B6*1000+(D16-20)+MIN((D16-20),G3*1000)</f>
        <v>998</v>
      </c>
      <c r="F40" s="176" t="s">
        <v>32</v>
      </c>
      <c r="G40" s="302"/>
    </row>
    <row r="41" spans="1:8">
      <c r="A41" s="227" t="s">
        <v>38</v>
      </c>
      <c r="B41" s="232">
        <f>0.87*E6^2/(E5*E3*1000)</f>
        <v>5.1056338028169019</v>
      </c>
      <c r="C41" s="176"/>
      <c r="D41" s="231"/>
      <c r="E41" s="230"/>
      <c r="F41" s="176"/>
      <c r="G41" s="302"/>
    </row>
    <row r="42" spans="1:8">
      <c r="A42" s="227" t="s">
        <v>39</v>
      </c>
      <c r="B42" s="228">
        <f>D26</f>
        <v>-149640</v>
      </c>
      <c r="C42" s="176">
        <f>(-B42-SQRT(B42^2-(4*B41*B39*10^6)))/(2*B41)</f>
        <v>1138.7715493643364</v>
      </c>
      <c r="D42" s="231"/>
      <c r="E42" s="230"/>
      <c r="F42" s="176"/>
      <c r="G42" s="302"/>
    </row>
    <row r="43" spans="1:8" ht="26.4">
      <c r="A43" s="210" t="s">
        <v>288</v>
      </c>
      <c r="B43" s="233">
        <f>IF((361.05*(D16-20)-SQRT(130357*(D16-20)^2-39956.2/(B40)*ABS(B39)*10^6))/(2*10875/(B40))&gt;=F27,(361.05*(D16-20)-SQRT(130357*(D16-20)^2-39956.2/(B40)*ABS(B39)*10^6))/(2*10875/(B40)),F27)</f>
        <v>1493.948455652541</v>
      </c>
      <c r="C43" s="141" t="s">
        <v>281</v>
      </c>
      <c r="D43" s="210" t="s">
        <v>288</v>
      </c>
      <c r="E43" s="234">
        <f>IF((361.05*(D16-20)-SQRT(130357*(D16-20)^2-39956.2/(E40)*ABS(E39)*10^6))/(2*10875/(E40))&gt;=F27,(361.05*(D16-20)-SQRT(130357*(D16-20)^2-39956.2/(E40)*ABS(E39)*10^6))/(2*10875/(E40)),F27)</f>
        <v>1036.3308944973996</v>
      </c>
      <c r="F43" s="141" t="s">
        <v>281</v>
      </c>
      <c r="G43" s="302"/>
    </row>
    <row r="44" spans="1:8" ht="26.4" thickBot="1">
      <c r="A44" s="235" t="s">
        <v>282</v>
      </c>
      <c r="B44" s="236">
        <v>12</v>
      </c>
      <c r="C44" s="237" t="s">
        <v>283</v>
      </c>
      <c r="D44" s="238">
        <v>100</v>
      </c>
      <c r="E44" s="183" t="s">
        <v>27</v>
      </c>
      <c r="F44" s="239"/>
      <c r="G44" s="303"/>
    </row>
    <row r="45" spans="1:8" ht="49.95" customHeight="1" thickBot="1">
      <c r="A45" s="240" t="s">
        <v>289</v>
      </c>
      <c r="B45" s="241">
        <f>PI()*B44^2/4*1000/D44*$E$3</f>
        <v>2408.9732467726535</v>
      </c>
      <c r="C45" s="242" t="str">
        <f>IF(MAX(B43,E43)&lt;=B45,"OK","TRANVSER BAR IS INSSUFFICIENT")</f>
        <v>OK</v>
      </c>
      <c r="D45" s="304" t="str">
        <f>CONCATENATE("Thus Transverse Bars Provided               ",B44,"Ø",D44," C/C")</f>
        <v>Thus Transverse Bars Provided               12Ø100 C/C</v>
      </c>
      <c r="E45" s="305"/>
      <c r="F45" s="305"/>
      <c r="G45" s="306"/>
      <c r="H45" s="243"/>
    </row>
    <row r="46" spans="1:8" ht="49.95" customHeight="1">
      <c r="A46" s="244"/>
      <c r="B46" s="245"/>
      <c r="D46" s="246"/>
      <c r="E46" s="246"/>
      <c r="F46" s="246"/>
      <c r="G46" s="246"/>
    </row>
  </sheetData>
  <mergeCells count="35">
    <mergeCell ref="A10:B10"/>
    <mergeCell ref="A1:G1"/>
    <mergeCell ref="I1:L1"/>
    <mergeCell ref="A8:G8"/>
    <mergeCell ref="A9:B9"/>
    <mergeCell ref="E9:G9"/>
    <mergeCell ref="A11:B11"/>
    <mergeCell ref="E11:F11"/>
    <mergeCell ref="A12:B12"/>
    <mergeCell ref="E12:F12"/>
    <mergeCell ref="A13:B13"/>
    <mergeCell ref="E13:F13"/>
    <mergeCell ref="E14:F14"/>
    <mergeCell ref="A15:C15"/>
    <mergeCell ref="E15:F15"/>
    <mergeCell ref="E16:F16"/>
    <mergeCell ref="A17:B18"/>
    <mergeCell ref="C17:C18"/>
    <mergeCell ref="E17:F17"/>
    <mergeCell ref="E18:F18"/>
    <mergeCell ref="E19:G21"/>
    <mergeCell ref="A21:C21"/>
    <mergeCell ref="E22:G23"/>
    <mergeCell ref="A24:G24"/>
    <mergeCell ref="E28:G29"/>
    <mergeCell ref="C29:D29"/>
    <mergeCell ref="G38:G44"/>
    <mergeCell ref="D45:G45"/>
    <mergeCell ref="E30:G32"/>
    <mergeCell ref="C32:D32"/>
    <mergeCell ref="E33:G35"/>
    <mergeCell ref="C35:D35"/>
    <mergeCell ref="A36:G36"/>
    <mergeCell ref="A37:C37"/>
    <mergeCell ref="D37:G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WALL LOAD AND STAIR</vt:lpstr>
      <vt:lpstr>ISOLATED</vt:lpstr>
      <vt:lpstr>joint reaction</vt:lpstr>
      <vt:lpstr>strapA1-B1</vt:lpstr>
      <vt:lpstr>COMBINEDC4C5</vt:lpstr>
      <vt:lpstr>ISOLATED!Print_Area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Ramsor</cp:lastModifiedBy>
  <cp:lastPrinted>2020-11-24T05:56:30Z</cp:lastPrinted>
  <dcterms:created xsi:type="dcterms:W3CDTF">2020-11-13T06:34:34Z</dcterms:created>
  <dcterms:modified xsi:type="dcterms:W3CDTF">2023-07-08T03:25:09Z</dcterms:modified>
</cp:coreProperties>
</file>