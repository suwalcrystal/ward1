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082_083\ward1\drg\for analysis\results\"/>
    </mc:Choice>
  </mc:AlternateContent>
  <bookViews>
    <workbookView xWindow="0" yWindow="0" windowWidth="16392" windowHeight="5592"/>
  </bookViews>
  <sheets>
    <sheet name="COlumn" sheetId="1" r:id="rId1"/>
    <sheet name="Beam" sheetId="2" r:id="rId2"/>
    <sheet name="Slab" sheetId="3" r:id="rId3"/>
    <sheet name="Footing" sheetId="5" r:id="rId4"/>
    <sheet name="Staricase" sheetId="6" r:id="rId5"/>
    <sheet name="Isolated footing" sheetId="7" r:id="rId6"/>
    <sheet name="Storey Drift" sheetId="8" r:id="rId7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O6" i="1"/>
  <c r="N6" i="1"/>
  <c r="M6" i="1"/>
  <c r="L6" i="1"/>
  <c r="K6" i="1"/>
  <c r="J19" i="1" l="1"/>
  <c r="F19" i="1" s="1"/>
  <c r="G19" i="1" s="1"/>
  <c r="K19" i="1"/>
  <c r="J20" i="1"/>
  <c r="F20" i="1" s="1"/>
  <c r="G20" i="1" s="1"/>
  <c r="K20" i="1"/>
  <c r="J21" i="1"/>
  <c r="K21" i="1"/>
  <c r="D19" i="1"/>
  <c r="E19" i="1"/>
  <c r="D20" i="1"/>
  <c r="E20" i="1"/>
  <c r="D21" i="1"/>
  <c r="E21" i="1"/>
  <c r="K9" i="1"/>
  <c r="K11" i="1"/>
  <c r="Q17" i="8"/>
  <c r="P17" i="8"/>
  <c r="O17" i="8"/>
  <c r="Q16" i="8"/>
  <c r="P16" i="8"/>
  <c r="O16" i="8"/>
  <c r="Q15" i="8"/>
  <c r="P15" i="8"/>
  <c r="O15" i="8"/>
  <c r="Q14" i="8"/>
  <c r="P14" i="8"/>
  <c r="O14" i="8"/>
  <c r="Q13" i="8"/>
  <c r="P13" i="8"/>
  <c r="O13" i="8"/>
  <c r="Q8" i="8"/>
  <c r="P8" i="8"/>
  <c r="O8" i="8"/>
  <c r="Q7" i="8"/>
  <c r="P7" i="8"/>
  <c r="O7" i="8"/>
  <c r="Q6" i="8"/>
  <c r="P6" i="8"/>
  <c r="O6" i="8"/>
  <c r="K6" i="8"/>
  <c r="J6" i="8"/>
  <c r="I6" i="8"/>
  <c r="H6" i="8"/>
  <c r="G6" i="8"/>
  <c r="F6" i="8"/>
  <c r="E6" i="8"/>
  <c r="D6" i="8"/>
  <c r="C6" i="8"/>
  <c r="Q5" i="8"/>
  <c r="P5" i="8"/>
  <c r="O5" i="8"/>
  <c r="K5" i="8"/>
  <c r="J5" i="8"/>
  <c r="I5" i="8"/>
  <c r="H5" i="8"/>
  <c r="G5" i="8"/>
  <c r="F5" i="8"/>
  <c r="E5" i="8"/>
  <c r="D5" i="8"/>
  <c r="C5" i="8"/>
  <c r="Q4" i="8"/>
  <c r="P4" i="8"/>
  <c r="O4" i="8"/>
  <c r="K4" i="8"/>
  <c r="J4" i="8"/>
  <c r="I4" i="8"/>
  <c r="H4" i="8"/>
  <c r="G4" i="8"/>
  <c r="F4" i="8"/>
  <c r="E4" i="8"/>
  <c r="D4" i="8"/>
  <c r="C4" i="8"/>
  <c r="K3" i="8"/>
  <c r="J3" i="8"/>
  <c r="I3" i="8"/>
  <c r="H3" i="8"/>
  <c r="G3" i="8"/>
  <c r="F3" i="8"/>
  <c r="E3" i="8"/>
  <c r="D3" i="8"/>
  <c r="C3" i="8"/>
  <c r="E77" i="7"/>
  <c r="F75" i="7"/>
  <c r="E73" i="7"/>
  <c r="E68" i="7"/>
  <c r="D67" i="7"/>
  <c r="C66" i="7"/>
  <c r="D58" i="7"/>
  <c r="E55" i="7"/>
  <c r="D53" i="7"/>
  <c r="N51" i="7"/>
  <c r="M51" i="7"/>
  <c r="L51" i="7"/>
  <c r="D50" i="7"/>
  <c r="E43" i="7"/>
  <c r="D42" i="7"/>
  <c r="E38" i="7"/>
  <c r="E37" i="7"/>
  <c r="D35" i="7"/>
  <c r="G24" i="7"/>
  <c r="G23" i="7"/>
  <c r="G22" i="7"/>
  <c r="G21" i="7"/>
  <c r="G20" i="7"/>
  <c r="G19" i="7"/>
  <c r="G18" i="7"/>
  <c r="G17" i="7"/>
  <c r="G16" i="7"/>
  <c r="B128" i="6"/>
  <c r="B123" i="6"/>
  <c r="B121" i="6"/>
  <c r="B120" i="6"/>
  <c r="B119" i="6"/>
  <c r="E117" i="6"/>
  <c r="B116" i="6"/>
  <c r="B114" i="6"/>
  <c r="B112" i="6"/>
  <c r="B109" i="6"/>
  <c r="B101" i="6"/>
  <c r="B94" i="6"/>
  <c r="B93" i="6"/>
  <c r="B91" i="6"/>
  <c r="B88" i="6"/>
  <c r="B87" i="6"/>
  <c r="B85" i="6"/>
  <c r="B83" i="6"/>
  <c r="B80" i="6"/>
  <c r="B76" i="6"/>
  <c r="B73" i="6"/>
  <c r="B71" i="6"/>
  <c r="B65" i="6"/>
  <c r="B60" i="6"/>
  <c r="B58" i="6"/>
  <c r="B57" i="6"/>
  <c r="B56" i="6"/>
  <c r="B52" i="6"/>
  <c r="B50" i="6"/>
  <c r="F49" i="6"/>
  <c r="B48" i="6"/>
  <c r="B47" i="6"/>
  <c r="N45" i="6"/>
  <c r="L45" i="6"/>
  <c r="K45" i="6"/>
  <c r="J45" i="6"/>
  <c r="I45" i="6"/>
  <c r="B41" i="6"/>
  <c r="B39" i="6"/>
  <c r="G38" i="6"/>
  <c r="B38" i="6"/>
  <c r="G37" i="6"/>
  <c r="F37" i="6"/>
  <c r="B37" i="6"/>
  <c r="B34" i="6"/>
  <c r="B33" i="6"/>
  <c r="B31" i="6"/>
  <c r="B29" i="6"/>
  <c r="B28" i="6"/>
  <c r="B26" i="6"/>
  <c r="B24" i="6"/>
  <c r="B21" i="6"/>
  <c r="B17" i="6"/>
  <c r="B14" i="6"/>
  <c r="F13" i="6"/>
  <c r="F12" i="6"/>
  <c r="B12" i="6"/>
  <c r="F6" i="6"/>
  <c r="F5" i="6"/>
  <c r="F4" i="6"/>
  <c r="F3" i="6"/>
  <c r="C64" i="5"/>
  <c r="C63" i="5"/>
  <c r="C61" i="5"/>
  <c r="C55" i="5"/>
  <c r="C54" i="5"/>
  <c r="C50" i="5"/>
  <c r="C47" i="5"/>
  <c r="D44" i="5"/>
  <c r="E41" i="5"/>
  <c r="E39" i="5"/>
  <c r="E36" i="5"/>
  <c r="E34" i="5"/>
  <c r="F30" i="5"/>
  <c r="E29" i="5"/>
  <c r="E27" i="5"/>
  <c r="E26" i="5"/>
  <c r="D22" i="5"/>
  <c r="D20" i="5"/>
  <c r="C15" i="5"/>
  <c r="C13" i="5"/>
  <c r="O12" i="5"/>
  <c r="O11" i="5"/>
  <c r="O10" i="5"/>
  <c r="O9" i="5"/>
  <c r="O8" i="5"/>
  <c r="G8" i="5"/>
  <c r="O7" i="5"/>
  <c r="O6" i="5"/>
  <c r="O5" i="5"/>
  <c r="O4" i="5"/>
  <c r="G4" i="5"/>
  <c r="G2" i="5"/>
  <c r="B70" i="3"/>
  <c r="B68" i="3"/>
  <c r="B63" i="3"/>
  <c r="B61" i="3"/>
  <c r="B59" i="3"/>
  <c r="B54" i="3"/>
  <c r="B52" i="3"/>
  <c r="B50" i="3"/>
  <c r="B45" i="3"/>
  <c r="B43" i="3"/>
  <c r="B42" i="3"/>
  <c r="B40" i="3"/>
  <c r="B39" i="3"/>
  <c r="B33" i="3"/>
  <c r="G31" i="3"/>
  <c r="B27" i="3"/>
  <c r="B24" i="3"/>
  <c r="B23" i="3"/>
  <c r="B19" i="3"/>
  <c r="G17" i="3"/>
  <c r="G16" i="3"/>
  <c r="G15" i="3"/>
  <c r="J52" i="2"/>
  <c r="H52" i="2"/>
  <c r="F52" i="2"/>
  <c r="D52" i="2"/>
  <c r="J51" i="2"/>
  <c r="H51" i="2"/>
  <c r="F51" i="2"/>
  <c r="D51" i="2"/>
  <c r="J50" i="2"/>
  <c r="H50" i="2"/>
  <c r="F50" i="2"/>
  <c r="D50" i="2"/>
  <c r="J49" i="2"/>
  <c r="H49" i="2"/>
  <c r="F49" i="2"/>
  <c r="D49" i="2"/>
  <c r="J48" i="2"/>
  <c r="H48" i="2"/>
  <c r="F48" i="2"/>
  <c r="D48" i="2"/>
  <c r="J47" i="2"/>
  <c r="H47" i="2"/>
  <c r="F47" i="2"/>
  <c r="D47" i="2"/>
  <c r="J46" i="2"/>
  <c r="H46" i="2"/>
  <c r="F46" i="2"/>
  <c r="D46" i="2"/>
  <c r="J45" i="2"/>
  <c r="H45" i="2"/>
  <c r="F45" i="2"/>
  <c r="D45" i="2"/>
  <c r="J44" i="2"/>
  <c r="H44" i="2"/>
  <c r="F44" i="2"/>
  <c r="D44" i="2"/>
  <c r="J43" i="2"/>
  <c r="H43" i="2"/>
  <c r="F43" i="2"/>
  <c r="D43" i="2"/>
  <c r="J42" i="2"/>
  <c r="H42" i="2"/>
  <c r="F42" i="2"/>
  <c r="D42" i="2"/>
  <c r="J41" i="2"/>
  <c r="H41" i="2"/>
  <c r="F41" i="2"/>
  <c r="D41" i="2"/>
  <c r="J40" i="2"/>
  <c r="H40" i="2"/>
  <c r="F40" i="2"/>
  <c r="D40" i="2"/>
  <c r="J39" i="2"/>
  <c r="H39" i="2"/>
  <c r="F39" i="2"/>
  <c r="D39" i="2"/>
  <c r="W36" i="2"/>
  <c r="C17" i="2"/>
  <c r="M13" i="2"/>
  <c r="L13" i="2"/>
  <c r="M12" i="2"/>
  <c r="L12" i="2"/>
  <c r="C12" i="2"/>
  <c r="M11" i="2"/>
  <c r="L11" i="2"/>
  <c r="C11" i="2"/>
  <c r="M10" i="2"/>
  <c r="L10" i="2"/>
  <c r="M9" i="2"/>
  <c r="L9" i="2"/>
  <c r="M8" i="2"/>
  <c r="L8" i="2"/>
  <c r="F8" i="2"/>
  <c r="L7" i="2"/>
  <c r="L6" i="2"/>
  <c r="L5" i="2"/>
  <c r="B4" i="2"/>
  <c r="K62" i="1"/>
  <c r="J62" i="1"/>
  <c r="F62" i="1"/>
  <c r="G62" i="1" s="1"/>
  <c r="E62" i="1"/>
  <c r="D62" i="1"/>
  <c r="K61" i="1"/>
  <c r="J61" i="1"/>
  <c r="F61" i="1" s="1"/>
  <c r="G61" i="1" s="1"/>
  <c r="E61" i="1"/>
  <c r="D61" i="1"/>
  <c r="K59" i="1"/>
  <c r="J59" i="1"/>
  <c r="F59" i="1"/>
  <c r="G59" i="1" s="1"/>
  <c r="E59" i="1"/>
  <c r="D59" i="1"/>
  <c r="K58" i="1"/>
  <c r="J58" i="1"/>
  <c r="F58" i="1" s="1"/>
  <c r="G58" i="1" s="1"/>
  <c r="E58" i="1"/>
  <c r="D58" i="1"/>
  <c r="K57" i="1"/>
  <c r="J57" i="1"/>
  <c r="F57" i="1"/>
  <c r="E57" i="1"/>
  <c r="D57" i="1"/>
  <c r="K56" i="1"/>
  <c r="J56" i="1"/>
  <c r="F56" i="1" s="1"/>
  <c r="G56" i="1" s="1"/>
  <c r="E56" i="1"/>
  <c r="D56" i="1"/>
  <c r="K55" i="1"/>
  <c r="F55" i="1" s="1"/>
  <c r="G55" i="1" s="1"/>
  <c r="J55" i="1"/>
  <c r="E55" i="1"/>
  <c r="D55" i="1"/>
  <c r="K54" i="1"/>
  <c r="J54" i="1"/>
  <c r="F54" i="1" s="1"/>
  <c r="G54" i="1" s="1"/>
  <c r="E54" i="1"/>
  <c r="D54" i="1"/>
  <c r="K53" i="1"/>
  <c r="J53" i="1"/>
  <c r="F53" i="1"/>
  <c r="G53" i="1" s="1"/>
  <c r="E53" i="1"/>
  <c r="D53" i="1"/>
  <c r="K52" i="1"/>
  <c r="J52" i="1"/>
  <c r="F52" i="1" s="1"/>
  <c r="G52" i="1" s="1"/>
  <c r="E52" i="1"/>
  <c r="D52" i="1"/>
  <c r="K51" i="1"/>
  <c r="F51" i="1" s="1"/>
  <c r="G51" i="1" s="1"/>
  <c r="J51" i="1"/>
  <c r="E51" i="1"/>
  <c r="D51" i="1"/>
  <c r="K50" i="1"/>
  <c r="J50" i="1"/>
  <c r="F50" i="1" s="1"/>
  <c r="G50" i="1" s="1"/>
  <c r="E50" i="1"/>
  <c r="D50" i="1"/>
  <c r="K49" i="1"/>
  <c r="J49" i="1"/>
  <c r="F49" i="1"/>
  <c r="G49" i="1" s="1"/>
  <c r="E49" i="1"/>
  <c r="D49" i="1"/>
  <c r="K48" i="1"/>
  <c r="J48" i="1"/>
  <c r="F48" i="1" s="1"/>
  <c r="G48" i="1" s="1"/>
  <c r="E48" i="1"/>
  <c r="D48" i="1"/>
  <c r="K47" i="1"/>
  <c r="F47" i="1" s="1"/>
  <c r="G47" i="1" s="1"/>
  <c r="J47" i="1"/>
  <c r="E47" i="1"/>
  <c r="D47" i="1"/>
  <c r="K46" i="1"/>
  <c r="J46" i="1"/>
  <c r="F46" i="1" s="1"/>
  <c r="G46" i="1" s="1"/>
  <c r="E46" i="1"/>
  <c r="D46" i="1"/>
  <c r="K45" i="1"/>
  <c r="J45" i="1"/>
  <c r="F45" i="1"/>
  <c r="G45" i="1" s="1"/>
  <c r="E45" i="1"/>
  <c r="D45" i="1"/>
  <c r="K44" i="1"/>
  <c r="J44" i="1"/>
  <c r="F44" i="1" s="1"/>
  <c r="G44" i="1" s="1"/>
  <c r="E44" i="1"/>
  <c r="D44" i="1"/>
  <c r="K43" i="1"/>
  <c r="F43" i="1" s="1"/>
  <c r="G43" i="1" s="1"/>
  <c r="J43" i="1"/>
  <c r="E43" i="1"/>
  <c r="D43" i="1"/>
  <c r="K42" i="1"/>
  <c r="J42" i="1"/>
  <c r="F42" i="1" s="1"/>
  <c r="G42" i="1" s="1"/>
  <c r="E42" i="1"/>
  <c r="D42" i="1"/>
  <c r="K41" i="1"/>
  <c r="J41" i="1"/>
  <c r="F41" i="1"/>
  <c r="G41" i="1" s="1"/>
  <c r="E41" i="1"/>
  <c r="D41" i="1"/>
  <c r="K40" i="1"/>
  <c r="J40" i="1"/>
  <c r="F40" i="1" s="1"/>
  <c r="G40" i="1" s="1"/>
  <c r="E40" i="1"/>
  <c r="D40" i="1"/>
  <c r="K39" i="1"/>
  <c r="F39" i="1" s="1"/>
  <c r="G39" i="1" s="1"/>
  <c r="J39" i="1"/>
  <c r="E39" i="1"/>
  <c r="D39" i="1"/>
  <c r="K38" i="1"/>
  <c r="J38" i="1"/>
  <c r="F38" i="1" s="1"/>
  <c r="G38" i="1" s="1"/>
  <c r="E38" i="1"/>
  <c r="D38" i="1"/>
  <c r="K37" i="1"/>
  <c r="J37" i="1"/>
  <c r="F37" i="1"/>
  <c r="G37" i="1" s="1"/>
  <c r="E37" i="1"/>
  <c r="D37" i="1"/>
  <c r="K36" i="1"/>
  <c r="J36" i="1"/>
  <c r="F36" i="1" s="1"/>
  <c r="G36" i="1" s="1"/>
  <c r="E36" i="1"/>
  <c r="D36" i="1"/>
  <c r="K35" i="1"/>
  <c r="F35" i="1" s="1"/>
  <c r="G35" i="1" s="1"/>
  <c r="J35" i="1"/>
  <c r="E35" i="1"/>
  <c r="D35" i="1"/>
  <c r="K34" i="1"/>
  <c r="J34" i="1"/>
  <c r="F34" i="1" s="1"/>
  <c r="G34" i="1" s="1"/>
  <c r="E34" i="1"/>
  <c r="D34" i="1"/>
  <c r="K33" i="1"/>
  <c r="J33" i="1"/>
  <c r="F33" i="1"/>
  <c r="G33" i="1" s="1"/>
  <c r="E33" i="1"/>
  <c r="D33" i="1"/>
  <c r="K32" i="1"/>
  <c r="J32" i="1"/>
  <c r="F32" i="1" s="1"/>
  <c r="G32" i="1" s="1"/>
  <c r="E32" i="1"/>
  <c r="D32" i="1"/>
  <c r="K31" i="1"/>
  <c r="F31" i="1" s="1"/>
  <c r="G31" i="1" s="1"/>
  <c r="J31" i="1"/>
  <c r="E31" i="1"/>
  <c r="D31" i="1"/>
  <c r="K30" i="1"/>
  <c r="J30" i="1"/>
  <c r="F30" i="1" s="1"/>
  <c r="G30" i="1" s="1"/>
  <c r="E30" i="1"/>
  <c r="D30" i="1"/>
  <c r="K29" i="1"/>
  <c r="J29" i="1"/>
  <c r="F29" i="1"/>
  <c r="G29" i="1" s="1"/>
  <c r="E29" i="1"/>
  <c r="D29" i="1"/>
  <c r="K28" i="1"/>
  <c r="J28" i="1"/>
  <c r="F28" i="1" s="1"/>
  <c r="G28" i="1" s="1"/>
  <c r="E28" i="1"/>
  <c r="D28" i="1"/>
  <c r="K27" i="1"/>
  <c r="F27" i="1" s="1"/>
  <c r="G27" i="1" s="1"/>
  <c r="J27" i="1"/>
  <c r="E27" i="1"/>
  <c r="D27" i="1"/>
  <c r="K26" i="1"/>
  <c r="J26" i="1"/>
  <c r="F26" i="1" s="1"/>
  <c r="G26" i="1" s="1"/>
  <c r="E26" i="1"/>
  <c r="D26" i="1"/>
  <c r="K25" i="1"/>
  <c r="J25" i="1"/>
  <c r="F25" i="1"/>
  <c r="G25" i="1" s="1"/>
  <c r="E25" i="1"/>
  <c r="D25" i="1"/>
  <c r="K24" i="1"/>
  <c r="J24" i="1"/>
  <c r="F24" i="1" s="1"/>
  <c r="G24" i="1" s="1"/>
  <c r="E24" i="1"/>
  <c r="D24" i="1"/>
  <c r="K23" i="1"/>
  <c r="F23" i="1" s="1"/>
  <c r="G23" i="1" s="1"/>
  <c r="J23" i="1"/>
  <c r="E23" i="1"/>
  <c r="D23" i="1"/>
  <c r="K22" i="1"/>
  <c r="J22" i="1"/>
  <c r="F22" i="1" s="1"/>
  <c r="G22" i="1" s="1"/>
  <c r="E22" i="1"/>
  <c r="D22" i="1"/>
  <c r="P11" i="1"/>
  <c r="J11" i="1"/>
  <c r="J10" i="1"/>
  <c r="K10" i="1" s="1"/>
  <c r="P9" i="1"/>
  <c r="J9" i="1"/>
  <c r="J8" i="1"/>
  <c r="P8" i="1" s="1"/>
  <c r="P7" i="1"/>
  <c r="J7" i="1"/>
  <c r="K7" i="1" s="1"/>
  <c r="J6" i="1"/>
  <c r="P6" i="1" s="1"/>
  <c r="J5" i="1"/>
  <c r="J4" i="1"/>
  <c r="J3" i="1"/>
  <c r="P10" i="1" l="1"/>
  <c r="K8" i="1"/>
  <c r="F21" i="1"/>
  <c r="G21" i="1" s="1"/>
</calcChain>
</file>

<file path=xl/sharedStrings.xml><?xml version="1.0" encoding="utf-8"?>
<sst xmlns="http://schemas.openxmlformats.org/spreadsheetml/2006/main" count="828" uniqueCount="392">
  <si>
    <t>Calculation of Reinforcement in Column</t>
  </si>
  <si>
    <t>Rebar Size</t>
  </si>
  <si>
    <t>Area</t>
  </si>
  <si>
    <t>Size of Column =</t>
  </si>
  <si>
    <t>300*300 sq. mm</t>
  </si>
  <si>
    <t>90000 sq. mm</t>
  </si>
  <si>
    <t>Minimum Longitudinal reinforcement required :</t>
  </si>
  <si>
    <t>(Amin) =0.8% of 90000 sq. mm (As per IS 456:2000)</t>
  </si>
  <si>
    <t>Amin =</t>
  </si>
  <si>
    <t>720 sq.mm</t>
  </si>
  <si>
    <t>Maximum Longitudinal reinforcement :</t>
  </si>
  <si>
    <t>(Amax) = 6% of 90000 sq.mm (As per 456:2000)</t>
  </si>
  <si>
    <t>Amax =</t>
  </si>
  <si>
    <t>5400 sq. mm</t>
  </si>
  <si>
    <t>Floor</t>
  </si>
  <si>
    <t>Column</t>
  </si>
  <si>
    <r>
      <rPr>
        <sz val="11"/>
        <color theme="1"/>
        <rFont val="Calibri"/>
        <charset val="134"/>
        <scheme val="minor"/>
      </rPr>
      <t>Required Reinforcement by software (mm</t>
    </r>
    <r>
      <rPr>
        <sz val="11"/>
        <color theme="1"/>
        <rFont val="Calibri"/>
        <charset val="134"/>
      </rPr>
      <t>²)</t>
    </r>
  </si>
  <si>
    <t>Adopt</t>
  </si>
  <si>
    <t>No. of Steel Rebar</t>
  </si>
  <si>
    <t>Area of Rebar</t>
  </si>
  <si>
    <t>At corner</t>
  </si>
  <si>
    <t>At Center</t>
  </si>
  <si>
    <r>
      <rPr>
        <sz val="11"/>
        <color theme="1"/>
        <rFont val="Calibri"/>
        <charset val="134"/>
        <scheme val="minor"/>
      </rPr>
      <t>mm</t>
    </r>
    <r>
      <rPr>
        <sz val="11"/>
        <color theme="1"/>
        <rFont val="Calibri"/>
        <charset val="134"/>
      </rPr>
      <t>²</t>
    </r>
  </si>
  <si>
    <t>Ground Floor</t>
  </si>
  <si>
    <t>C1</t>
  </si>
  <si>
    <t>C2</t>
  </si>
  <si>
    <t>C3</t>
  </si>
  <si>
    <t>B1</t>
  </si>
  <si>
    <t>B2</t>
  </si>
  <si>
    <t>B3</t>
  </si>
  <si>
    <t>A1</t>
  </si>
  <si>
    <t>A2</t>
  </si>
  <si>
    <t>A3</t>
  </si>
  <si>
    <t>First Floor</t>
  </si>
  <si>
    <t>Second Floor</t>
  </si>
  <si>
    <t>Third Floor</t>
  </si>
  <si>
    <t>Fourth Floor</t>
  </si>
  <si>
    <t>…………..</t>
  </si>
  <si>
    <t>`</t>
  </si>
  <si>
    <t>Design of transverse reinforcement</t>
  </si>
  <si>
    <r>
      <rPr>
        <sz val="11"/>
        <color theme="1"/>
        <rFont val="Calibri"/>
        <charset val="134"/>
        <scheme val="minor"/>
      </rPr>
      <t xml:space="preserve">Providing 10 mm </t>
    </r>
    <r>
      <rPr>
        <sz val="11"/>
        <color theme="1"/>
        <rFont val="Calibri"/>
        <charset val="134"/>
      </rPr>
      <t>φ at 100 mm c/c</t>
    </r>
  </si>
  <si>
    <t>Calculation of Reinforcement in Beam</t>
  </si>
  <si>
    <t>Size of beam = 230mm*350mm</t>
  </si>
  <si>
    <t>sq.mm</t>
  </si>
  <si>
    <t>Minimum Longitudinal tension reinforcement required (Amin) :</t>
  </si>
  <si>
    <t>b= breadth of beam section</t>
  </si>
  <si>
    <t>d= effective depth of beam section = (300 - 30 - 16/2) =</t>
  </si>
  <si>
    <t>mm</t>
  </si>
  <si>
    <t>0.85*b*d/fy</t>
  </si>
  <si>
    <t>(As per IS 456:2000)</t>
  </si>
  <si>
    <t>Maximum Longitudinal tension reinforcement :</t>
  </si>
  <si>
    <t xml:space="preserve">4% of size of beam </t>
  </si>
  <si>
    <t>sq. mm</t>
  </si>
  <si>
    <t>Maximum reinforcement among the ground floor beam ( from SAP analysis)</t>
  </si>
  <si>
    <t>Stair Beam</t>
  </si>
  <si>
    <t>Non Stair Beam</t>
  </si>
  <si>
    <t>Position</t>
  </si>
  <si>
    <r>
      <rPr>
        <sz val="11"/>
        <color theme="1"/>
        <rFont val="Calibri"/>
        <charset val="134"/>
        <scheme val="minor"/>
      </rPr>
      <t>End Support (mm</t>
    </r>
    <r>
      <rPr>
        <sz val="11"/>
        <color theme="1"/>
        <rFont val="Calibri"/>
        <charset val="134"/>
      </rPr>
      <t>²)</t>
    </r>
  </si>
  <si>
    <r>
      <rPr>
        <sz val="11"/>
        <color theme="1"/>
        <rFont val="Calibri"/>
        <charset val="134"/>
        <scheme val="minor"/>
      </rPr>
      <t>Middle (mm</t>
    </r>
    <r>
      <rPr>
        <sz val="11"/>
        <color theme="1"/>
        <rFont val="Calibri"/>
        <charset val="134"/>
      </rPr>
      <t>²)</t>
    </r>
  </si>
  <si>
    <t>1st floor</t>
  </si>
  <si>
    <t>Top</t>
  </si>
  <si>
    <t>Bottom</t>
  </si>
  <si>
    <t>2nd floor</t>
  </si>
  <si>
    <t>3rd floor</t>
  </si>
  <si>
    <t>4th floor</t>
  </si>
  <si>
    <t>Roof floor</t>
  </si>
  <si>
    <t>Stair beam end support</t>
  </si>
  <si>
    <t>Stair beam middle</t>
  </si>
  <si>
    <t>Non stair beam end</t>
  </si>
  <si>
    <t xml:space="preserve">NOSB middle </t>
  </si>
  <si>
    <t>Adopted reinforcement in Main beam</t>
  </si>
  <si>
    <t>16mm</t>
  </si>
  <si>
    <t>12mm</t>
  </si>
  <si>
    <t>20mm</t>
  </si>
  <si>
    <t>Non stair beam</t>
  </si>
  <si>
    <t>End support</t>
  </si>
  <si>
    <t>Middle</t>
  </si>
  <si>
    <t>Nos.</t>
  </si>
  <si>
    <t>Foundation Beam</t>
  </si>
  <si>
    <t>2-16mmØ+ 1-12mmØ</t>
  </si>
  <si>
    <t>Tie Beam</t>
  </si>
  <si>
    <t>1st Floor</t>
  </si>
  <si>
    <t xml:space="preserve">3-16mmØ+  1-20mmØ extra </t>
  </si>
  <si>
    <t>3-16mmØ</t>
  </si>
  <si>
    <t xml:space="preserve">2-16mmØ+ 1-12mmØ+  1-16mmØ extra </t>
  </si>
  <si>
    <t>3-16mmØ+ 1-12mmØ</t>
  </si>
  <si>
    <t>2nd Floor</t>
  </si>
  <si>
    <t xml:space="preserve">2-16mmØ+ 1-16mmØ+  1-20mmØ extra </t>
  </si>
  <si>
    <t>2-16mmØ+ 2-12mmØ</t>
  </si>
  <si>
    <t>3rd Floor</t>
  </si>
  <si>
    <t>4-16mmØ</t>
  </si>
  <si>
    <t>4th Floor</t>
  </si>
  <si>
    <t>2-16mmØ</t>
  </si>
  <si>
    <t>Roof beam</t>
  </si>
  <si>
    <t>Design of Transverse Reinforcement</t>
  </si>
  <si>
    <t xml:space="preserve">Maximum spacing of shear reinforcement </t>
  </si>
  <si>
    <t>&lt; 300 mm</t>
  </si>
  <si>
    <t>Project:</t>
  </si>
  <si>
    <t>** Fill only Yellow Cells**</t>
  </si>
  <si>
    <t>Slab Panel : S1</t>
  </si>
  <si>
    <t>END CONDITIONS</t>
  </si>
  <si>
    <t>Interior Panel</t>
  </si>
  <si>
    <t>One Short Edge Discontinuous</t>
  </si>
  <si>
    <t>Material Properties</t>
  </si>
  <si>
    <t>One Long Edge Discontinuous</t>
  </si>
  <si>
    <t>Two Adjacent Edges Discontinuous</t>
  </si>
  <si>
    <t>fck =</t>
  </si>
  <si>
    <r>
      <rPr>
        <sz val="11"/>
        <color theme="1"/>
        <rFont val="Calibri"/>
        <charset val="134"/>
        <scheme val="minor"/>
      </rPr>
      <t>N/mm</t>
    </r>
    <r>
      <rPr>
        <sz val="11"/>
        <color theme="1"/>
        <rFont val="Calibri"/>
        <charset val="134"/>
      </rPr>
      <t>²</t>
    </r>
  </si>
  <si>
    <t>Two Short Edge Discontinuous</t>
  </si>
  <si>
    <t>Fy =</t>
  </si>
  <si>
    <t>Two Long Edge Discontinuous</t>
  </si>
  <si>
    <t>S.W. Conc=</t>
  </si>
  <si>
    <r>
      <rPr>
        <sz val="11"/>
        <color theme="1"/>
        <rFont val="Calibri"/>
        <charset val="134"/>
        <scheme val="minor"/>
      </rPr>
      <t>KN/m</t>
    </r>
    <r>
      <rPr>
        <sz val="11"/>
        <color theme="1"/>
        <rFont val="Calibri"/>
        <charset val="134"/>
      </rPr>
      <t>³</t>
    </r>
  </si>
  <si>
    <t>One Long Edge Continuous</t>
  </si>
  <si>
    <t>Cover =</t>
  </si>
  <si>
    <t>One Short Edge Continuous</t>
  </si>
  <si>
    <t>Four Edge Discontinuous</t>
  </si>
  <si>
    <t>Slab Properties</t>
  </si>
  <si>
    <t>End Condition</t>
  </si>
  <si>
    <t>Ly =</t>
  </si>
  <si>
    <t>Span Lx =</t>
  </si>
  <si>
    <t>m</t>
  </si>
  <si>
    <t>Lx =</t>
  </si>
  <si>
    <t>Span Ly=</t>
  </si>
  <si>
    <t>Ly/Lx =</t>
  </si>
  <si>
    <t>D =</t>
  </si>
  <si>
    <t>d =</t>
  </si>
  <si>
    <t>Loading</t>
  </si>
  <si>
    <t xml:space="preserve">Moment Cofficient </t>
  </si>
  <si>
    <t>Dead Load</t>
  </si>
  <si>
    <t>Table no. 26 of IS 456-2000</t>
  </si>
  <si>
    <t>S.W.</t>
  </si>
  <si>
    <r>
      <rPr>
        <sz val="11"/>
        <color theme="1"/>
        <rFont val="Calibri"/>
        <charset val="134"/>
        <scheme val="minor"/>
      </rPr>
      <t>KN/m</t>
    </r>
    <r>
      <rPr>
        <sz val="11"/>
        <color theme="1"/>
        <rFont val="Calibri"/>
        <charset val="134"/>
      </rPr>
      <t>²</t>
    </r>
  </si>
  <si>
    <t>Positive moment At Mid Span</t>
  </si>
  <si>
    <t>Screed</t>
  </si>
  <si>
    <r>
      <rPr>
        <sz val="11"/>
        <color theme="1"/>
        <rFont val="Calibri"/>
        <charset val="134"/>
        <scheme val="minor"/>
      </rPr>
      <t xml:space="preserve">Short </t>
    </r>
    <r>
      <rPr>
        <sz val="11"/>
        <color theme="1"/>
        <rFont val="Calibri"/>
        <charset val="134"/>
      </rPr>
      <t>βsx</t>
    </r>
  </si>
  <si>
    <t>Finishing</t>
  </si>
  <si>
    <r>
      <rPr>
        <sz val="11"/>
        <color theme="1"/>
        <rFont val="Calibri"/>
        <charset val="134"/>
        <scheme val="minor"/>
      </rPr>
      <t xml:space="preserve">Long </t>
    </r>
    <r>
      <rPr>
        <sz val="11"/>
        <color theme="1"/>
        <rFont val="Calibri"/>
        <charset val="134"/>
      </rPr>
      <t>βsy</t>
    </r>
  </si>
  <si>
    <t>Services</t>
  </si>
  <si>
    <t>Negative moment At Edge</t>
  </si>
  <si>
    <t>Total</t>
  </si>
  <si>
    <t>Imposed Load</t>
  </si>
  <si>
    <t>Live load</t>
  </si>
  <si>
    <t>Deflection Check</t>
  </si>
  <si>
    <t>Basic Span/d =</t>
  </si>
  <si>
    <t>Factored Load</t>
  </si>
  <si>
    <t>fs =</t>
  </si>
  <si>
    <t>Mod. Factor =</t>
  </si>
  <si>
    <t>Limiting Span/d =</t>
  </si>
  <si>
    <t>Actual Span/d =</t>
  </si>
  <si>
    <t>Bending</t>
  </si>
  <si>
    <t>Crack Control</t>
  </si>
  <si>
    <t>Mid span short</t>
  </si>
  <si>
    <t>Clear spacing should not exceed</t>
  </si>
  <si>
    <t>Msx</t>
  </si>
  <si>
    <t>KNm</t>
  </si>
  <si>
    <t>300 mm</t>
  </si>
  <si>
    <t>or</t>
  </si>
  <si>
    <t>3d</t>
  </si>
  <si>
    <t>fy/(fcub)</t>
  </si>
  <si>
    <t>safe</t>
  </si>
  <si>
    <t>d(-)</t>
  </si>
  <si>
    <t>M/(0.8fy)</t>
  </si>
  <si>
    <t>Ast (req)</t>
  </si>
  <si>
    <t>Ast (prov.)</t>
  </si>
  <si>
    <r>
      <rPr>
        <sz val="11"/>
        <color theme="1"/>
        <rFont val="Calibri"/>
        <charset val="134"/>
        <scheme val="minor"/>
      </rPr>
      <t>8mm</t>
    </r>
    <r>
      <rPr>
        <sz val="11"/>
        <color theme="1"/>
        <rFont val="Calibri"/>
        <charset val="134"/>
      </rPr>
      <t>φ</t>
    </r>
  </si>
  <si>
    <t>Spacing(req.)=</t>
  </si>
  <si>
    <t>Spacing(prov)=</t>
  </si>
  <si>
    <t xml:space="preserve">Providing </t>
  </si>
  <si>
    <t>8mmφ</t>
  </si>
  <si>
    <t>@</t>
  </si>
  <si>
    <t>c/c</t>
  </si>
  <si>
    <t>Mid span long</t>
  </si>
  <si>
    <t>Msy</t>
  </si>
  <si>
    <t>Edge span short</t>
  </si>
  <si>
    <t>Edge span long</t>
  </si>
  <si>
    <t xml:space="preserve">              Design of Combined Footing                                         </t>
  </si>
  <si>
    <t>Axial load on Column B3=</t>
  </si>
  <si>
    <t>kN</t>
  </si>
  <si>
    <t>c/c dist.</t>
  </si>
  <si>
    <t>Column 1</t>
  </si>
  <si>
    <t>Node</t>
  </si>
  <si>
    <t>Grid</t>
  </si>
  <si>
    <t>Axial Factor Load</t>
  </si>
  <si>
    <t>Axial Non factor load</t>
  </si>
  <si>
    <t>Axial load on Column B2=</t>
  </si>
  <si>
    <t xml:space="preserve">left edge </t>
  </si>
  <si>
    <t>KN</t>
  </si>
  <si>
    <t>Size of Column B1=</t>
  </si>
  <si>
    <t>edge to c/c dist</t>
  </si>
  <si>
    <t>`10</t>
  </si>
  <si>
    <t>Size of Column C1=</t>
  </si>
  <si>
    <t>Bearing Capacity of soil=</t>
  </si>
  <si>
    <t>kN/sq.m</t>
  </si>
  <si>
    <t>Column 7</t>
  </si>
  <si>
    <t>Right edge</t>
  </si>
  <si>
    <t>Taking node 1&amp;7</t>
  </si>
  <si>
    <t>i.Length and Width of the footing</t>
  </si>
  <si>
    <t>Centre of gravity of load from the property line</t>
  </si>
  <si>
    <t>X=</t>
  </si>
  <si>
    <t>(PA*x+PB*y)/(PA+PB)</t>
  </si>
  <si>
    <t>Length of Footing=</t>
  </si>
  <si>
    <t>2*X</t>
  </si>
  <si>
    <t>Assume</t>
  </si>
  <si>
    <t>Assume Weight of footing and earth above it as 5% of total weight</t>
  </si>
  <si>
    <t>Total load on earth=</t>
  </si>
  <si>
    <t xml:space="preserve">                                 </t>
  </si>
  <si>
    <t>(PA+PB)*1.05</t>
  </si>
  <si>
    <t>Footing Width=</t>
  </si>
  <si>
    <t>Total Load on earth/(length of footing*Bearing Capacity)</t>
  </si>
  <si>
    <t>m width of footing</t>
  </si>
  <si>
    <t>ii.Longitudinal Bending moment and shear</t>
  </si>
  <si>
    <t>Factored load on Column B1=</t>
  </si>
  <si>
    <t>Factored load on Column C1=</t>
  </si>
  <si>
    <t>Net upward Soil Pressure=</t>
  </si>
  <si>
    <t>(Pau+Pbu)/(length of footing*width of Footing)</t>
  </si>
  <si>
    <t>Net upward soil pressure per unit length=</t>
  </si>
  <si>
    <t>kN/m</t>
  </si>
  <si>
    <t>Maximum shear force at centre line of column A</t>
  </si>
  <si>
    <t>V1=</t>
  </si>
  <si>
    <t>Netupward soil pressure per unit length * c/c distance</t>
  </si>
  <si>
    <t>Negative shear force</t>
  </si>
  <si>
    <t>V2=</t>
  </si>
  <si>
    <t>V1+Pau</t>
  </si>
  <si>
    <t>Positive shear force</t>
  </si>
  <si>
    <t>Maximum Shear force at centre line of Column B</t>
  </si>
  <si>
    <t>V1-Pbu</t>
  </si>
  <si>
    <t>Point of Zero Shear force from centre of column A(from Calculation)</t>
  </si>
  <si>
    <t>x=</t>
  </si>
  <si>
    <t>Maximum bending moment computed from left side</t>
  </si>
  <si>
    <t>BM=</t>
  </si>
  <si>
    <t>(Net upward soil pressure (dist. From left edgt to A column+X)^2)/2-1.5*Factored load*X</t>
  </si>
  <si>
    <t>Maximum bending moment computed from Right side</t>
  </si>
  <si>
    <t>(Net upward soil pressure (dist. From right edgt to B column+X)^2)/2-1.5*Factored load B*X</t>
  </si>
  <si>
    <t>For computation thickness of footing</t>
  </si>
  <si>
    <t>Bm=</t>
  </si>
  <si>
    <t>0.138*fck*b*d^2</t>
  </si>
  <si>
    <t>d^2=</t>
  </si>
  <si>
    <t>d=</t>
  </si>
  <si>
    <t>Adopt overall depth as 450mm &amp; effective depth as 410mm</t>
  </si>
  <si>
    <t>iii) Main negative longitudinal reinforcement</t>
  </si>
  <si>
    <t>0.87*fy*Ast (d-fy*ast/(fck*b))</t>
  </si>
  <si>
    <t>Simplyfying this into Quadratic equation (Ax^2+Bx+c=0)</t>
  </si>
  <si>
    <t>Ast=</t>
  </si>
  <si>
    <t>sqm</t>
  </si>
  <si>
    <t>use 12mm dia bar which gives 113 sqmm</t>
  </si>
  <si>
    <t>No of bars=</t>
  </si>
  <si>
    <t>nos</t>
  </si>
  <si>
    <t>Spacing</t>
  </si>
  <si>
    <t xml:space="preserve">Adopt 150mm spacing using 12mm dia bar </t>
  </si>
  <si>
    <t>Development length  for bar=56 dia</t>
  </si>
  <si>
    <t xml:space="preserve"> Design of staircase</t>
  </si>
  <si>
    <t>Unit weight of RCC=</t>
  </si>
  <si>
    <t>Available width of Staircase=</t>
  </si>
  <si>
    <t>Floor to Floor Height =</t>
  </si>
  <si>
    <t>Height of Riser=</t>
  </si>
  <si>
    <t>Width of tread=</t>
  </si>
  <si>
    <t>Number of Riser=</t>
  </si>
  <si>
    <t>Number of Tread required</t>
  </si>
  <si>
    <t>Design of Staircase AB</t>
  </si>
  <si>
    <t>Effective span of flight=</t>
  </si>
  <si>
    <t>Centre to centre distance of Support</t>
  </si>
  <si>
    <t>=</t>
  </si>
  <si>
    <t>Thickness of waist slab=</t>
  </si>
  <si>
    <t>(1/20) of span(approx.)</t>
  </si>
  <si>
    <t xml:space="preserve">let us take </t>
  </si>
  <si>
    <t>D=</t>
  </si>
  <si>
    <t>LOADS</t>
  </si>
  <si>
    <t>i. weight of waist slab in plan (per m width of flight)</t>
  </si>
  <si>
    <t>D*Sqreroot(1+sqre(R/T))*unit weight</t>
  </si>
  <si>
    <t>ii. Weight of steps (per m width of flight)=</t>
  </si>
  <si>
    <t>(25RT)/2T</t>
  </si>
  <si>
    <t>Total dead load=</t>
  </si>
  <si>
    <t>Live load=</t>
  </si>
  <si>
    <t>Total DL + LL=</t>
  </si>
  <si>
    <t>Factored load,wu=</t>
  </si>
  <si>
    <t>For landing,</t>
  </si>
  <si>
    <t>DL=</t>
  </si>
  <si>
    <t>LL=</t>
  </si>
  <si>
    <t>Total, DL+LL=</t>
  </si>
  <si>
    <t>Factored load=</t>
  </si>
  <si>
    <t>Design Moment</t>
  </si>
  <si>
    <t>Reaction at supports, RA=</t>
  </si>
  <si>
    <t>Reaction at supports, RB=</t>
  </si>
  <si>
    <t>BM at mid span, Mu=</t>
  </si>
  <si>
    <t>kNm</t>
  </si>
  <si>
    <t>Max. BM allowed for a singly reinforced section with Fe500=</t>
  </si>
  <si>
    <t>0.138*fck*b*d*d</t>
  </si>
  <si>
    <t>&gt; 17.9kN/m</t>
  </si>
  <si>
    <t>Hence, sectio can be designed as singly reinforced</t>
  </si>
  <si>
    <t>Area of Reinforcment</t>
  </si>
  <si>
    <t>a</t>
  </si>
  <si>
    <t>b</t>
  </si>
  <si>
    <t>c</t>
  </si>
  <si>
    <t>area</t>
  </si>
  <si>
    <t>Spacing provid</t>
  </si>
  <si>
    <t>Mu=</t>
  </si>
  <si>
    <t>0.87*fy*Ast*d*(1-(Ast/b*d)*(fy/fck))</t>
  </si>
  <si>
    <t>Computing</t>
  </si>
  <si>
    <t>Using 10mm bars, Asteel=</t>
  </si>
  <si>
    <t>Sq.mm</t>
  </si>
  <si>
    <t>Spacing=</t>
  </si>
  <si>
    <t>Asteel/Ast</t>
  </si>
  <si>
    <t>Considering spacing = 150mm</t>
  </si>
  <si>
    <t>Area provided, Aprovd=</t>
  </si>
  <si>
    <t>Provide 8mm dia. Bars @</t>
  </si>
  <si>
    <t>Distribution Steel=</t>
  </si>
  <si>
    <t>0.12% of area</t>
  </si>
  <si>
    <t>using 8mm dia. Bars, Asteel=</t>
  </si>
  <si>
    <t>Spacing of 8 mm dia. Bars=</t>
  </si>
  <si>
    <t>Providing spacing=200mm</t>
  </si>
  <si>
    <t>Ast provided=</t>
  </si>
  <si>
    <t>provide 8mm dia. Bars @ 200mm c/c</t>
  </si>
  <si>
    <t>Development length</t>
  </si>
  <si>
    <t>Ld=</t>
  </si>
  <si>
    <t>(Dia. Of steel*0.87*fy)/(4*shear strength)</t>
  </si>
  <si>
    <t xml:space="preserve">Providing 600mm length of bars at points where Ld is required </t>
  </si>
  <si>
    <t>Design of Staricase BB'</t>
  </si>
  <si>
    <t>Reaction at supports, RB'=</t>
  </si>
  <si>
    <t>&gt; 32.3kN/m</t>
  </si>
  <si>
    <t>Considering spacing = 115mm</t>
  </si>
  <si>
    <t xml:space="preserve">Providing 1000mm length of bars at points where Ld is required </t>
  </si>
  <si>
    <t>Joint</t>
  </si>
  <si>
    <t>Square Footing design</t>
  </si>
  <si>
    <t>Design of Isolated foundation</t>
  </si>
  <si>
    <t>Design of Isolated foundation for column  Node no:77</t>
  </si>
  <si>
    <t>Axial Load on Column, P =</t>
  </si>
  <si>
    <t>Bearing Capacity of soil q=</t>
  </si>
  <si>
    <t>length of column=</t>
  </si>
  <si>
    <t>Breadth of Column=</t>
  </si>
  <si>
    <t>fck=</t>
  </si>
  <si>
    <t>N/sq.mm</t>
  </si>
  <si>
    <t>fy=</t>
  </si>
  <si>
    <t>Calculation of Load</t>
  </si>
  <si>
    <t>P=</t>
  </si>
  <si>
    <t>Self wt. of footing=</t>
  </si>
  <si>
    <t>10% of Axial load on column</t>
  </si>
  <si>
    <t>Total Load =</t>
  </si>
  <si>
    <t>Area of footing</t>
  </si>
  <si>
    <t>A=</t>
  </si>
  <si>
    <t>Total Load/Bearing Capacity of Soil</t>
  </si>
  <si>
    <t>Sq.m</t>
  </si>
  <si>
    <t>Therefore , Size of Footing=</t>
  </si>
  <si>
    <t>Considering</t>
  </si>
  <si>
    <t>Breadth of Footing=</t>
  </si>
  <si>
    <t>Effective Width be=</t>
  </si>
  <si>
    <t>b+(B-b)/8</t>
  </si>
  <si>
    <t>~</t>
  </si>
  <si>
    <t>Uplift Pressure, P=</t>
  </si>
  <si>
    <t>Moment at Col. Face=</t>
  </si>
  <si>
    <t>dmin=</t>
  </si>
  <si>
    <r>
      <rPr>
        <sz val="11"/>
        <color theme="1"/>
        <rFont val="Calibri"/>
        <charset val="134"/>
      </rPr>
      <t>√</t>
    </r>
    <r>
      <rPr>
        <sz val="12.65"/>
        <color theme="1"/>
        <rFont val="Calibri"/>
        <charset val="134"/>
      </rPr>
      <t>(M/1.38*fck*be)</t>
    </r>
  </si>
  <si>
    <t>Adopt D</t>
  </si>
  <si>
    <t>Area of Reinforcement</t>
  </si>
  <si>
    <t>M=</t>
  </si>
  <si>
    <t>0.87*fy*Ast*(d-(fy*Ast/fck*be)</t>
  </si>
  <si>
    <t>Solving it into quadratic equation</t>
  </si>
  <si>
    <t>A=fy</t>
  </si>
  <si>
    <t>B=bdfck</t>
  </si>
  <si>
    <t>C=BM*fck*b/(.87*fy)</t>
  </si>
  <si>
    <t>Ast=(-b+SQRT(b^2-4*A*C))/(2*A)</t>
  </si>
  <si>
    <t>Therefore, Ast=1437.1 sq.mm</t>
  </si>
  <si>
    <t>Providing 12mm dia reinforcement, Asteel=113 sq.mm</t>
  </si>
  <si>
    <t>(B)/Ast/Asteel</t>
  </si>
  <si>
    <t>Consider Spacing= 150mm</t>
  </si>
  <si>
    <t>sqmm</t>
  </si>
  <si>
    <t>% of reinforcement = (Ast provided/B*D)*100</t>
  </si>
  <si>
    <t>%</t>
  </si>
  <si>
    <t>Provide 12mm dia reinforcement on both side @150mm c/c</t>
  </si>
  <si>
    <t>Length</t>
  </si>
  <si>
    <t>0.1L</t>
  </si>
  <si>
    <t>0.15L</t>
  </si>
  <si>
    <t>0.25L</t>
  </si>
  <si>
    <t>0.3L</t>
  </si>
  <si>
    <t>STOREY</t>
  </si>
  <si>
    <t>TOTAL DEFLECTION</t>
  </si>
  <si>
    <t>STOREY DRIFT</t>
  </si>
  <si>
    <t>STOREY HEIGHT</t>
  </si>
  <si>
    <t>DRIFT RATIO</t>
  </si>
  <si>
    <t>∆X mm</t>
  </si>
  <si>
    <t>Mm</t>
  </si>
  <si>
    <t xml:space="preserve"> </t>
  </si>
  <si>
    <t>∆Y mm</t>
  </si>
  <si>
    <t>D1</t>
  </si>
  <si>
    <t>D2</t>
  </si>
  <si>
    <t>D3</t>
  </si>
  <si>
    <t>2*Area</t>
  </si>
  <si>
    <t>3*Area</t>
  </si>
  <si>
    <t>4*area</t>
  </si>
  <si>
    <t>5*Area</t>
  </si>
  <si>
    <t>6*Area</t>
  </si>
  <si>
    <t>8*Area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</si>
</sst>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8"/>
      <color rgb="FF000000"/>
      <name val="Arial"/>
      <charset val="134"/>
    </font>
    <font>
      <b/>
      <sz val="16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rgb="FFFF0000"/>
      <name val="Calibri"/>
      <charset val="134"/>
      <scheme val="minor"/>
    </font>
    <font>
      <sz val="12.65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rgb="FF92D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138">
    <xf numFmtId="0" fontId="0" fillId="0" borderId="0" xfId="0"/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165" fontId="0" fillId="0" borderId="0" xfId="0" applyNumberFormat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65" fontId="0" fillId="0" borderId="24" xfId="0" applyNumberFormat="1" applyBorder="1" applyAlignment="1">
      <alignment wrapText="1"/>
    </xf>
    <xf numFmtId="0" fontId="0" fillId="0" borderId="25" xfId="0" applyBorder="1" applyAlignment="1">
      <alignment wrapText="1"/>
    </xf>
    <xf numFmtId="165" fontId="0" fillId="0" borderId="28" xfId="0" applyNumberFormat="1" applyBorder="1"/>
    <xf numFmtId="0" fontId="4" fillId="0" borderId="32" xfId="0" applyFont="1" applyBorder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2" fontId="0" fillId="0" borderId="0" xfId="0" applyNumberFormat="1"/>
    <xf numFmtId="0" fontId="0" fillId="0" borderId="15" xfId="0" applyBorder="1" applyAlignment="1">
      <alignment wrapText="1"/>
    </xf>
    <xf numFmtId="165" fontId="0" fillId="0" borderId="0" xfId="0" applyNumberForma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>
      <alignment horizontal="center"/>
    </xf>
    <xf numFmtId="165" fontId="0" fillId="2" borderId="0" xfId="0" applyNumberFormat="1" applyFill="1" applyAlignment="1">
      <alignment horizontal="right"/>
    </xf>
    <xf numFmtId="165" fontId="0" fillId="2" borderId="0" xfId="0" applyNumberFormat="1" applyFill="1"/>
    <xf numFmtId="165" fontId="0" fillId="2" borderId="0" xfId="1" applyNumberFormat="1" applyFont="1" applyFill="1" applyAlignme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right"/>
    </xf>
    <xf numFmtId="165" fontId="5" fillId="0" borderId="0" xfId="0" applyNumberFormat="1" applyFont="1"/>
    <xf numFmtId="0" fontId="5" fillId="0" borderId="0" xfId="0" applyFont="1" applyAlignment="1">
      <alignment horizontal="left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0" fontId="0" fillId="0" borderId="12" xfId="0" applyBorder="1" applyAlignment="1">
      <alignment horizontal="center"/>
    </xf>
    <xf numFmtId="165" fontId="0" fillId="0" borderId="12" xfId="0" applyNumberFormat="1" applyBorder="1" applyAlignment="1">
      <alignment wrapText="1"/>
    </xf>
    <xf numFmtId="0" fontId="2" fillId="0" borderId="12" xfId="0" applyFont="1" applyBorder="1" applyAlignment="1">
      <alignment horizontal="center" vertical="top" wrapText="1"/>
    </xf>
    <xf numFmtId="165" fontId="0" fillId="0" borderId="12" xfId="0" applyNumberFormat="1" applyBorder="1"/>
    <xf numFmtId="0" fontId="0" fillId="2" borderId="0" xfId="0" applyFill="1"/>
    <xf numFmtId="0" fontId="6" fillId="0" borderId="0" xfId="0" applyFont="1"/>
    <xf numFmtId="0" fontId="7" fillId="0" borderId="0" xfId="2" applyAlignment="1" applyProtection="1"/>
    <xf numFmtId="0" fontId="8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2" fontId="0" fillId="0" borderId="0" xfId="0" applyNumberFormat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/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6" xfId="0" applyBorder="1"/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7" xfId="0" applyBorder="1"/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33" xfId="0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2" fillId="0" borderId="30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2" fillId="0" borderId="26" xfId="0" applyFont="1" applyBorder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2</xdr:row>
      <xdr:rowOff>180975</xdr:rowOff>
    </xdr:from>
    <xdr:to>
      <xdr:col>14</xdr:col>
      <xdr:colOff>245753</xdr:colOff>
      <xdr:row>21</xdr:row>
      <xdr:rowOff>38100</xdr:rowOff>
    </xdr:to>
    <xdr:pic>
      <xdr:nvPicPr>
        <xdr:cNvPr id="2" name="Picture 1" descr="Captur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9300" y="546735"/>
          <a:ext cx="5107305" cy="3514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P71"/>
  <sheetViews>
    <sheetView tabSelected="1" workbookViewId="0">
      <selection activeCell="M3" sqref="M3"/>
    </sheetView>
  </sheetViews>
  <sheetFormatPr defaultColWidth="9" defaultRowHeight="14.4"/>
  <cols>
    <col min="3" max="3" width="14.109375" customWidth="1"/>
    <col min="4" max="5" width="11.33203125" customWidth="1"/>
    <col min="6" max="6" width="13.109375" customWidth="1"/>
    <col min="7" max="11" width="9.109375" customWidth="1"/>
  </cols>
  <sheetData>
    <row r="2" spans="1:16">
      <c r="A2" s="27" t="s">
        <v>0</v>
      </c>
      <c r="I2" t="s">
        <v>1</v>
      </c>
      <c r="J2" t="s">
        <v>2</v>
      </c>
      <c r="K2" t="s">
        <v>386</v>
      </c>
      <c r="L2" t="s">
        <v>387</v>
      </c>
      <c r="M2" t="s">
        <v>388</v>
      </c>
      <c r="N2" t="s">
        <v>389</v>
      </c>
      <c r="O2" t="s">
        <v>390</v>
      </c>
      <c r="P2" t="s">
        <v>391</v>
      </c>
    </row>
    <row r="3" spans="1:16">
      <c r="I3">
        <v>6</v>
      </c>
      <c r="J3" s="30">
        <f>PI()*I3^2/4</f>
        <v>28.274333882308138</v>
      </c>
    </row>
    <row r="4" spans="1:16">
      <c r="A4" t="s">
        <v>3</v>
      </c>
      <c r="C4" t="s">
        <v>4</v>
      </c>
      <c r="I4">
        <v>8</v>
      </c>
      <c r="J4" s="30">
        <f t="shared" ref="J4:J11" si="0">PI()*I4^2/4</f>
        <v>50.26548245743669</v>
      </c>
    </row>
    <row r="5" spans="1:16">
      <c r="C5" t="s">
        <v>5</v>
      </c>
      <c r="I5">
        <v>10</v>
      </c>
      <c r="J5" s="30">
        <f t="shared" si="0"/>
        <v>78.539816339744831</v>
      </c>
    </row>
    <row r="6" spans="1:16">
      <c r="I6">
        <v>12</v>
      </c>
      <c r="J6" s="30">
        <f t="shared" si="0"/>
        <v>113.09733552923255</v>
      </c>
      <c r="K6">
        <f>J6*2</f>
        <v>226.1946710584651</v>
      </c>
      <c r="L6">
        <f>J6*3</f>
        <v>339.29200658769764</v>
      </c>
      <c r="M6">
        <f>J6*4</f>
        <v>452.38934211693021</v>
      </c>
      <c r="N6">
        <f>J6*5</f>
        <v>565.48667764616278</v>
      </c>
      <c r="O6">
        <f>J6*6</f>
        <v>678.58401317539528</v>
      </c>
      <c r="P6">
        <f>J6*8</f>
        <v>904.77868423386042</v>
      </c>
    </row>
    <row r="7" spans="1:16">
      <c r="A7" t="s">
        <v>6</v>
      </c>
      <c r="I7">
        <v>16</v>
      </c>
      <c r="J7" s="30">
        <f t="shared" si="0"/>
        <v>201.06192982974676</v>
      </c>
      <c r="K7">
        <f>J7*4</f>
        <v>804.24771931898704</v>
      </c>
      <c r="L7">
        <f t="shared" ref="L7:L11" si="1">J7*3</f>
        <v>603.18578948924028</v>
      </c>
      <c r="M7">
        <f t="shared" ref="M7:M11" si="2">J7*4</f>
        <v>804.24771931898704</v>
      </c>
      <c r="N7">
        <f t="shared" ref="N7:N11" si="3">J7*5</f>
        <v>1005.3096491487338</v>
      </c>
      <c r="O7">
        <f t="shared" ref="O7:O11" si="4">J7*6</f>
        <v>1206.3715789784806</v>
      </c>
      <c r="P7">
        <f>J7*8</f>
        <v>1608.4954386379741</v>
      </c>
    </row>
    <row r="8" spans="1:16">
      <c r="B8" t="s">
        <v>7</v>
      </c>
      <c r="I8">
        <v>20</v>
      </c>
      <c r="J8" s="30">
        <f t="shared" si="0"/>
        <v>314.15926535897933</v>
      </c>
      <c r="K8">
        <f>J8*4</f>
        <v>1256.6370614359173</v>
      </c>
      <c r="L8">
        <f t="shared" si="1"/>
        <v>942.47779607693792</v>
      </c>
      <c r="M8">
        <f t="shared" si="2"/>
        <v>1256.6370614359173</v>
      </c>
      <c r="N8">
        <f t="shared" si="3"/>
        <v>1570.7963267948967</v>
      </c>
      <c r="O8">
        <f t="shared" si="4"/>
        <v>1884.9555921538758</v>
      </c>
      <c r="P8">
        <f>J8*8</f>
        <v>2513.2741228718346</v>
      </c>
    </row>
    <row r="9" spans="1:16">
      <c r="B9" t="s">
        <v>8</v>
      </c>
      <c r="C9" t="s">
        <v>9</v>
      </c>
      <c r="I9">
        <v>22</v>
      </c>
      <c r="J9" s="30">
        <f t="shared" si="0"/>
        <v>380.13271108436498</v>
      </c>
      <c r="K9">
        <f>J9*4</f>
        <v>1520.5308443374599</v>
      </c>
      <c r="L9">
        <f t="shared" si="1"/>
        <v>1140.398133253095</v>
      </c>
      <c r="M9">
        <f t="shared" si="2"/>
        <v>1520.5308443374599</v>
      </c>
      <c r="N9">
        <f t="shared" si="3"/>
        <v>1900.6635554218249</v>
      </c>
      <c r="O9">
        <f t="shared" si="4"/>
        <v>2280.79626650619</v>
      </c>
      <c r="P9">
        <f>J9*8</f>
        <v>3041.0616886749199</v>
      </c>
    </row>
    <row r="10" spans="1:16">
      <c r="I10">
        <v>24</v>
      </c>
      <c r="J10" s="30">
        <f t="shared" si="0"/>
        <v>452.38934211693021</v>
      </c>
      <c r="K10">
        <f>J10*4</f>
        <v>1809.5573684677208</v>
      </c>
      <c r="L10">
        <f t="shared" si="1"/>
        <v>1357.1680263507906</v>
      </c>
      <c r="M10">
        <f t="shared" si="2"/>
        <v>1809.5573684677208</v>
      </c>
      <c r="N10">
        <f t="shared" si="3"/>
        <v>2261.9467105846511</v>
      </c>
      <c r="O10">
        <f t="shared" si="4"/>
        <v>2714.3360527015811</v>
      </c>
      <c r="P10">
        <f>J10*8</f>
        <v>3619.1147369354417</v>
      </c>
    </row>
    <row r="11" spans="1:16">
      <c r="A11" t="s">
        <v>10</v>
      </c>
      <c r="I11">
        <v>25</v>
      </c>
      <c r="J11" s="30">
        <f t="shared" si="0"/>
        <v>490.87385212340519</v>
      </c>
      <c r="K11">
        <f>J11*4</f>
        <v>1963.4954084936207</v>
      </c>
      <c r="L11">
        <f t="shared" si="1"/>
        <v>1472.6215563702156</v>
      </c>
      <c r="M11">
        <f t="shared" si="2"/>
        <v>1963.4954084936207</v>
      </c>
      <c r="N11">
        <f t="shared" si="3"/>
        <v>2454.3692606170262</v>
      </c>
      <c r="O11">
        <f t="shared" si="4"/>
        <v>2945.2431127404311</v>
      </c>
      <c r="P11">
        <f>J11*8</f>
        <v>3926.9908169872415</v>
      </c>
    </row>
    <row r="12" spans="1:16">
      <c r="B12" t="s">
        <v>11</v>
      </c>
    </row>
    <row r="13" spans="1:16">
      <c r="B13" t="s">
        <v>12</v>
      </c>
      <c r="C13" t="s">
        <v>13</v>
      </c>
    </row>
    <row r="15" spans="1:16" ht="15" customHeight="1">
      <c r="A15" s="114" t="s">
        <v>14</v>
      </c>
      <c r="B15" s="107" t="s">
        <v>15</v>
      </c>
      <c r="C15" s="110" t="s">
        <v>16</v>
      </c>
      <c r="D15" s="110" t="s">
        <v>17</v>
      </c>
      <c r="E15" s="110"/>
      <c r="F15" s="113"/>
      <c r="G15" s="89"/>
    </row>
    <row r="16" spans="1:16">
      <c r="A16" s="115"/>
      <c r="B16" s="108"/>
      <c r="C16" s="111"/>
      <c r="D16" s="108" t="s">
        <v>18</v>
      </c>
      <c r="E16" s="108"/>
      <c r="F16" s="91" t="s">
        <v>19</v>
      </c>
      <c r="G16" s="92"/>
    </row>
    <row r="17" spans="1:11">
      <c r="A17" s="115"/>
      <c r="B17" s="108"/>
      <c r="C17" s="111"/>
      <c r="D17" s="90" t="s">
        <v>20</v>
      </c>
      <c r="E17" s="90" t="s">
        <v>21</v>
      </c>
      <c r="F17" s="91" t="s">
        <v>22</v>
      </c>
      <c r="G17" s="92"/>
    </row>
    <row r="18" spans="1:11">
      <c r="A18" s="116"/>
      <c r="B18" s="109"/>
      <c r="C18" s="112"/>
      <c r="D18" s="99"/>
      <c r="E18" s="99"/>
      <c r="F18" s="100"/>
      <c r="G18" s="92"/>
    </row>
    <row r="19" spans="1:11">
      <c r="A19" s="90"/>
      <c r="B19" s="101" t="s">
        <v>385</v>
      </c>
      <c r="C19" s="102">
        <v>1846</v>
      </c>
      <c r="D19" s="101" t="str">
        <f t="shared" ref="D19:D21" si="5">IF(H19=20,"4-20mm dia","4-16mm dia")</f>
        <v>4-20mm dia</v>
      </c>
      <c r="E19" s="101" t="str">
        <f t="shared" ref="E19:E21" si="6">IF(I19=20,"4-20mm dia","4-16mm dia")</f>
        <v>4-16mm dia</v>
      </c>
      <c r="F19" s="101">
        <f t="shared" ref="F19:F21" si="7">ROUND(4*(J19+K19),0)</f>
        <v>2061</v>
      </c>
      <c r="G19" s="92">
        <f t="shared" ref="G19:G21" si="8">IF(F19&lt;C19,1,0)</f>
        <v>0</v>
      </c>
      <c r="H19">
        <v>20</v>
      </c>
      <c r="I19">
        <v>16</v>
      </c>
      <c r="J19">
        <f t="shared" ref="J19:J21" si="9">PI()*H19^2/4</f>
        <v>314.15926535897933</v>
      </c>
      <c r="K19">
        <f t="shared" ref="K19:K21" si="10">PI()*I19^2/4</f>
        <v>201.06192982974676</v>
      </c>
    </row>
    <row r="20" spans="1:11">
      <c r="A20" s="90"/>
      <c r="B20" s="101" t="s">
        <v>384</v>
      </c>
      <c r="C20" s="102">
        <v>1905</v>
      </c>
      <c r="D20" s="101" t="str">
        <f t="shared" si="5"/>
        <v>4-20mm dia</v>
      </c>
      <c r="E20" s="101" t="str">
        <f t="shared" si="6"/>
        <v>4-16mm dia</v>
      </c>
      <c r="F20" s="101">
        <f t="shared" si="7"/>
        <v>2061</v>
      </c>
      <c r="G20" s="92">
        <f t="shared" si="8"/>
        <v>0</v>
      </c>
      <c r="H20">
        <v>20</v>
      </c>
      <c r="I20">
        <v>16</v>
      </c>
      <c r="J20">
        <f t="shared" si="9"/>
        <v>314.15926535897933</v>
      </c>
      <c r="K20">
        <f t="shared" si="10"/>
        <v>201.06192982974676</v>
      </c>
    </row>
    <row r="21" spans="1:11">
      <c r="A21" s="90"/>
      <c r="B21" s="101" t="s">
        <v>383</v>
      </c>
      <c r="C21" s="102">
        <v>2106</v>
      </c>
      <c r="D21" s="101" t="str">
        <f t="shared" si="5"/>
        <v>4-20mm dia</v>
      </c>
      <c r="E21" s="101" t="str">
        <f t="shared" si="6"/>
        <v>4-20mm dia</v>
      </c>
      <c r="F21" s="101">
        <f t="shared" si="7"/>
        <v>2513</v>
      </c>
      <c r="G21" s="92">
        <f t="shared" si="8"/>
        <v>0</v>
      </c>
      <c r="H21">
        <v>20</v>
      </c>
      <c r="I21">
        <v>20</v>
      </c>
      <c r="J21">
        <f t="shared" si="9"/>
        <v>314.15926535897933</v>
      </c>
      <c r="K21">
        <f t="shared" si="10"/>
        <v>314.15926535897933</v>
      </c>
    </row>
    <row r="22" spans="1:11">
      <c r="A22" s="111" t="s">
        <v>23</v>
      </c>
      <c r="B22" s="90" t="s">
        <v>24</v>
      </c>
      <c r="C22" s="90">
        <v>1903</v>
      </c>
      <c r="D22" s="90" t="str">
        <f>IF(H22=20,"4-20mm dia","4-16mm dia")</f>
        <v>4-20mm dia</v>
      </c>
      <c r="E22" s="90" t="str">
        <f>IF(I22=20,"4-20mm dia","4-16mm dia")</f>
        <v>4-16mm dia</v>
      </c>
      <c r="F22" s="90">
        <f>ROUND(4*(J22+K22),0)</f>
        <v>2061</v>
      </c>
      <c r="G22" s="92">
        <f>IF(F22&lt;C22,1,0)</f>
        <v>0</v>
      </c>
      <c r="H22">
        <v>20</v>
      </c>
      <c r="I22">
        <v>16</v>
      </c>
      <c r="J22">
        <f>PI()*H22^2/4</f>
        <v>314.15926535897933</v>
      </c>
      <c r="K22">
        <f>PI()*I22^2/4</f>
        <v>201.06192982974676</v>
      </c>
    </row>
    <row r="23" spans="1:11">
      <c r="A23" s="111"/>
      <c r="B23" s="90" t="s">
        <v>25</v>
      </c>
      <c r="C23" s="90">
        <v>2024</v>
      </c>
      <c r="D23" s="90" t="str">
        <f t="shared" ref="D23:D57" si="11">IF(H23=20,"4-20mm dia","4-16mm dia")</f>
        <v>4-20mm dia</v>
      </c>
      <c r="E23" s="90" t="str">
        <f>IF(I23=20,"4-20mm dia","4-16mm dia")</f>
        <v>4-16mm dia</v>
      </c>
      <c r="F23" s="90">
        <f t="shared" ref="F23:F62" si="12">ROUND(4*(J23+K23),0)</f>
        <v>2061</v>
      </c>
      <c r="G23" s="92">
        <f t="shared" ref="G23:G62" si="13">IF(F23&lt;C23,1,0)</f>
        <v>0</v>
      </c>
      <c r="H23">
        <v>20</v>
      </c>
      <c r="I23">
        <v>16</v>
      </c>
      <c r="J23">
        <f t="shared" ref="J23:J62" si="14">PI()*H23^2/4</f>
        <v>314.15926535897933</v>
      </c>
      <c r="K23">
        <f t="shared" ref="K23:K62" si="15">PI()*I23^2/4</f>
        <v>201.06192982974676</v>
      </c>
    </row>
    <row r="24" spans="1:11">
      <c r="A24" s="111"/>
      <c r="B24" s="90" t="s">
        <v>26</v>
      </c>
      <c r="C24" s="90">
        <v>1679</v>
      </c>
      <c r="D24" s="90" t="str">
        <f t="shared" si="11"/>
        <v>4-20mm dia</v>
      </c>
      <c r="E24" s="90" t="str">
        <f t="shared" ref="E24:E48" si="16">IF(I24=20,"4-20mm dia","4-16mm dia")</f>
        <v>4-16mm dia</v>
      </c>
      <c r="F24" s="90">
        <f t="shared" si="12"/>
        <v>2061</v>
      </c>
      <c r="G24" s="92">
        <f t="shared" si="13"/>
        <v>0</v>
      </c>
      <c r="H24">
        <v>20</v>
      </c>
      <c r="I24">
        <v>16</v>
      </c>
      <c r="J24">
        <f t="shared" si="14"/>
        <v>314.15926535897933</v>
      </c>
      <c r="K24">
        <f t="shared" si="15"/>
        <v>201.06192982974676</v>
      </c>
    </row>
    <row r="25" spans="1:11">
      <c r="A25" s="111"/>
      <c r="B25" s="90" t="s">
        <v>27</v>
      </c>
      <c r="C25" s="90">
        <v>2168</v>
      </c>
      <c r="D25" s="90" t="str">
        <f t="shared" si="11"/>
        <v>4-20mm dia</v>
      </c>
      <c r="E25" s="90" t="str">
        <f t="shared" si="16"/>
        <v>4-20mm dia</v>
      </c>
      <c r="F25" s="90">
        <f t="shared" si="12"/>
        <v>2513</v>
      </c>
      <c r="G25" s="92">
        <f t="shared" si="13"/>
        <v>0</v>
      </c>
      <c r="H25">
        <v>20</v>
      </c>
      <c r="I25">
        <v>20</v>
      </c>
      <c r="J25">
        <f t="shared" si="14"/>
        <v>314.15926535897933</v>
      </c>
      <c r="K25">
        <f t="shared" si="15"/>
        <v>314.15926535897933</v>
      </c>
    </row>
    <row r="26" spans="1:11">
      <c r="A26" s="111"/>
      <c r="B26" s="90" t="s">
        <v>28</v>
      </c>
      <c r="C26" s="90">
        <v>2155</v>
      </c>
      <c r="D26" s="90" t="str">
        <f t="shared" si="11"/>
        <v>4-20mm dia</v>
      </c>
      <c r="E26" s="90" t="str">
        <f t="shared" si="16"/>
        <v>4-20mm dia</v>
      </c>
      <c r="F26" s="90">
        <f t="shared" si="12"/>
        <v>2513</v>
      </c>
      <c r="G26" s="92">
        <f t="shared" si="13"/>
        <v>0</v>
      </c>
      <c r="H26">
        <v>20</v>
      </c>
      <c r="I26">
        <v>20</v>
      </c>
      <c r="J26">
        <f t="shared" si="14"/>
        <v>314.15926535897933</v>
      </c>
      <c r="K26">
        <f t="shared" si="15"/>
        <v>314.15926535897933</v>
      </c>
    </row>
    <row r="27" spans="1:11">
      <c r="A27" s="111"/>
      <c r="B27" s="90" t="s">
        <v>29</v>
      </c>
      <c r="C27" s="90">
        <v>1604</v>
      </c>
      <c r="D27" s="90" t="str">
        <f t="shared" si="11"/>
        <v>4-16mm dia</v>
      </c>
      <c r="E27" s="90" t="str">
        <f t="shared" si="16"/>
        <v>4-16mm dia</v>
      </c>
      <c r="F27" s="90">
        <f t="shared" si="12"/>
        <v>1608</v>
      </c>
      <c r="G27" s="92">
        <f t="shared" si="13"/>
        <v>0</v>
      </c>
      <c r="H27">
        <v>16</v>
      </c>
      <c r="I27">
        <v>16</v>
      </c>
      <c r="J27">
        <f t="shared" si="14"/>
        <v>201.06192982974676</v>
      </c>
      <c r="K27">
        <f t="shared" si="15"/>
        <v>201.06192982974676</v>
      </c>
    </row>
    <row r="28" spans="1:11">
      <c r="A28" s="111"/>
      <c r="B28" s="90" t="s">
        <v>30</v>
      </c>
      <c r="C28" s="90">
        <v>1562</v>
      </c>
      <c r="D28" s="90" t="str">
        <f t="shared" si="11"/>
        <v>4-16mm dia</v>
      </c>
      <c r="E28" s="90" t="str">
        <f t="shared" si="16"/>
        <v>4-16mm dia</v>
      </c>
      <c r="F28" s="90">
        <f t="shared" si="12"/>
        <v>1608</v>
      </c>
      <c r="G28" s="92">
        <f t="shared" si="13"/>
        <v>0</v>
      </c>
      <c r="H28">
        <v>16</v>
      </c>
      <c r="I28">
        <v>16</v>
      </c>
      <c r="J28">
        <f t="shared" si="14"/>
        <v>201.06192982974676</v>
      </c>
      <c r="K28">
        <f t="shared" si="15"/>
        <v>201.06192982974676</v>
      </c>
    </row>
    <row r="29" spans="1:11">
      <c r="A29" s="111"/>
      <c r="B29" s="90" t="s">
        <v>31</v>
      </c>
      <c r="C29" s="90">
        <v>1474</v>
      </c>
      <c r="D29" s="90" t="str">
        <f t="shared" si="11"/>
        <v>4-16mm dia</v>
      </c>
      <c r="E29" s="90" t="str">
        <f t="shared" si="16"/>
        <v>4-16mm dia</v>
      </c>
      <c r="F29" s="90">
        <f t="shared" si="12"/>
        <v>1608</v>
      </c>
      <c r="G29" s="92">
        <f t="shared" si="13"/>
        <v>0</v>
      </c>
      <c r="H29">
        <v>16</v>
      </c>
      <c r="I29">
        <v>16</v>
      </c>
      <c r="J29">
        <f t="shared" si="14"/>
        <v>201.06192982974676</v>
      </c>
      <c r="K29">
        <f t="shared" si="15"/>
        <v>201.06192982974676</v>
      </c>
    </row>
    <row r="30" spans="1:11">
      <c r="A30" s="111"/>
      <c r="B30" s="90" t="s">
        <v>32</v>
      </c>
      <c r="C30" s="90">
        <v>0</v>
      </c>
      <c r="D30" s="90" t="str">
        <f t="shared" si="11"/>
        <v>4-16mm dia</v>
      </c>
      <c r="E30" s="90" t="str">
        <f t="shared" si="16"/>
        <v>4-16mm dia</v>
      </c>
      <c r="F30" s="90">
        <f t="shared" si="12"/>
        <v>1608</v>
      </c>
      <c r="G30" s="92">
        <f t="shared" si="13"/>
        <v>0</v>
      </c>
      <c r="H30">
        <v>16</v>
      </c>
      <c r="I30">
        <v>16</v>
      </c>
      <c r="J30">
        <f t="shared" si="14"/>
        <v>201.06192982974676</v>
      </c>
      <c r="K30">
        <f t="shared" si="15"/>
        <v>201.06192982974676</v>
      </c>
    </row>
    <row r="31" spans="1:11">
      <c r="A31" s="106" t="s">
        <v>33</v>
      </c>
      <c r="B31" s="96" t="s">
        <v>24</v>
      </c>
      <c r="C31" s="96">
        <v>857</v>
      </c>
      <c r="D31" s="96" t="str">
        <f t="shared" si="11"/>
        <v>4-16mm dia</v>
      </c>
      <c r="E31" s="96" t="str">
        <f t="shared" si="16"/>
        <v>4-16mm dia</v>
      </c>
      <c r="F31" s="97">
        <f t="shared" si="12"/>
        <v>1608</v>
      </c>
      <c r="G31" s="92">
        <f t="shared" si="13"/>
        <v>0</v>
      </c>
      <c r="H31">
        <v>16</v>
      </c>
      <c r="I31">
        <v>16</v>
      </c>
      <c r="J31">
        <f t="shared" si="14"/>
        <v>201.06192982974676</v>
      </c>
      <c r="K31">
        <f t="shared" si="15"/>
        <v>201.06192982974676</v>
      </c>
    </row>
    <row r="32" spans="1:11">
      <c r="A32" s="104"/>
      <c r="B32" s="90" t="s">
        <v>25</v>
      </c>
      <c r="C32" s="90">
        <v>1756</v>
      </c>
      <c r="D32" s="90" t="str">
        <f t="shared" si="11"/>
        <v>4-20mm dia</v>
      </c>
      <c r="E32" s="90" t="str">
        <f t="shared" si="16"/>
        <v>4-16mm dia</v>
      </c>
      <c r="F32" s="91">
        <f t="shared" si="12"/>
        <v>2061</v>
      </c>
      <c r="G32" s="92">
        <f t="shared" si="13"/>
        <v>0</v>
      </c>
      <c r="H32">
        <v>20</v>
      </c>
      <c r="I32">
        <v>16</v>
      </c>
      <c r="J32">
        <f t="shared" si="14"/>
        <v>314.15926535897933</v>
      </c>
      <c r="K32">
        <f t="shared" si="15"/>
        <v>201.06192982974676</v>
      </c>
    </row>
    <row r="33" spans="1:11">
      <c r="A33" s="104"/>
      <c r="B33" s="90" t="s">
        <v>26</v>
      </c>
      <c r="C33" s="90">
        <v>899</v>
      </c>
      <c r="D33" s="90" t="str">
        <f t="shared" si="11"/>
        <v>4-16mm dia</v>
      </c>
      <c r="E33" s="90" t="str">
        <f t="shared" si="16"/>
        <v>4-16mm dia</v>
      </c>
      <c r="F33" s="91">
        <f t="shared" si="12"/>
        <v>1608</v>
      </c>
      <c r="G33" s="92">
        <f t="shared" si="13"/>
        <v>0</v>
      </c>
      <c r="H33">
        <v>16</v>
      </c>
      <c r="I33">
        <v>16</v>
      </c>
      <c r="J33">
        <f t="shared" si="14"/>
        <v>201.06192982974676</v>
      </c>
      <c r="K33">
        <f t="shared" si="15"/>
        <v>201.06192982974676</v>
      </c>
    </row>
    <row r="34" spans="1:11">
      <c r="A34" s="104"/>
      <c r="B34" s="90" t="s">
        <v>27</v>
      </c>
      <c r="C34" s="90">
        <v>1933</v>
      </c>
      <c r="D34" s="90" t="str">
        <f t="shared" si="11"/>
        <v>4-20mm dia</v>
      </c>
      <c r="E34" s="90" t="str">
        <f t="shared" si="16"/>
        <v>4-16mm dia</v>
      </c>
      <c r="F34" s="91">
        <f t="shared" si="12"/>
        <v>2061</v>
      </c>
      <c r="G34" s="92">
        <f t="shared" si="13"/>
        <v>0</v>
      </c>
      <c r="H34">
        <v>20</v>
      </c>
      <c r="I34">
        <v>16</v>
      </c>
      <c r="J34">
        <f t="shared" si="14"/>
        <v>314.15926535897933</v>
      </c>
      <c r="K34">
        <f t="shared" si="15"/>
        <v>201.06192982974676</v>
      </c>
    </row>
    <row r="35" spans="1:11">
      <c r="A35" s="104"/>
      <c r="B35" s="90" t="s">
        <v>28</v>
      </c>
      <c r="C35" s="90">
        <v>1855</v>
      </c>
      <c r="D35" s="90" t="str">
        <f t="shared" si="11"/>
        <v>4-20mm dia</v>
      </c>
      <c r="E35" s="90" t="str">
        <f t="shared" si="16"/>
        <v>4-16mm dia</v>
      </c>
      <c r="F35" s="91">
        <f t="shared" si="12"/>
        <v>2061</v>
      </c>
      <c r="G35" s="92">
        <f t="shared" si="13"/>
        <v>0</v>
      </c>
      <c r="H35">
        <v>20</v>
      </c>
      <c r="I35">
        <v>16</v>
      </c>
      <c r="J35">
        <f t="shared" si="14"/>
        <v>314.15926535897933</v>
      </c>
      <c r="K35">
        <f t="shared" si="15"/>
        <v>201.06192982974676</v>
      </c>
    </row>
    <row r="36" spans="1:11">
      <c r="A36" s="104"/>
      <c r="B36" s="90" t="s">
        <v>29</v>
      </c>
      <c r="C36" s="90">
        <v>1291</v>
      </c>
      <c r="D36" s="90" t="str">
        <f t="shared" si="11"/>
        <v>4-16mm dia</v>
      </c>
      <c r="E36" s="90" t="str">
        <f t="shared" si="16"/>
        <v>4-16mm dia</v>
      </c>
      <c r="F36" s="91">
        <f t="shared" si="12"/>
        <v>1608</v>
      </c>
      <c r="G36" s="92">
        <f t="shared" si="13"/>
        <v>0</v>
      </c>
      <c r="H36">
        <v>16</v>
      </c>
      <c r="I36">
        <v>16</v>
      </c>
      <c r="J36">
        <f t="shared" si="14"/>
        <v>201.06192982974676</v>
      </c>
      <c r="K36">
        <f t="shared" si="15"/>
        <v>201.06192982974676</v>
      </c>
    </row>
    <row r="37" spans="1:11">
      <c r="A37" s="104"/>
      <c r="B37" s="90" t="s">
        <v>30</v>
      </c>
      <c r="C37" s="90">
        <v>939</v>
      </c>
      <c r="D37" s="90" t="str">
        <f t="shared" si="11"/>
        <v>4-16mm dia</v>
      </c>
      <c r="E37" s="90" t="str">
        <f t="shared" si="16"/>
        <v>4-16mm dia</v>
      </c>
      <c r="F37" s="91">
        <f t="shared" si="12"/>
        <v>1608</v>
      </c>
      <c r="G37" s="92">
        <f t="shared" si="13"/>
        <v>0</v>
      </c>
      <c r="H37">
        <v>16</v>
      </c>
      <c r="I37">
        <v>16</v>
      </c>
      <c r="J37">
        <f t="shared" si="14"/>
        <v>201.06192982974676</v>
      </c>
      <c r="K37">
        <f t="shared" si="15"/>
        <v>201.06192982974676</v>
      </c>
    </row>
    <row r="38" spans="1:11">
      <c r="A38" s="104"/>
      <c r="B38" s="90" t="s">
        <v>31</v>
      </c>
      <c r="C38" s="90">
        <v>1340</v>
      </c>
      <c r="D38" s="90" t="str">
        <f t="shared" si="11"/>
        <v>4-16mm dia</v>
      </c>
      <c r="E38" s="90" t="str">
        <f t="shared" si="16"/>
        <v>4-16mm dia</v>
      </c>
      <c r="F38" s="91">
        <f t="shared" si="12"/>
        <v>1608</v>
      </c>
      <c r="G38" s="92">
        <f t="shared" si="13"/>
        <v>0</v>
      </c>
      <c r="H38">
        <v>16</v>
      </c>
      <c r="I38">
        <v>16</v>
      </c>
      <c r="J38">
        <f t="shared" si="14"/>
        <v>201.06192982974676</v>
      </c>
      <c r="K38">
        <f t="shared" si="15"/>
        <v>201.06192982974676</v>
      </c>
    </row>
    <row r="39" spans="1:11">
      <c r="A39" s="105"/>
      <c r="B39" s="93" t="s">
        <v>32</v>
      </c>
      <c r="C39" s="93">
        <v>765</v>
      </c>
      <c r="D39" s="93" t="str">
        <f t="shared" si="11"/>
        <v>4-16mm dia</v>
      </c>
      <c r="E39" s="93" t="str">
        <f t="shared" si="16"/>
        <v>4-16mm dia</v>
      </c>
      <c r="F39" s="94">
        <f t="shared" si="12"/>
        <v>1608</v>
      </c>
      <c r="G39" s="92">
        <f t="shared" si="13"/>
        <v>0</v>
      </c>
      <c r="H39">
        <v>16</v>
      </c>
      <c r="I39">
        <v>16</v>
      </c>
      <c r="J39">
        <f t="shared" si="14"/>
        <v>201.06192982974676</v>
      </c>
      <c r="K39">
        <f t="shared" si="15"/>
        <v>201.06192982974676</v>
      </c>
    </row>
    <row r="40" spans="1:11">
      <c r="A40" s="103" t="s">
        <v>34</v>
      </c>
      <c r="B40" s="88" t="s">
        <v>24</v>
      </c>
      <c r="C40" s="88">
        <v>760</v>
      </c>
      <c r="D40" s="88" t="str">
        <f t="shared" si="11"/>
        <v>4-16mm dia</v>
      </c>
      <c r="E40" s="88" t="str">
        <f t="shared" si="16"/>
        <v>4-16mm dia</v>
      </c>
      <c r="F40" s="95">
        <f t="shared" si="12"/>
        <v>1608</v>
      </c>
      <c r="G40" s="92">
        <f t="shared" si="13"/>
        <v>0</v>
      </c>
      <c r="H40">
        <v>16</v>
      </c>
      <c r="I40">
        <v>16</v>
      </c>
      <c r="J40">
        <f t="shared" si="14"/>
        <v>201.06192982974676</v>
      </c>
      <c r="K40">
        <f t="shared" si="15"/>
        <v>201.06192982974676</v>
      </c>
    </row>
    <row r="41" spans="1:11">
      <c r="A41" s="104"/>
      <c r="B41" s="90" t="s">
        <v>25</v>
      </c>
      <c r="C41" s="90">
        <v>1435</v>
      </c>
      <c r="D41" s="90" t="str">
        <f t="shared" si="11"/>
        <v>4-16mm dia</v>
      </c>
      <c r="E41" s="90" t="str">
        <f t="shared" si="16"/>
        <v>4-16mm dia</v>
      </c>
      <c r="F41" s="91">
        <f t="shared" si="12"/>
        <v>1608</v>
      </c>
      <c r="G41" s="92">
        <f t="shared" si="13"/>
        <v>0</v>
      </c>
      <c r="H41">
        <v>16</v>
      </c>
      <c r="I41">
        <v>16</v>
      </c>
      <c r="J41">
        <f t="shared" si="14"/>
        <v>201.06192982974676</v>
      </c>
      <c r="K41">
        <f t="shared" si="15"/>
        <v>201.06192982974676</v>
      </c>
    </row>
    <row r="42" spans="1:11">
      <c r="A42" s="104"/>
      <c r="B42" s="90" t="s">
        <v>26</v>
      </c>
      <c r="C42" s="90">
        <v>836</v>
      </c>
      <c r="D42" s="90" t="str">
        <f t="shared" si="11"/>
        <v>4-16mm dia</v>
      </c>
      <c r="E42" s="90" t="str">
        <f t="shared" si="16"/>
        <v>4-16mm dia</v>
      </c>
      <c r="F42" s="91">
        <f t="shared" si="12"/>
        <v>1608</v>
      </c>
      <c r="G42" s="92">
        <f t="shared" si="13"/>
        <v>0</v>
      </c>
      <c r="H42">
        <v>16</v>
      </c>
      <c r="I42">
        <v>16</v>
      </c>
      <c r="J42">
        <f t="shared" si="14"/>
        <v>201.06192982974676</v>
      </c>
      <c r="K42">
        <f t="shared" si="15"/>
        <v>201.06192982974676</v>
      </c>
    </row>
    <row r="43" spans="1:11">
      <c r="A43" s="104"/>
      <c r="B43" s="90" t="s">
        <v>27</v>
      </c>
      <c r="C43" s="90">
        <v>1528</v>
      </c>
      <c r="D43" s="90" t="str">
        <f t="shared" si="11"/>
        <v>4-16mm dia</v>
      </c>
      <c r="E43" s="90" t="str">
        <f t="shared" si="16"/>
        <v>4-16mm dia</v>
      </c>
      <c r="F43" s="91">
        <f t="shared" si="12"/>
        <v>1608</v>
      </c>
      <c r="G43" s="92">
        <f t="shared" si="13"/>
        <v>0</v>
      </c>
      <c r="H43">
        <v>16</v>
      </c>
      <c r="I43">
        <v>16</v>
      </c>
      <c r="J43">
        <f t="shared" si="14"/>
        <v>201.06192982974676</v>
      </c>
      <c r="K43">
        <f t="shared" si="15"/>
        <v>201.06192982974676</v>
      </c>
    </row>
    <row r="44" spans="1:11">
      <c r="A44" s="104"/>
      <c r="B44" s="90" t="s">
        <v>28</v>
      </c>
      <c r="C44" s="90">
        <v>1343</v>
      </c>
      <c r="D44" s="90" t="str">
        <f t="shared" si="11"/>
        <v>4-16mm dia</v>
      </c>
      <c r="E44" s="90" t="str">
        <f t="shared" si="16"/>
        <v>4-16mm dia</v>
      </c>
      <c r="F44" s="91">
        <f t="shared" si="12"/>
        <v>1608</v>
      </c>
      <c r="G44" s="92">
        <f t="shared" si="13"/>
        <v>0</v>
      </c>
      <c r="H44">
        <v>16</v>
      </c>
      <c r="I44">
        <v>16</v>
      </c>
      <c r="J44">
        <f t="shared" si="14"/>
        <v>201.06192982974676</v>
      </c>
      <c r="K44">
        <f t="shared" si="15"/>
        <v>201.06192982974676</v>
      </c>
    </row>
    <row r="45" spans="1:11">
      <c r="A45" s="104"/>
      <c r="B45" s="90" t="s">
        <v>29</v>
      </c>
      <c r="C45" s="90">
        <v>1170</v>
      </c>
      <c r="D45" s="90" t="str">
        <f t="shared" si="11"/>
        <v>4-16mm dia</v>
      </c>
      <c r="E45" s="90" t="str">
        <f t="shared" si="16"/>
        <v>4-16mm dia</v>
      </c>
      <c r="F45" s="91">
        <f t="shared" si="12"/>
        <v>1608</v>
      </c>
      <c r="G45" s="92">
        <f t="shared" si="13"/>
        <v>0</v>
      </c>
      <c r="H45">
        <v>16</v>
      </c>
      <c r="I45">
        <v>16</v>
      </c>
      <c r="J45">
        <f t="shared" si="14"/>
        <v>201.06192982974676</v>
      </c>
      <c r="K45">
        <f t="shared" si="15"/>
        <v>201.06192982974676</v>
      </c>
    </row>
    <row r="46" spans="1:11">
      <c r="A46" s="104"/>
      <c r="B46" s="90" t="s">
        <v>30</v>
      </c>
      <c r="C46" s="90">
        <v>1073</v>
      </c>
      <c r="D46" s="90" t="str">
        <f t="shared" si="11"/>
        <v>4-16mm dia</v>
      </c>
      <c r="E46" s="90" t="str">
        <f t="shared" si="16"/>
        <v>4-16mm dia</v>
      </c>
      <c r="F46" s="91">
        <f t="shared" si="12"/>
        <v>1608</v>
      </c>
      <c r="G46" s="92">
        <f t="shared" si="13"/>
        <v>0</v>
      </c>
      <c r="H46">
        <v>16</v>
      </c>
      <c r="I46">
        <v>16</v>
      </c>
      <c r="J46">
        <f t="shared" si="14"/>
        <v>201.06192982974676</v>
      </c>
      <c r="K46">
        <f t="shared" si="15"/>
        <v>201.06192982974676</v>
      </c>
    </row>
    <row r="47" spans="1:11">
      <c r="A47" s="104"/>
      <c r="B47" s="90" t="s">
        <v>31</v>
      </c>
      <c r="C47" s="90">
        <v>1040</v>
      </c>
      <c r="D47" s="90" t="str">
        <f t="shared" si="11"/>
        <v>4-16mm dia</v>
      </c>
      <c r="E47" s="90" t="str">
        <f t="shared" si="16"/>
        <v>4-16mm dia</v>
      </c>
      <c r="F47" s="91">
        <f t="shared" si="12"/>
        <v>1608</v>
      </c>
      <c r="G47" s="92">
        <f t="shared" si="13"/>
        <v>0</v>
      </c>
      <c r="H47">
        <v>16</v>
      </c>
      <c r="I47">
        <v>16</v>
      </c>
      <c r="J47">
        <f t="shared" si="14"/>
        <v>201.06192982974676</v>
      </c>
      <c r="K47">
        <f t="shared" si="15"/>
        <v>201.06192982974676</v>
      </c>
    </row>
    <row r="48" spans="1:11">
      <c r="A48" s="105"/>
      <c r="B48" s="93" t="s">
        <v>32</v>
      </c>
      <c r="C48" s="93">
        <v>795</v>
      </c>
      <c r="D48" s="93" t="str">
        <f t="shared" si="11"/>
        <v>4-16mm dia</v>
      </c>
      <c r="E48" s="93" t="str">
        <f t="shared" si="16"/>
        <v>4-16mm dia</v>
      </c>
      <c r="F48" s="94">
        <f t="shared" si="12"/>
        <v>1608</v>
      </c>
      <c r="G48" s="92">
        <f t="shared" si="13"/>
        <v>0</v>
      </c>
      <c r="H48">
        <v>16</v>
      </c>
      <c r="I48">
        <v>16</v>
      </c>
      <c r="J48">
        <f t="shared" si="14"/>
        <v>201.06192982974676</v>
      </c>
      <c r="K48">
        <f t="shared" si="15"/>
        <v>201.06192982974676</v>
      </c>
    </row>
    <row r="49" spans="1:11">
      <c r="A49" s="103" t="s">
        <v>35</v>
      </c>
      <c r="B49" s="88" t="s">
        <v>24</v>
      </c>
      <c r="C49" s="88">
        <v>743</v>
      </c>
      <c r="D49" s="88" t="str">
        <f t="shared" si="11"/>
        <v>4-16mm dia</v>
      </c>
      <c r="E49" s="88" t="str">
        <f t="shared" ref="E49:E59" si="17">IF(I49=20,"4-20mm dia","4-12mm dia")</f>
        <v>4-12mm dia</v>
      </c>
      <c r="F49" s="95">
        <f t="shared" si="12"/>
        <v>1257</v>
      </c>
      <c r="G49" s="92">
        <f t="shared" si="13"/>
        <v>0</v>
      </c>
      <c r="H49">
        <v>16</v>
      </c>
      <c r="I49">
        <v>12</v>
      </c>
      <c r="J49">
        <f t="shared" si="14"/>
        <v>201.06192982974676</v>
      </c>
      <c r="K49">
        <f t="shared" si="15"/>
        <v>113.09733552923255</v>
      </c>
    </row>
    <row r="50" spans="1:11">
      <c r="A50" s="104"/>
      <c r="B50" s="90" t="s">
        <v>25</v>
      </c>
      <c r="C50" s="90">
        <v>1023</v>
      </c>
      <c r="D50" s="90" t="str">
        <f t="shared" si="11"/>
        <v>4-16mm dia</v>
      </c>
      <c r="E50" s="90" t="str">
        <f t="shared" si="17"/>
        <v>4-12mm dia</v>
      </c>
      <c r="F50" s="91">
        <f t="shared" si="12"/>
        <v>1257</v>
      </c>
      <c r="G50" s="92">
        <f t="shared" si="13"/>
        <v>0</v>
      </c>
      <c r="H50">
        <v>16</v>
      </c>
      <c r="I50">
        <v>12</v>
      </c>
      <c r="J50">
        <f t="shared" si="14"/>
        <v>201.06192982974676</v>
      </c>
      <c r="K50">
        <f t="shared" si="15"/>
        <v>113.09733552923255</v>
      </c>
    </row>
    <row r="51" spans="1:11">
      <c r="A51" s="104"/>
      <c r="B51" s="90" t="s">
        <v>26</v>
      </c>
      <c r="C51" s="90">
        <v>916</v>
      </c>
      <c r="D51" s="90" t="str">
        <f t="shared" si="11"/>
        <v>4-16mm dia</v>
      </c>
      <c r="E51" s="90" t="str">
        <f t="shared" si="17"/>
        <v>4-12mm dia</v>
      </c>
      <c r="F51" s="91">
        <f t="shared" si="12"/>
        <v>1257</v>
      </c>
      <c r="G51" s="92">
        <f t="shared" si="13"/>
        <v>0</v>
      </c>
      <c r="H51">
        <v>16</v>
      </c>
      <c r="I51">
        <v>12</v>
      </c>
      <c r="J51">
        <f t="shared" si="14"/>
        <v>201.06192982974676</v>
      </c>
      <c r="K51">
        <f t="shared" si="15"/>
        <v>113.09733552923255</v>
      </c>
    </row>
    <row r="52" spans="1:11">
      <c r="A52" s="104"/>
      <c r="B52" s="90" t="s">
        <v>27</v>
      </c>
      <c r="C52" s="90">
        <v>995</v>
      </c>
      <c r="D52" s="90" t="str">
        <f t="shared" si="11"/>
        <v>4-16mm dia</v>
      </c>
      <c r="E52" s="90" t="str">
        <f t="shared" si="17"/>
        <v>4-12mm dia</v>
      </c>
      <c r="F52" s="91">
        <f t="shared" si="12"/>
        <v>1257</v>
      </c>
      <c r="G52" s="92">
        <f t="shared" si="13"/>
        <v>0</v>
      </c>
      <c r="H52">
        <v>16</v>
      </c>
      <c r="I52">
        <v>12</v>
      </c>
      <c r="J52">
        <f t="shared" si="14"/>
        <v>201.06192982974676</v>
      </c>
      <c r="K52">
        <f t="shared" si="15"/>
        <v>113.09733552923255</v>
      </c>
    </row>
    <row r="53" spans="1:11">
      <c r="A53" s="104"/>
      <c r="B53" s="90" t="s">
        <v>28</v>
      </c>
      <c r="C53" s="90">
        <v>812</v>
      </c>
      <c r="D53" s="90" t="str">
        <f t="shared" si="11"/>
        <v>4-16mm dia</v>
      </c>
      <c r="E53" s="90" t="str">
        <f t="shared" si="17"/>
        <v>4-12mm dia</v>
      </c>
      <c r="F53" s="91">
        <f t="shared" si="12"/>
        <v>1257</v>
      </c>
      <c r="G53" s="92">
        <f t="shared" si="13"/>
        <v>0</v>
      </c>
      <c r="H53">
        <v>16</v>
      </c>
      <c r="I53">
        <v>12</v>
      </c>
      <c r="J53">
        <f t="shared" si="14"/>
        <v>201.06192982974676</v>
      </c>
      <c r="K53">
        <f t="shared" si="15"/>
        <v>113.09733552923255</v>
      </c>
    </row>
    <row r="54" spans="1:11">
      <c r="A54" s="104"/>
      <c r="B54" s="90" t="s">
        <v>29</v>
      </c>
      <c r="C54" s="90">
        <v>887</v>
      </c>
      <c r="D54" s="90" t="str">
        <f t="shared" si="11"/>
        <v>4-16mm dia</v>
      </c>
      <c r="E54" s="90" t="str">
        <f t="shared" si="17"/>
        <v>4-12mm dia</v>
      </c>
      <c r="F54" s="91">
        <f t="shared" si="12"/>
        <v>1257</v>
      </c>
      <c r="G54" s="92">
        <f t="shared" si="13"/>
        <v>0</v>
      </c>
      <c r="H54">
        <v>16</v>
      </c>
      <c r="I54">
        <v>12</v>
      </c>
      <c r="J54">
        <f t="shared" si="14"/>
        <v>201.06192982974676</v>
      </c>
      <c r="K54">
        <f t="shared" si="15"/>
        <v>113.09733552923255</v>
      </c>
    </row>
    <row r="55" spans="1:11">
      <c r="A55" s="104"/>
      <c r="B55" s="90" t="s">
        <v>30</v>
      </c>
      <c r="C55" s="90">
        <v>1278</v>
      </c>
      <c r="D55" s="90" t="str">
        <f t="shared" si="11"/>
        <v>4-16mm dia</v>
      </c>
      <c r="E55" s="90" t="str">
        <f t="shared" si="17"/>
        <v>4-12mm dia</v>
      </c>
      <c r="F55" s="91">
        <f t="shared" si="12"/>
        <v>1608</v>
      </c>
      <c r="G55" s="92">
        <f t="shared" si="13"/>
        <v>0</v>
      </c>
      <c r="H55">
        <v>16</v>
      </c>
      <c r="I55">
        <v>16</v>
      </c>
      <c r="J55">
        <f t="shared" si="14"/>
        <v>201.06192982974676</v>
      </c>
      <c r="K55">
        <f t="shared" si="15"/>
        <v>201.06192982974676</v>
      </c>
    </row>
    <row r="56" spans="1:11">
      <c r="A56" s="104"/>
      <c r="B56" s="90" t="s">
        <v>31</v>
      </c>
      <c r="C56" s="90">
        <v>1197</v>
      </c>
      <c r="D56" s="90" t="str">
        <f t="shared" si="11"/>
        <v>4-16mm dia</v>
      </c>
      <c r="E56" s="90" t="str">
        <f t="shared" si="17"/>
        <v>4-12mm dia</v>
      </c>
      <c r="F56" s="91">
        <f t="shared" si="12"/>
        <v>1257</v>
      </c>
      <c r="G56" s="92">
        <f t="shared" si="13"/>
        <v>0</v>
      </c>
      <c r="H56">
        <v>16</v>
      </c>
      <c r="I56">
        <v>12</v>
      </c>
      <c r="J56">
        <f t="shared" si="14"/>
        <v>201.06192982974676</v>
      </c>
      <c r="K56">
        <f t="shared" si="15"/>
        <v>113.09733552923255</v>
      </c>
    </row>
    <row r="57" spans="1:11">
      <c r="A57" s="105"/>
      <c r="B57" s="93" t="s">
        <v>32</v>
      </c>
      <c r="C57" s="93">
        <v>809</v>
      </c>
      <c r="D57" s="93" t="str">
        <f t="shared" si="11"/>
        <v>4-16mm dia</v>
      </c>
      <c r="E57" s="93" t="str">
        <f t="shared" si="17"/>
        <v>4-12mm dia</v>
      </c>
      <c r="F57" s="94">
        <f t="shared" si="12"/>
        <v>1257</v>
      </c>
      <c r="G57" s="92"/>
      <c r="H57">
        <v>16</v>
      </c>
      <c r="I57">
        <v>12</v>
      </c>
      <c r="J57">
        <f t="shared" si="14"/>
        <v>201.06192982974676</v>
      </c>
      <c r="K57">
        <f t="shared" si="15"/>
        <v>113.09733552923255</v>
      </c>
    </row>
    <row r="58" spans="1:11">
      <c r="A58" s="106" t="s">
        <v>36</v>
      </c>
      <c r="B58" s="88" t="s">
        <v>24</v>
      </c>
      <c r="C58" s="96">
        <v>743</v>
      </c>
      <c r="D58" s="96" t="str">
        <f>IF(H58=20,"4-20mm dia","4-12mm dia")</f>
        <v>4-12mm dia</v>
      </c>
      <c r="E58" s="96" t="str">
        <f t="shared" si="17"/>
        <v>4-12mm dia</v>
      </c>
      <c r="F58" s="97">
        <f t="shared" si="12"/>
        <v>905</v>
      </c>
      <c r="G58" s="92">
        <f t="shared" si="13"/>
        <v>0</v>
      </c>
      <c r="H58">
        <v>12</v>
      </c>
      <c r="I58">
        <v>12</v>
      </c>
      <c r="J58">
        <f t="shared" si="14"/>
        <v>113.09733552923255</v>
      </c>
      <c r="K58">
        <f t="shared" si="15"/>
        <v>113.09733552923255</v>
      </c>
    </row>
    <row r="59" spans="1:11">
      <c r="A59" s="104"/>
      <c r="B59" s="90" t="s">
        <v>25</v>
      </c>
      <c r="C59" s="90">
        <v>759</v>
      </c>
      <c r="D59" s="90" t="str">
        <f>IF(H59=20,"4-20mm dia","4-12mm dia")</f>
        <v>4-12mm dia</v>
      </c>
      <c r="E59" s="90" t="str">
        <f t="shared" si="17"/>
        <v>4-12mm dia</v>
      </c>
      <c r="F59" s="91">
        <f t="shared" si="12"/>
        <v>905</v>
      </c>
      <c r="G59" s="92">
        <f t="shared" si="13"/>
        <v>0</v>
      </c>
      <c r="H59">
        <v>12</v>
      </c>
      <c r="I59">
        <v>12</v>
      </c>
      <c r="J59">
        <f t="shared" si="14"/>
        <v>113.09733552923255</v>
      </c>
      <c r="K59">
        <f t="shared" si="15"/>
        <v>113.09733552923255</v>
      </c>
    </row>
    <row r="60" spans="1:11">
      <c r="A60" s="104"/>
      <c r="B60" s="90" t="s">
        <v>26</v>
      </c>
      <c r="C60" s="90" t="s">
        <v>37</v>
      </c>
      <c r="D60" s="90" t="s">
        <v>37</v>
      </c>
      <c r="E60" s="90" t="s">
        <v>37</v>
      </c>
      <c r="F60" s="91" t="s">
        <v>37</v>
      </c>
      <c r="G60" s="92" t="s">
        <v>37</v>
      </c>
      <c r="H60" t="s">
        <v>37</v>
      </c>
      <c r="I60" t="s">
        <v>37</v>
      </c>
      <c r="J60" t="s">
        <v>37</v>
      </c>
      <c r="K60" t="s">
        <v>37</v>
      </c>
    </row>
    <row r="61" spans="1:11">
      <c r="A61" s="104"/>
      <c r="B61" s="90" t="s">
        <v>27</v>
      </c>
      <c r="C61" s="90">
        <v>743</v>
      </c>
      <c r="D61" s="90" t="str">
        <f t="shared" ref="D61:D62" si="18">IF(H61=20,"4-20mm dia","4-12mm dia")</f>
        <v>4-12mm dia</v>
      </c>
      <c r="E61" s="90" t="str">
        <f>IF(I61=20,"4-20mm dia","4-12mm dia")</f>
        <v>4-12mm dia</v>
      </c>
      <c r="F61" s="91">
        <f t="shared" si="12"/>
        <v>905</v>
      </c>
      <c r="G61" s="92">
        <f t="shared" si="13"/>
        <v>0</v>
      </c>
      <c r="H61">
        <v>12</v>
      </c>
      <c r="I61">
        <v>12</v>
      </c>
      <c r="J61">
        <f t="shared" si="14"/>
        <v>113.09733552923255</v>
      </c>
      <c r="K61">
        <f t="shared" si="15"/>
        <v>113.09733552923255</v>
      </c>
    </row>
    <row r="62" spans="1:11">
      <c r="A62" s="104"/>
      <c r="B62" s="90" t="s">
        <v>28</v>
      </c>
      <c r="C62" s="90">
        <v>743</v>
      </c>
      <c r="D62" s="90" t="str">
        <f t="shared" si="18"/>
        <v>4-12mm dia</v>
      </c>
      <c r="E62" s="90" t="str">
        <f>IF(I62=20,"4-20mm dia","4-12mm dia")</f>
        <v>4-12mm dia</v>
      </c>
      <c r="F62" s="91">
        <f t="shared" si="12"/>
        <v>905</v>
      </c>
      <c r="G62" s="92">
        <f t="shared" si="13"/>
        <v>0</v>
      </c>
      <c r="H62">
        <v>12</v>
      </c>
      <c r="I62">
        <v>12</v>
      </c>
      <c r="J62">
        <f t="shared" si="14"/>
        <v>113.09733552923255</v>
      </c>
      <c r="K62">
        <f t="shared" si="15"/>
        <v>113.09733552923255</v>
      </c>
    </row>
    <row r="63" spans="1:11">
      <c r="A63" s="104"/>
      <c r="B63" s="90" t="s">
        <v>29</v>
      </c>
      <c r="C63" s="90" t="s">
        <v>37</v>
      </c>
      <c r="D63" s="90" t="s">
        <v>37</v>
      </c>
      <c r="E63" s="90" t="s">
        <v>37</v>
      </c>
      <c r="F63" s="91" t="s">
        <v>37</v>
      </c>
      <c r="G63" s="92" t="s">
        <v>37</v>
      </c>
      <c r="H63" t="s">
        <v>37</v>
      </c>
      <c r="I63" t="s">
        <v>37</v>
      </c>
      <c r="J63" t="s">
        <v>37</v>
      </c>
      <c r="K63" t="s">
        <v>37</v>
      </c>
    </row>
    <row r="64" spans="1:11">
      <c r="A64" s="104"/>
      <c r="B64" s="90" t="s">
        <v>30</v>
      </c>
      <c r="C64" s="90" t="s">
        <v>37</v>
      </c>
      <c r="D64" s="90" t="s">
        <v>37</v>
      </c>
      <c r="E64" s="90" t="s">
        <v>37</v>
      </c>
      <c r="F64" s="91" t="s">
        <v>37</v>
      </c>
      <c r="G64" s="92" t="s">
        <v>37</v>
      </c>
      <c r="H64" t="s">
        <v>37</v>
      </c>
      <c r="I64" t="s">
        <v>37</v>
      </c>
      <c r="J64" t="s">
        <v>37</v>
      </c>
      <c r="K64" t="s">
        <v>37</v>
      </c>
    </row>
    <row r="65" spans="1:11">
      <c r="A65" s="104"/>
      <c r="B65" s="90" t="s">
        <v>31</v>
      </c>
      <c r="C65" s="90" t="s">
        <v>37</v>
      </c>
      <c r="D65" s="90" t="s">
        <v>37</v>
      </c>
      <c r="E65" s="90" t="s">
        <v>37</v>
      </c>
      <c r="F65" s="91" t="s">
        <v>37</v>
      </c>
      <c r="G65" s="92" t="s">
        <v>37</v>
      </c>
      <c r="H65" t="s">
        <v>37</v>
      </c>
      <c r="I65" t="s">
        <v>37</v>
      </c>
      <c r="J65" t="s">
        <v>37</v>
      </c>
      <c r="K65" t="s">
        <v>37</v>
      </c>
    </row>
    <row r="66" spans="1:11">
      <c r="A66" s="105"/>
      <c r="B66" s="93" t="s">
        <v>32</v>
      </c>
      <c r="C66" s="93" t="s">
        <v>37</v>
      </c>
      <c r="D66" s="93" t="s">
        <v>37</v>
      </c>
      <c r="E66" s="93" t="s">
        <v>37</v>
      </c>
      <c r="F66" s="94" t="s">
        <v>37</v>
      </c>
      <c r="G66" s="98" t="s">
        <v>37</v>
      </c>
      <c r="H66" t="s">
        <v>37</v>
      </c>
      <c r="I66" t="s">
        <v>37</v>
      </c>
      <c r="J66" t="s">
        <v>37</v>
      </c>
      <c r="K66" t="s">
        <v>37</v>
      </c>
    </row>
    <row r="67" spans="1:11">
      <c r="D67" t="s">
        <v>38</v>
      </c>
    </row>
    <row r="69" spans="1:11">
      <c r="A69" t="s">
        <v>39</v>
      </c>
    </row>
    <row r="71" spans="1:11">
      <c r="A71">
        <v>1</v>
      </c>
      <c r="B71" t="s">
        <v>40</v>
      </c>
    </row>
  </sheetData>
  <mergeCells count="10">
    <mergeCell ref="D15:F15"/>
    <mergeCell ref="D16:E16"/>
    <mergeCell ref="A15:A18"/>
    <mergeCell ref="A22:A30"/>
    <mergeCell ref="A31:A39"/>
    <mergeCell ref="A40:A48"/>
    <mergeCell ref="A49:A57"/>
    <mergeCell ref="A58:A66"/>
    <mergeCell ref="B15:B18"/>
    <mergeCell ref="C15:C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57"/>
  <sheetViews>
    <sheetView topLeftCell="A32" zoomScale="70" zoomScaleNormal="70" workbookViewId="0">
      <selection activeCell="W37" sqref="W37"/>
    </sheetView>
  </sheetViews>
  <sheetFormatPr defaultColWidth="9.109375" defaultRowHeight="14.4"/>
  <cols>
    <col min="1" max="1" width="11" style="60" customWidth="1"/>
    <col min="2" max="2" width="9.109375" style="60"/>
    <col min="3" max="3" width="12.33203125" style="60" customWidth="1"/>
    <col min="4" max="4" width="13" style="61" customWidth="1"/>
    <col min="5" max="5" width="10.33203125" style="60" customWidth="1"/>
    <col min="6" max="6" width="11" style="60" customWidth="1"/>
    <col min="7" max="7" width="12.109375" style="60" customWidth="1"/>
    <col min="8" max="8" width="9.109375" style="60" customWidth="1"/>
    <col min="9" max="9" width="11.5546875" style="60" customWidth="1"/>
    <col min="10" max="10" width="9.109375" style="60" customWidth="1"/>
    <col min="11" max="11" width="9.109375" style="60"/>
    <col min="12" max="17" width="9.109375" style="60" hidden="1" customWidth="1"/>
    <col min="18" max="16384" width="9.109375" style="60"/>
  </cols>
  <sheetData>
    <row r="1" spans="1:13">
      <c r="A1" s="62" t="s">
        <v>41</v>
      </c>
    </row>
    <row r="3" spans="1:13">
      <c r="A3" s="60" t="s">
        <v>42</v>
      </c>
    </row>
    <row r="4" spans="1:13">
      <c r="B4" s="60">
        <f>230*350</f>
        <v>80500</v>
      </c>
      <c r="C4" s="60" t="s">
        <v>43</v>
      </c>
      <c r="K4" s="60" t="s">
        <v>1</v>
      </c>
      <c r="L4" s="60" t="s">
        <v>2</v>
      </c>
    </row>
    <row r="5" spans="1:13">
      <c r="K5" s="60">
        <v>6</v>
      </c>
      <c r="L5" s="79">
        <f>PI()*K5^2/4</f>
        <v>28.274333882308099</v>
      </c>
    </row>
    <row r="6" spans="1:13">
      <c r="A6" s="60" t="s">
        <v>44</v>
      </c>
      <c r="K6" s="60">
        <v>8</v>
      </c>
      <c r="L6" s="79">
        <f t="shared" ref="L6:L13" si="0">PI()*K6^2/4</f>
        <v>50.265482457436697</v>
      </c>
    </row>
    <row r="7" spans="1:13">
      <c r="A7" s="60" t="s">
        <v>45</v>
      </c>
      <c r="K7" s="60">
        <v>10</v>
      </c>
      <c r="L7" s="79">
        <f t="shared" si="0"/>
        <v>78.539816339744803</v>
      </c>
    </row>
    <row r="8" spans="1:13">
      <c r="A8" s="60" t="s">
        <v>46</v>
      </c>
      <c r="F8" s="60">
        <f>300-30-16/2</f>
        <v>262</v>
      </c>
      <c r="G8" s="60" t="s">
        <v>47</v>
      </c>
      <c r="K8" s="60">
        <v>12</v>
      </c>
      <c r="L8" s="79">
        <f t="shared" si="0"/>
        <v>113.09733552923301</v>
      </c>
      <c r="M8" s="60">
        <f>L8*4</f>
        <v>452.38934211692998</v>
      </c>
    </row>
    <row r="9" spans="1:13">
      <c r="K9" s="60">
        <v>16</v>
      </c>
      <c r="L9" s="79">
        <f t="shared" si="0"/>
        <v>201.06192982974699</v>
      </c>
      <c r="M9" s="60">
        <f t="shared" ref="M9:M13" si="1">L9*4</f>
        <v>804.24771931898704</v>
      </c>
    </row>
    <row r="10" spans="1:13">
      <c r="B10" s="60" t="s">
        <v>8</v>
      </c>
      <c r="C10" s="60" t="s">
        <v>48</v>
      </c>
      <c r="E10" s="60" t="s">
        <v>49</v>
      </c>
      <c r="K10" s="60">
        <v>20</v>
      </c>
      <c r="L10" s="79">
        <f t="shared" si="0"/>
        <v>314.15926535897898</v>
      </c>
      <c r="M10" s="60">
        <f t="shared" si="1"/>
        <v>1256.63706143592</v>
      </c>
    </row>
    <row r="11" spans="1:13">
      <c r="C11" s="60">
        <f>0.85*230*F8/415</f>
        <v>123.424096385542</v>
      </c>
      <c r="K11" s="60">
        <v>22</v>
      </c>
      <c r="L11" s="79">
        <f t="shared" si="0"/>
        <v>380.13271108436498</v>
      </c>
      <c r="M11" s="60">
        <f t="shared" si="1"/>
        <v>1520.5308443374599</v>
      </c>
    </row>
    <row r="12" spans="1:13">
      <c r="C12" s="60">
        <f>ROUND(C11,0)</f>
        <v>123</v>
      </c>
      <c r="D12" s="61" t="s">
        <v>43</v>
      </c>
      <c r="K12" s="60">
        <v>24</v>
      </c>
      <c r="L12" s="79">
        <f t="shared" si="0"/>
        <v>452.38934211692998</v>
      </c>
      <c r="M12" s="60">
        <f t="shared" si="1"/>
        <v>1809.5573684677199</v>
      </c>
    </row>
    <row r="13" spans="1:13">
      <c r="K13" s="60">
        <v>25</v>
      </c>
      <c r="L13" s="79">
        <f t="shared" si="0"/>
        <v>490.87385212340502</v>
      </c>
      <c r="M13" s="60">
        <f t="shared" si="1"/>
        <v>1963.4954084936201</v>
      </c>
    </row>
    <row r="15" spans="1:13">
      <c r="A15" s="60" t="s">
        <v>50</v>
      </c>
    </row>
    <row r="16" spans="1:13">
      <c r="B16" s="60" t="s">
        <v>12</v>
      </c>
      <c r="C16" s="60" t="s">
        <v>51</v>
      </c>
      <c r="E16" s="60" t="s">
        <v>49</v>
      </c>
    </row>
    <row r="17" spans="1:6">
      <c r="C17" s="60">
        <f>B4*4%</f>
        <v>3220</v>
      </c>
      <c r="D17" s="61" t="s">
        <v>52</v>
      </c>
    </row>
    <row r="19" spans="1:6">
      <c r="A19" s="60" t="s">
        <v>53</v>
      </c>
    </row>
    <row r="21" spans="1:6">
      <c r="C21" s="60" t="s">
        <v>54</v>
      </c>
      <c r="E21" s="60" t="s">
        <v>55</v>
      </c>
    </row>
    <row r="22" spans="1:6" ht="30.75" customHeight="1">
      <c r="A22" s="63" t="s">
        <v>14</v>
      </c>
      <c r="B22" s="64" t="s">
        <v>56</v>
      </c>
      <c r="C22" s="65" t="s">
        <v>57</v>
      </c>
      <c r="D22" s="66" t="s">
        <v>58</v>
      </c>
      <c r="E22" s="65" t="s">
        <v>57</v>
      </c>
      <c r="F22" s="66" t="s">
        <v>58</v>
      </c>
    </row>
    <row r="23" spans="1:6">
      <c r="A23" s="67" t="s">
        <v>59</v>
      </c>
      <c r="B23" s="68" t="s">
        <v>60</v>
      </c>
      <c r="C23" s="68">
        <v>869</v>
      </c>
      <c r="D23" s="69">
        <v>344</v>
      </c>
      <c r="E23" s="68">
        <v>697</v>
      </c>
      <c r="F23" s="69">
        <v>246</v>
      </c>
    </row>
    <row r="24" spans="1:6">
      <c r="A24" s="70"/>
      <c r="B24" s="71" t="s">
        <v>61</v>
      </c>
      <c r="C24" s="71">
        <v>669</v>
      </c>
      <c r="D24" s="72">
        <v>392</v>
      </c>
      <c r="E24" s="71">
        <v>445</v>
      </c>
      <c r="F24" s="72">
        <v>272</v>
      </c>
    </row>
    <row r="25" spans="1:6">
      <c r="A25" s="70" t="s">
        <v>62</v>
      </c>
      <c r="B25" s="71" t="s">
        <v>60</v>
      </c>
      <c r="C25" s="71">
        <v>862</v>
      </c>
      <c r="D25" s="72">
        <v>313</v>
      </c>
      <c r="E25" s="71">
        <v>694</v>
      </c>
      <c r="F25" s="72">
        <v>227</v>
      </c>
    </row>
    <row r="26" spans="1:6">
      <c r="A26" s="70"/>
      <c r="B26" s="71" t="s">
        <v>61</v>
      </c>
      <c r="C26" s="71">
        <v>567</v>
      </c>
      <c r="D26" s="72">
        <v>341</v>
      </c>
      <c r="E26" s="71">
        <v>368</v>
      </c>
      <c r="F26" s="72">
        <v>243</v>
      </c>
    </row>
    <row r="27" spans="1:6">
      <c r="A27" s="70" t="s">
        <v>63</v>
      </c>
      <c r="B27" s="71" t="s">
        <v>60</v>
      </c>
      <c r="C27" s="71">
        <v>764</v>
      </c>
      <c r="D27" s="72">
        <v>232</v>
      </c>
      <c r="E27" s="71">
        <v>574</v>
      </c>
      <c r="F27" s="72">
        <v>210</v>
      </c>
    </row>
    <row r="28" spans="1:6">
      <c r="A28" s="70"/>
      <c r="B28" s="71" t="s">
        <v>61</v>
      </c>
      <c r="C28" s="71">
        <v>382</v>
      </c>
      <c r="D28" s="72">
        <v>269</v>
      </c>
      <c r="E28" s="71">
        <v>287</v>
      </c>
      <c r="F28" s="72">
        <v>213</v>
      </c>
    </row>
    <row r="29" spans="1:6">
      <c r="A29" s="70" t="s">
        <v>64</v>
      </c>
      <c r="B29" s="71" t="s">
        <v>60</v>
      </c>
      <c r="C29" s="71">
        <v>586</v>
      </c>
      <c r="D29" s="72">
        <v>210</v>
      </c>
      <c r="E29" s="71">
        <v>263</v>
      </c>
      <c r="F29" s="72">
        <v>210</v>
      </c>
    </row>
    <row r="30" spans="1:6">
      <c r="A30" s="70"/>
      <c r="B30" s="71" t="s">
        <v>61</v>
      </c>
      <c r="C30" s="71">
        <v>293</v>
      </c>
      <c r="D30" s="72">
        <v>227</v>
      </c>
      <c r="E30" s="71">
        <v>210</v>
      </c>
      <c r="F30" s="72">
        <v>210</v>
      </c>
    </row>
    <row r="31" spans="1:6">
      <c r="A31" s="70" t="s">
        <v>65</v>
      </c>
      <c r="B31" s="71" t="s">
        <v>60</v>
      </c>
      <c r="C31" s="71">
        <v>241</v>
      </c>
      <c r="D31" s="72">
        <v>210</v>
      </c>
      <c r="E31" s="71">
        <v>210</v>
      </c>
      <c r="F31" s="72">
        <v>210</v>
      </c>
    </row>
    <row r="32" spans="1:6">
      <c r="A32" s="73"/>
      <c r="B32" s="71" t="s">
        <v>61</v>
      </c>
      <c r="C32" s="74">
        <v>210</v>
      </c>
      <c r="D32" s="75">
        <v>210</v>
      </c>
      <c r="E32" s="74">
        <v>210</v>
      </c>
      <c r="F32" s="75">
        <v>210</v>
      </c>
    </row>
    <row r="33" spans="1:23">
      <c r="L33" s="80" t="s">
        <v>66</v>
      </c>
      <c r="M33" s="81"/>
      <c r="N33" s="82"/>
      <c r="O33" s="80" t="s">
        <v>67</v>
      </c>
      <c r="P33" s="81"/>
      <c r="Q33" s="82"/>
      <c r="R33" s="80" t="s">
        <v>68</v>
      </c>
      <c r="S33" s="82"/>
      <c r="T33" s="80" t="s">
        <v>69</v>
      </c>
      <c r="U33" s="82"/>
    </row>
    <row r="34" spans="1:23">
      <c r="A34" s="60" t="s">
        <v>70</v>
      </c>
      <c r="L34" s="83" t="s">
        <v>71</v>
      </c>
      <c r="M34" s="60" t="s">
        <v>72</v>
      </c>
      <c r="N34" s="84" t="s">
        <v>73</v>
      </c>
      <c r="O34" s="83" t="s">
        <v>71</v>
      </c>
      <c r="P34" s="60" t="s">
        <v>72</v>
      </c>
      <c r="Q34" s="84" t="s">
        <v>73</v>
      </c>
      <c r="R34" s="83" t="s">
        <v>71</v>
      </c>
      <c r="S34" s="84" t="s">
        <v>72</v>
      </c>
      <c r="T34" s="83" t="s">
        <v>71</v>
      </c>
      <c r="U34" s="84" t="s">
        <v>72</v>
      </c>
    </row>
    <row r="35" spans="1:23">
      <c r="L35" s="83"/>
      <c r="N35" s="84"/>
      <c r="O35" s="83"/>
      <c r="Q35" s="84"/>
      <c r="R35" s="83"/>
      <c r="S35" s="84"/>
      <c r="T35" s="83"/>
      <c r="U35" s="84"/>
    </row>
    <row r="36" spans="1:23">
      <c r="C36" s="119" t="s">
        <v>54</v>
      </c>
      <c r="D36" s="119"/>
      <c r="E36" s="119"/>
      <c r="F36" s="119"/>
      <c r="G36" s="119" t="s">
        <v>74</v>
      </c>
      <c r="H36" s="119"/>
      <c r="I36" s="119"/>
      <c r="J36" s="119"/>
      <c r="K36" s="79"/>
      <c r="L36" s="83"/>
      <c r="N36" s="84"/>
      <c r="O36" s="83"/>
      <c r="Q36" s="84"/>
      <c r="R36" s="83"/>
      <c r="S36" s="84"/>
      <c r="T36" s="83"/>
      <c r="U36" s="84"/>
      <c r="W36" s="60">
        <f>ROUND(2*PI()*12^2/4+PI()*12^2/4,0)</f>
        <v>339</v>
      </c>
    </row>
    <row r="37" spans="1:23">
      <c r="A37" s="76" t="s">
        <v>14</v>
      </c>
      <c r="B37" s="76" t="s">
        <v>56</v>
      </c>
      <c r="C37" s="117" t="s">
        <v>75</v>
      </c>
      <c r="D37" s="117"/>
      <c r="E37" s="117" t="s">
        <v>76</v>
      </c>
      <c r="F37" s="117"/>
      <c r="G37" s="117" t="s">
        <v>75</v>
      </c>
      <c r="H37" s="117"/>
      <c r="I37" s="117" t="s">
        <v>76</v>
      </c>
      <c r="J37" s="117"/>
      <c r="K37" s="79"/>
      <c r="L37" s="83"/>
      <c r="N37" s="84"/>
      <c r="O37" s="83"/>
      <c r="Q37" s="84"/>
      <c r="R37" s="83"/>
      <c r="S37" s="84"/>
      <c r="T37" s="83"/>
      <c r="U37" s="84"/>
    </row>
    <row r="38" spans="1:23">
      <c r="A38" s="76"/>
      <c r="B38" s="76"/>
      <c r="C38" s="76" t="s">
        <v>77</v>
      </c>
      <c r="D38" s="77" t="s">
        <v>2</v>
      </c>
      <c r="E38" s="76" t="s">
        <v>77</v>
      </c>
      <c r="F38" s="76" t="s">
        <v>2</v>
      </c>
      <c r="G38" s="76" t="s">
        <v>77</v>
      </c>
      <c r="H38" s="77" t="s">
        <v>2</v>
      </c>
      <c r="I38" s="76" t="s">
        <v>77</v>
      </c>
      <c r="J38" s="76" t="s">
        <v>2</v>
      </c>
      <c r="L38" s="83"/>
      <c r="N38" s="84"/>
      <c r="O38" s="83"/>
      <c r="Q38" s="84"/>
      <c r="R38" s="83"/>
      <c r="S38" s="84"/>
      <c r="T38" s="83"/>
      <c r="U38" s="84"/>
    </row>
    <row r="39" spans="1:23" ht="57" customHeight="1">
      <c r="A39" s="118" t="s">
        <v>78</v>
      </c>
      <c r="B39" s="76" t="s">
        <v>60</v>
      </c>
      <c r="C39" s="78" t="s">
        <v>79</v>
      </c>
      <c r="D39" s="77">
        <f>ROUND(2*PI()*16^2/4+PI()*12^2/4,0)</f>
        <v>515</v>
      </c>
      <c r="E39" s="78" t="s">
        <v>79</v>
      </c>
      <c r="F39" s="77">
        <f>ROUND(2*PI()*16^2/4+PI()*12^2/4,0)</f>
        <v>515</v>
      </c>
      <c r="G39" s="78" t="s">
        <v>79</v>
      </c>
      <c r="H39" s="77">
        <f>ROUND(2*PI()*16^2/4+PI()*12^2/4,0)</f>
        <v>515</v>
      </c>
      <c r="I39" s="78" t="s">
        <v>79</v>
      </c>
      <c r="J39" s="77">
        <f>ROUND(2*PI()*16^2/4+PI()*12^2/4,0)</f>
        <v>515</v>
      </c>
      <c r="L39" s="83"/>
      <c r="N39" s="84"/>
      <c r="O39" s="83"/>
      <c r="Q39" s="84"/>
      <c r="R39" s="83"/>
      <c r="S39" s="84"/>
      <c r="T39" s="83"/>
      <c r="U39" s="84"/>
    </row>
    <row r="40" spans="1:23" ht="51" customHeight="1">
      <c r="A40" s="118"/>
      <c r="B40" s="76" t="s">
        <v>61</v>
      </c>
      <c r="C40" s="78" t="s">
        <v>79</v>
      </c>
      <c r="D40" s="77">
        <f t="shared" ref="D40:J42" si="2">ROUND(2*PI()*16^2/4+PI()*12^2/4,0)</f>
        <v>515</v>
      </c>
      <c r="E40" s="78" t="s">
        <v>79</v>
      </c>
      <c r="F40" s="77">
        <f t="shared" si="2"/>
        <v>515</v>
      </c>
      <c r="G40" s="78" t="s">
        <v>79</v>
      </c>
      <c r="H40" s="77">
        <f t="shared" si="2"/>
        <v>515</v>
      </c>
      <c r="I40" s="78" t="s">
        <v>79</v>
      </c>
      <c r="J40" s="77">
        <f t="shared" si="2"/>
        <v>515</v>
      </c>
      <c r="L40" s="83"/>
      <c r="N40" s="84"/>
      <c r="O40" s="83"/>
      <c r="Q40" s="84"/>
      <c r="R40" s="83"/>
      <c r="S40" s="84"/>
      <c r="T40" s="83"/>
      <c r="U40" s="84"/>
    </row>
    <row r="41" spans="1:23" ht="52.05" customHeight="1">
      <c r="A41" s="118" t="s">
        <v>80</v>
      </c>
      <c r="B41" s="76" t="s">
        <v>60</v>
      </c>
      <c r="C41" s="78" t="s">
        <v>79</v>
      </c>
      <c r="D41" s="77">
        <f t="shared" si="2"/>
        <v>515</v>
      </c>
      <c r="E41" s="78" t="s">
        <v>79</v>
      </c>
      <c r="F41" s="77">
        <f t="shared" si="2"/>
        <v>515</v>
      </c>
      <c r="G41" s="78" t="s">
        <v>79</v>
      </c>
      <c r="H41" s="77">
        <f t="shared" si="2"/>
        <v>515</v>
      </c>
      <c r="I41" s="78" t="s">
        <v>79</v>
      </c>
      <c r="J41" s="77">
        <f t="shared" si="2"/>
        <v>515</v>
      </c>
      <c r="L41" s="83"/>
      <c r="N41" s="84"/>
      <c r="O41" s="83"/>
      <c r="Q41" s="84"/>
      <c r="R41" s="83"/>
      <c r="S41" s="84"/>
      <c r="T41" s="83"/>
      <c r="U41" s="84"/>
    </row>
    <row r="42" spans="1:23" ht="49.05" customHeight="1">
      <c r="A42" s="118"/>
      <c r="B42" s="76" t="s">
        <v>61</v>
      </c>
      <c r="C42" s="78" t="s">
        <v>79</v>
      </c>
      <c r="D42" s="77">
        <f t="shared" si="2"/>
        <v>515</v>
      </c>
      <c r="E42" s="78" t="s">
        <v>79</v>
      </c>
      <c r="F42" s="77">
        <f t="shared" si="2"/>
        <v>515</v>
      </c>
      <c r="G42" s="78" t="s">
        <v>79</v>
      </c>
      <c r="H42" s="77">
        <f t="shared" si="2"/>
        <v>515</v>
      </c>
      <c r="I42" s="78" t="s">
        <v>79</v>
      </c>
      <c r="J42" s="77">
        <f t="shared" si="2"/>
        <v>515</v>
      </c>
      <c r="L42" s="83"/>
      <c r="N42" s="84"/>
      <c r="O42" s="83"/>
      <c r="Q42" s="84"/>
      <c r="R42" s="83"/>
      <c r="S42" s="84"/>
      <c r="T42" s="83"/>
      <c r="U42" s="84"/>
    </row>
    <row r="43" spans="1:23" ht="63" customHeight="1">
      <c r="A43" s="117" t="s">
        <v>81</v>
      </c>
      <c r="B43" s="76" t="s">
        <v>60</v>
      </c>
      <c r="C43" s="78" t="s">
        <v>82</v>
      </c>
      <c r="D43" s="78">
        <f>ROUND(PI()*L43*16^2/4+PI()*12^2/4*M43+PI()*20^2/4*N43,0)</f>
        <v>917</v>
      </c>
      <c r="E43" s="78" t="s">
        <v>83</v>
      </c>
      <c r="F43" s="78">
        <f>ROUND(PI()*O43*16^2/4+PI()*12^2/4*P43+PI()*20^2/4*Q43,0)</f>
        <v>603</v>
      </c>
      <c r="G43" s="78" t="s">
        <v>84</v>
      </c>
      <c r="H43" s="78">
        <f>ROUND(PI()*R43*16^2/4+PI()*12^2/4*S43,0)</f>
        <v>716</v>
      </c>
      <c r="I43" s="78" t="s">
        <v>79</v>
      </c>
      <c r="J43" s="78">
        <f>ROUND(PI()*T43*16^2/4+PI()*12^2/4*U43,0)</f>
        <v>515</v>
      </c>
      <c r="L43" s="83">
        <v>3</v>
      </c>
      <c r="N43" s="84">
        <v>1</v>
      </c>
      <c r="O43" s="83">
        <v>3</v>
      </c>
      <c r="Q43" s="84"/>
      <c r="R43" s="83">
        <v>3</v>
      </c>
      <c r="S43" s="84">
        <v>1</v>
      </c>
      <c r="T43" s="83">
        <v>2</v>
      </c>
      <c r="U43" s="84">
        <v>1</v>
      </c>
    </row>
    <row r="44" spans="1:23" ht="54" customHeight="1">
      <c r="A44" s="117"/>
      <c r="B44" s="76" t="s">
        <v>61</v>
      </c>
      <c r="C44" s="78" t="s">
        <v>85</v>
      </c>
      <c r="D44" s="78">
        <f t="shared" ref="D44:D52" si="3">ROUND(PI()*L44*16^2/4+PI()*12^2/4*M44+PI()*20^2/4*N44,0)</f>
        <v>716</v>
      </c>
      <c r="E44" s="78" t="s">
        <v>83</v>
      </c>
      <c r="F44" s="78">
        <f t="shared" ref="F44:F52" si="4">ROUND(PI()*O44*16^2/4+PI()*12^2/4*P44+PI()*20^2/4*Q44,0)</f>
        <v>603</v>
      </c>
      <c r="G44" s="78" t="s">
        <v>79</v>
      </c>
      <c r="H44" s="78">
        <f t="shared" ref="H44:H52" si="5">ROUND(PI()*R44*16^2/4+PI()*12^2/4*S44,0)</f>
        <v>515</v>
      </c>
      <c r="I44" s="78" t="s">
        <v>79</v>
      </c>
      <c r="J44" s="78">
        <f t="shared" ref="J44:J52" si="6">ROUND(PI()*T44*16^2/4+PI()*12^2/4*U44,0)</f>
        <v>515</v>
      </c>
      <c r="L44" s="83">
        <v>3</v>
      </c>
      <c r="M44" s="60">
        <v>1</v>
      </c>
      <c r="N44" s="84"/>
      <c r="O44" s="83">
        <v>3</v>
      </c>
      <c r="Q44" s="84"/>
      <c r="R44" s="83">
        <v>2</v>
      </c>
      <c r="S44" s="84">
        <v>1</v>
      </c>
      <c r="T44" s="83">
        <v>2</v>
      </c>
      <c r="U44" s="84">
        <v>1</v>
      </c>
    </row>
    <row r="45" spans="1:23" ht="75" customHeight="1">
      <c r="A45" s="117" t="s">
        <v>86</v>
      </c>
      <c r="B45" s="76" t="s">
        <v>60</v>
      </c>
      <c r="C45" s="78" t="s">
        <v>87</v>
      </c>
      <c r="D45" s="78">
        <f t="shared" si="3"/>
        <v>917</v>
      </c>
      <c r="E45" s="78" t="s">
        <v>83</v>
      </c>
      <c r="F45" s="78">
        <f t="shared" si="4"/>
        <v>603</v>
      </c>
      <c r="G45" s="78" t="s">
        <v>84</v>
      </c>
      <c r="H45" s="78">
        <f t="shared" si="5"/>
        <v>716</v>
      </c>
      <c r="I45" s="78" t="s">
        <v>79</v>
      </c>
      <c r="J45" s="78">
        <f t="shared" si="6"/>
        <v>515</v>
      </c>
      <c r="L45" s="83">
        <v>3</v>
      </c>
      <c r="N45" s="84">
        <v>1</v>
      </c>
      <c r="O45" s="83">
        <v>3</v>
      </c>
      <c r="Q45" s="84"/>
      <c r="R45" s="83">
        <v>3</v>
      </c>
      <c r="S45" s="84">
        <v>1</v>
      </c>
      <c r="T45" s="83">
        <v>2</v>
      </c>
      <c r="U45" s="84">
        <v>1</v>
      </c>
    </row>
    <row r="46" spans="1:23" ht="51" customHeight="1">
      <c r="A46" s="117"/>
      <c r="B46" s="76" t="s">
        <v>61</v>
      </c>
      <c r="C46" s="78" t="s">
        <v>85</v>
      </c>
      <c r="D46" s="78">
        <f t="shared" si="3"/>
        <v>716</v>
      </c>
      <c r="E46" s="78" t="s">
        <v>79</v>
      </c>
      <c r="F46" s="78">
        <f t="shared" si="4"/>
        <v>515</v>
      </c>
      <c r="G46" s="78" t="s">
        <v>79</v>
      </c>
      <c r="H46" s="78">
        <f t="shared" si="5"/>
        <v>515</v>
      </c>
      <c r="I46" s="78" t="s">
        <v>88</v>
      </c>
      <c r="J46" s="78">
        <f t="shared" si="6"/>
        <v>515</v>
      </c>
      <c r="L46" s="83">
        <v>3</v>
      </c>
      <c r="M46" s="60">
        <v>1</v>
      </c>
      <c r="N46" s="84"/>
      <c r="O46" s="83">
        <v>2</v>
      </c>
      <c r="P46" s="60">
        <v>1</v>
      </c>
      <c r="Q46" s="84"/>
      <c r="R46" s="83">
        <v>2</v>
      </c>
      <c r="S46" s="84">
        <v>1</v>
      </c>
      <c r="T46" s="83">
        <v>2</v>
      </c>
      <c r="U46" s="84">
        <v>1</v>
      </c>
    </row>
    <row r="47" spans="1:23" ht="67.05" customHeight="1">
      <c r="A47" s="117" t="s">
        <v>89</v>
      </c>
      <c r="B47" s="76" t="s">
        <v>60</v>
      </c>
      <c r="C47" s="78" t="s">
        <v>90</v>
      </c>
      <c r="D47" s="78">
        <f t="shared" si="3"/>
        <v>804</v>
      </c>
      <c r="E47" s="78" t="s">
        <v>83</v>
      </c>
      <c r="F47" s="78">
        <f t="shared" si="4"/>
        <v>603</v>
      </c>
      <c r="G47" s="78" t="s">
        <v>84</v>
      </c>
      <c r="H47" s="78">
        <f t="shared" si="5"/>
        <v>716</v>
      </c>
      <c r="I47" s="78" t="s">
        <v>79</v>
      </c>
      <c r="J47" s="78">
        <f t="shared" si="6"/>
        <v>515</v>
      </c>
      <c r="L47" s="83">
        <v>4</v>
      </c>
      <c r="M47" s="60">
        <v>0</v>
      </c>
      <c r="N47" s="84"/>
      <c r="O47" s="83">
        <v>3</v>
      </c>
      <c r="Q47" s="84"/>
      <c r="R47" s="83">
        <v>3</v>
      </c>
      <c r="S47" s="84">
        <v>1</v>
      </c>
      <c r="T47" s="83">
        <v>2</v>
      </c>
      <c r="U47" s="84">
        <v>1</v>
      </c>
    </row>
    <row r="48" spans="1:23" ht="52.05" customHeight="1">
      <c r="A48" s="117"/>
      <c r="B48" s="76" t="s">
        <v>61</v>
      </c>
      <c r="C48" s="78" t="s">
        <v>79</v>
      </c>
      <c r="D48" s="78">
        <f t="shared" si="3"/>
        <v>515</v>
      </c>
      <c r="E48" s="78" t="s">
        <v>79</v>
      </c>
      <c r="F48" s="78">
        <f t="shared" si="4"/>
        <v>515</v>
      </c>
      <c r="G48" s="78" t="s">
        <v>79</v>
      </c>
      <c r="H48" s="78">
        <f t="shared" si="5"/>
        <v>515</v>
      </c>
      <c r="I48" s="78" t="s">
        <v>79</v>
      </c>
      <c r="J48" s="78">
        <f t="shared" si="6"/>
        <v>515</v>
      </c>
      <c r="L48" s="83">
        <v>2</v>
      </c>
      <c r="M48" s="60">
        <v>1</v>
      </c>
      <c r="N48" s="84"/>
      <c r="O48" s="83">
        <v>2</v>
      </c>
      <c r="P48" s="60">
        <v>1</v>
      </c>
      <c r="Q48" s="84"/>
      <c r="R48" s="83">
        <v>2</v>
      </c>
      <c r="S48" s="84">
        <v>1</v>
      </c>
      <c r="T48" s="83">
        <v>2</v>
      </c>
      <c r="U48" s="84">
        <v>1</v>
      </c>
      <c r="W48" s="60" t="s">
        <v>38</v>
      </c>
    </row>
    <row r="49" spans="1:21" ht="60" customHeight="1">
      <c r="A49" s="117" t="s">
        <v>91</v>
      </c>
      <c r="B49" s="76" t="s">
        <v>60</v>
      </c>
      <c r="C49" s="78" t="s">
        <v>84</v>
      </c>
      <c r="D49" s="78">
        <f t="shared" si="3"/>
        <v>716</v>
      </c>
      <c r="E49" s="78" t="s">
        <v>79</v>
      </c>
      <c r="F49" s="78">
        <f t="shared" si="4"/>
        <v>515</v>
      </c>
      <c r="G49" s="78" t="s">
        <v>92</v>
      </c>
      <c r="H49" s="78">
        <f t="shared" si="5"/>
        <v>402</v>
      </c>
      <c r="I49" s="78" t="s">
        <v>92</v>
      </c>
      <c r="J49" s="78">
        <f t="shared" si="6"/>
        <v>402</v>
      </c>
      <c r="L49" s="83">
        <v>3</v>
      </c>
      <c r="M49" s="60">
        <v>1</v>
      </c>
      <c r="N49" s="84"/>
      <c r="O49" s="83">
        <v>2</v>
      </c>
      <c r="P49" s="60">
        <v>1</v>
      </c>
      <c r="Q49" s="84"/>
      <c r="R49" s="83">
        <v>2</v>
      </c>
      <c r="S49" s="84">
        <v>0</v>
      </c>
      <c r="T49" s="83">
        <v>2</v>
      </c>
      <c r="U49" s="84">
        <v>0</v>
      </c>
    </row>
    <row r="50" spans="1:21" ht="45" customHeight="1">
      <c r="A50" s="117"/>
      <c r="B50" s="76" t="s">
        <v>61</v>
      </c>
      <c r="C50" s="78" t="s">
        <v>79</v>
      </c>
      <c r="D50" s="78">
        <f t="shared" si="3"/>
        <v>515</v>
      </c>
      <c r="E50" s="78" t="s">
        <v>79</v>
      </c>
      <c r="F50" s="78">
        <f t="shared" si="4"/>
        <v>515</v>
      </c>
      <c r="G50" s="78" t="s">
        <v>92</v>
      </c>
      <c r="H50" s="78">
        <f t="shared" si="5"/>
        <v>402</v>
      </c>
      <c r="I50" s="78" t="s">
        <v>92</v>
      </c>
      <c r="J50" s="78">
        <f t="shared" si="6"/>
        <v>402</v>
      </c>
      <c r="L50" s="83">
        <v>2</v>
      </c>
      <c r="M50" s="60">
        <v>1</v>
      </c>
      <c r="N50" s="84"/>
      <c r="O50" s="83">
        <v>2</v>
      </c>
      <c r="P50" s="60">
        <v>1</v>
      </c>
      <c r="Q50" s="84"/>
      <c r="R50" s="83">
        <v>2</v>
      </c>
      <c r="S50" s="84">
        <v>0</v>
      </c>
      <c r="T50" s="83">
        <v>2</v>
      </c>
      <c r="U50" s="84">
        <v>0</v>
      </c>
    </row>
    <row r="51" spans="1:21" ht="34.950000000000003" customHeight="1">
      <c r="A51" s="117" t="s">
        <v>93</v>
      </c>
      <c r="B51" s="76" t="s">
        <v>60</v>
      </c>
      <c r="C51" s="78" t="s">
        <v>92</v>
      </c>
      <c r="D51" s="78">
        <f t="shared" si="3"/>
        <v>402</v>
      </c>
      <c r="E51" s="78" t="s">
        <v>92</v>
      </c>
      <c r="F51" s="78">
        <f t="shared" si="4"/>
        <v>402</v>
      </c>
      <c r="G51" s="78" t="s">
        <v>92</v>
      </c>
      <c r="H51" s="78">
        <f t="shared" si="5"/>
        <v>402</v>
      </c>
      <c r="I51" s="78" t="s">
        <v>92</v>
      </c>
      <c r="J51" s="78">
        <f t="shared" si="6"/>
        <v>402</v>
      </c>
      <c r="L51" s="83">
        <v>2</v>
      </c>
      <c r="M51" s="60">
        <v>0</v>
      </c>
      <c r="N51" s="84"/>
      <c r="O51" s="83">
        <v>2</v>
      </c>
      <c r="P51" s="60">
        <v>0</v>
      </c>
      <c r="Q51" s="84"/>
      <c r="R51" s="83">
        <v>2</v>
      </c>
      <c r="S51" s="84">
        <v>0</v>
      </c>
      <c r="T51" s="83">
        <v>2</v>
      </c>
      <c r="U51" s="84">
        <v>0</v>
      </c>
    </row>
    <row r="52" spans="1:21" ht="46.05" customHeight="1">
      <c r="A52" s="117"/>
      <c r="B52" s="76" t="s">
        <v>61</v>
      </c>
      <c r="C52" s="78" t="s">
        <v>92</v>
      </c>
      <c r="D52" s="78">
        <f t="shared" si="3"/>
        <v>402</v>
      </c>
      <c r="E52" s="78" t="s">
        <v>92</v>
      </c>
      <c r="F52" s="78">
        <f t="shared" si="4"/>
        <v>402</v>
      </c>
      <c r="G52" s="78" t="s">
        <v>92</v>
      </c>
      <c r="H52" s="78">
        <f t="shared" si="5"/>
        <v>402</v>
      </c>
      <c r="I52" s="78" t="s">
        <v>92</v>
      </c>
      <c r="J52" s="78">
        <f t="shared" si="6"/>
        <v>402</v>
      </c>
      <c r="L52" s="85">
        <v>2</v>
      </c>
      <c r="M52" s="86">
        <v>0</v>
      </c>
      <c r="N52" s="87"/>
      <c r="O52" s="85">
        <v>2</v>
      </c>
      <c r="P52" s="86">
        <v>0</v>
      </c>
      <c r="Q52" s="87"/>
      <c r="R52" s="85">
        <v>2</v>
      </c>
      <c r="S52" s="87">
        <v>0</v>
      </c>
      <c r="T52" s="85">
        <v>2</v>
      </c>
      <c r="U52" s="87">
        <v>0</v>
      </c>
    </row>
    <row r="54" spans="1:21">
      <c r="A54" s="60" t="s">
        <v>94</v>
      </c>
    </row>
    <row r="56" spans="1:21">
      <c r="A56" s="60" t="s">
        <v>95</v>
      </c>
    </row>
    <row r="57" spans="1:21">
      <c r="B57" s="60" t="s">
        <v>96</v>
      </c>
    </row>
  </sheetData>
  <mergeCells count="13">
    <mergeCell ref="C36:F36"/>
    <mergeCell ref="G36:J36"/>
    <mergeCell ref="C37:D37"/>
    <mergeCell ref="E37:F37"/>
    <mergeCell ref="G37:H37"/>
    <mergeCell ref="I37:J37"/>
    <mergeCell ref="A49:A50"/>
    <mergeCell ref="A51:A52"/>
    <mergeCell ref="A39:A40"/>
    <mergeCell ref="A41:A42"/>
    <mergeCell ref="A43:A44"/>
    <mergeCell ref="A45:A46"/>
    <mergeCell ref="A47:A48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74"/>
  <sheetViews>
    <sheetView topLeftCell="A69" workbookViewId="0">
      <selection activeCell="B68" sqref="B68"/>
    </sheetView>
  </sheetViews>
  <sheetFormatPr defaultColWidth="9" defaultRowHeight="14.4"/>
  <cols>
    <col min="1" max="1" width="14.44140625" customWidth="1"/>
    <col min="5" max="5" width="3.109375" customWidth="1"/>
    <col min="6" max="6" width="32.33203125" customWidth="1"/>
  </cols>
  <sheetData>
    <row r="1" spans="1:7">
      <c r="A1" t="s">
        <v>97</v>
      </c>
    </row>
    <row r="2" spans="1:7">
      <c r="A2" t="s">
        <v>98</v>
      </c>
    </row>
    <row r="3" spans="1:7">
      <c r="A3" t="s">
        <v>99</v>
      </c>
      <c r="F3" s="27" t="s">
        <v>100</v>
      </c>
    </row>
    <row r="4" spans="1:7">
      <c r="E4">
        <v>1</v>
      </c>
      <c r="F4" t="s">
        <v>101</v>
      </c>
    </row>
    <row r="5" spans="1:7">
      <c r="E5">
        <v>2</v>
      </c>
      <c r="F5" t="s">
        <v>102</v>
      </c>
    </row>
    <row r="6" spans="1:7">
      <c r="A6" s="27" t="s">
        <v>103</v>
      </c>
      <c r="E6">
        <v>3</v>
      </c>
      <c r="F6" t="s">
        <v>104</v>
      </c>
    </row>
    <row r="7" spans="1:7">
      <c r="E7">
        <v>4</v>
      </c>
      <c r="F7" t="s">
        <v>105</v>
      </c>
    </row>
    <row r="8" spans="1:7">
      <c r="A8" t="s">
        <v>106</v>
      </c>
      <c r="B8" s="56">
        <v>20</v>
      </c>
      <c r="C8" t="s">
        <v>107</v>
      </c>
      <c r="E8">
        <v>5</v>
      </c>
      <c r="F8" t="s">
        <v>108</v>
      </c>
    </row>
    <row r="9" spans="1:7">
      <c r="A9" t="s">
        <v>109</v>
      </c>
      <c r="B9" s="56">
        <v>500</v>
      </c>
      <c r="E9">
        <v>6</v>
      </c>
      <c r="F9" t="s">
        <v>110</v>
      </c>
    </row>
    <row r="10" spans="1:7">
      <c r="A10" t="s">
        <v>111</v>
      </c>
      <c r="B10" s="56">
        <v>25</v>
      </c>
      <c r="C10" t="s">
        <v>112</v>
      </c>
      <c r="E10">
        <v>7</v>
      </c>
      <c r="F10" t="s">
        <v>113</v>
      </c>
    </row>
    <row r="11" spans="1:7">
      <c r="A11" t="s">
        <v>114</v>
      </c>
      <c r="B11" s="56">
        <v>25</v>
      </c>
      <c r="C11" t="s">
        <v>47</v>
      </c>
      <c r="E11">
        <v>8</v>
      </c>
      <c r="F11" t="s">
        <v>115</v>
      </c>
    </row>
    <row r="12" spans="1:7">
      <c r="E12">
        <v>9</v>
      </c>
      <c r="F12" t="s">
        <v>116</v>
      </c>
    </row>
    <row r="14" spans="1:7">
      <c r="A14" s="27" t="s">
        <v>117</v>
      </c>
      <c r="F14" s="27" t="s">
        <v>118</v>
      </c>
    </row>
    <row r="15" spans="1:7">
      <c r="F15" t="s">
        <v>119</v>
      </c>
      <c r="G15">
        <f>LARGE(B16:B17,1)</f>
        <v>4.1402000000000001</v>
      </c>
    </row>
    <row r="16" spans="1:7">
      <c r="A16" t="s">
        <v>120</v>
      </c>
      <c r="B16" s="56">
        <v>3.9624000000000001</v>
      </c>
      <c r="C16" t="s">
        <v>121</v>
      </c>
      <c r="F16" t="s">
        <v>122</v>
      </c>
      <c r="G16">
        <f>SMALL(B16:B17,1)</f>
        <v>3.9624000000000001</v>
      </c>
    </row>
    <row r="17" spans="1:7">
      <c r="A17" t="s">
        <v>123</v>
      </c>
      <c r="B17" s="56">
        <v>4.1402000000000001</v>
      </c>
      <c r="F17" t="s">
        <v>124</v>
      </c>
      <c r="G17">
        <f>G15/G16</f>
        <v>1.04487179487179</v>
      </c>
    </row>
    <row r="18" spans="1:7">
      <c r="A18" t="s">
        <v>125</v>
      </c>
      <c r="B18" s="56">
        <v>125</v>
      </c>
      <c r="F18" t="s">
        <v>118</v>
      </c>
      <c r="G18" s="56">
        <v>8</v>
      </c>
    </row>
    <row r="19" spans="1:7">
      <c r="A19" t="s">
        <v>126</v>
      </c>
      <c r="B19">
        <f>B18-B11</f>
        <v>100</v>
      </c>
    </row>
    <row r="21" spans="1:7">
      <c r="A21" s="27" t="s">
        <v>127</v>
      </c>
      <c r="F21" s="27" t="s">
        <v>128</v>
      </c>
    </row>
    <row r="22" spans="1:7">
      <c r="A22" s="57" t="s">
        <v>129</v>
      </c>
      <c r="F22" t="s">
        <v>130</v>
      </c>
    </row>
    <row r="23" spans="1:7">
      <c r="A23" t="s">
        <v>131</v>
      </c>
      <c r="B23">
        <f>B18/1000*B10</f>
        <v>3.125</v>
      </c>
      <c r="C23" t="s">
        <v>132</v>
      </c>
      <c r="F23" s="58" t="s">
        <v>133</v>
      </c>
    </row>
    <row r="24" spans="1:7">
      <c r="A24" t="s">
        <v>134</v>
      </c>
      <c r="B24" s="56">
        <f>0.05*24</f>
        <v>1.2</v>
      </c>
      <c r="F24" t="s">
        <v>135</v>
      </c>
      <c r="G24">
        <v>4.6600000000000003E-2</v>
      </c>
    </row>
    <row r="25" spans="1:7">
      <c r="A25" t="s">
        <v>136</v>
      </c>
      <c r="B25" s="56">
        <v>0.5</v>
      </c>
      <c r="F25" t="s">
        <v>137</v>
      </c>
      <c r="G25">
        <v>4.2999999999999997E-2</v>
      </c>
    </row>
    <row r="26" spans="1:7">
      <c r="A26" t="s">
        <v>138</v>
      </c>
      <c r="B26" s="56">
        <v>0.2</v>
      </c>
      <c r="F26" t="s">
        <v>139</v>
      </c>
    </row>
    <row r="27" spans="1:7">
      <c r="A27" s="29" t="s">
        <v>140</v>
      </c>
      <c r="B27">
        <f>SUM(B23:B26)</f>
        <v>5.0250000000000004</v>
      </c>
      <c r="F27" t="s">
        <v>135</v>
      </c>
      <c r="G27">
        <v>6.6000000000000003E-2</v>
      </c>
    </row>
    <row r="28" spans="1:7">
      <c r="F28" t="s">
        <v>137</v>
      </c>
      <c r="G28">
        <v>5.7000000000000002E-2</v>
      </c>
    </row>
    <row r="29" spans="1:7">
      <c r="A29" t="s">
        <v>141</v>
      </c>
    </row>
    <row r="30" spans="1:7">
      <c r="A30" t="s">
        <v>142</v>
      </c>
      <c r="B30" s="56">
        <v>3</v>
      </c>
      <c r="F30" s="27" t="s">
        <v>143</v>
      </c>
    </row>
    <row r="31" spans="1:7">
      <c r="A31" s="57"/>
      <c r="F31" t="s">
        <v>144</v>
      </c>
      <c r="G31">
        <f>G16/B19*1000</f>
        <v>39.624000000000002</v>
      </c>
    </row>
    <row r="32" spans="1:7">
      <c r="A32" t="s">
        <v>145</v>
      </c>
      <c r="F32" t="s">
        <v>146</v>
      </c>
    </row>
    <row r="33" spans="1:6">
      <c r="B33">
        <f>1.5*(B30+B27)</f>
        <v>12.0375</v>
      </c>
      <c r="F33" t="s">
        <v>147</v>
      </c>
    </row>
    <row r="34" spans="1:6">
      <c r="F34" t="s">
        <v>148</v>
      </c>
    </row>
    <row r="35" spans="1:6">
      <c r="F35" t="s">
        <v>149</v>
      </c>
    </row>
    <row r="37" spans="1:6">
      <c r="A37" s="29" t="s">
        <v>150</v>
      </c>
      <c r="D37" s="29" t="s">
        <v>151</v>
      </c>
    </row>
    <row r="38" spans="1:6">
      <c r="A38" s="57" t="s">
        <v>152</v>
      </c>
      <c r="D38" t="s">
        <v>153</v>
      </c>
    </row>
    <row r="39" spans="1:6">
      <c r="A39" t="s">
        <v>154</v>
      </c>
      <c r="B39">
        <f>G24*B33*B16^2</f>
        <v>8.8072200371376006</v>
      </c>
      <c r="C39" t="s">
        <v>155</v>
      </c>
      <c r="D39" t="s">
        <v>156</v>
      </c>
      <c r="E39" t="s">
        <v>157</v>
      </c>
      <c r="F39" t="s">
        <v>158</v>
      </c>
    </row>
    <row r="40" spans="1:6">
      <c r="A40" s="59" t="s">
        <v>159</v>
      </c>
      <c r="B40">
        <f>B9/B8</f>
        <v>25</v>
      </c>
      <c r="D40" t="s">
        <v>160</v>
      </c>
    </row>
    <row r="41" spans="1:6">
      <c r="A41" t="s">
        <v>161</v>
      </c>
      <c r="B41">
        <v>100</v>
      </c>
    </row>
    <row r="42" spans="1:6">
      <c r="A42" t="s">
        <v>162</v>
      </c>
      <c r="B42">
        <f>B39/(0.87*415)</f>
        <v>2.4393352824089699E-2</v>
      </c>
    </row>
    <row r="43" spans="1:6">
      <c r="A43" t="s">
        <v>163</v>
      </c>
      <c r="B43">
        <f>($B$8/(2*$B$9))*(1-SQRT(1-(4.6*B39*10^6)/($B$8*1000*$B$19^2)))*1000*$B$19</f>
        <v>214.01686553782301</v>
      </c>
      <c r="C43" t="s">
        <v>47</v>
      </c>
    </row>
    <row r="44" spans="1:6">
      <c r="A44" t="s">
        <v>164</v>
      </c>
      <c r="B44" t="s">
        <v>165</v>
      </c>
    </row>
    <row r="45" spans="1:6">
      <c r="A45" t="s">
        <v>166</v>
      </c>
      <c r="B45">
        <f>((PI()*8^2/4)/B43)*1000</f>
        <v>234.86692196486399</v>
      </c>
    </row>
    <row r="46" spans="1:6">
      <c r="A46" t="s">
        <v>167</v>
      </c>
      <c r="B46">
        <v>150</v>
      </c>
    </row>
    <row r="47" spans="1:6">
      <c r="A47" t="s">
        <v>168</v>
      </c>
      <c r="B47" t="s">
        <v>169</v>
      </c>
      <c r="C47" t="s">
        <v>170</v>
      </c>
      <c r="D47">
        <v>150</v>
      </c>
      <c r="E47" t="s">
        <v>171</v>
      </c>
    </row>
    <row r="49" spans="1:5">
      <c r="A49" s="57" t="s">
        <v>172</v>
      </c>
    </row>
    <row r="50" spans="1:5">
      <c r="A50" t="s">
        <v>173</v>
      </c>
      <c r="B50">
        <f>G25*B33*B17^2</f>
        <v>8.8725283920045008</v>
      </c>
      <c r="C50" t="s">
        <v>155</v>
      </c>
    </row>
    <row r="51" spans="1:5">
      <c r="A51" t="s">
        <v>161</v>
      </c>
      <c r="B51">
        <v>100</v>
      </c>
    </row>
    <row r="52" spans="1:5">
      <c r="A52" t="s">
        <v>163</v>
      </c>
      <c r="B52">
        <f>($B$8/(2*$B$9))*(1-SQRT(1-(4.6*B50*10^6)/($B$8*1000*$B$19^2)))*1000*$B$19</f>
        <v>215.69974837877001</v>
      </c>
    </row>
    <row r="53" spans="1:5">
      <c r="A53" t="s">
        <v>164</v>
      </c>
      <c r="B53" t="s">
        <v>165</v>
      </c>
    </row>
    <row r="54" spans="1:5">
      <c r="A54" t="s">
        <v>166</v>
      </c>
      <c r="B54">
        <f>((PI()*8^2/4)/B52)*1000</f>
        <v>233.03449742171401</v>
      </c>
    </row>
    <row r="55" spans="1:5">
      <c r="A55" t="s">
        <v>167</v>
      </c>
      <c r="B55">
        <v>150</v>
      </c>
    </row>
    <row r="56" spans="1:5">
      <c r="A56" t="s">
        <v>168</v>
      </c>
      <c r="B56" t="s">
        <v>169</v>
      </c>
      <c r="C56" t="s">
        <v>170</v>
      </c>
      <c r="D56">
        <v>150</v>
      </c>
      <c r="E56" t="s">
        <v>171</v>
      </c>
    </row>
    <row r="58" spans="1:5">
      <c r="A58" s="57" t="s">
        <v>174</v>
      </c>
    </row>
    <row r="59" spans="1:5">
      <c r="A59" t="s">
        <v>154</v>
      </c>
      <c r="B59">
        <f>G27*B33*B16^2</f>
        <v>12.473745116976</v>
      </c>
      <c r="C59" t="s">
        <v>155</v>
      </c>
    </row>
    <row r="60" spans="1:5">
      <c r="A60" t="s">
        <v>161</v>
      </c>
      <c r="B60">
        <v>100</v>
      </c>
    </row>
    <row r="61" spans="1:5">
      <c r="A61" t="s">
        <v>163</v>
      </c>
      <c r="B61">
        <f>($B$8/(2*$B$9))*(1-SQRT(1-(4.6*B59*10^6)/($B$8*1000*$B$19^2)))*1000*$B$19</f>
        <v>311.09045557845002</v>
      </c>
    </row>
    <row r="62" spans="1:5">
      <c r="A62" t="s">
        <v>164</v>
      </c>
      <c r="B62" t="s">
        <v>165</v>
      </c>
    </row>
    <row r="63" spans="1:5">
      <c r="A63" t="s">
        <v>166</v>
      </c>
      <c r="B63">
        <f>((PI()*8^2/4)/B61)*1000</f>
        <v>161.578349821025</v>
      </c>
    </row>
    <row r="64" spans="1:5">
      <c r="A64" t="s">
        <v>167</v>
      </c>
      <c r="B64">
        <v>150</v>
      </c>
    </row>
    <row r="65" spans="1:5">
      <c r="A65" t="s">
        <v>168</v>
      </c>
      <c r="B65" t="s">
        <v>169</v>
      </c>
      <c r="C65" t="s">
        <v>170</v>
      </c>
      <c r="D65">
        <v>150</v>
      </c>
      <c r="E65" t="s">
        <v>171</v>
      </c>
    </row>
    <row r="67" spans="1:5">
      <c r="A67" s="57" t="s">
        <v>175</v>
      </c>
    </row>
    <row r="68" spans="1:5">
      <c r="A68" t="s">
        <v>154</v>
      </c>
      <c r="B68">
        <f>G28*B33*B17^2</f>
        <v>11.7612585661455</v>
      </c>
      <c r="C68" t="s">
        <v>155</v>
      </c>
    </row>
    <row r="69" spans="1:5">
      <c r="A69" t="s">
        <v>161</v>
      </c>
      <c r="B69">
        <v>100</v>
      </c>
    </row>
    <row r="70" spans="1:5">
      <c r="A70" t="s">
        <v>163</v>
      </c>
      <c r="B70">
        <f>($B$8/(2*$B$9))*(1-SQRT(1-(4.6*B68*10^6)/($B$8*1000*$B$19^2)))*1000*$B$19</f>
        <v>291.79503222985102</v>
      </c>
    </row>
    <row r="71" spans="1:5">
      <c r="A71" t="s">
        <v>164</v>
      </c>
      <c r="B71" t="s">
        <v>165</v>
      </c>
    </row>
    <row r="72" spans="1:5">
      <c r="A72" t="s">
        <v>166</v>
      </c>
      <c r="B72">
        <v>0</v>
      </c>
    </row>
    <row r="73" spans="1:5">
      <c r="A73" t="s">
        <v>167</v>
      </c>
      <c r="B73">
        <v>150</v>
      </c>
    </row>
    <row r="74" spans="1:5">
      <c r="A74" t="s">
        <v>168</v>
      </c>
      <c r="B74" t="s">
        <v>169</v>
      </c>
      <c r="C74" t="s">
        <v>170</v>
      </c>
      <c r="D74">
        <v>150</v>
      </c>
      <c r="E74" t="s">
        <v>171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5"/>
  <sheetViews>
    <sheetView zoomScale="85" zoomScaleNormal="85" workbookViewId="0">
      <selection activeCell="K13" sqref="K13"/>
    </sheetView>
  </sheetViews>
  <sheetFormatPr defaultColWidth="9" defaultRowHeight="14.4"/>
  <cols>
    <col min="1" max="1" width="9.109375" customWidth="1"/>
    <col min="2" max="2" width="15.33203125" customWidth="1"/>
    <col min="3" max="3" width="9.88671875" customWidth="1"/>
    <col min="6" max="6" width="16.6640625" style="30" customWidth="1"/>
    <col min="7" max="7" width="5.44140625" customWidth="1"/>
    <col min="8" max="8" width="15.109375" customWidth="1"/>
    <col min="9" max="9" width="12.6640625" hidden="1" customWidth="1"/>
    <col min="10" max="10" width="5.88671875" customWidth="1"/>
    <col min="14" max="14" width="16" customWidth="1"/>
    <col min="15" max="15" width="20.33203125" customWidth="1"/>
  </cols>
  <sheetData>
    <row r="1" spans="1:15" ht="21" customHeight="1">
      <c r="A1" s="120" t="s">
        <v>176</v>
      </c>
      <c r="B1" s="120"/>
      <c r="C1" s="120"/>
      <c r="D1" s="120"/>
      <c r="E1" s="120"/>
      <c r="F1" s="120"/>
      <c r="G1" s="120"/>
      <c r="H1" s="120"/>
      <c r="I1" s="120"/>
    </row>
    <row r="2" spans="1:15">
      <c r="A2" s="48" t="s">
        <v>177</v>
      </c>
      <c r="B2" s="49"/>
      <c r="C2" s="49"/>
      <c r="D2" s="50">
        <v>289.12400000000002</v>
      </c>
      <c r="E2" s="39" t="s">
        <v>178</v>
      </c>
      <c r="F2" s="51" t="s">
        <v>179</v>
      </c>
      <c r="G2" s="49">
        <f>7.5/3.281</f>
        <v>2.2858884486437101</v>
      </c>
      <c r="H2" s="121" t="s">
        <v>180</v>
      </c>
      <c r="I2" s="49"/>
      <c r="L2" s="52" t="s">
        <v>181</v>
      </c>
      <c r="M2" s="52" t="s">
        <v>182</v>
      </c>
      <c r="N2" s="52" t="s">
        <v>183</v>
      </c>
      <c r="O2" s="53" t="s">
        <v>184</v>
      </c>
    </row>
    <row r="3" spans="1:15">
      <c r="A3" s="40" t="s">
        <v>185</v>
      </c>
      <c r="B3" s="49"/>
      <c r="C3" s="49"/>
      <c r="D3" s="50">
        <v>354.19119999999998</v>
      </c>
      <c r="E3" s="39" t="s">
        <v>178</v>
      </c>
      <c r="F3" s="51" t="s">
        <v>186</v>
      </c>
      <c r="G3" s="49">
        <v>0.2</v>
      </c>
      <c r="H3" s="121"/>
      <c r="I3" s="49"/>
      <c r="L3" s="8"/>
      <c r="M3" s="8"/>
      <c r="N3" s="8" t="s">
        <v>187</v>
      </c>
      <c r="O3" s="8" t="s">
        <v>187</v>
      </c>
    </row>
    <row r="4" spans="1:15">
      <c r="A4" s="40" t="s">
        <v>188</v>
      </c>
      <c r="B4" s="49"/>
      <c r="C4" s="49"/>
      <c r="D4" s="49">
        <v>305</v>
      </c>
      <c r="E4" s="39" t="s">
        <v>47</v>
      </c>
      <c r="F4" s="51" t="s">
        <v>189</v>
      </c>
      <c r="G4" s="49">
        <f>SUM(G2:G3)</f>
        <v>2.4858884486437098</v>
      </c>
      <c r="H4" s="121"/>
      <c r="I4" s="49"/>
      <c r="L4" s="54" t="s">
        <v>190</v>
      </c>
      <c r="M4" s="8" t="s">
        <v>24</v>
      </c>
      <c r="N4" s="54">
        <v>450.26100000000002</v>
      </c>
      <c r="O4" s="55">
        <f>N4/1.5</f>
        <v>300.17399999999998</v>
      </c>
    </row>
    <row r="5" spans="1:15">
      <c r="A5" s="40" t="s">
        <v>191</v>
      </c>
      <c r="B5" s="49"/>
      <c r="C5" s="49"/>
      <c r="D5" s="49">
        <v>305</v>
      </c>
      <c r="E5" s="39" t="s">
        <v>47</v>
      </c>
      <c r="F5" s="51"/>
      <c r="G5" s="49"/>
      <c r="H5" s="49"/>
      <c r="I5" s="49"/>
      <c r="L5" s="54">
        <v>11</v>
      </c>
      <c r="M5" s="8" t="s">
        <v>25</v>
      </c>
      <c r="N5" s="54">
        <v>555.96</v>
      </c>
      <c r="O5" s="55">
        <f t="shared" ref="O5:O12" si="0">N5/1.5</f>
        <v>370.64</v>
      </c>
    </row>
    <row r="6" spans="1:15">
      <c r="A6" s="40" t="s">
        <v>192</v>
      </c>
      <c r="B6" s="49"/>
      <c r="C6" s="49"/>
      <c r="D6" s="49">
        <v>150</v>
      </c>
      <c r="E6" s="39" t="s">
        <v>193</v>
      </c>
      <c r="F6" s="51"/>
      <c r="G6" s="49"/>
      <c r="H6" s="121" t="s">
        <v>194</v>
      </c>
      <c r="I6" s="49"/>
      <c r="L6" s="54">
        <v>12</v>
      </c>
      <c r="M6" s="8" t="s">
        <v>26</v>
      </c>
      <c r="N6" s="54">
        <v>241.989</v>
      </c>
      <c r="O6" s="55">
        <f t="shared" si="0"/>
        <v>161.32599999999999</v>
      </c>
    </row>
    <row r="7" spans="1:15">
      <c r="A7" s="40"/>
      <c r="B7" s="49"/>
      <c r="C7" s="49"/>
      <c r="D7" s="49"/>
      <c r="E7" s="49"/>
      <c r="F7" s="51"/>
      <c r="G7" s="49"/>
      <c r="H7" s="121"/>
      <c r="I7" s="49"/>
      <c r="L7" s="54">
        <v>13</v>
      </c>
      <c r="M7" s="8" t="s">
        <v>27</v>
      </c>
      <c r="N7" s="54">
        <v>632.76400000000001</v>
      </c>
      <c r="O7" s="55">
        <f t="shared" si="0"/>
        <v>421.84266666666701</v>
      </c>
    </row>
    <row r="8" spans="1:15">
      <c r="A8" s="40"/>
      <c r="B8" s="49"/>
      <c r="C8" s="49"/>
      <c r="D8" s="49"/>
      <c r="E8" s="49"/>
      <c r="F8" s="51" t="s">
        <v>195</v>
      </c>
      <c r="G8" s="49">
        <f>0.15</f>
        <v>0.15</v>
      </c>
      <c r="H8" s="121"/>
      <c r="I8" s="49"/>
      <c r="L8" s="54">
        <v>14</v>
      </c>
      <c r="M8" s="8" t="s">
        <v>28</v>
      </c>
      <c r="N8" s="54">
        <v>757.83900000000006</v>
      </c>
      <c r="O8" s="55">
        <f t="shared" si="0"/>
        <v>505.226</v>
      </c>
    </row>
    <row r="9" spans="1:15">
      <c r="A9" s="40" t="s">
        <v>196</v>
      </c>
      <c r="B9" s="49"/>
      <c r="C9" s="49"/>
      <c r="D9" s="49"/>
      <c r="E9" s="49"/>
      <c r="F9" s="51"/>
      <c r="G9" s="49"/>
      <c r="H9" s="33"/>
      <c r="I9" s="49"/>
      <c r="L9" s="54">
        <v>15</v>
      </c>
      <c r="M9" s="8" t="s">
        <v>29</v>
      </c>
      <c r="N9" s="54">
        <v>425.81400000000002</v>
      </c>
      <c r="O9" s="55">
        <f t="shared" si="0"/>
        <v>283.87599999999998</v>
      </c>
    </row>
    <row r="10" spans="1:15">
      <c r="A10" s="29" t="s">
        <v>197</v>
      </c>
      <c r="L10" s="54">
        <v>16</v>
      </c>
      <c r="M10" s="8" t="s">
        <v>30</v>
      </c>
      <c r="N10" s="54">
        <v>379.06299999999999</v>
      </c>
      <c r="O10" s="55">
        <f t="shared" si="0"/>
        <v>252.708666666667</v>
      </c>
    </row>
    <row r="11" spans="1:15">
      <c r="A11" t="s">
        <v>198</v>
      </c>
      <c r="L11" s="54">
        <v>17</v>
      </c>
      <c r="M11" s="8" t="s">
        <v>31</v>
      </c>
      <c r="N11" s="54">
        <v>508.23200000000003</v>
      </c>
      <c r="O11" s="55">
        <f t="shared" si="0"/>
        <v>338.82133333333297</v>
      </c>
    </row>
    <row r="12" spans="1:15">
      <c r="B12" s="28" t="s">
        <v>199</v>
      </c>
      <c r="C12" t="s">
        <v>200</v>
      </c>
      <c r="L12" s="54">
        <v>18</v>
      </c>
      <c r="M12" s="8" t="s">
        <v>32</v>
      </c>
      <c r="N12" s="54">
        <v>314.64400000000001</v>
      </c>
      <c r="O12" s="55">
        <f t="shared" si="0"/>
        <v>209.762666666667</v>
      </c>
    </row>
    <row r="13" spans="1:15">
      <c r="C13" s="30">
        <f>(D2*G3+D3*G4)/(D2+D3)</f>
        <v>1.4585456906525001</v>
      </c>
      <c r="D13" t="s">
        <v>121</v>
      </c>
    </row>
    <row r="14" spans="1:15">
      <c r="A14" t="s">
        <v>201</v>
      </c>
      <c r="C14" t="s">
        <v>202</v>
      </c>
    </row>
    <row r="15" spans="1:15">
      <c r="C15">
        <f>2*C13</f>
        <v>2.9170913813050001</v>
      </c>
      <c r="D15" t="s">
        <v>121</v>
      </c>
    </row>
    <row r="16" spans="1:15">
      <c r="B16" t="s">
        <v>203</v>
      </c>
      <c r="C16">
        <v>2.5</v>
      </c>
      <c r="D16" t="s">
        <v>121</v>
      </c>
    </row>
    <row r="18" spans="1:7">
      <c r="A18" t="s">
        <v>204</v>
      </c>
    </row>
    <row r="19" spans="1:7" ht="13.95" customHeight="1">
      <c r="B19" t="s">
        <v>205</v>
      </c>
      <c r="C19" t="s">
        <v>206</v>
      </c>
      <c r="D19" t="s">
        <v>207</v>
      </c>
    </row>
    <row r="20" spans="1:7">
      <c r="D20">
        <f>(D2+D3)*1.05</f>
        <v>675.48095999999998</v>
      </c>
      <c r="E20" t="s">
        <v>178</v>
      </c>
    </row>
    <row r="21" spans="1:7">
      <c r="B21" t="s">
        <v>208</v>
      </c>
      <c r="D21" t="s">
        <v>209</v>
      </c>
    </row>
    <row r="22" spans="1:7">
      <c r="D22">
        <f>D20/(C16*D6)</f>
        <v>1.80128256</v>
      </c>
      <c r="E22" t="s">
        <v>121</v>
      </c>
    </row>
    <row r="23" spans="1:7">
      <c r="B23" t="s">
        <v>17</v>
      </c>
      <c r="C23">
        <v>1.5</v>
      </c>
      <c r="D23" t="s">
        <v>210</v>
      </c>
    </row>
    <row r="25" spans="1:7">
      <c r="A25" s="29" t="s">
        <v>211</v>
      </c>
    </row>
    <row r="26" spans="1:7">
      <c r="B26" t="s">
        <v>212</v>
      </c>
      <c r="E26">
        <f>1.5*D2</f>
        <v>433.68599999999998</v>
      </c>
      <c r="F26" s="30" t="s">
        <v>178</v>
      </c>
    </row>
    <row r="27" spans="1:7">
      <c r="B27" t="s">
        <v>213</v>
      </c>
      <c r="E27">
        <f>1.5*D3</f>
        <v>531.28679999999997</v>
      </c>
      <c r="F27" s="30" t="s">
        <v>178</v>
      </c>
    </row>
    <row r="28" spans="1:7">
      <c r="B28" t="s">
        <v>214</v>
      </c>
      <c r="E28" t="s">
        <v>215</v>
      </c>
    </row>
    <row r="29" spans="1:7">
      <c r="E29">
        <f>(E26+E27)/(C16*C23)</f>
        <v>257.32607999999999</v>
      </c>
      <c r="F29" s="30" t="s">
        <v>193</v>
      </c>
    </row>
    <row r="30" spans="1:7">
      <c r="B30" t="s">
        <v>216</v>
      </c>
      <c r="F30" s="30">
        <f>E29*C23</f>
        <v>385.98912000000001</v>
      </c>
      <c r="G30" t="s">
        <v>217</v>
      </c>
    </row>
    <row r="32" spans="1:7">
      <c r="B32" t="s">
        <v>218</v>
      </c>
    </row>
    <row r="33" spans="1:6">
      <c r="D33" t="s">
        <v>219</v>
      </c>
      <c r="E33" t="s">
        <v>220</v>
      </c>
    </row>
    <row r="34" spans="1:6">
      <c r="C34" t="s">
        <v>221</v>
      </c>
      <c r="E34">
        <f>(-G3*F30)</f>
        <v>-77.197823999999997</v>
      </c>
      <c r="F34" s="30" t="s">
        <v>178</v>
      </c>
    </row>
    <row r="35" spans="1:6">
      <c r="D35" t="s">
        <v>222</v>
      </c>
      <c r="E35" t="s">
        <v>223</v>
      </c>
    </row>
    <row r="36" spans="1:6">
      <c r="C36" t="s">
        <v>224</v>
      </c>
      <c r="E36">
        <f>E34+E26</f>
        <v>356.48817600000001</v>
      </c>
      <c r="F36" s="30" t="s">
        <v>178</v>
      </c>
    </row>
    <row r="37" spans="1:6">
      <c r="B37" t="s">
        <v>225</v>
      </c>
    </row>
    <row r="38" spans="1:6">
      <c r="D38" t="s">
        <v>219</v>
      </c>
      <c r="E38" t="s">
        <v>220</v>
      </c>
    </row>
    <row r="39" spans="1:6">
      <c r="C39" t="s">
        <v>221</v>
      </c>
      <c r="E39">
        <f>E41-D3*1.5</f>
        <v>-473.38843200000002</v>
      </c>
      <c r="F39" s="30" t="s">
        <v>178</v>
      </c>
    </row>
    <row r="40" spans="1:6">
      <c r="D40" t="s">
        <v>222</v>
      </c>
      <c r="E40" t="s">
        <v>226</v>
      </c>
    </row>
    <row r="41" spans="1:6">
      <c r="C41" t="s">
        <v>224</v>
      </c>
      <c r="E41">
        <f>F30*G8</f>
        <v>57.898367999999998</v>
      </c>
      <c r="F41" s="30" t="s">
        <v>178</v>
      </c>
    </row>
    <row r="43" spans="1:6">
      <c r="B43" t="s">
        <v>227</v>
      </c>
    </row>
    <row r="44" spans="1:6">
      <c r="C44" s="28" t="s">
        <v>228</v>
      </c>
      <c r="D44">
        <f>(E36*G2)/(E36-(E39))</f>
        <v>0.98194381639500905</v>
      </c>
    </row>
    <row r="45" spans="1:6">
      <c r="B45" t="s">
        <v>229</v>
      </c>
    </row>
    <row r="46" spans="1:6">
      <c r="A46" s="28" t="s">
        <v>230</v>
      </c>
      <c r="B46" t="s">
        <v>231</v>
      </c>
      <c r="D46" s="30"/>
      <c r="F46"/>
    </row>
    <row r="47" spans="1:6">
      <c r="C47">
        <f>(F30*(G3+D44)^2)/2-D44*E26</f>
        <v>-156.243586862054</v>
      </c>
      <c r="D47" t="s">
        <v>155</v>
      </c>
    </row>
    <row r="48" spans="1:6">
      <c r="B48" t="s">
        <v>232</v>
      </c>
    </row>
    <row r="49" spans="1:6">
      <c r="A49" s="28" t="s">
        <v>230</v>
      </c>
      <c r="B49" t="s">
        <v>233</v>
      </c>
      <c r="D49" s="30"/>
      <c r="F49"/>
    </row>
    <row r="50" spans="1:6">
      <c r="C50">
        <f>(F30*(G8+D44)^2)/2-D44*E27</f>
        <v>-274.41047517624702</v>
      </c>
      <c r="D50" t="s">
        <v>155</v>
      </c>
    </row>
    <row r="52" spans="1:6">
      <c r="B52" t="s">
        <v>234</v>
      </c>
      <c r="E52" s="30"/>
      <c r="F52"/>
    </row>
    <row r="53" spans="1:6">
      <c r="B53" s="28" t="s">
        <v>235</v>
      </c>
      <c r="C53" t="s">
        <v>236</v>
      </c>
    </row>
    <row r="54" spans="1:6">
      <c r="B54" s="28" t="s">
        <v>237</v>
      </c>
      <c r="C54">
        <f>-(C47*10^6)/(0.138*20*C23*1000)</f>
        <v>37739.996826583098</v>
      </c>
    </row>
    <row r="55" spans="1:6">
      <c r="B55" s="28" t="s">
        <v>238</v>
      </c>
      <c r="C55">
        <f>SQRT(C54)</f>
        <v>194.26784815450799</v>
      </c>
      <c r="D55" t="s">
        <v>47</v>
      </c>
    </row>
    <row r="56" spans="1:6">
      <c r="B56" s="35"/>
      <c r="C56">
        <v>350</v>
      </c>
      <c r="D56" t="s">
        <v>47</v>
      </c>
    </row>
    <row r="57" spans="1:6">
      <c r="B57" t="s">
        <v>239</v>
      </c>
    </row>
    <row r="58" spans="1:6">
      <c r="A58" s="29" t="s">
        <v>240</v>
      </c>
    </row>
    <row r="59" spans="1:6">
      <c r="B59" s="28" t="s">
        <v>230</v>
      </c>
      <c r="C59" t="s">
        <v>241</v>
      </c>
    </row>
    <row r="60" spans="1:6">
      <c r="B60" t="s">
        <v>242</v>
      </c>
    </row>
    <row r="61" spans="1:6">
      <c r="B61" s="28" t="s">
        <v>243</v>
      </c>
      <c r="C61" s="30">
        <f>((C23*1000*C56*15)-SQRT((C23*1000*C56*15)^2-4*500*-((C47*10^6)*15*1000*C23)/(0.87*500)))/(2*500)</f>
        <v>1103.5529371769401</v>
      </c>
      <c r="D61" t="s">
        <v>244</v>
      </c>
    </row>
    <row r="62" spans="1:6">
      <c r="B62" t="s">
        <v>245</v>
      </c>
      <c r="C62" s="30"/>
    </row>
    <row r="63" spans="1:6">
      <c r="B63" s="28" t="s">
        <v>246</v>
      </c>
      <c r="C63" s="30">
        <f>C61/113</f>
        <v>9.7659551962560691</v>
      </c>
      <c r="D63">
        <v>18</v>
      </c>
      <c r="E63" t="s">
        <v>247</v>
      </c>
    </row>
    <row r="64" spans="1:6">
      <c r="B64" t="s">
        <v>248</v>
      </c>
      <c r="C64" s="30">
        <f>(C23*1000/D63)*2</f>
        <v>166.666666666667</v>
      </c>
    </row>
    <row r="65" spans="1:5">
      <c r="B65" t="s">
        <v>249</v>
      </c>
      <c r="C65" s="30"/>
    </row>
    <row r="66" spans="1:5">
      <c r="E66" s="28" t="s">
        <v>250</v>
      </c>
    </row>
    <row r="67" spans="1:5">
      <c r="A67" s="29"/>
    </row>
    <row r="68" spans="1:5">
      <c r="B68" s="28"/>
    </row>
    <row r="70" spans="1:5">
      <c r="B70" s="28"/>
      <c r="C70" s="30"/>
    </row>
    <row r="71" spans="1:5">
      <c r="C71" s="30"/>
    </row>
    <row r="72" spans="1:5">
      <c r="B72" s="28"/>
      <c r="C72" s="30"/>
    </row>
    <row r="73" spans="1:5">
      <c r="C73" s="30"/>
    </row>
    <row r="74" spans="1:5">
      <c r="C74" s="30"/>
    </row>
    <row r="75" spans="1:5">
      <c r="E75" s="28"/>
    </row>
  </sheetData>
  <mergeCells count="3">
    <mergeCell ref="A1:I1"/>
    <mergeCell ref="H2:H4"/>
    <mergeCell ref="H6:H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30"/>
  <sheetViews>
    <sheetView topLeftCell="A65" workbookViewId="0">
      <selection activeCell="K84" sqref="K84"/>
    </sheetView>
  </sheetViews>
  <sheetFormatPr defaultColWidth="9" defaultRowHeight="14.4"/>
  <cols>
    <col min="1" max="1" width="37.33203125" customWidth="1"/>
    <col min="2" max="2" width="10.5546875" style="20" customWidth="1"/>
  </cols>
  <sheetData>
    <row r="1" spans="1:6">
      <c r="A1" s="121" t="s">
        <v>251</v>
      </c>
      <c r="B1" s="121"/>
      <c r="C1" s="121"/>
      <c r="D1" s="121"/>
      <c r="E1" s="121"/>
      <c r="F1" s="121"/>
    </row>
    <row r="2" spans="1:6">
      <c r="A2" s="28" t="s">
        <v>252</v>
      </c>
      <c r="B2" s="36">
        <v>25</v>
      </c>
      <c r="C2" s="35" t="s">
        <v>193</v>
      </c>
      <c r="D2" s="35"/>
      <c r="E2" s="35"/>
      <c r="F2" s="35"/>
    </row>
    <row r="3" spans="1:6">
      <c r="A3" s="28" t="s">
        <v>253</v>
      </c>
      <c r="B3" s="37">
        <v>1.07</v>
      </c>
      <c r="C3" t="s">
        <v>121</v>
      </c>
      <c r="F3">
        <f>3.5/3.281</f>
        <v>1.0667479427004001</v>
      </c>
    </row>
    <row r="4" spans="1:6">
      <c r="A4" s="28" t="s">
        <v>254</v>
      </c>
      <c r="B4" s="37">
        <v>2.4500000000000002</v>
      </c>
      <c r="C4" t="s">
        <v>121</v>
      </c>
      <c r="F4">
        <f>8/3.281</f>
        <v>2.4382810118866201</v>
      </c>
    </row>
    <row r="5" spans="1:6">
      <c r="A5" s="28" t="s">
        <v>255</v>
      </c>
      <c r="B5" s="37">
        <v>0.2</v>
      </c>
      <c r="C5" t="s">
        <v>121</v>
      </c>
      <c r="F5">
        <f>8*25.4</f>
        <v>203.2</v>
      </c>
    </row>
    <row r="6" spans="1:6">
      <c r="A6" s="28" t="s">
        <v>256</v>
      </c>
      <c r="B6" s="37">
        <v>0.254</v>
      </c>
      <c r="F6">
        <f>10*25.4</f>
        <v>254</v>
      </c>
    </row>
    <row r="7" spans="1:6">
      <c r="A7" s="28" t="s">
        <v>257</v>
      </c>
      <c r="B7" s="38">
        <v>12</v>
      </c>
    </row>
    <row r="8" spans="1:6">
      <c r="A8" s="28" t="s">
        <v>258</v>
      </c>
      <c r="B8" s="37">
        <v>10</v>
      </c>
    </row>
    <row r="10" spans="1:6">
      <c r="A10" s="29" t="s">
        <v>259</v>
      </c>
    </row>
    <row r="11" spans="1:6">
      <c r="A11" s="28" t="s">
        <v>260</v>
      </c>
      <c r="B11" s="123" t="s">
        <v>261</v>
      </c>
      <c r="C11" s="123"/>
      <c r="D11" s="123"/>
      <c r="E11" s="123"/>
    </row>
    <row r="12" spans="1:6">
      <c r="A12" s="28" t="s">
        <v>262</v>
      </c>
      <c r="B12" s="20">
        <f>7.5/3.281</f>
        <v>2.2858884486437101</v>
      </c>
      <c r="C12" t="s">
        <v>121</v>
      </c>
      <c r="F12">
        <f>5/3.281</f>
        <v>1.5239256324291399</v>
      </c>
    </row>
    <row r="13" spans="1:6">
      <c r="A13" s="28" t="s">
        <v>263</v>
      </c>
      <c r="B13" s="122" t="s">
        <v>264</v>
      </c>
      <c r="C13" s="122"/>
      <c r="D13" s="122"/>
      <c r="E13" s="122"/>
      <c r="F13">
        <f>8.8/3.281</f>
        <v>2.6821091130752799</v>
      </c>
    </row>
    <row r="14" spans="1:6">
      <c r="A14" s="28" t="s">
        <v>262</v>
      </c>
      <c r="B14" s="20">
        <f>(B12/(20*1.46))*1000</f>
        <v>78.283850980948799</v>
      </c>
      <c r="C14" t="s">
        <v>47</v>
      </c>
    </row>
    <row r="15" spans="1:6">
      <c r="A15" t="s">
        <v>265</v>
      </c>
    </row>
    <row r="16" spans="1:6">
      <c r="A16" s="28" t="s">
        <v>238</v>
      </c>
      <c r="B16" s="41">
        <v>100</v>
      </c>
      <c r="C16" t="s">
        <v>47</v>
      </c>
    </row>
    <row r="17" spans="1:3">
      <c r="A17" s="28" t="s">
        <v>266</v>
      </c>
      <c r="B17" s="41">
        <f>B16+25</f>
        <v>125</v>
      </c>
      <c r="C17" t="s">
        <v>47</v>
      </c>
    </row>
    <row r="18" spans="1:3">
      <c r="A18" s="28"/>
    </row>
    <row r="19" spans="1:3">
      <c r="A19" s="29" t="s">
        <v>267</v>
      </c>
    </row>
    <row r="20" spans="1:3" ht="28.8">
      <c r="A20" s="42" t="s">
        <v>268</v>
      </c>
      <c r="B20" s="20" t="s">
        <v>269</v>
      </c>
    </row>
    <row r="21" spans="1:3">
      <c r="A21" s="28" t="s">
        <v>262</v>
      </c>
      <c r="B21" s="20">
        <f>B17*B2*SQRT(1+((B5*B5)/(0.254*0.254)))/1000</f>
        <v>3.9774771664208499</v>
      </c>
      <c r="C21" t="s">
        <v>217</v>
      </c>
    </row>
    <row r="23" spans="1:3">
      <c r="A23" t="s">
        <v>270</v>
      </c>
      <c r="B23" s="20" t="s">
        <v>271</v>
      </c>
    </row>
    <row r="24" spans="1:3">
      <c r="B24" s="20">
        <f>12.5*B5</f>
        <v>2.5</v>
      </c>
      <c r="C24" t="s">
        <v>217</v>
      </c>
    </row>
    <row r="26" spans="1:3">
      <c r="A26" s="28" t="s">
        <v>272</v>
      </c>
      <c r="B26" s="20">
        <f>B21+B24</f>
        <v>6.4774771664208499</v>
      </c>
      <c r="C26" t="s">
        <v>217</v>
      </c>
    </row>
    <row r="27" spans="1:3">
      <c r="A27" s="28" t="s">
        <v>273</v>
      </c>
      <c r="B27" s="20">
        <v>3</v>
      </c>
      <c r="C27" t="s">
        <v>217</v>
      </c>
    </row>
    <row r="28" spans="1:3">
      <c r="A28" s="28" t="s">
        <v>274</v>
      </c>
      <c r="B28" s="20">
        <f>B26+B27</f>
        <v>9.4774771664208508</v>
      </c>
      <c r="C28" t="s">
        <v>217</v>
      </c>
    </row>
    <row r="29" spans="1:3">
      <c r="A29" s="28" t="s">
        <v>275</v>
      </c>
      <c r="B29" s="20">
        <f>B28*1.5</f>
        <v>14.216215749631299</v>
      </c>
      <c r="C29" t="s">
        <v>217</v>
      </c>
    </row>
    <row r="30" spans="1:3">
      <c r="A30" t="s">
        <v>276</v>
      </c>
    </row>
    <row r="31" spans="1:3">
      <c r="A31" s="28" t="s">
        <v>277</v>
      </c>
      <c r="B31" s="20">
        <f>B2*B17*1/1000</f>
        <v>3.125</v>
      </c>
      <c r="C31" t="s">
        <v>217</v>
      </c>
    </row>
    <row r="32" spans="1:3">
      <c r="A32" s="28" t="s">
        <v>278</v>
      </c>
      <c r="B32" s="20">
        <v>3</v>
      </c>
      <c r="C32" t="s">
        <v>217</v>
      </c>
    </row>
    <row r="33" spans="1:14">
      <c r="A33" s="28" t="s">
        <v>279</v>
      </c>
      <c r="B33" s="20">
        <f>B31+B32</f>
        <v>6.125</v>
      </c>
      <c r="C33" t="s">
        <v>217</v>
      </c>
    </row>
    <row r="34" spans="1:14">
      <c r="A34" s="28" t="s">
        <v>280</v>
      </c>
      <c r="B34" s="20">
        <f>B33*1.5</f>
        <v>9.1875</v>
      </c>
      <c r="C34" t="s">
        <v>217</v>
      </c>
    </row>
    <row r="36" spans="1:14">
      <c r="A36" s="29" t="s">
        <v>281</v>
      </c>
    </row>
    <row r="37" spans="1:14">
      <c r="A37" s="28" t="s">
        <v>282</v>
      </c>
      <c r="B37" s="20">
        <f>9.2*(0.8+1.06)+14.2*1.27-B38</f>
        <v>17.836738019169299</v>
      </c>
      <c r="C37" t="s">
        <v>178</v>
      </c>
      <c r="F37">
        <f>(2*12+7)*25.4</f>
        <v>787.4</v>
      </c>
      <c r="G37">
        <f>(4*12+2)*25.4</f>
        <v>1270</v>
      </c>
    </row>
    <row r="38" spans="1:14">
      <c r="A38" s="28" t="s">
        <v>283</v>
      </c>
      <c r="B38" s="20">
        <f>(9.2*0.8*0.8/2+14.2*1.27*(1.27/2+0.8)+9.2*1.06*(0.8+1.27+1.06/2))/3.13</f>
        <v>17.309261980830701</v>
      </c>
      <c r="C38" t="s">
        <v>178</v>
      </c>
      <c r="G38">
        <f>0.8+1.27+1.06</f>
        <v>3.13</v>
      </c>
    </row>
    <row r="39" spans="1:14">
      <c r="A39" s="28" t="s">
        <v>284</v>
      </c>
      <c r="B39" s="20">
        <f>17.8*3.13/2-9.2*0.8*(0.765+0.8)/2-14.2*0.765^2/2</f>
        <v>17.942702499999999</v>
      </c>
      <c r="C39" t="s">
        <v>285</v>
      </c>
    </row>
    <row r="40" spans="1:14" ht="28.8">
      <c r="A40" s="43" t="s">
        <v>286</v>
      </c>
      <c r="B40" s="20" t="s">
        <v>287</v>
      </c>
    </row>
    <row r="41" spans="1:14">
      <c r="A41" s="28" t="s">
        <v>262</v>
      </c>
      <c r="B41" s="20">
        <f>0.138*20*1000*B16*B16/1000000</f>
        <v>27.6</v>
      </c>
      <c r="C41" t="s">
        <v>285</v>
      </c>
      <c r="D41" t="s">
        <v>288</v>
      </c>
    </row>
    <row r="42" spans="1:14">
      <c r="A42" t="s">
        <v>289</v>
      </c>
    </row>
    <row r="44" spans="1:14">
      <c r="A44" s="29" t="s">
        <v>290</v>
      </c>
      <c r="H44" s="8" t="s">
        <v>291</v>
      </c>
      <c r="I44" s="8" t="s">
        <v>292</v>
      </c>
      <c r="J44" s="8" t="s">
        <v>293</v>
      </c>
      <c r="K44" s="8" t="s">
        <v>294</v>
      </c>
      <c r="L44" s="8" t="s">
        <v>248</v>
      </c>
      <c r="M44" s="8" t="s">
        <v>295</v>
      </c>
      <c r="N44" s="8"/>
    </row>
    <row r="45" spans="1:14">
      <c r="A45" s="28" t="s">
        <v>296</v>
      </c>
      <c r="B45" s="20" t="s">
        <v>297</v>
      </c>
      <c r="H45" s="8">
        <v>1</v>
      </c>
      <c r="I45" s="8">
        <f>B16/(500/(20*1000))</f>
        <v>4000</v>
      </c>
      <c r="J45" s="8">
        <f>((B39*1000000)/(0.87*500))/(500/(20*1000))</f>
        <v>1649903.67816092</v>
      </c>
      <c r="K45" s="8">
        <f>(I45-(SQRT((I45*I45)-(4*J45))))/(2*H45)</f>
        <v>466.997611926491</v>
      </c>
      <c r="L45" s="8">
        <f>(B57/K45)*1000</f>
        <v>168.180338258577</v>
      </c>
      <c r="M45" s="8">
        <v>155</v>
      </c>
      <c r="N45" s="8">
        <f>1000/(M45/B48)</f>
        <v>506.708492514483</v>
      </c>
    </row>
    <row r="46" spans="1:14">
      <c r="A46" s="28" t="s">
        <v>298</v>
      </c>
      <c r="H46" s="8"/>
      <c r="I46" s="8"/>
      <c r="J46" s="8"/>
      <c r="K46" s="8"/>
      <c r="L46" s="8"/>
      <c r="M46" s="8"/>
      <c r="N46" s="8"/>
    </row>
    <row r="47" spans="1:14">
      <c r="A47" s="28" t="s">
        <v>243</v>
      </c>
      <c r="B47" s="20">
        <f>(20/2/500)*(1-SQRT(1-B39*10^6*4.6/(20*B17^2*1000)))*B17*1000</f>
        <v>355.40881051888999</v>
      </c>
      <c r="C47" t="s">
        <v>43</v>
      </c>
      <c r="H47" s="8"/>
      <c r="I47" s="8"/>
      <c r="J47" s="8"/>
      <c r="K47" s="8"/>
      <c r="L47" s="8"/>
      <c r="M47" s="8"/>
      <c r="N47" s="8"/>
    </row>
    <row r="48" spans="1:14">
      <c r="A48" s="28" t="s">
        <v>299</v>
      </c>
      <c r="B48" s="20">
        <f>PI()*(10*10)*(1/4)</f>
        <v>78.539816339744803</v>
      </c>
      <c r="C48" t="s">
        <v>300</v>
      </c>
      <c r="H48" s="8"/>
      <c r="I48" s="8"/>
      <c r="J48" s="8"/>
      <c r="K48" s="8"/>
      <c r="L48" s="8"/>
      <c r="M48" s="8"/>
      <c r="N48" s="8"/>
    </row>
    <row r="49" spans="1:14">
      <c r="A49" s="28" t="s">
        <v>301</v>
      </c>
      <c r="B49" s="20" t="s">
        <v>302</v>
      </c>
      <c r="F49">
        <f>7*25.4</f>
        <v>177.8</v>
      </c>
      <c r="H49" s="8"/>
      <c r="I49" s="8"/>
      <c r="J49" s="8"/>
      <c r="K49" s="8"/>
      <c r="L49" s="8"/>
      <c r="M49" s="8"/>
      <c r="N49" s="8"/>
    </row>
    <row r="50" spans="1:14">
      <c r="B50" s="20">
        <f>(B48/B47)*1000</f>
        <v>220.98443824473</v>
      </c>
      <c r="C50" t="s">
        <v>47</v>
      </c>
      <c r="H50" s="8"/>
      <c r="I50" s="8"/>
      <c r="J50" s="8"/>
      <c r="K50" s="8"/>
      <c r="L50" s="8"/>
      <c r="M50" s="8"/>
      <c r="N50" s="8"/>
    </row>
    <row r="51" spans="1:14">
      <c r="A51" t="s">
        <v>303</v>
      </c>
      <c r="H51" s="8"/>
      <c r="I51" s="8"/>
      <c r="J51" s="8"/>
      <c r="K51" s="8"/>
      <c r="L51" s="8"/>
      <c r="M51" s="8"/>
      <c r="N51" s="8"/>
    </row>
    <row r="52" spans="1:14">
      <c r="A52" t="s">
        <v>304</v>
      </c>
      <c r="B52" s="20">
        <f>(B48/150)*1000</f>
        <v>523.59877559829897</v>
      </c>
      <c r="C52" t="s">
        <v>43</v>
      </c>
      <c r="H52" s="8"/>
      <c r="I52" s="8"/>
      <c r="J52" s="8"/>
      <c r="K52" s="8"/>
      <c r="L52" s="8"/>
      <c r="M52" s="8"/>
      <c r="N52" s="8"/>
    </row>
    <row r="53" spans="1:14">
      <c r="A53" s="44" t="s">
        <v>305</v>
      </c>
      <c r="B53" s="45">
        <v>150</v>
      </c>
      <c r="C53" s="29" t="s">
        <v>171</v>
      </c>
      <c r="D53" s="29"/>
      <c r="E53" s="29"/>
      <c r="F53" s="29"/>
    </row>
    <row r="55" spans="1:14">
      <c r="A55" s="28" t="s">
        <v>306</v>
      </c>
      <c r="B55" s="20" t="s">
        <v>307</v>
      </c>
    </row>
    <row r="56" spans="1:14">
      <c r="A56" s="28" t="s">
        <v>262</v>
      </c>
      <c r="B56" s="20">
        <f>(0.12/100)*1000*125</f>
        <v>150</v>
      </c>
      <c r="C56" t="s">
        <v>300</v>
      </c>
    </row>
    <row r="57" spans="1:14">
      <c r="A57" s="28" t="s">
        <v>308</v>
      </c>
      <c r="B57" s="20">
        <f>B48</f>
        <v>78.539816339744803</v>
      </c>
      <c r="C57" t="s">
        <v>43</v>
      </c>
    </row>
    <row r="58" spans="1:14">
      <c r="A58" s="28" t="s">
        <v>309</v>
      </c>
      <c r="B58" s="20">
        <f>(B57/B56)*1000</f>
        <v>523.59877559829897</v>
      </c>
      <c r="C58" t="s">
        <v>47</v>
      </c>
    </row>
    <row r="59" spans="1:14">
      <c r="A59" s="28" t="s">
        <v>310</v>
      </c>
    </row>
    <row r="60" spans="1:14">
      <c r="A60" s="28" t="s">
        <v>311</v>
      </c>
      <c r="B60" s="20">
        <f>(B57/200)*1000</f>
        <v>392.699081698724</v>
      </c>
      <c r="F60">
        <v>1</v>
      </c>
    </row>
    <row r="61" spans="1:14" ht="14.25" customHeight="1">
      <c r="A61" s="121" t="s">
        <v>312</v>
      </c>
      <c r="B61" s="121"/>
      <c r="C61" s="121"/>
      <c r="D61" s="121"/>
    </row>
    <row r="63" spans="1:14">
      <c r="A63" s="29" t="s">
        <v>313</v>
      </c>
    </row>
    <row r="64" spans="1:14">
      <c r="A64" s="28" t="s">
        <v>314</v>
      </c>
      <c r="B64" s="20" t="s">
        <v>315</v>
      </c>
    </row>
    <row r="65" spans="1:6">
      <c r="B65" s="20">
        <f>(10*0.84*500)/(4*1.6*1.2)</f>
        <v>546.875</v>
      </c>
      <c r="C65" t="s">
        <v>47</v>
      </c>
    </row>
    <row r="66" spans="1:6">
      <c r="A66" s="121" t="s">
        <v>316</v>
      </c>
      <c r="B66" s="121"/>
      <c r="C66" s="121"/>
      <c r="D66" s="121"/>
      <c r="E66" s="121"/>
      <c r="F66" s="121"/>
    </row>
    <row r="67" spans="1:6">
      <c r="A67" s="121"/>
      <c r="B67" s="121"/>
      <c r="C67" s="121"/>
      <c r="D67" s="121"/>
      <c r="E67" s="121"/>
      <c r="F67" s="121"/>
    </row>
    <row r="69" spans="1:6" s="35" customFormat="1">
      <c r="A69" s="46" t="s">
        <v>317</v>
      </c>
      <c r="B69" s="47"/>
    </row>
    <row r="70" spans="1:6">
      <c r="A70" s="28" t="s">
        <v>260</v>
      </c>
      <c r="B70" s="123" t="s">
        <v>261</v>
      </c>
      <c r="C70" s="123"/>
      <c r="D70" s="123"/>
      <c r="E70" s="123"/>
    </row>
    <row r="71" spans="1:6">
      <c r="A71" s="28" t="s">
        <v>262</v>
      </c>
      <c r="B71" s="20">
        <f>3.63</f>
        <v>3.63</v>
      </c>
      <c r="C71" t="s">
        <v>121</v>
      </c>
    </row>
    <row r="72" spans="1:6">
      <c r="A72" s="28" t="s">
        <v>263</v>
      </c>
      <c r="B72" s="122" t="s">
        <v>264</v>
      </c>
      <c r="C72" s="122"/>
      <c r="D72" s="122"/>
      <c r="E72" s="122"/>
    </row>
    <row r="73" spans="1:6">
      <c r="A73" s="28" t="s">
        <v>262</v>
      </c>
      <c r="B73" s="20">
        <f>(B71/(20*1.46))*1000</f>
        <v>124.315068493151</v>
      </c>
      <c r="C73" t="s">
        <v>47</v>
      </c>
    </row>
    <row r="74" spans="1:6">
      <c r="A74" t="s">
        <v>265</v>
      </c>
    </row>
    <row r="75" spans="1:6">
      <c r="A75" s="28" t="s">
        <v>238</v>
      </c>
      <c r="B75" s="41">
        <v>125</v>
      </c>
      <c r="C75" t="s">
        <v>47</v>
      </c>
    </row>
    <row r="76" spans="1:6">
      <c r="A76" s="28" t="s">
        <v>266</v>
      </c>
      <c r="B76" s="41">
        <f>B75+25</f>
        <v>150</v>
      </c>
      <c r="C76" t="s">
        <v>47</v>
      </c>
    </row>
    <row r="77" spans="1:6">
      <c r="A77" s="28"/>
    </row>
    <row r="78" spans="1:6">
      <c r="A78" s="29" t="s">
        <v>267</v>
      </c>
    </row>
    <row r="79" spans="1:6" ht="28.8">
      <c r="A79" s="42" t="s">
        <v>268</v>
      </c>
      <c r="B79" s="20" t="s">
        <v>269</v>
      </c>
    </row>
    <row r="80" spans="1:6">
      <c r="A80" s="28" t="s">
        <v>262</v>
      </c>
      <c r="B80" s="20">
        <f>B76*B2*SQRT(1+((B5*B5)/(0.254*0.254)))/1000</f>
        <v>4.7729725997050201</v>
      </c>
      <c r="C80" t="s">
        <v>217</v>
      </c>
    </row>
    <row r="82" spans="1:3">
      <c r="A82" t="s">
        <v>270</v>
      </c>
      <c r="B82" s="20" t="s">
        <v>271</v>
      </c>
    </row>
    <row r="83" spans="1:3">
      <c r="B83" s="20">
        <f>12.5*B5</f>
        <v>2.5</v>
      </c>
      <c r="C83" t="s">
        <v>217</v>
      </c>
    </row>
    <row r="85" spans="1:3">
      <c r="A85" s="28" t="s">
        <v>272</v>
      </c>
      <c r="B85" s="20">
        <f>B80+B83</f>
        <v>7.2729725997050201</v>
      </c>
      <c r="C85" t="s">
        <v>217</v>
      </c>
    </row>
    <row r="86" spans="1:3">
      <c r="A86" s="28" t="s">
        <v>273</v>
      </c>
      <c r="B86" s="20">
        <v>3</v>
      </c>
      <c r="C86" t="s">
        <v>217</v>
      </c>
    </row>
    <row r="87" spans="1:3">
      <c r="A87" s="28" t="s">
        <v>274</v>
      </c>
      <c r="B87" s="20">
        <f>B85+B86</f>
        <v>10.272972599705</v>
      </c>
      <c r="C87" t="s">
        <v>217</v>
      </c>
    </row>
    <row r="88" spans="1:3">
      <c r="A88" s="28" t="s">
        <v>275</v>
      </c>
      <c r="B88" s="20">
        <f>B87*1.5</f>
        <v>15.409458899557499</v>
      </c>
      <c r="C88" t="s">
        <v>217</v>
      </c>
    </row>
    <row r="90" spans="1:3">
      <c r="A90" t="s">
        <v>276</v>
      </c>
    </row>
    <row r="91" spans="1:3">
      <c r="A91" s="28" t="s">
        <v>277</v>
      </c>
      <c r="B91" s="20">
        <f>B2*B76*1/1000</f>
        <v>3.75</v>
      </c>
      <c r="C91" t="s">
        <v>217</v>
      </c>
    </row>
    <row r="92" spans="1:3">
      <c r="A92" s="28" t="s">
        <v>278</v>
      </c>
      <c r="B92" s="20">
        <v>3</v>
      </c>
      <c r="C92" t="s">
        <v>217</v>
      </c>
    </row>
    <row r="93" spans="1:3">
      <c r="A93" s="28" t="s">
        <v>279</v>
      </c>
      <c r="B93" s="20">
        <f>B91+B92</f>
        <v>6.75</v>
      </c>
      <c r="C93" t="s">
        <v>217</v>
      </c>
    </row>
    <row r="94" spans="1:3">
      <c r="A94" s="28" t="s">
        <v>280</v>
      </c>
      <c r="B94" s="20">
        <f>B93*1.5</f>
        <v>10.125</v>
      </c>
      <c r="C94" t="s">
        <v>217</v>
      </c>
    </row>
    <row r="96" spans="1:3">
      <c r="A96" s="29" t="s">
        <v>281</v>
      </c>
    </row>
    <row r="97" spans="1:4">
      <c r="A97" s="28" t="s">
        <v>283</v>
      </c>
      <c r="B97" s="20">
        <v>31.77</v>
      </c>
      <c r="C97" t="s">
        <v>178</v>
      </c>
    </row>
    <row r="98" spans="1:4">
      <c r="A98" s="28" t="s">
        <v>318</v>
      </c>
      <c r="B98" s="20">
        <v>34.08</v>
      </c>
      <c r="C98" t="s">
        <v>178</v>
      </c>
    </row>
    <row r="99" spans="1:4">
      <c r="A99" s="28" t="s">
        <v>284</v>
      </c>
      <c r="B99" s="20">
        <v>32.335999999999999</v>
      </c>
      <c r="C99" t="s">
        <v>285</v>
      </c>
    </row>
    <row r="100" spans="1:4" ht="28.8">
      <c r="A100" s="43" t="s">
        <v>286</v>
      </c>
      <c r="B100" s="20" t="s">
        <v>287</v>
      </c>
    </row>
    <row r="101" spans="1:4">
      <c r="A101" s="28" t="s">
        <v>262</v>
      </c>
      <c r="B101" s="20">
        <f>0.138*20*1000*B75*B75/1000000</f>
        <v>43.125</v>
      </c>
      <c r="C101" t="s">
        <v>285</v>
      </c>
      <c r="D101" t="s">
        <v>319</v>
      </c>
    </row>
    <row r="102" spans="1:4">
      <c r="A102" t="s">
        <v>289</v>
      </c>
    </row>
    <row r="104" spans="1:4">
      <c r="A104" s="29" t="s">
        <v>290</v>
      </c>
    </row>
    <row r="105" spans="1:4">
      <c r="A105" s="28" t="s">
        <v>296</v>
      </c>
      <c r="B105" s="20" t="s">
        <v>297</v>
      </c>
    </row>
    <row r="106" spans="1:4">
      <c r="A106" s="28" t="s">
        <v>298</v>
      </c>
    </row>
    <row r="107" spans="1:4">
      <c r="A107" s="28" t="s">
        <v>243</v>
      </c>
      <c r="B107" s="20">
        <v>426.35399999999998</v>
      </c>
      <c r="C107" t="s">
        <v>43</v>
      </c>
    </row>
    <row r="109" spans="1:4">
      <c r="A109" s="28" t="s">
        <v>299</v>
      </c>
      <c r="B109" s="20">
        <f>B48</f>
        <v>78.539816339744803</v>
      </c>
      <c r="C109" t="s">
        <v>300</v>
      </c>
    </row>
    <row r="111" spans="1:4">
      <c r="A111" s="28" t="s">
        <v>301</v>
      </c>
      <c r="B111" s="20" t="s">
        <v>302</v>
      </c>
    </row>
    <row r="112" spans="1:4">
      <c r="B112" s="20">
        <f>(B109/B107)*1000</f>
        <v>184.21268790663399</v>
      </c>
      <c r="C112" t="s">
        <v>47</v>
      </c>
    </row>
    <row r="113" spans="1:6">
      <c r="A113" t="s">
        <v>320</v>
      </c>
    </row>
    <row r="114" spans="1:6">
      <c r="A114" t="s">
        <v>304</v>
      </c>
      <c r="B114" s="20">
        <f>(B109/115)*1000</f>
        <v>682.95492469343299</v>
      </c>
      <c r="C114" t="s">
        <v>43</v>
      </c>
    </row>
    <row r="116" spans="1:6">
      <c r="A116" s="44" t="s">
        <v>305</v>
      </c>
      <c r="B116" s="45">
        <f>115</f>
        <v>115</v>
      </c>
      <c r="C116" s="29" t="s">
        <v>171</v>
      </c>
    </row>
    <row r="117" spans="1:6">
      <c r="E117">
        <f>10*10*22/(7*4)</f>
        <v>78.571428571428598</v>
      </c>
    </row>
    <row r="118" spans="1:6">
      <c r="A118" s="28" t="s">
        <v>306</v>
      </c>
      <c r="B118" s="20" t="s">
        <v>307</v>
      </c>
    </row>
    <row r="119" spans="1:6">
      <c r="B119" s="20">
        <f>(0.12/100)*1000*B76</f>
        <v>180</v>
      </c>
      <c r="C119" t="s">
        <v>300</v>
      </c>
    </row>
    <row r="120" spans="1:6">
      <c r="A120" s="28" t="s">
        <v>308</v>
      </c>
      <c r="B120" s="20">
        <f>B48</f>
        <v>78.539816339744803</v>
      </c>
      <c r="C120" t="s">
        <v>43</v>
      </c>
    </row>
    <row r="121" spans="1:6">
      <c r="A121" s="28" t="s">
        <v>309</v>
      </c>
      <c r="B121" s="20">
        <f>(B120/B119)*1000</f>
        <v>436.33231299858198</v>
      </c>
      <c r="C121" t="s">
        <v>47</v>
      </c>
    </row>
    <row r="122" spans="1:6">
      <c r="A122" s="28" t="s">
        <v>310</v>
      </c>
    </row>
    <row r="123" spans="1:6">
      <c r="A123" s="28" t="s">
        <v>311</v>
      </c>
      <c r="B123" s="20">
        <f>(B120/200)*1000</f>
        <v>392.699081698724</v>
      </c>
      <c r="F123">
        <v>1</v>
      </c>
    </row>
    <row r="124" spans="1:6">
      <c r="A124" s="121" t="s">
        <v>312</v>
      </c>
      <c r="B124" s="121"/>
      <c r="C124" s="121"/>
      <c r="D124" s="121"/>
    </row>
    <row r="126" spans="1:6">
      <c r="A126" s="29" t="s">
        <v>313</v>
      </c>
    </row>
    <row r="127" spans="1:6">
      <c r="A127" s="28" t="s">
        <v>314</v>
      </c>
      <c r="B127" s="20" t="s">
        <v>315</v>
      </c>
    </row>
    <row r="128" spans="1:6">
      <c r="B128" s="20">
        <f>(8*0.84*500)/(4*1.6*1.2)</f>
        <v>437.5</v>
      </c>
      <c r="C128" t="s">
        <v>47</v>
      </c>
    </row>
    <row r="129" spans="1:6">
      <c r="A129" s="121" t="s">
        <v>321</v>
      </c>
      <c r="B129" s="121"/>
      <c r="C129" s="121"/>
      <c r="D129" s="121"/>
      <c r="E129" s="121"/>
      <c r="F129" s="121"/>
    </row>
    <row r="130" spans="1:6">
      <c r="A130" s="121"/>
      <c r="B130" s="121"/>
      <c r="C130" s="121"/>
      <c r="D130" s="121"/>
      <c r="E130" s="121"/>
      <c r="F130" s="121"/>
    </row>
  </sheetData>
  <mergeCells count="9">
    <mergeCell ref="B72:E72"/>
    <mergeCell ref="A124:D124"/>
    <mergeCell ref="A129:F130"/>
    <mergeCell ref="A66:F67"/>
    <mergeCell ref="A1:F1"/>
    <mergeCell ref="B11:E11"/>
    <mergeCell ref="B13:E13"/>
    <mergeCell ref="A61:D61"/>
    <mergeCell ref="B70:E70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topLeftCell="A52" workbookViewId="0">
      <selection activeCell="K18" sqref="K18"/>
    </sheetView>
  </sheetViews>
  <sheetFormatPr defaultColWidth="9" defaultRowHeight="14.4"/>
  <sheetData>
    <row r="1" spans="1:10" hidden="1"/>
    <row r="2" spans="1:10" hidden="1">
      <c r="A2" t="s">
        <v>322</v>
      </c>
    </row>
    <row r="3" spans="1:10" hidden="1">
      <c r="A3" s="18" t="s">
        <v>190</v>
      </c>
      <c r="B3" s="18"/>
      <c r="C3" t="s">
        <v>30</v>
      </c>
      <c r="E3" s="19">
        <v>450.26100000000002</v>
      </c>
    </row>
    <row r="4" spans="1:10" hidden="1">
      <c r="A4" s="18">
        <v>11</v>
      </c>
      <c r="B4" s="18"/>
      <c r="C4" t="s">
        <v>27</v>
      </c>
      <c r="E4" s="19">
        <v>555.96</v>
      </c>
    </row>
    <row r="5" spans="1:10" hidden="1">
      <c r="A5" s="18">
        <v>12</v>
      </c>
      <c r="B5" s="18"/>
      <c r="C5" t="s">
        <v>24</v>
      </c>
      <c r="E5" s="19">
        <v>241.989</v>
      </c>
    </row>
    <row r="6" spans="1:10" hidden="1">
      <c r="A6" s="18">
        <v>13</v>
      </c>
      <c r="B6" s="18"/>
      <c r="C6" t="s">
        <v>31</v>
      </c>
      <c r="E6" s="19">
        <v>632.76400000000001</v>
      </c>
    </row>
    <row r="7" spans="1:10" hidden="1">
      <c r="A7" s="18">
        <v>14</v>
      </c>
      <c r="B7" s="18"/>
      <c r="C7" t="s">
        <v>28</v>
      </c>
      <c r="E7" s="19">
        <v>757.83900000000006</v>
      </c>
    </row>
    <row r="8" spans="1:10" hidden="1">
      <c r="A8" s="18">
        <v>15</v>
      </c>
      <c r="B8" s="18"/>
      <c r="C8" t="s">
        <v>25</v>
      </c>
      <c r="E8" s="19">
        <v>425.81400000000002</v>
      </c>
    </row>
    <row r="9" spans="1:10" hidden="1">
      <c r="A9" s="18">
        <v>16</v>
      </c>
      <c r="B9" s="18"/>
      <c r="C9" t="s">
        <v>32</v>
      </c>
      <c r="E9" s="19">
        <v>379.06299999999999</v>
      </c>
    </row>
    <row r="10" spans="1:10" hidden="1">
      <c r="A10" s="18">
        <v>17</v>
      </c>
      <c r="B10" s="18"/>
      <c r="C10" t="s">
        <v>29</v>
      </c>
      <c r="E10" s="19">
        <v>508.23200000000003</v>
      </c>
    </row>
    <row r="11" spans="1:10" hidden="1">
      <c r="A11" s="18">
        <v>18</v>
      </c>
      <c r="B11" s="18"/>
      <c r="C11" t="s">
        <v>26</v>
      </c>
      <c r="E11" s="19">
        <v>314.64400000000001</v>
      </c>
    </row>
    <row r="12" spans="1:10" hidden="1"/>
    <row r="13" spans="1:10" ht="21">
      <c r="A13" s="129" t="s">
        <v>323</v>
      </c>
      <c r="B13" s="129"/>
      <c r="C13" s="129"/>
      <c r="D13" s="129"/>
      <c r="E13" s="129"/>
      <c r="F13" s="129"/>
      <c r="G13" s="129"/>
      <c r="H13" s="129"/>
      <c r="I13" s="129"/>
      <c r="J13" s="129"/>
    </row>
    <row r="14" spans="1:10">
      <c r="G14" s="20"/>
    </row>
    <row r="15" spans="1:10" ht="43.2">
      <c r="A15" s="21" t="s">
        <v>181</v>
      </c>
      <c r="B15" s="22" t="s">
        <v>182</v>
      </c>
      <c r="C15" s="130" t="s">
        <v>183</v>
      </c>
      <c r="D15" s="130"/>
      <c r="E15" s="130"/>
      <c r="F15" s="130"/>
      <c r="G15" s="23" t="s">
        <v>184</v>
      </c>
      <c r="H15" s="24"/>
      <c r="I15" s="24"/>
      <c r="J15" s="31"/>
    </row>
    <row r="16" spans="1:10">
      <c r="A16" s="18" t="s">
        <v>190</v>
      </c>
      <c r="B16" t="s">
        <v>30</v>
      </c>
      <c r="C16" s="131">
        <v>450.26100000000002</v>
      </c>
      <c r="D16" s="131"/>
      <c r="E16" s="131"/>
      <c r="F16" s="132"/>
      <c r="G16" s="25">
        <f>C16/1.5</f>
        <v>300.17399999999998</v>
      </c>
    </row>
    <row r="17" spans="1:10">
      <c r="A17" s="18">
        <v>11</v>
      </c>
      <c r="B17" t="s">
        <v>27</v>
      </c>
      <c r="C17" s="127">
        <v>555.96</v>
      </c>
      <c r="D17" s="127"/>
      <c r="E17" s="127"/>
      <c r="F17" s="128"/>
      <c r="G17" s="25">
        <f t="shared" ref="G17:G24" si="0">C17/1.5</f>
        <v>370.64</v>
      </c>
    </row>
    <row r="18" spans="1:10">
      <c r="A18" s="18">
        <v>12</v>
      </c>
      <c r="B18" t="s">
        <v>24</v>
      </c>
      <c r="C18" s="127">
        <v>241.989</v>
      </c>
      <c r="D18" s="127"/>
      <c r="E18" s="127"/>
      <c r="F18" s="128"/>
      <c r="G18" s="25">
        <f t="shared" si="0"/>
        <v>161.32599999999999</v>
      </c>
    </row>
    <row r="19" spans="1:10">
      <c r="A19" s="18">
        <v>13</v>
      </c>
      <c r="B19" t="s">
        <v>31</v>
      </c>
      <c r="C19" s="127">
        <v>632.76400000000001</v>
      </c>
      <c r="D19" s="127"/>
      <c r="E19" s="127"/>
      <c r="F19" s="128"/>
      <c r="G19" s="25">
        <f t="shared" si="0"/>
        <v>421.84266666666701</v>
      </c>
    </row>
    <row r="20" spans="1:10">
      <c r="A20" s="18">
        <v>14</v>
      </c>
      <c r="B20" t="s">
        <v>28</v>
      </c>
      <c r="C20" s="127">
        <v>757.83900000000006</v>
      </c>
      <c r="D20" s="127"/>
      <c r="E20" s="127"/>
      <c r="F20" s="128"/>
      <c r="G20" s="25">
        <f t="shared" si="0"/>
        <v>505.226</v>
      </c>
    </row>
    <row r="21" spans="1:10">
      <c r="A21" s="18">
        <v>15</v>
      </c>
      <c r="B21" t="s">
        <v>25</v>
      </c>
      <c r="C21" s="127">
        <v>425.81400000000002</v>
      </c>
      <c r="D21" s="127"/>
      <c r="E21" s="127"/>
      <c r="F21" s="128"/>
      <c r="G21" s="25">
        <f t="shared" si="0"/>
        <v>283.87599999999998</v>
      </c>
    </row>
    <row r="22" spans="1:10">
      <c r="A22" s="18">
        <v>16</v>
      </c>
      <c r="B22" t="s">
        <v>32</v>
      </c>
      <c r="C22" s="127">
        <v>379.06299999999999</v>
      </c>
      <c r="D22" s="127"/>
      <c r="E22" s="127"/>
      <c r="F22" s="128"/>
      <c r="G22" s="25">
        <f t="shared" si="0"/>
        <v>252.708666666667</v>
      </c>
    </row>
    <row r="23" spans="1:10">
      <c r="A23" s="18">
        <v>17</v>
      </c>
      <c r="B23" t="s">
        <v>29</v>
      </c>
      <c r="C23" s="127">
        <v>508.23200000000003</v>
      </c>
      <c r="D23" s="127"/>
      <c r="E23" s="127"/>
      <c r="F23" s="128"/>
      <c r="G23" s="25">
        <f t="shared" si="0"/>
        <v>338.82133333333297</v>
      </c>
    </row>
    <row r="24" spans="1:10">
      <c r="A24" s="18">
        <v>18</v>
      </c>
      <c r="B24" t="s">
        <v>26</v>
      </c>
      <c r="C24" s="125">
        <v>314.64400000000001</v>
      </c>
      <c r="D24" s="125"/>
      <c r="E24" s="125"/>
      <c r="F24" s="126"/>
      <c r="G24" s="25">
        <f t="shared" si="0"/>
        <v>209.762666666667</v>
      </c>
    </row>
    <row r="25" spans="1:10">
      <c r="A25" s="26" t="s">
        <v>324</v>
      </c>
      <c r="B25" s="27"/>
      <c r="G25" s="20"/>
    </row>
    <row r="26" spans="1:10">
      <c r="A26" t="s">
        <v>325</v>
      </c>
      <c r="G26" s="20"/>
    </row>
    <row r="27" spans="1:10">
      <c r="A27" s="124" t="s">
        <v>326</v>
      </c>
      <c r="B27" s="124"/>
      <c r="C27" s="124"/>
      <c r="D27" s="124"/>
      <c r="E27" s="20">
        <v>338.10550000000001</v>
      </c>
      <c r="F27" t="s">
        <v>178</v>
      </c>
      <c r="G27" s="20"/>
    </row>
    <row r="28" spans="1:10">
      <c r="A28" s="124" t="s">
        <v>327</v>
      </c>
      <c r="B28" s="124"/>
      <c r="C28" s="124"/>
      <c r="D28" s="124"/>
      <c r="E28">
        <v>150</v>
      </c>
      <c r="F28" t="s">
        <v>193</v>
      </c>
      <c r="G28" s="20"/>
      <c r="J28" s="29"/>
    </row>
    <row r="29" spans="1:10">
      <c r="A29" s="124" t="s">
        <v>328</v>
      </c>
      <c r="B29" s="124"/>
      <c r="C29" s="124"/>
      <c r="D29" s="124"/>
      <c r="E29">
        <v>350</v>
      </c>
      <c r="F29" t="s">
        <v>47</v>
      </c>
      <c r="G29" s="20"/>
      <c r="J29" s="29"/>
    </row>
    <row r="30" spans="1:10">
      <c r="A30" s="124" t="s">
        <v>329</v>
      </c>
      <c r="B30" s="124"/>
      <c r="C30" s="124"/>
      <c r="D30" s="124"/>
      <c r="E30">
        <v>350</v>
      </c>
      <c r="F30" t="s">
        <v>47</v>
      </c>
      <c r="G30" s="20"/>
      <c r="J30" s="29"/>
    </row>
    <row r="31" spans="1:10">
      <c r="D31" s="28" t="s">
        <v>330</v>
      </c>
      <c r="E31">
        <v>20</v>
      </c>
      <c r="F31" t="s">
        <v>331</v>
      </c>
      <c r="G31" s="20"/>
      <c r="J31" s="29"/>
    </row>
    <row r="32" spans="1:10">
      <c r="D32" s="28" t="s">
        <v>332</v>
      </c>
      <c r="E32">
        <v>500</v>
      </c>
      <c r="F32" t="s">
        <v>331</v>
      </c>
      <c r="G32" s="20"/>
      <c r="J32" s="29"/>
    </row>
    <row r="33" spans="1:10">
      <c r="G33" s="20"/>
      <c r="J33" s="29"/>
    </row>
    <row r="34" spans="1:10">
      <c r="A34" s="29" t="s">
        <v>333</v>
      </c>
      <c r="B34" s="29"/>
      <c r="G34" s="20"/>
      <c r="J34" s="29"/>
    </row>
    <row r="35" spans="1:10">
      <c r="C35" s="28" t="s">
        <v>334</v>
      </c>
      <c r="D35" s="28">
        <f>E27/1.5</f>
        <v>225.40366666666699</v>
      </c>
      <c r="E35" t="s">
        <v>178</v>
      </c>
      <c r="G35" s="20"/>
    </row>
    <row r="36" spans="1:10">
      <c r="C36" t="s">
        <v>335</v>
      </c>
      <c r="E36" t="s">
        <v>336</v>
      </c>
      <c r="G36" s="20"/>
      <c r="J36" s="29"/>
    </row>
    <row r="37" spans="1:10">
      <c r="E37">
        <f>(10/100)*D35</f>
        <v>22.540366666666699</v>
      </c>
      <c r="F37" t="s">
        <v>178</v>
      </c>
      <c r="G37" s="20"/>
      <c r="J37" s="29"/>
    </row>
    <row r="38" spans="1:10">
      <c r="C38" s="124" t="s">
        <v>337</v>
      </c>
      <c r="D38" s="124"/>
      <c r="E38">
        <f>D35+E37</f>
        <v>247.94403333333301</v>
      </c>
      <c r="F38" t="s">
        <v>178</v>
      </c>
      <c r="G38" s="20"/>
      <c r="J38" s="29"/>
    </row>
    <row r="39" spans="1:10">
      <c r="G39" s="20"/>
      <c r="J39" s="29"/>
    </row>
    <row r="40" spans="1:10">
      <c r="A40" s="29" t="s">
        <v>338</v>
      </c>
      <c r="B40" s="29"/>
      <c r="D40" s="29"/>
      <c r="G40" s="20"/>
      <c r="J40" s="29"/>
    </row>
    <row r="41" spans="1:10">
      <c r="A41" s="29"/>
      <c r="B41" s="29"/>
      <c r="C41" s="28" t="s">
        <v>339</v>
      </c>
      <c r="D41" t="s">
        <v>340</v>
      </c>
      <c r="G41" s="20"/>
      <c r="J41" s="29"/>
    </row>
    <row r="42" spans="1:10">
      <c r="A42" s="29"/>
      <c r="B42" s="29"/>
      <c r="C42" s="28" t="s">
        <v>262</v>
      </c>
      <c r="D42">
        <f>E38/E28</f>
        <v>1.6529602222222199</v>
      </c>
      <c r="E42" t="s">
        <v>341</v>
      </c>
      <c r="G42" s="20"/>
      <c r="J42" s="29"/>
    </row>
    <row r="43" spans="1:10">
      <c r="A43" t="s">
        <v>342</v>
      </c>
      <c r="E43" s="30">
        <f>SQRT(D42)</f>
        <v>1.28567500645467</v>
      </c>
      <c r="F43" t="s">
        <v>121</v>
      </c>
      <c r="G43" s="20"/>
      <c r="J43" s="29"/>
    </row>
    <row r="44" spans="1:10">
      <c r="A44" s="29"/>
      <c r="B44" s="29"/>
      <c r="D44" s="29"/>
      <c r="G44" s="20"/>
      <c r="J44" s="29"/>
    </row>
    <row r="45" spans="1:10">
      <c r="A45" t="s">
        <v>343</v>
      </c>
      <c r="D45" s="29"/>
      <c r="G45" s="20"/>
      <c r="J45" s="29"/>
    </row>
    <row r="46" spans="1:10">
      <c r="A46" s="124" t="s">
        <v>201</v>
      </c>
      <c r="B46" s="124"/>
      <c r="C46" s="124"/>
      <c r="D46" s="124"/>
      <c r="E46">
        <v>1.8288</v>
      </c>
      <c r="F46" t="s">
        <v>121</v>
      </c>
      <c r="G46" s="20"/>
      <c r="J46" s="29"/>
    </row>
    <row r="47" spans="1:10">
      <c r="A47" s="124" t="s">
        <v>344</v>
      </c>
      <c r="B47" s="124"/>
      <c r="C47" s="124"/>
      <c r="D47" s="124"/>
      <c r="E47">
        <v>1.8288</v>
      </c>
      <c r="F47" t="s">
        <v>121</v>
      </c>
      <c r="G47" s="20"/>
      <c r="J47" s="29"/>
    </row>
    <row r="48" spans="1:10">
      <c r="A48" s="29"/>
      <c r="B48" s="29"/>
      <c r="D48" s="29"/>
      <c r="G48" s="20"/>
      <c r="J48" s="29"/>
    </row>
    <row r="49" spans="1:14">
      <c r="A49" t="s">
        <v>345</v>
      </c>
      <c r="D49" t="s">
        <v>346</v>
      </c>
      <c r="G49" s="20"/>
      <c r="J49" s="29"/>
    </row>
    <row r="50" spans="1:14">
      <c r="C50" s="28" t="s">
        <v>262</v>
      </c>
      <c r="D50" s="30">
        <f>(0.3+((E46-0.3)/8))*1000</f>
        <v>491.1</v>
      </c>
      <c r="E50" t="s">
        <v>47</v>
      </c>
      <c r="G50" s="20"/>
      <c r="J50" s="29"/>
      <c r="K50" t="s">
        <v>291</v>
      </c>
      <c r="L50" t="s">
        <v>292</v>
      </c>
      <c r="M50" t="s">
        <v>293</v>
      </c>
      <c r="N50" t="s">
        <v>294</v>
      </c>
    </row>
    <row r="51" spans="1:14">
      <c r="A51" s="29"/>
      <c r="B51" s="29"/>
      <c r="C51" s="28" t="s">
        <v>347</v>
      </c>
      <c r="D51">
        <v>550</v>
      </c>
      <c r="E51" t="s">
        <v>47</v>
      </c>
      <c r="G51" s="20"/>
      <c r="J51" s="29"/>
      <c r="K51">
        <v>1</v>
      </c>
      <c r="L51">
        <f>D59/(E32/(E31*D51))</f>
        <v>9460</v>
      </c>
      <c r="M51">
        <f>((E55*1000000)/(0.87*E32))/(E32/(E31*D51))</f>
        <v>2731686.1922789402</v>
      </c>
      <c r="N51">
        <f>(L51-(SQRT((L51*L51)-(4*M51))))/(2*K51)</f>
        <v>298.15909494473601</v>
      </c>
    </row>
    <row r="52" spans="1:14">
      <c r="A52" s="29" t="s">
        <v>348</v>
      </c>
      <c r="B52" s="29"/>
      <c r="G52" s="20"/>
      <c r="J52" s="29"/>
    </row>
    <row r="53" spans="1:14">
      <c r="A53" s="29"/>
      <c r="B53" s="29"/>
      <c r="C53" s="28" t="s">
        <v>262</v>
      </c>
      <c r="D53">
        <f>E27/(E46*E47)</f>
        <v>101.092703149912</v>
      </c>
      <c r="E53" t="s">
        <v>193</v>
      </c>
      <c r="G53" s="20"/>
      <c r="J53" s="29"/>
    </row>
    <row r="54" spans="1:14">
      <c r="A54" s="29"/>
      <c r="B54" s="29"/>
      <c r="G54" s="20"/>
      <c r="J54" s="29"/>
    </row>
    <row r="55" spans="1:14">
      <c r="A55" s="29" t="s">
        <v>349</v>
      </c>
      <c r="B55" s="29"/>
      <c r="D55" s="29"/>
      <c r="E55">
        <f>D53*E46*(((E46-0.3)/2)*((E47-0.3)/2))/2</f>
        <v>54.0128860746063</v>
      </c>
      <c r="F55" t="s">
        <v>285</v>
      </c>
      <c r="G55" s="20"/>
      <c r="J55" s="29"/>
    </row>
    <row r="56" spans="1:14">
      <c r="A56" s="29"/>
      <c r="B56" s="29"/>
      <c r="D56" s="29"/>
      <c r="G56" s="20"/>
      <c r="J56" s="29"/>
    </row>
    <row r="57" spans="1:14" ht="16.8">
      <c r="A57" s="29"/>
      <c r="B57" s="29"/>
      <c r="C57" s="29" t="s">
        <v>350</v>
      </c>
      <c r="D57" s="17" t="s">
        <v>351</v>
      </c>
      <c r="G57" s="20"/>
      <c r="J57" s="29"/>
    </row>
    <row r="58" spans="1:14">
      <c r="A58" s="29"/>
      <c r="B58" s="29"/>
      <c r="C58" s="28" t="s">
        <v>262</v>
      </c>
      <c r="D58">
        <f>SQRT((E55*1000000)/(0.138*E31*500))</f>
        <v>197.837742905217</v>
      </c>
      <c r="E58" t="s">
        <v>47</v>
      </c>
      <c r="G58" s="20"/>
      <c r="J58" s="29"/>
    </row>
    <row r="59" spans="1:14">
      <c r="A59" s="29"/>
      <c r="B59" s="29"/>
      <c r="C59" s="28" t="s">
        <v>347</v>
      </c>
      <c r="D59">
        <v>430</v>
      </c>
      <c r="E59" t="s">
        <v>47</v>
      </c>
      <c r="G59" s="20"/>
      <c r="J59" s="29"/>
    </row>
    <row r="60" spans="1:14">
      <c r="A60" s="29"/>
      <c r="B60" s="29"/>
      <c r="C60" t="s">
        <v>352</v>
      </c>
      <c r="D60">
        <v>600</v>
      </c>
      <c r="E60" t="s">
        <v>47</v>
      </c>
      <c r="G60" s="20"/>
      <c r="J60" s="29"/>
    </row>
    <row r="61" spans="1:14">
      <c r="A61" s="29"/>
      <c r="B61" s="29"/>
      <c r="G61" s="20"/>
      <c r="J61" s="29"/>
    </row>
    <row r="62" spans="1:14">
      <c r="A62" s="29" t="s">
        <v>353</v>
      </c>
      <c r="B62" s="29"/>
      <c r="D62" s="29"/>
      <c r="G62" s="20"/>
      <c r="J62" s="29"/>
    </row>
    <row r="63" spans="1:14">
      <c r="A63" s="29"/>
      <c r="B63" s="29"/>
      <c r="C63" s="28" t="s">
        <v>354</v>
      </c>
      <c r="D63" t="s">
        <v>355</v>
      </c>
      <c r="G63" s="20"/>
      <c r="J63" s="29"/>
    </row>
    <row r="64" spans="1:14">
      <c r="A64" s="29" t="s">
        <v>356</v>
      </c>
      <c r="B64" s="29"/>
      <c r="C64" s="28"/>
      <c r="G64" s="20"/>
      <c r="J64" s="29"/>
    </row>
    <row r="65" spans="1:10">
      <c r="A65" s="29" t="s">
        <v>357</v>
      </c>
      <c r="B65" s="29"/>
      <c r="C65" s="28">
        <v>500</v>
      </c>
      <c r="G65" s="20"/>
      <c r="J65" s="29"/>
    </row>
    <row r="66" spans="1:10">
      <c r="A66" s="29" t="s">
        <v>358</v>
      </c>
      <c r="B66" s="29"/>
      <c r="C66" s="28">
        <f>E46*1000*D59*15</f>
        <v>11795760</v>
      </c>
      <c r="G66" s="20"/>
      <c r="J66" s="29"/>
    </row>
    <row r="67" spans="1:10">
      <c r="A67" s="29" t="s">
        <v>359</v>
      </c>
      <c r="B67" s="29"/>
      <c r="C67" s="28"/>
      <c r="D67">
        <f>E55*1000000*15*1000*E46/(0.87*500)</f>
        <v>3406164346.6634498</v>
      </c>
      <c r="G67" s="20"/>
      <c r="J67" s="29"/>
    </row>
    <row r="68" spans="1:10">
      <c r="A68" s="29" t="s">
        <v>360</v>
      </c>
      <c r="B68" s="29"/>
      <c r="C68" s="28"/>
      <c r="E68">
        <f>-(-C66+SQRT(C66^2-4*C65*D67))/(2*C65)</f>
        <v>292.38548274319999</v>
      </c>
      <c r="G68" s="20"/>
      <c r="J68" s="29"/>
    </row>
    <row r="69" spans="1:10">
      <c r="A69" s="29"/>
      <c r="B69" s="29"/>
      <c r="C69" s="28"/>
      <c r="G69" s="20"/>
      <c r="J69" s="29"/>
    </row>
    <row r="70" spans="1:10">
      <c r="A70" s="29"/>
      <c r="B70" s="29"/>
      <c r="C70" t="s">
        <v>361</v>
      </c>
      <c r="D70" s="29"/>
      <c r="G70" s="20"/>
      <c r="J70" s="29"/>
    </row>
    <row r="71" spans="1:10">
      <c r="A71" t="s">
        <v>362</v>
      </c>
      <c r="G71" s="20"/>
      <c r="J71" s="29"/>
    </row>
    <row r="72" spans="1:10">
      <c r="A72" s="29"/>
      <c r="B72" s="29"/>
      <c r="C72" s="29"/>
      <c r="D72" t="s">
        <v>301</v>
      </c>
      <c r="E72" t="s">
        <v>363</v>
      </c>
      <c r="G72" s="20"/>
      <c r="J72" s="29"/>
    </row>
    <row r="73" spans="1:10">
      <c r="A73" s="29"/>
      <c r="B73" s="29"/>
      <c r="C73" s="29"/>
      <c r="D73" s="28" t="s">
        <v>262</v>
      </c>
      <c r="E73">
        <f>(E46*1000)/(E68/113)</f>
        <v>706.78748500486597</v>
      </c>
      <c r="F73" t="s">
        <v>47</v>
      </c>
      <c r="G73" s="20"/>
      <c r="J73" s="29"/>
    </row>
    <row r="74" spans="1:10">
      <c r="A74" s="29"/>
      <c r="B74" s="29"/>
      <c r="C74" s="29"/>
      <c r="D74" t="s">
        <v>364</v>
      </c>
      <c r="E74" s="29"/>
      <c r="F74">
        <v>150</v>
      </c>
      <c r="G74" s="20" t="s">
        <v>47</v>
      </c>
      <c r="J74" s="29"/>
    </row>
    <row r="75" spans="1:10">
      <c r="A75" s="29"/>
      <c r="B75" s="29"/>
      <c r="C75" s="29"/>
      <c r="E75" t="s">
        <v>311</v>
      </c>
      <c r="F75" s="32">
        <f>17*113</f>
        <v>1921</v>
      </c>
      <c r="G75" t="s">
        <v>365</v>
      </c>
      <c r="H75" t="s">
        <v>43</v>
      </c>
      <c r="J75" s="29"/>
    </row>
    <row r="76" spans="1:10">
      <c r="A76" s="29"/>
      <c r="B76" s="29"/>
      <c r="C76" t="s">
        <v>366</v>
      </c>
      <c r="G76" s="20"/>
      <c r="J76" s="29"/>
    </row>
    <row r="77" spans="1:10">
      <c r="A77" s="29"/>
      <c r="B77" s="29"/>
      <c r="D77" s="28" t="s">
        <v>262</v>
      </c>
      <c r="E77">
        <f>(F75/(E46*1000*D59))*100</f>
        <v>0.24428269140775999</v>
      </c>
      <c r="F77" t="s">
        <v>367</v>
      </c>
      <c r="G77" s="20"/>
      <c r="J77" s="29"/>
    </row>
    <row r="78" spans="1:10">
      <c r="A78" s="121" t="s">
        <v>368</v>
      </c>
      <c r="B78" s="121"/>
      <c r="C78" s="121"/>
      <c r="D78" s="121"/>
      <c r="E78" s="121"/>
      <c r="F78" s="121"/>
      <c r="G78" s="121"/>
      <c r="H78" s="121"/>
      <c r="I78" s="34"/>
      <c r="J78" s="34"/>
    </row>
    <row r="79" spans="1:10">
      <c r="A79" s="29"/>
      <c r="B79" s="29"/>
      <c r="D79" s="29"/>
      <c r="G79" s="20"/>
      <c r="J79" s="29"/>
    </row>
    <row r="80" spans="1:10">
      <c r="A80" s="29"/>
      <c r="B80" s="29"/>
      <c r="D80" s="29"/>
      <c r="G80" s="20"/>
      <c r="J80" s="29"/>
    </row>
    <row r="81" spans="1:10">
      <c r="A81" s="29"/>
      <c r="B81" s="29"/>
      <c r="D81" s="29"/>
      <c r="G81" s="20"/>
      <c r="J81" s="29"/>
    </row>
    <row r="82" spans="1:10">
      <c r="A82" s="29"/>
      <c r="B82" s="29"/>
      <c r="D82" s="29"/>
      <c r="G82" s="20"/>
      <c r="J82" s="29"/>
    </row>
    <row r="83" spans="1:10">
      <c r="A83" s="29"/>
      <c r="B83" s="29"/>
      <c r="D83" s="29"/>
      <c r="G83" s="20"/>
      <c r="J83" s="29"/>
    </row>
    <row r="84" spans="1:10">
      <c r="G84" s="20"/>
    </row>
    <row r="85" spans="1:10">
      <c r="G85" s="20"/>
    </row>
    <row r="86" spans="1:10">
      <c r="G86" s="20"/>
    </row>
    <row r="87" spans="1:10">
      <c r="G87" s="20"/>
    </row>
    <row r="88" spans="1:10">
      <c r="G88" s="20"/>
    </row>
    <row r="89" spans="1:10">
      <c r="G89" s="20"/>
    </row>
    <row r="90" spans="1:10">
      <c r="A90" s="29"/>
      <c r="B90" s="29"/>
      <c r="G90" s="20"/>
    </row>
  </sheetData>
  <mergeCells count="19">
    <mergeCell ref="A13:J13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38:D38"/>
    <mergeCell ref="A46:D46"/>
    <mergeCell ref="A47:D47"/>
    <mergeCell ref="A78:H78"/>
    <mergeCell ref="C24:F24"/>
    <mergeCell ref="A27:D27"/>
    <mergeCell ref="A28:D28"/>
    <mergeCell ref="A29:D29"/>
    <mergeCell ref="A30:D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7"/>
  <sheetViews>
    <sheetView topLeftCell="I1" workbookViewId="0">
      <selection activeCell="Q18" sqref="Q18"/>
    </sheetView>
  </sheetViews>
  <sheetFormatPr defaultColWidth="9" defaultRowHeight="14.4"/>
  <cols>
    <col min="1" max="1" width="4.33203125" customWidth="1"/>
    <col min="2" max="2" width="5.109375" customWidth="1"/>
    <col min="3" max="3" width="5.109375" hidden="1" customWidth="1"/>
    <col min="4" max="4" width="4.44140625" customWidth="1"/>
    <col min="5" max="5" width="4.88671875" customWidth="1"/>
    <col min="6" max="6" width="5.5546875" customWidth="1"/>
    <col min="7" max="7" width="4.5546875" customWidth="1"/>
    <col min="8" max="8" width="5.33203125" customWidth="1"/>
    <col min="9" max="9" width="4.5546875" customWidth="1"/>
    <col min="10" max="10" width="4.88671875" customWidth="1"/>
    <col min="11" max="11" width="5" customWidth="1"/>
    <col min="14" max="14" width="18" customWidth="1"/>
    <col min="15" max="15" width="13.109375" customWidth="1"/>
    <col min="16" max="16" width="14.5546875" customWidth="1"/>
    <col min="17" max="17" width="12" customWidth="1"/>
  </cols>
  <sheetData>
    <row r="2" spans="1:17">
      <c r="A2" s="133" t="s">
        <v>369</v>
      </c>
      <c r="B2" s="134"/>
      <c r="C2" s="1"/>
      <c r="D2" s="133" t="s">
        <v>370</v>
      </c>
      <c r="E2" s="135"/>
      <c r="F2" s="136" t="s">
        <v>371</v>
      </c>
      <c r="G2" s="137"/>
      <c r="H2" s="133" t="s">
        <v>372</v>
      </c>
      <c r="I2" s="135"/>
      <c r="J2" s="136" t="s">
        <v>373</v>
      </c>
      <c r="K2" s="135"/>
      <c r="M2" t="s">
        <v>374</v>
      </c>
      <c r="N2" t="s">
        <v>375</v>
      </c>
      <c r="O2" t="s">
        <v>376</v>
      </c>
      <c r="P2" t="s">
        <v>377</v>
      </c>
      <c r="Q2" t="s">
        <v>378</v>
      </c>
    </row>
    <row r="3" spans="1:17">
      <c r="A3" s="2">
        <v>11</v>
      </c>
      <c r="B3" s="3">
        <v>0</v>
      </c>
      <c r="C3" s="4">
        <f>A3*12+B3</f>
        <v>132</v>
      </c>
      <c r="D3" s="2">
        <f>TRUNC(($C3*0.1)/12)</f>
        <v>1</v>
      </c>
      <c r="E3" s="5">
        <f>ROUND(($C3*0.1-$D3*12),0)</f>
        <v>1</v>
      </c>
      <c r="F3" s="6">
        <f>TRUNC(($C3*0.15)/12)</f>
        <v>1</v>
      </c>
      <c r="G3" s="4">
        <f>ROUND(($C3*0.15-F3*12),0)</f>
        <v>8</v>
      </c>
      <c r="H3" s="2">
        <f>TRUNC(($C3*0.25)/12)</f>
        <v>2</v>
      </c>
      <c r="I3" s="5">
        <f>ROUND(($C3*0.25-H3*12),0)</f>
        <v>9</v>
      </c>
      <c r="J3" s="6">
        <f>TRUNC(($C3*0.3)/12)</f>
        <v>3</v>
      </c>
      <c r="K3" s="5">
        <f>ROUND(($C3*0.3-J3*12),0)</f>
        <v>4</v>
      </c>
      <c r="N3" s="17" t="s">
        <v>379</v>
      </c>
      <c r="O3" t="s">
        <v>47</v>
      </c>
      <c r="P3" t="s">
        <v>380</v>
      </c>
    </row>
    <row r="4" spans="1:17">
      <c r="A4" s="7">
        <v>8</v>
      </c>
      <c r="B4" s="8">
        <v>6</v>
      </c>
      <c r="C4" s="9">
        <f t="shared" ref="C4:C6" si="0">A4*12+B4</f>
        <v>102</v>
      </c>
      <c r="D4" s="7">
        <f t="shared" ref="D4:D6" si="1">TRUNC(($C4*0.1)/12)</f>
        <v>0</v>
      </c>
      <c r="E4" s="10">
        <f t="shared" ref="E4:E6" si="2">ROUND(($C4*0.1-$D4*12),0)</f>
        <v>10</v>
      </c>
      <c r="F4" s="11">
        <f t="shared" ref="F4:F6" si="3">TRUNC(($C4*0.15)/12)</f>
        <v>1</v>
      </c>
      <c r="G4" s="9">
        <f t="shared" ref="G4:G6" si="4">ROUND(($C4*0.15-F4*12),0)</f>
        <v>3</v>
      </c>
      <c r="H4" s="7">
        <f t="shared" ref="H4:H6" si="5">TRUNC(($C4*0.25)/12)</f>
        <v>2</v>
      </c>
      <c r="I4" s="10">
        <f t="shared" ref="I4:I6" si="6">ROUND(($C4*0.25-H4*12),0)</f>
        <v>2</v>
      </c>
      <c r="J4" s="11">
        <f t="shared" ref="J4:J6" si="7">TRUNC(($C4*0.3)/12)</f>
        <v>2</v>
      </c>
      <c r="K4" s="10">
        <f t="shared" ref="K4:K6" si="8">ROUND(($C4*0.3-J4*12),0)</f>
        <v>7</v>
      </c>
      <c r="M4">
        <v>5</v>
      </c>
      <c r="N4">
        <v>14.95</v>
      </c>
      <c r="O4">
        <f t="shared" ref="O4:O7" si="9">N4-N5</f>
        <v>3.89</v>
      </c>
      <c r="P4">
        <f>ROUND(8/3.281*1000,0)</f>
        <v>2438</v>
      </c>
      <c r="Q4">
        <f>O4/P4</f>
        <v>1.5955701394585701E-3</v>
      </c>
    </row>
    <row r="5" spans="1:17">
      <c r="A5" s="7">
        <v>12</v>
      </c>
      <c r="B5" s="8">
        <v>5</v>
      </c>
      <c r="C5" s="9">
        <f t="shared" si="0"/>
        <v>149</v>
      </c>
      <c r="D5" s="7">
        <f t="shared" si="1"/>
        <v>1</v>
      </c>
      <c r="E5" s="10">
        <f t="shared" si="2"/>
        <v>3</v>
      </c>
      <c r="F5" s="11">
        <f t="shared" si="3"/>
        <v>1</v>
      </c>
      <c r="G5" s="9">
        <f t="shared" si="4"/>
        <v>10</v>
      </c>
      <c r="H5" s="7">
        <f t="shared" si="5"/>
        <v>3</v>
      </c>
      <c r="I5" s="10">
        <f t="shared" si="6"/>
        <v>1</v>
      </c>
      <c r="J5" s="11">
        <f t="shared" si="7"/>
        <v>3</v>
      </c>
      <c r="K5" s="10">
        <f t="shared" si="8"/>
        <v>9</v>
      </c>
      <c r="M5">
        <v>4</v>
      </c>
      <c r="N5">
        <v>11.06</v>
      </c>
      <c r="O5">
        <f t="shared" si="9"/>
        <v>1.78</v>
      </c>
      <c r="P5">
        <f t="shared" ref="P5:P8" si="10">ROUND(8/3.281*1000,0)</f>
        <v>2438</v>
      </c>
      <c r="Q5">
        <f t="shared" ref="Q5:Q8" si="11">O5/P5</f>
        <v>7.3010664479081298E-4</v>
      </c>
    </row>
    <row r="6" spans="1:17">
      <c r="A6" s="12">
        <v>7</v>
      </c>
      <c r="B6" s="13">
        <v>5</v>
      </c>
      <c r="C6" s="14">
        <f t="shared" si="0"/>
        <v>89</v>
      </c>
      <c r="D6" s="12">
        <f t="shared" si="1"/>
        <v>0</v>
      </c>
      <c r="E6" s="15">
        <f t="shared" si="2"/>
        <v>9</v>
      </c>
      <c r="F6" s="16">
        <f t="shared" si="3"/>
        <v>1</v>
      </c>
      <c r="G6" s="14">
        <f t="shared" si="4"/>
        <v>1</v>
      </c>
      <c r="H6" s="12">
        <f t="shared" si="5"/>
        <v>1</v>
      </c>
      <c r="I6" s="15">
        <f t="shared" si="6"/>
        <v>10</v>
      </c>
      <c r="J6" s="16">
        <f t="shared" si="7"/>
        <v>2</v>
      </c>
      <c r="K6" s="15">
        <f t="shared" si="8"/>
        <v>3</v>
      </c>
      <c r="L6" t="s">
        <v>381</v>
      </c>
      <c r="M6">
        <v>3</v>
      </c>
      <c r="N6">
        <v>9.2799999999999994</v>
      </c>
      <c r="O6">
        <f t="shared" si="9"/>
        <v>2.8</v>
      </c>
      <c r="P6">
        <f t="shared" si="10"/>
        <v>2438</v>
      </c>
      <c r="Q6">
        <f t="shared" si="11"/>
        <v>1.1484823625922899E-3</v>
      </c>
    </row>
    <row r="7" spans="1:17">
      <c r="M7">
        <v>2</v>
      </c>
      <c r="N7">
        <v>6.48</v>
      </c>
      <c r="O7">
        <f t="shared" si="9"/>
        <v>3.31</v>
      </c>
      <c r="P7">
        <f t="shared" si="10"/>
        <v>2438</v>
      </c>
      <c r="Q7">
        <f t="shared" si="11"/>
        <v>1.3576702214930299E-3</v>
      </c>
    </row>
    <row r="8" spans="1:17">
      <c r="M8">
        <v>1</v>
      </c>
      <c r="N8">
        <v>3.17</v>
      </c>
      <c r="O8">
        <f>N8</f>
        <v>3.17</v>
      </c>
      <c r="P8">
        <f t="shared" si="10"/>
        <v>2438</v>
      </c>
      <c r="Q8">
        <f t="shared" si="11"/>
        <v>1.30024610336341E-3</v>
      </c>
    </row>
    <row r="11" spans="1:17">
      <c r="M11" t="s">
        <v>374</v>
      </c>
      <c r="N11" t="s">
        <v>375</v>
      </c>
      <c r="O11" t="s">
        <v>376</v>
      </c>
      <c r="P11" t="s">
        <v>377</v>
      </c>
      <c r="Q11" t="s">
        <v>378</v>
      </c>
    </row>
    <row r="12" spans="1:17">
      <c r="N12" s="17" t="s">
        <v>382</v>
      </c>
      <c r="O12" t="s">
        <v>47</v>
      </c>
      <c r="P12" t="s">
        <v>47</v>
      </c>
    </row>
    <row r="13" spans="1:17">
      <c r="M13">
        <v>5</v>
      </c>
      <c r="N13">
        <v>17.260000000000002</v>
      </c>
      <c r="O13">
        <f t="shared" ref="O13:O16" si="12">N13-N14</f>
        <v>2.4300000000000002</v>
      </c>
      <c r="P13">
        <f>ROUND(8/3.281*1000,0)</f>
        <v>2438</v>
      </c>
      <c r="Q13">
        <f>O13/P13</f>
        <v>9.9671862182116504E-4</v>
      </c>
    </row>
    <row r="14" spans="1:17">
      <c r="M14">
        <v>4</v>
      </c>
      <c r="N14">
        <v>14.83</v>
      </c>
      <c r="O14">
        <f t="shared" si="12"/>
        <v>2.71</v>
      </c>
      <c r="P14">
        <f t="shared" ref="P14:P17" si="13">ROUND(8/3.281*1000,0)</f>
        <v>2438</v>
      </c>
      <c r="Q14">
        <f t="shared" ref="Q14:Q17" si="14">O14/P14</f>
        <v>1.11156685808039E-3</v>
      </c>
    </row>
    <row r="15" spans="1:17">
      <c r="M15">
        <v>3</v>
      </c>
      <c r="N15">
        <v>12.12</v>
      </c>
      <c r="O15">
        <f t="shared" si="12"/>
        <v>3.79</v>
      </c>
      <c r="P15">
        <f t="shared" si="13"/>
        <v>2438</v>
      </c>
      <c r="Q15">
        <f t="shared" si="14"/>
        <v>1.55455291222313E-3</v>
      </c>
    </row>
    <row r="16" spans="1:17">
      <c r="M16">
        <v>2</v>
      </c>
      <c r="N16">
        <v>8.33</v>
      </c>
      <c r="O16">
        <f t="shared" si="12"/>
        <v>4.28</v>
      </c>
      <c r="P16">
        <f t="shared" si="13"/>
        <v>2438</v>
      </c>
      <c r="Q16">
        <f t="shared" si="14"/>
        <v>1.75553732567678E-3</v>
      </c>
    </row>
    <row r="17" spans="13:17">
      <c r="M17">
        <v>1</v>
      </c>
      <c r="N17">
        <v>4.05</v>
      </c>
      <c r="O17">
        <f>N17</f>
        <v>4.05</v>
      </c>
      <c r="P17">
        <f t="shared" si="13"/>
        <v>2438</v>
      </c>
      <c r="Q17">
        <f t="shared" si="14"/>
        <v>1.6611977030352701E-3</v>
      </c>
    </row>
  </sheetData>
  <mergeCells count="5">
    <mergeCell ref="A2:B2"/>
    <mergeCell ref="D2:E2"/>
    <mergeCell ref="F2:G2"/>
    <mergeCell ref="H2:I2"/>
    <mergeCell ref="J2:K2"/>
  </mergeCells>
  <pageMargins left="0.7" right="0.7" top="0.75" bottom="0.75" header="0.3" footer="0.3"/>
  <pageSetup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COlumn</vt:lpstr>
      <vt:lpstr>Beam</vt:lpstr>
      <vt:lpstr>Slab</vt:lpstr>
      <vt:lpstr>Footing</vt:lpstr>
      <vt:lpstr>Staricase</vt:lpstr>
      <vt:lpstr>Isolated footing</vt:lpstr>
      <vt:lpstr>Storey Drift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2006-09-16T00:00:00Z</dcterms:created>
  <dcterms:modified xsi:type="dcterms:W3CDTF">2026-05-31T13:31:59Z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BEED40F0EDD64E599D3D547B21756B71_12</vt:lpwstr>
  </property>
  <property fmtid="{D5CDD505-2E9C-101B-9397-08002B2CF9AE}" pid="3" name="KSOProductBuildVer">
    <vt:lpwstr>1033-12.2.0.21931</vt:lpwstr>
  </property>
</Properties>
</file>