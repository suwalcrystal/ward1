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635" windowHeight="7800" activeTab="3"/>
  </bookViews>
  <sheets>
    <sheet name="COlumn" sheetId="1" r:id="rId1"/>
    <sheet name="Beam" sheetId="2" r:id="rId2"/>
    <sheet name="Slab" sheetId="3" r:id="rId3"/>
    <sheet name="Footing" sheetId="5" r:id="rId4"/>
    <sheet name="Staricase" sheetId="6" r:id="rId5"/>
    <sheet name="Sheet1" sheetId="7" r:id="rId6"/>
    <sheet name="Sheet2" sheetId="8" r:id="rId7"/>
  </sheets>
  <definedNames>
    <definedName name="_xlnm.Print_Area" localSheetId="3">Footing!$A$1:$H$66</definedName>
    <definedName name="_xlnm.Print_Area" localSheetId="4">Staricase!$A$1:$E$130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8"/>
  <c r="J6"/>
  <c r="I6"/>
  <c r="H6"/>
  <c r="G6"/>
  <c r="F6"/>
  <c r="E6"/>
  <c r="D6"/>
  <c r="C6"/>
  <c r="K5"/>
  <c r="J5"/>
  <c r="I5"/>
  <c r="H5"/>
  <c r="G5"/>
  <c r="F5"/>
  <c r="E5"/>
  <c r="D5"/>
  <c r="C5"/>
  <c r="K4"/>
  <c r="J4"/>
  <c r="I4"/>
  <c r="H4"/>
  <c r="G4"/>
  <c r="F4"/>
  <c r="E4"/>
  <c r="D4"/>
  <c r="C4"/>
  <c r="K3"/>
  <c r="J3"/>
  <c r="I3"/>
  <c r="H3"/>
  <c r="G3"/>
  <c r="F3"/>
  <c r="E3"/>
  <c r="D3"/>
  <c r="C3"/>
  <c r="E77" i="7"/>
  <c r="F75"/>
  <c r="E73"/>
  <c r="E68"/>
  <c r="D67"/>
  <c r="C66"/>
  <c r="D58"/>
  <c r="E55"/>
  <c r="D53"/>
  <c r="N51"/>
  <c r="M51"/>
  <c r="L51"/>
  <c r="D50"/>
  <c r="D42"/>
  <c r="E38"/>
  <c r="E37"/>
  <c r="D35"/>
  <c r="E27"/>
  <c r="N25"/>
  <c r="N24"/>
  <c r="G24"/>
  <c r="N23"/>
  <c r="G23"/>
  <c r="N22"/>
  <c r="G22"/>
  <c r="N21"/>
  <c r="G21"/>
  <c r="N20"/>
  <c r="G20"/>
  <c r="N19"/>
  <c r="G19"/>
  <c r="N18"/>
  <c r="G18"/>
  <c r="N17"/>
  <c r="G17"/>
  <c r="G16"/>
  <c r="B128" i="6"/>
  <c r="B123"/>
  <c r="B121"/>
  <c r="B120"/>
  <c r="B119"/>
  <c r="E117"/>
  <c r="B116"/>
  <c r="B114"/>
  <c r="B112"/>
  <c r="B109"/>
  <c r="B101"/>
  <c r="B94"/>
  <c r="B93"/>
  <c r="B91"/>
  <c r="B88"/>
  <c r="B87"/>
  <c r="B85"/>
  <c r="B83"/>
  <c r="B80"/>
  <c r="B76"/>
  <c r="B73"/>
  <c r="B71"/>
  <c r="B65"/>
  <c r="B60"/>
  <c r="B58"/>
  <c r="B57"/>
  <c r="B56"/>
  <c r="B52"/>
  <c r="B50"/>
  <c r="F49"/>
  <c r="B48"/>
  <c r="B47"/>
  <c r="N45"/>
  <c r="L45"/>
  <c r="K45"/>
  <c r="J45"/>
  <c r="I45"/>
  <c r="B41"/>
  <c r="B39"/>
  <c r="G38"/>
  <c r="B38"/>
  <c r="G37"/>
  <c r="F37"/>
  <c r="B37"/>
  <c r="B34"/>
  <c r="B33"/>
  <c r="B31"/>
  <c r="B29"/>
  <c r="B28"/>
  <c r="B26"/>
  <c r="B24"/>
  <c r="B21"/>
  <c r="B17"/>
  <c r="B14"/>
  <c r="F13"/>
  <c r="F12"/>
  <c r="B12"/>
  <c r="F6"/>
  <c r="F5"/>
  <c r="F4"/>
  <c r="F3"/>
  <c r="C64" i="5"/>
  <c r="E27"/>
  <c r="E26"/>
  <c r="D22"/>
  <c r="D20"/>
  <c r="K18"/>
  <c r="N17"/>
  <c r="K17"/>
  <c r="K16"/>
  <c r="C13"/>
  <c r="C15" s="1"/>
  <c r="O10"/>
  <c r="O9"/>
  <c r="O8"/>
  <c r="G8"/>
  <c r="O7"/>
  <c r="O6"/>
  <c r="O5"/>
  <c r="O4"/>
  <c r="G4"/>
  <c r="G2"/>
  <c r="B75" i="3"/>
  <c r="B73"/>
  <c r="B71"/>
  <c r="B66"/>
  <c r="B64"/>
  <c r="B62"/>
  <c r="B57"/>
  <c r="B55"/>
  <c r="B53"/>
  <c r="B48"/>
  <c r="B46"/>
  <c r="B45"/>
  <c r="B43"/>
  <c r="B42"/>
  <c r="B36"/>
  <c r="G34"/>
  <c r="H30"/>
  <c r="B30"/>
  <c r="B27"/>
  <c r="B26"/>
  <c r="B22"/>
  <c r="G20"/>
  <c r="B20"/>
  <c r="G19"/>
  <c r="B19"/>
  <c r="G18"/>
  <c r="J52" i="2"/>
  <c r="H52"/>
  <c r="F52"/>
  <c r="D52"/>
  <c r="J51"/>
  <c r="H51"/>
  <c r="F51"/>
  <c r="D51"/>
  <c r="J50"/>
  <c r="H50"/>
  <c r="F50"/>
  <c r="D50"/>
  <c r="J49"/>
  <c r="H49"/>
  <c r="F49"/>
  <c r="D49"/>
  <c r="J48"/>
  <c r="H48"/>
  <c r="F48"/>
  <c r="D48"/>
  <c r="J47"/>
  <c r="H47"/>
  <c r="F47"/>
  <c r="D47"/>
  <c r="J46"/>
  <c r="H46"/>
  <c r="F46"/>
  <c r="D46"/>
  <c r="J45"/>
  <c r="H45"/>
  <c r="F45"/>
  <c r="D45"/>
  <c r="J44"/>
  <c r="H44"/>
  <c r="F44"/>
  <c r="D44"/>
  <c r="J43"/>
  <c r="H43"/>
  <c r="F43"/>
  <c r="D43"/>
  <c r="J42"/>
  <c r="H42"/>
  <c r="F42"/>
  <c r="D42"/>
  <c r="J41"/>
  <c r="H41"/>
  <c r="F41"/>
  <c r="D41"/>
  <c r="J40"/>
  <c r="H40"/>
  <c r="F40"/>
  <c r="D40"/>
  <c r="J39"/>
  <c r="H39"/>
  <c r="F39"/>
  <c r="D39"/>
  <c r="C17"/>
  <c r="M13"/>
  <c r="L13"/>
  <c r="M12"/>
  <c r="L12"/>
  <c r="C12"/>
  <c r="M11"/>
  <c r="L11"/>
  <c r="C11"/>
  <c r="M10"/>
  <c r="L10"/>
  <c r="M9"/>
  <c r="L9"/>
  <c r="M8"/>
  <c r="L8"/>
  <c r="F8"/>
  <c r="L7"/>
  <c r="L6"/>
  <c r="L5"/>
  <c r="B4"/>
  <c r="K49" i="1"/>
  <c r="J49"/>
  <c r="G49"/>
  <c r="F49"/>
  <c r="E49"/>
  <c r="D49"/>
  <c r="K48"/>
  <c r="J48"/>
  <c r="G48"/>
  <c r="F48"/>
  <c r="E48"/>
  <c r="D48"/>
  <c r="K47"/>
  <c r="J47"/>
  <c r="G47"/>
  <c r="F47"/>
  <c r="E47"/>
  <c r="D47"/>
  <c r="K46"/>
  <c r="J46"/>
  <c r="G46"/>
  <c r="F46"/>
  <c r="E46"/>
  <c r="D46"/>
  <c r="K45"/>
  <c r="J45"/>
  <c r="F45"/>
  <c r="E45"/>
  <c r="D45"/>
  <c r="K44"/>
  <c r="J44"/>
  <c r="G44"/>
  <c r="F44"/>
  <c r="E44"/>
  <c r="D44"/>
  <c r="K43"/>
  <c r="J43"/>
  <c r="G43"/>
  <c r="F43"/>
  <c r="E43"/>
  <c r="D43"/>
  <c r="K42"/>
  <c r="J42"/>
  <c r="G42"/>
  <c r="F42"/>
  <c r="E42"/>
  <c r="D42"/>
  <c r="K41"/>
  <c r="J41"/>
  <c r="G41"/>
  <c r="F41"/>
  <c r="E41"/>
  <c r="D41"/>
  <c r="K40"/>
  <c r="J40"/>
  <c r="G40"/>
  <c r="F40"/>
  <c r="E40"/>
  <c r="D40"/>
  <c r="K39"/>
  <c r="J39"/>
  <c r="G39"/>
  <c r="F39"/>
  <c r="E39"/>
  <c r="D39"/>
  <c r="K38"/>
  <c r="J38"/>
  <c r="G38"/>
  <c r="F38"/>
  <c r="E38"/>
  <c r="D38"/>
  <c r="K37"/>
  <c r="J37"/>
  <c r="G37"/>
  <c r="F37"/>
  <c r="E37"/>
  <c r="D37"/>
  <c r="K36"/>
  <c r="J36"/>
  <c r="G36"/>
  <c r="F36"/>
  <c r="E36"/>
  <c r="D36"/>
  <c r="K35"/>
  <c r="J35"/>
  <c r="G35"/>
  <c r="F35"/>
  <c r="E35"/>
  <c r="D35"/>
  <c r="K34"/>
  <c r="J34"/>
  <c r="G34"/>
  <c r="F34"/>
  <c r="E34"/>
  <c r="D34"/>
  <c r="K33"/>
  <c r="J33"/>
  <c r="G33"/>
  <c r="F33"/>
  <c r="E33"/>
  <c r="D33"/>
  <c r="K32"/>
  <c r="J32"/>
  <c r="G32"/>
  <c r="F32"/>
  <c r="E32"/>
  <c r="D32"/>
  <c r="K31"/>
  <c r="J31"/>
  <c r="G31"/>
  <c r="F31"/>
  <c r="E31"/>
  <c r="D31"/>
  <c r="K30"/>
  <c r="J30"/>
  <c r="G30"/>
  <c r="F30"/>
  <c r="E30"/>
  <c r="D30"/>
  <c r="K29"/>
  <c r="J29"/>
  <c r="G29"/>
  <c r="F29"/>
  <c r="E29"/>
  <c r="D29"/>
  <c r="K28"/>
  <c r="J28"/>
  <c r="G28"/>
  <c r="F28"/>
  <c r="E28"/>
  <c r="D28"/>
  <c r="K27"/>
  <c r="J27"/>
  <c r="G27"/>
  <c r="F27"/>
  <c r="E27"/>
  <c r="D27"/>
  <c r="K26"/>
  <c r="J26"/>
  <c r="G26"/>
  <c r="F26"/>
  <c r="E26"/>
  <c r="D26"/>
  <c r="K25"/>
  <c r="J25"/>
  <c r="G25"/>
  <c r="F25"/>
  <c r="E25"/>
  <c r="D25"/>
  <c r="K24"/>
  <c r="J24"/>
  <c r="G24"/>
  <c r="F24"/>
  <c r="E24"/>
  <c r="D24"/>
  <c r="K23"/>
  <c r="J23"/>
  <c r="G23"/>
  <c r="F23"/>
  <c r="E23"/>
  <c r="D23"/>
  <c r="K22"/>
  <c r="J22"/>
  <c r="G22"/>
  <c r="F22"/>
  <c r="E22"/>
  <c r="D22"/>
  <c r="K21"/>
  <c r="J21"/>
  <c r="G21"/>
  <c r="F21"/>
  <c r="E21"/>
  <c r="D21"/>
  <c r="K20"/>
  <c r="J20"/>
  <c r="G20"/>
  <c r="F20"/>
  <c r="E20"/>
  <c r="D20"/>
  <c r="K19"/>
  <c r="J19"/>
  <c r="G19"/>
  <c r="F19"/>
  <c r="E19"/>
  <c r="D19"/>
  <c r="K18"/>
  <c r="J18"/>
  <c r="G18"/>
  <c r="F18"/>
  <c r="E18"/>
  <c r="D18"/>
  <c r="J11"/>
  <c r="H11"/>
  <c r="J10"/>
  <c r="H10"/>
  <c r="J9"/>
  <c r="H9"/>
  <c r="J8"/>
  <c r="H8"/>
  <c r="J7"/>
  <c r="H7"/>
  <c r="J6"/>
  <c r="H6"/>
  <c r="H5"/>
  <c r="H4"/>
  <c r="H3"/>
  <c r="E29" i="5" l="1"/>
  <c r="F30" s="1"/>
  <c r="E34" s="1"/>
  <c r="E36" s="1"/>
  <c r="E41" l="1"/>
  <c r="E39" s="1"/>
  <c r="D44" s="1"/>
  <c r="C47" l="1"/>
  <c r="C50"/>
  <c r="C54" l="1"/>
  <c r="C55" s="1"/>
  <c r="C61"/>
  <c r="C63" s="1"/>
</calcChain>
</file>

<file path=xl/sharedStrings.xml><?xml version="1.0" encoding="utf-8"?>
<sst xmlns="http://schemas.openxmlformats.org/spreadsheetml/2006/main" count="757" uniqueCount="375">
  <si>
    <t>Calculation of Reinforcement in Column</t>
  </si>
  <si>
    <t>Rebar Size</t>
  </si>
  <si>
    <t>Area</t>
  </si>
  <si>
    <t>Size of Column =</t>
  </si>
  <si>
    <t>300*300 sq. mm</t>
  </si>
  <si>
    <t>90000 sq. mm</t>
  </si>
  <si>
    <t>Minimum Longitudinal reinforcement required :</t>
  </si>
  <si>
    <t>(Amin) =0.8% of 90000 sq. mm (As per IS 456:2000)</t>
  </si>
  <si>
    <t>Amin =</t>
  </si>
  <si>
    <t>720 sq.mm</t>
  </si>
  <si>
    <t>Maximum Longitudinal reinforcement :</t>
  </si>
  <si>
    <t>(Amax) = 6% of 90000 sq.mm (As per 456:2000)</t>
  </si>
  <si>
    <t>Amax =</t>
  </si>
  <si>
    <t>5400 sq. mm</t>
  </si>
  <si>
    <t>Floor</t>
  </si>
  <si>
    <t>Column</t>
  </si>
  <si>
    <r>
      <rPr>
        <sz val="11"/>
        <color theme="1"/>
        <rFont val="Calibri"/>
        <charset val="134"/>
        <scheme val="minor"/>
      </rPr>
      <t>Required Reinforcement by software (mm</t>
    </r>
    <r>
      <rPr>
        <sz val="11"/>
        <color theme="1"/>
        <rFont val="Calibri"/>
        <charset val="134"/>
      </rPr>
      <t>²)</t>
    </r>
  </si>
  <si>
    <t>Adopt</t>
  </si>
  <si>
    <t>No. of Steel Rebar</t>
  </si>
  <si>
    <t>Area of Rebar</t>
  </si>
  <si>
    <t>At corner</t>
  </si>
  <si>
    <t>At Center</t>
  </si>
  <si>
    <r>
      <rPr>
        <sz val="11"/>
        <color theme="1"/>
        <rFont val="Calibri"/>
        <charset val="134"/>
        <scheme val="minor"/>
      </rPr>
      <t>mm</t>
    </r>
    <r>
      <rPr>
        <sz val="11"/>
        <color theme="1"/>
        <rFont val="Calibri"/>
        <charset val="134"/>
      </rPr>
      <t>²</t>
    </r>
  </si>
  <si>
    <t>Ground Floor</t>
  </si>
  <si>
    <t>C1</t>
  </si>
  <si>
    <t>C3</t>
  </si>
  <si>
    <t>B1</t>
  </si>
  <si>
    <t>B2</t>
  </si>
  <si>
    <t>B3</t>
  </si>
  <si>
    <t>A2</t>
  </si>
  <si>
    <t>A3</t>
  </si>
  <si>
    <t>First Floor</t>
  </si>
  <si>
    <t>Second Floor</t>
  </si>
  <si>
    <t>Third Floor</t>
  </si>
  <si>
    <t>Fourth Floor</t>
  </si>
  <si>
    <t>`</t>
  </si>
  <si>
    <t>Design of transverse reinforcement</t>
  </si>
  <si>
    <r>
      <rPr>
        <sz val="11"/>
        <color theme="1"/>
        <rFont val="Calibri"/>
        <charset val="134"/>
        <scheme val="minor"/>
      </rPr>
      <t xml:space="preserve">Providing 10 mm </t>
    </r>
    <r>
      <rPr>
        <sz val="11"/>
        <color theme="1"/>
        <rFont val="Calibri"/>
        <charset val="134"/>
      </rPr>
      <t>φ at 100 mm c/c</t>
    </r>
  </si>
  <si>
    <t>Calculation of Reinforcement in Beam</t>
  </si>
  <si>
    <t>Size of beam = 230mm*350mm</t>
  </si>
  <si>
    <t>sq.mm</t>
  </si>
  <si>
    <t>Minimum Longitudinal tension reinforcement required (Amin) :</t>
  </si>
  <si>
    <t>b= breadth of beam section</t>
  </si>
  <si>
    <t>d= effective depth of beam section = (300 - 30 - 16/2) =</t>
  </si>
  <si>
    <t>mm</t>
  </si>
  <si>
    <t>0.85*b*d/fy</t>
  </si>
  <si>
    <t>(As per IS 456:2000)</t>
  </si>
  <si>
    <t>Maximum Longitudinal tension reinforcement :</t>
  </si>
  <si>
    <t xml:space="preserve">4% of size of beam </t>
  </si>
  <si>
    <t>sq. mm</t>
  </si>
  <si>
    <t>Maximum reinforcement among the ground floor beam ( from SAP analysis)</t>
  </si>
  <si>
    <t>Stair Beam</t>
  </si>
  <si>
    <t>Non Stair Beam</t>
  </si>
  <si>
    <t>Position</t>
  </si>
  <si>
    <r>
      <rPr>
        <sz val="11"/>
        <color theme="1"/>
        <rFont val="Calibri"/>
        <charset val="134"/>
        <scheme val="minor"/>
      </rPr>
      <t>End Support (mm</t>
    </r>
    <r>
      <rPr>
        <sz val="11"/>
        <color theme="1"/>
        <rFont val="Calibri"/>
        <charset val="134"/>
      </rPr>
      <t>²)</t>
    </r>
  </si>
  <si>
    <r>
      <rPr>
        <sz val="11"/>
        <color theme="1"/>
        <rFont val="Calibri"/>
        <charset val="134"/>
        <scheme val="minor"/>
      </rPr>
      <t>Middle (mm</t>
    </r>
    <r>
      <rPr>
        <sz val="11"/>
        <color theme="1"/>
        <rFont val="Calibri"/>
        <charset val="134"/>
      </rPr>
      <t>²)</t>
    </r>
  </si>
  <si>
    <t>1st floor</t>
  </si>
  <si>
    <t>Top</t>
  </si>
  <si>
    <t>Bottom</t>
  </si>
  <si>
    <t>2nd floor</t>
  </si>
  <si>
    <t>3rd floor</t>
  </si>
  <si>
    <t>4th floor</t>
  </si>
  <si>
    <t>Roof floor</t>
  </si>
  <si>
    <t>Stair beam end support</t>
  </si>
  <si>
    <t>Stair beam middle</t>
  </si>
  <si>
    <t>Non stair beam end</t>
  </si>
  <si>
    <t xml:space="preserve">NOSB middle </t>
  </si>
  <si>
    <t>Adopted reinforcement in Main beam</t>
  </si>
  <si>
    <t>16mm</t>
  </si>
  <si>
    <t>12mm</t>
  </si>
  <si>
    <t>20mm</t>
  </si>
  <si>
    <t>Non stair beam</t>
  </si>
  <si>
    <t>End support</t>
  </si>
  <si>
    <t>Middle</t>
  </si>
  <si>
    <t>Nos.</t>
  </si>
  <si>
    <t>Foundation Beam</t>
  </si>
  <si>
    <t>2-16mmØ+ 1-12mmØ</t>
  </si>
  <si>
    <t>Tie Beam</t>
  </si>
  <si>
    <t>1st Floor</t>
  </si>
  <si>
    <t xml:space="preserve">2-16mmØ+ 1-12mmØ+1-16mmØ extra </t>
  </si>
  <si>
    <t>3-16mmØ</t>
  </si>
  <si>
    <t>2nd Floor</t>
  </si>
  <si>
    <t xml:space="preserve">2-16mmØ+ 1-16mmØ extra </t>
  </si>
  <si>
    <t>2-16mmØ</t>
  </si>
  <si>
    <t>3rd Floor</t>
  </si>
  <si>
    <t>2-12mmØ+1-16mmØ extra</t>
  </si>
  <si>
    <t>3-12mmØ</t>
  </si>
  <si>
    <t>2-12mmØ+ 1-16mmØ</t>
  </si>
  <si>
    <t>4th Floor</t>
  </si>
  <si>
    <t xml:space="preserve">2-12mmØ+ 1-12mmØ extra </t>
  </si>
  <si>
    <t>2-12mmØ</t>
  </si>
  <si>
    <t>Roof beam</t>
  </si>
  <si>
    <t>Design of Transverse Reinforcement</t>
  </si>
  <si>
    <t xml:space="preserve">Maximum spacing of shear reinforcement </t>
  </si>
  <si>
    <t>&lt; 300 mm</t>
  </si>
  <si>
    <t>Project:</t>
  </si>
  <si>
    <t>** Fill only Yellow Cells**</t>
  </si>
  <si>
    <t>END CONDITIONS</t>
  </si>
  <si>
    <t>Slab Panel : S1</t>
  </si>
  <si>
    <t>Interior Panel</t>
  </si>
  <si>
    <t>One Short Edge Discontinuous</t>
  </si>
  <si>
    <t>Material Properties</t>
  </si>
  <si>
    <t>One Long Edge Discontinuous</t>
  </si>
  <si>
    <t>Two Adjacent Edges Discontinuous</t>
  </si>
  <si>
    <t>fck =</t>
  </si>
  <si>
    <r>
      <rPr>
        <sz val="11"/>
        <color theme="1"/>
        <rFont val="Calibri"/>
        <charset val="134"/>
        <scheme val="minor"/>
      </rPr>
      <t>N/mm</t>
    </r>
    <r>
      <rPr>
        <sz val="11"/>
        <color theme="1"/>
        <rFont val="Calibri"/>
        <charset val="134"/>
      </rPr>
      <t>²</t>
    </r>
  </si>
  <si>
    <t>Two Short Edge Discontinuous</t>
  </si>
  <si>
    <t>Fy =</t>
  </si>
  <si>
    <t>Two Long Edge Discontinuous</t>
  </si>
  <si>
    <t>S.W. Conc=</t>
  </si>
  <si>
    <r>
      <rPr>
        <sz val="11"/>
        <color theme="1"/>
        <rFont val="Calibri"/>
        <charset val="134"/>
        <scheme val="minor"/>
      </rPr>
      <t>KN/m</t>
    </r>
    <r>
      <rPr>
        <sz val="11"/>
        <color theme="1"/>
        <rFont val="Calibri"/>
        <charset val="134"/>
      </rPr>
      <t>³</t>
    </r>
  </si>
  <si>
    <t>One Long Edge Continuous</t>
  </si>
  <si>
    <t>Cover =</t>
  </si>
  <si>
    <t>One Short Edge Continuous</t>
  </si>
  <si>
    <t>Four Edge Discontinuous</t>
  </si>
  <si>
    <t>Slab Properties</t>
  </si>
  <si>
    <t>End Condition</t>
  </si>
  <si>
    <t>Ly =</t>
  </si>
  <si>
    <t>Span Lx =</t>
  </si>
  <si>
    <t>m</t>
  </si>
  <si>
    <t>Lx =</t>
  </si>
  <si>
    <t>Span Ly=</t>
  </si>
  <si>
    <t>Ly/Lx =</t>
  </si>
  <si>
    <t>D =</t>
  </si>
  <si>
    <t>d =</t>
  </si>
  <si>
    <t>Loading</t>
  </si>
  <si>
    <t xml:space="preserve">Moment Cofficient </t>
  </si>
  <si>
    <t>Dead Load</t>
  </si>
  <si>
    <t>Table no. 26 of IS 456-2000</t>
  </si>
  <si>
    <t>S.W.</t>
  </si>
  <si>
    <r>
      <rPr>
        <sz val="11"/>
        <color theme="1"/>
        <rFont val="Calibri"/>
        <charset val="134"/>
        <scheme val="minor"/>
      </rPr>
      <t>KN/m</t>
    </r>
    <r>
      <rPr>
        <sz val="11"/>
        <color theme="1"/>
        <rFont val="Calibri"/>
        <charset val="134"/>
      </rPr>
      <t>²</t>
    </r>
  </si>
  <si>
    <t>Positive moment At Mid Span</t>
  </si>
  <si>
    <t>Screed</t>
  </si>
  <si>
    <r>
      <rPr>
        <sz val="11"/>
        <color theme="1"/>
        <rFont val="Calibri"/>
        <charset val="134"/>
        <scheme val="minor"/>
      </rPr>
      <t xml:space="preserve">Short </t>
    </r>
    <r>
      <rPr>
        <sz val="11"/>
        <color theme="1"/>
        <rFont val="Calibri"/>
        <charset val="134"/>
      </rPr>
      <t>βsx</t>
    </r>
  </si>
  <si>
    <t>Finishing</t>
  </si>
  <si>
    <r>
      <rPr>
        <sz val="11"/>
        <color theme="1"/>
        <rFont val="Calibri"/>
        <charset val="134"/>
        <scheme val="minor"/>
      </rPr>
      <t xml:space="preserve">Long </t>
    </r>
    <r>
      <rPr>
        <sz val="11"/>
        <color theme="1"/>
        <rFont val="Calibri"/>
        <charset val="134"/>
      </rPr>
      <t>βsy</t>
    </r>
  </si>
  <si>
    <t>Services</t>
  </si>
  <si>
    <t>Negative moment At Edge</t>
  </si>
  <si>
    <t>Total</t>
  </si>
  <si>
    <t>Imposed Load</t>
  </si>
  <si>
    <t>Live load</t>
  </si>
  <si>
    <t>Deflection Check</t>
  </si>
  <si>
    <t>Basic Span/d =</t>
  </si>
  <si>
    <t>Factored Load</t>
  </si>
  <si>
    <t>fs =</t>
  </si>
  <si>
    <t>Mod. Factor =</t>
  </si>
  <si>
    <t>Limiting Span/d =</t>
  </si>
  <si>
    <t>Actual Span/d =</t>
  </si>
  <si>
    <t>Bending</t>
  </si>
  <si>
    <t>Crack Control</t>
  </si>
  <si>
    <t>Mid span short</t>
  </si>
  <si>
    <t>Clear spacing should not exceed</t>
  </si>
  <si>
    <t>Msx</t>
  </si>
  <si>
    <t>KNm</t>
  </si>
  <si>
    <t>300 mm</t>
  </si>
  <si>
    <t>or</t>
  </si>
  <si>
    <t>3d</t>
  </si>
  <si>
    <t>fy/(fcub)</t>
  </si>
  <si>
    <t>safe</t>
  </si>
  <si>
    <t>d(-)</t>
  </si>
  <si>
    <t>M/(0.8fy)</t>
  </si>
  <si>
    <t>Ast (req)</t>
  </si>
  <si>
    <t>sqmm</t>
  </si>
  <si>
    <t>Ast (prov.)</t>
  </si>
  <si>
    <r>
      <rPr>
        <sz val="11"/>
        <color theme="1"/>
        <rFont val="Calibri"/>
        <charset val="134"/>
        <scheme val="minor"/>
      </rPr>
      <t>8mm</t>
    </r>
    <r>
      <rPr>
        <sz val="11"/>
        <color theme="1"/>
        <rFont val="Calibri"/>
        <charset val="134"/>
      </rPr>
      <t>φ</t>
    </r>
  </si>
  <si>
    <t>Spacing(req.)=</t>
  </si>
  <si>
    <t>Spacing(prov)=</t>
  </si>
  <si>
    <t xml:space="preserve">Providing </t>
  </si>
  <si>
    <t>8mmφ</t>
  </si>
  <si>
    <t>@</t>
  </si>
  <si>
    <t>c/c</t>
  </si>
  <si>
    <t>Mid span long</t>
  </si>
  <si>
    <t>Msy</t>
  </si>
  <si>
    <t>Edge span short</t>
  </si>
  <si>
    <t>Edge span long</t>
  </si>
  <si>
    <t xml:space="preserve">              Design of Combined Footing                                         </t>
  </si>
  <si>
    <t>Axial load on Column C1=</t>
  </si>
  <si>
    <t>kN</t>
  </si>
  <si>
    <t>c/c dist.</t>
  </si>
  <si>
    <t>Column 1</t>
  </si>
  <si>
    <t>Node</t>
  </si>
  <si>
    <t>Grid</t>
  </si>
  <si>
    <t>Axial Factor Load</t>
  </si>
  <si>
    <t>Axial Non factor load</t>
  </si>
  <si>
    <t>Axial load on Column C3=</t>
  </si>
  <si>
    <t xml:space="preserve">left edge </t>
  </si>
  <si>
    <t>KN</t>
  </si>
  <si>
    <t>Size of Column c1=</t>
  </si>
  <si>
    <t>edge to c/c dist</t>
  </si>
  <si>
    <t>Size of Column C3=</t>
  </si>
  <si>
    <t>Bearing Capacity of soil=</t>
  </si>
  <si>
    <t>kN/sq.m</t>
  </si>
  <si>
    <t>Column 2</t>
  </si>
  <si>
    <t>Right edge</t>
  </si>
  <si>
    <t>Taking node 1&amp;7</t>
  </si>
  <si>
    <t>i.Length and Width of the footing</t>
  </si>
  <si>
    <t>Centre of gravity of load from the property line</t>
  </si>
  <si>
    <t>X=</t>
  </si>
  <si>
    <t>(PA*x+PB*y)/(PA+PB)</t>
  </si>
  <si>
    <t>Length of Footing=</t>
  </si>
  <si>
    <t>2*X</t>
  </si>
  <si>
    <t>Assume</t>
  </si>
  <si>
    <t>Assume Weight of footing and earth above it as 5% of total weight</t>
  </si>
  <si>
    <t>Total load on earth=</t>
  </si>
  <si>
    <t xml:space="preserve">                                 </t>
  </si>
  <si>
    <t>(PA+PB)*1.05</t>
  </si>
  <si>
    <t>Footing Width=</t>
  </si>
  <si>
    <t>Total Load on earth/(length of footing*Bearing Capacity)</t>
  </si>
  <si>
    <t>m width of footing</t>
  </si>
  <si>
    <t>ii.Longitudinal Bending moment and shear</t>
  </si>
  <si>
    <t>Factored load on Column B1=</t>
  </si>
  <si>
    <t>Factored load on Column C1=</t>
  </si>
  <si>
    <t>Net upward Soil Pressure=</t>
  </si>
  <si>
    <t>(Pau+Pbu)/(length of footing*width of Footing)</t>
  </si>
  <si>
    <t>Net upward soil pressure per unit length=</t>
  </si>
  <si>
    <t>kN/m</t>
  </si>
  <si>
    <t>Maximum shear force at centre line of column A</t>
  </si>
  <si>
    <t>V1=</t>
  </si>
  <si>
    <t>Netupward soil pressure per unit length * c/c distance</t>
  </si>
  <si>
    <t>Negative shear force</t>
  </si>
  <si>
    <t>V2=</t>
  </si>
  <si>
    <t>V1+Pau</t>
  </si>
  <si>
    <t>Positive shear force</t>
  </si>
  <si>
    <t>Maximum Shear force at centre line of Column B</t>
  </si>
  <si>
    <t>V1-Pbu</t>
  </si>
  <si>
    <t>Point of Zero Shear force from centre of column A(from Calculation)</t>
  </si>
  <si>
    <t>x=</t>
  </si>
  <si>
    <t>Maximum bending moment computed from left side</t>
  </si>
  <si>
    <t>BM=</t>
  </si>
  <si>
    <t>(Net upward soil pressure (dist. From left edgt to A column+X)^2)/2-1.5*Factored load*X</t>
  </si>
  <si>
    <t>Maximum bending moment computed from Right side</t>
  </si>
  <si>
    <t>(Net upward soil pressure (dist. From right edgt to B column+X)^2)/2-1.5*Factored load B*X</t>
  </si>
  <si>
    <t>For computation thickness of footing</t>
  </si>
  <si>
    <t>Bm=</t>
  </si>
  <si>
    <t>0.138*fck*b*d^2</t>
  </si>
  <si>
    <t>d^2=</t>
  </si>
  <si>
    <t>d=</t>
  </si>
  <si>
    <t>Adopt overall depth as 450mm &amp; effective depth as 410mm</t>
  </si>
  <si>
    <t>iii) Main negative longitudinal reinforcement</t>
  </si>
  <si>
    <t>0.87*fy*Ast (d-fy*ast/(fck*b))</t>
  </si>
  <si>
    <t>Simplyfying this into Quadratic equation (Ax^2+Bx+c=0)</t>
  </si>
  <si>
    <t>Ast=</t>
  </si>
  <si>
    <t>sqm</t>
  </si>
  <si>
    <t>use 12mm dia bar which gives 113 sqmm</t>
  </si>
  <si>
    <t>No of bars=</t>
  </si>
  <si>
    <t>nos</t>
  </si>
  <si>
    <t>Spacing</t>
  </si>
  <si>
    <t xml:space="preserve">Adopt 150mm spacing using 12mm dia bar </t>
  </si>
  <si>
    <t>Development length  for bar=56 dia</t>
  </si>
  <si>
    <t xml:space="preserve"> Design of staircase</t>
  </si>
  <si>
    <t>Unit weight of RCC=</t>
  </si>
  <si>
    <t>Available width of Staircase=</t>
  </si>
  <si>
    <t>Floor to Floor Height =</t>
  </si>
  <si>
    <t>Height of Riser=</t>
  </si>
  <si>
    <t>Width of tread=</t>
  </si>
  <si>
    <t>Number of Riser=</t>
  </si>
  <si>
    <t>Number of Tread required</t>
  </si>
  <si>
    <t>Design of Staircase AB</t>
  </si>
  <si>
    <t>Effective span of flight=</t>
  </si>
  <si>
    <t>Centre to centre distance of Support</t>
  </si>
  <si>
    <t>=</t>
  </si>
  <si>
    <t>Thickness of waist slab=</t>
  </si>
  <si>
    <t>(1/20) of span(approx.)</t>
  </si>
  <si>
    <t xml:space="preserve">let us take </t>
  </si>
  <si>
    <t>D=</t>
  </si>
  <si>
    <t>LOADS</t>
  </si>
  <si>
    <t>i. weight of waist slab in plan (per m width of flight)</t>
  </si>
  <si>
    <t>D*Sqreroot(1+sqre(R/T))*unit weight</t>
  </si>
  <si>
    <t>ii. Weight of steps (per m width of flight)=</t>
  </si>
  <si>
    <t>(25RT)/2T</t>
  </si>
  <si>
    <t>Total dead load=</t>
  </si>
  <si>
    <t>Live load=</t>
  </si>
  <si>
    <t>Total DL + LL=</t>
  </si>
  <si>
    <t>Factored load,wu=</t>
  </si>
  <si>
    <t>For landing,</t>
  </si>
  <si>
    <t>DL=</t>
  </si>
  <si>
    <t>LL=</t>
  </si>
  <si>
    <t>Total, DL+LL=</t>
  </si>
  <si>
    <t>Factored load=</t>
  </si>
  <si>
    <t>Design Moment</t>
  </si>
  <si>
    <t>Reaction at supports, RA=</t>
  </si>
  <si>
    <t>Reaction at supports, RB=</t>
  </si>
  <si>
    <t>BM at mid span, Mu=</t>
  </si>
  <si>
    <t>kNm</t>
  </si>
  <si>
    <t>Max. BM allowed for a singly reinforced section with Fe500=</t>
  </si>
  <si>
    <t>0.138*fck*b*d*d</t>
  </si>
  <si>
    <t>&gt; 17.9kN/m</t>
  </si>
  <si>
    <t>Hence, sectio can be designed as singly reinforced</t>
  </si>
  <si>
    <t>Area of Reinforcment</t>
  </si>
  <si>
    <t>a</t>
  </si>
  <si>
    <t>b</t>
  </si>
  <si>
    <t>c</t>
  </si>
  <si>
    <t>area</t>
  </si>
  <si>
    <t>Spacing provid</t>
  </si>
  <si>
    <t>Mu=</t>
  </si>
  <si>
    <t>0.87*fy*Ast*d*(1-(Ast/b*d)*(fy/fck))</t>
  </si>
  <si>
    <t>Computing</t>
  </si>
  <si>
    <t>Using 10mm bars, Asteel=</t>
  </si>
  <si>
    <t>Sq.mm</t>
  </si>
  <si>
    <t>Spacing=</t>
  </si>
  <si>
    <t>Asteel/Ast</t>
  </si>
  <si>
    <t>Considering spacing = 150mm</t>
  </si>
  <si>
    <t>Area provided, Aprovd=</t>
  </si>
  <si>
    <t>Provide 8mm dia. Bars @</t>
  </si>
  <si>
    <t>Distribution Steel=</t>
  </si>
  <si>
    <t>0.12% of area</t>
  </si>
  <si>
    <t>using 8mm dia. Bars, Asteel=</t>
  </si>
  <si>
    <t>Spacing of 8 mm dia. Bars=</t>
  </si>
  <si>
    <t>Providing spacing=200mm</t>
  </si>
  <si>
    <t>Ast provided=</t>
  </si>
  <si>
    <t>provide 8mm dia. Bars @ 200mm c/c</t>
  </si>
  <si>
    <t>Development length</t>
  </si>
  <si>
    <t>Ld=</t>
  </si>
  <si>
    <t>(Dia. Of steel*0.87*fy)/(4*shear strength)</t>
  </si>
  <si>
    <t xml:space="preserve">Providing 600mm length of bars at points where Ld is required </t>
  </si>
  <si>
    <t>Design of Staricase BB'</t>
  </si>
  <si>
    <t>Reaction at supports, RB'=</t>
  </si>
  <si>
    <t>&gt; 32.3kN/m</t>
  </si>
  <si>
    <t>Considering spacing = 115mm</t>
  </si>
  <si>
    <t xml:space="preserve">Providing 1000mm length of bars at points where Ld is required </t>
  </si>
  <si>
    <t>Joint</t>
  </si>
  <si>
    <t>`10</t>
  </si>
  <si>
    <t>A1</t>
  </si>
  <si>
    <t>C2</t>
  </si>
  <si>
    <t>Square Footing design</t>
  </si>
  <si>
    <t>Design of Isolated foundation</t>
  </si>
  <si>
    <t>Design of Isolated foundation for column  Node no:16</t>
  </si>
  <si>
    <t>Axial Load on Column, P =</t>
  </si>
  <si>
    <t>Bearing Capacity of soil q=</t>
  </si>
  <si>
    <t>length of column=</t>
  </si>
  <si>
    <t>Breadth of Column=</t>
  </si>
  <si>
    <t>fck=</t>
  </si>
  <si>
    <t>N/sq.mm</t>
  </si>
  <si>
    <t>fy=</t>
  </si>
  <si>
    <t>Calculation of Load</t>
  </si>
  <si>
    <t>P=</t>
  </si>
  <si>
    <t>Self wt. of footing=</t>
  </si>
  <si>
    <t>10% of Axial load on column</t>
  </si>
  <si>
    <t>Total Load =</t>
  </si>
  <si>
    <t>Area of footing</t>
  </si>
  <si>
    <t>A=</t>
  </si>
  <si>
    <t>Total Load/Bearing Capacity of Soil</t>
  </si>
  <si>
    <t>Sq.m</t>
  </si>
  <si>
    <t>Therefore , Size of Footing=</t>
  </si>
  <si>
    <t>Considering</t>
  </si>
  <si>
    <t>Breadth of Footing=</t>
  </si>
  <si>
    <t>Effective Width be=</t>
  </si>
  <si>
    <t>b+(B-b)/8</t>
  </si>
  <si>
    <t>~</t>
  </si>
  <si>
    <t>Uplift Pressure, P=</t>
  </si>
  <si>
    <t>Moment at Col. Face=</t>
  </si>
  <si>
    <t>dmin=</t>
  </si>
  <si>
    <r>
      <rPr>
        <sz val="11"/>
        <color theme="1"/>
        <rFont val="Calibri"/>
        <charset val="134"/>
      </rPr>
      <t>√</t>
    </r>
    <r>
      <rPr>
        <sz val="12.65"/>
        <color theme="1"/>
        <rFont val="Calibri"/>
        <charset val="134"/>
      </rPr>
      <t>(M/1.38*fck*be)</t>
    </r>
  </si>
  <si>
    <t>Adopt D</t>
  </si>
  <si>
    <t>Area of Reinforcement</t>
  </si>
  <si>
    <t>M=</t>
  </si>
  <si>
    <t>0.87*fy*Ast*(d-(fy*Ast/fck*be)</t>
  </si>
  <si>
    <t>Solving it into quadratic equation</t>
  </si>
  <si>
    <t>A=fy</t>
  </si>
  <si>
    <t>B=bdfck</t>
  </si>
  <si>
    <t>C=BM*fck*b/(.87*fy)</t>
  </si>
  <si>
    <t>Ast=(-b+SQRT(b^2-4*A*C))/(2*A)</t>
  </si>
  <si>
    <t>Therefore, Ast=722.128 sq.mm</t>
  </si>
  <si>
    <t>Providing 12mm dia reinforcement, Asteel=113 sq.mm</t>
  </si>
  <si>
    <t>(B)/Ast/Asteel</t>
  </si>
  <si>
    <t>Consider Spacing= 150mm</t>
  </si>
  <si>
    <t>% of reinforcement = (Ast provided/B*D)*100</t>
  </si>
  <si>
    <t>%</t>
  </si>
  <si>
    <t>Provide 12mm dia reinforcement on both side @150mm c/c</t>
  </si>
  <si>
    <t>Length</t>
  </si>
  <si>
    <t>0.1L</t>
  </si>
  <si>
    <t>0.15L</t>
  </si>
  <si>
    <t>0.25L</t>
  </si>
  <si>
    <t>0.3L</t>
  </si>
  <si>
    <t xml:space="preserve">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</si>
</sst>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0.0"/>
  </numFmts>
  <fonts count="11">
    <font>
      <sz val="11"/>
      <color theme="1"/>
      <name val="Calibri"/>
      <charset val="134"/>
      <scheme val="minor"/>
    </font>
    <font>
      <sz val="8"/>
      <color rgb="FF000000"/>
      <name val="Arial"/>
      <charset val="134"/>
    </font>
    <font>
      <b/>
      <sz val="16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2.65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142">
    <xf numFmtId="0" fontId="0" fillId="0" borderId="0" xfId="0"/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right" vertical="top" wrapText="1"/>
    </xf>
    <xf numFmtId="0" fontId="0" fillId="0" borderId="0" xfId="0" applyBorder="1"/>
    <xf numFmtId="165" fontId="0" fillId="0" borderId="0" xfId="0" applyNumberFormat="1"/>
    <xf numFmtId="0" fontId="0" fillId="0" borderId="12" xfId="0" applyBorder="1" applyAlignment="1">
      <alignment horizontal="center"/>
    </xf>
    <xf numFmtId="165" fontId="0" fillId="0" borderId="12" xfId="0" applyNumberFormat="1" applyBorder="1" applyAlignment="1">
      <alignment wrapText="1"/>
    </xf>
    <xf numFmtId="0" fontId="0" fillId="0" borderId="21" xfId="0" applyBorder="1" applyAlignment="1">
      <alignment wrapText="1"/>
    </xf>
    <xf numFmtId="0" fontId="1" fillId="0" borderId="12" xfId="0" applyFont="1" applyBorder="1" applyAlignment="1">
      <alignment horizontal="center" vertical="top" wrapText="1"/>
    </xf>
    <xf numFmtId="165" fontId="0" fillId="0" borderId="12" xfId="0" applyNumberFormat="1" applyBorder="1" applyAlignment="1">
      <alignment horizontal="center"/>
    </xf>
    <xf numFmtId="0" fontId="3" fillId="0" borderId="22" xfId="0" applyFont="1" applyBorder="1"/>
    <xf numFmtId="0" fontId="3" fillId="0" borderId="0" xfId="0" applyFont="1" applyBorder="1"/>
    <xf numFmtId="165" fontId="0" fillId="0" borderId="0" xfId="0" applyNumberFormat="1" applyFill="1" applyBorder="1"/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Font="1"/>
    <xf numFmtId="2" fontId="0" fillId="0" borderId="0" xfId="0" applyNumberFormat="1"/>
    <xf numFmtId="0" fontId="0" fillId="0" borderId="0" xfId="0" applyFont="1" applyAlignment="1">
      <alignment horizontal="right"/>
    </xf>
    <xf numFmtId="2" fontId="0" fillId="0" borderId="0" xfId="0" applyNumberFormat="1" applyFont="1"/>
    <xf numFmtId="0" fontId="5" fillId="0" borderId="0" xfId="0" applyFont="1"/>
    <xf numFmtId="165" fontId="0" fillId="0" borderId="0" xfId="0" applyNumberFormat="1" applyFont="1"/>
    <xf numFmtId="0" fontId="0" fillId="0" borderId="15" xfId="0" applyBorder="1" applyAlignment="1">
      <alignment wrapText="1"/>
    </xf>
    <xf numFmtId="165" fontId="0" fillId="0" borderId="12" xfId="0" applyNumberFormat="1" applyBorder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2" borderId="0" xfId="0" applyNumberFormat="1" applyFill="1" applyAlignment="1">
      <alignment horizontal="right"/>
    </xf>
    <xf numFmtId="165" fontId="0" fillId="2" borderId="0" xfId="0" applyNumberFormat="1" applyFill="1"/>
    <xf numFmtId="165" fontId="0" fillId="2" borderId="0" xfId="0" applyNumberFormat="1" applyFill="1" applyAlignment="1"/>
    <xf numFmtId="0" fontId="0" fillId="0" borderId="0" xfId="0" applyAlignment="1"/>
    <xf numFmtId="165" fontId="0" fillId="2" borderId="0" xfId="1" applyNumberFormat="1" applyFont="1" applyFill="1" applyAlignment="1"/>
    <xf numFmtId="165" fontId="0" fillId="0" borderId="0" xfId="0" applyNumberFormat="1" applyAlignmen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5" fontId="4" fillId="0" borderId="0" xfId="0" applyNumberFormat="1" applyFont="1"/>
    <xf numFmtId="0" fontId="4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applyFont="1" applyAlignment="1">
      <alignment horizontal="left" vertical="top"/>
    </xf>
    <xf numFmtId="0" fontId="4" fillId="0" borderId="0" xfId="0" applyFont="1" applyAlignment="1">
      <alignment horizontal="center" wrapText="1"/>
    </xf>
    <xf numFmtId="165" fontId="4" fillId="0" borderId="0" xfId="0" applyNumberFormat="1" applyFont="1" applyAlignment="1">
      <alignment horizontal="center" wrapText="1"/>
    </xf>
    <xf numFmtId="0" fontId="0" fillId="0" borderId="0" xfId="0" applyFont="1" applyAlignment="1">
      <alignment horizontal="left" wrapText="1"/>
    </xf>
    <xf numFmtId="2" fontId="4" fillId="0" borderId="0" xfId="0" applyNumberFormat="1" applyFont="1" applyAlignment="1">
      <alignment horizontal="center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/>
    <xf numFmtId="0" fontId="0" fillId="2" borderId="0" xfId="0" applyFill="1"/>
    <xf numFmtId="0" fontId="6" fillId="0" borderId="0" xfId="0" applyFont="1"/>
    <xf numFmtId="0" fontId="7" fillId="0" borderId="0" xfId="2" applyAlignment="1" applyProtection="1"/>
    <xf numFmtId="0" fontId="8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2" fontId="0" fillId="0" borderId="0" xfId="0" applyNumberFormat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6" xfId="0" applyBorder="1"/>
    <xf numFmtId="0" fontId="0" fillId="0" borderId="14" xfId="0" applyBorder="1" applyAlignment="1">
      <alignment horizontal="center" vertical="center"/>
    </xf>
    <xf numFmtId="0" fontId="0" fillId="0" borderId="39" xfId="0" applyBorder="1"/>
    <xf numFmtId="0" fontId="0" fillId="0" borderId="1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12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 vertical="top" wrapText="1"/>
    </xf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75565</xdr:colOff>
      <xdr:row>2</xdr:row>
      <xdr:rowOff>180975</xdr:rowOff>
    </xdr:from>
    <xdr:to>
      <xdr:col>18</xdr:col>
      <xdr:colOff>547370</xdr:colOff>
      <xdr:row>31</xdr:row>
      <xdr:rowOff>125095</xdr:rowOff>
    </xdr:to>
    <xdr:pic>
      <xdr:nvPicPr>
        <xdr:cNvPr id="2" name="Picture 1" descr="Captur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6740" y="561975"/>
          <a:ext cx="7672705" cy="565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2:K54"/>
  <sheetViews>
    <sheetView topLeftCell="A12" workbookViewId="0">
      <selection activeCell="B30" sqref="A30:XFD31"/>
    </sheetView>
  </sheetViews>
  <sheetFormatPr defaultColWidth="9" defaultRowHeight="15"/>
  <cols>
    <col min="3" max="3" width="20.7109375" customWidth="1"/>
    <col min="4" max="5" width="15" customWidth="1"/>
    <col min="6" max="6" width="13.140625" customWidth="1"/>
    <col min="7" max="7" width="7" customWidth="1"/>
    <col min="8" max="11" width="9.140625" customWidth="1"/>
  </cols>
  <sheetData>
    <row r="2" spans="1:10">
      <c r="A2" s="66" t="s">
        <v>0</v>
      </c>
      <c r="G2" t="s">
        <v>1</v>
      </c>
      <c r="H2" t="s">
        <v>2</v>
      </c>
    </row>
    <row r="3" spans="1:10">
      <c r="G3">
        <v>6</v>
      </c>
      <c r="H3" s="34">
        <f>PI()*G3^2/4</f>
        <v>28.274333882308099</v>
      </c>
    </row>
    <row r="4" spans="1:10">
      <c r="A4" t="s">
        <v>3</v>
      </c>
      <c r="C4" t="s">
        <v>4</v>
      </c>
      <c r="G4">
        <v>8</v>
      </c>
      <c r="H4" s="34">
        <f t="shared" ref="H4:H11" si="0">PI()*G4^2/4</f>
        <v>50.265482457436697</v>
      </c>
    </row>
    <row r="5" spans="1:10">
      <c r="C5" t="s">
        <v>5</v>
      </c>
      <c r="G5">
        <v>10</v>
      </c>
      <c r="H5" s="34">
        <f t="shared" si="0"/>
        <v>78.539816339744803</v>
      </c>
    </row>
    <row r="6" spans="1:10">
      <c r="G6">
        <v>12</v>
      </c>
      <c r="H6" s="34">
        <f t="shared" si="0"/>
        <v>113.09733552923301</v>
      </c>
      <c r="J6">
        <f t="shared" ref="J6:J11" si="1">H6*8</f>
        <v>904.77868423385996</v>
      </c>
    </row>
    <row r="7" spans="1:10">
      <c r="A7" t="s">
        <v>6</v>
      </c>
      <c r="G7">
        <v>16</v>
      </c>
      <c r="H7" s="34">
        <f t="shared" si="0"/>
        <v>201.06192982974699</v>
      </c>
      <c r="J7">
        <f t="shared" si="1"/>
        <v>1608.49543863797</v>
      </c>
    </row>
    <row r="8" spans="1:10">
      <c r="B8" t="s">
        <v>7</v>
      </c>
      <c r="G8">
        <v>20</v>
      </c>
      <c r="H8" s="34">
        <f t="shared" si="0"/>
        <v>314.15926535897898</v>
      </c>
      <c r="J8">
        <f t="shared" si="1"/>
        <v>2513.2741228718301</v>
      </c>
    </row>
    <row r="9" spans="1:10">
      <c r="B9" t="s">
        <v>8</v>
      </c>
      <c r="C9" t="s">
        <v>9</v>
      </c>
      <c r="G9">
        <v>22</v>
      </c>
      <c r="H9" s="34">
        <f t="shared" si="0"/>
        <v>380.13271108436498</v>
      </c>
      <c r="J9">
        <f t="shared" si="1"/>
        <v>3041.0616886749199</v>
      </c>
    </row>
    <row r="10" spans="1:10">
      <c r="G10">
        <v>24</v>
      </c>
      <c r="H10" s="34">
        <f t="shared" si="0"/>
        <v>452.38934211692998</v>
      </c>
      <c r="J10">
        <f t="shared" si="1"/>
        <v>3619.1147369354399</v>
      </c>
    </row>
    <row r="11" spans="1:10">
      <c r="A11" t="s">
        <v>10</v>
      </c>
      <c r="G11">
        <v>25</v>
      </c>
      <c r="H11" s="34">
        <f t="shared" si="0"/>
        <v>490.87385212340502</v>
      </c>
      <c r="J11">
        <f t="shared" si="1"/>
        <v>3926.9908169872401</v>
      </c>
    </row>
    <row r="12" spans="1:10">
      <c r="B12" t="s">
        <v>11</v>
      </c>
    </row>
    <row r="13" spans="1:10">
      <c r="B13" t="s">
        <v>12</v>
      </c>
      <c r="C13" t="s">
        <v>13</v>
      </c>
    </row>
    <row r="15" spans="1:10" ht="15" customHeight="1">
      <c r="A15" s="115" t="s">
        <v>14</v>
      </c>
      <c r="B15" s="121" t="s">
        <v>15</v>
      </c>
      <c r="C15" s="123" t="s">
        <v>16</v>
      </c>
      <c r="D15" s="110" t="s">
        <v>17</v>
      </c>
      <c r="E15" s="111"/>
      <c r="F15" s="112"/>
      <c r="G15" s="100"/>
    </row>
    <row r="16" spans="1:10">
      <c r="A16" s="116"/>
      <c r="B16" s="122"/>
      <c r="C16" s="124"/>
      <c r="D16" s="113" t="s">
        <v>18</v>
      </c>
      <c r="E16" s="114"/>
      <c r="F16" s="101" t="s">
        <v>19</v>
      </c>
      <c r="G16" s="102"/>
    </row>
    <row r="17" spans="1:11">
      <c r="A17" s="116"/>
      <c r="B17" s="122"/>
      <c r="C17" s="124"/>
      <c r="D17" s="103" t="s">
        <v>20</v>
      </c>
      <c r="E17" s="103" t="s">
        <v>21</v>
      </c>
      <c r="F17" s="101" t="s">
        <v>22</v>
      </c>
      <c r="G17" s="102"/>
    </row>
    <row r="18" spans="1:11">
      <c r="A18" s="117" t="s">
        <v>23</v>
      </c>
      <c r="B18" s="104" t="s">
        <v>24</v>
      </c>
      <c r="C18" s="104">
        <v>1411</v>
      </c>
      <c r="D18" s="104" t="str">
        <f t="shared" ref="D18:D27" si="2">IF(H18=20,"4-20mm dia","4-16mm dia")</f>
        <v>4-16mm dia</v>
      </c>
      <c r="E18" s="104" t="str">
        <f t="shared" ref="E18:E27" si="3">IF(I18=20,"4-20mm dia","4-16mm dia")</f>
        <v>4-16mm dia</v>
      </c>
      <c r="F18" s="105">
        <f>ROUND(4*(J18+K18),0)</f>
        <v>1608</v>
      </c>
      <c r="G18" s="102">
        <f>IF(F18&lt;C18,1,0)</f>
        <v>0</v>
      </c>
      <c r="H18">
        <v>16</v>
      </c>
      <c r="I18">
        <v>16</v>
      </c>
      <c r="J18">
        <f>PI()*H18^2/4</f>
        <v>201.06192982974699</v>
      </c>
      <c r="K18">
        <f>PI()*I18^2/4</f>
        <v>201.06192982974699</v>
      </c>
    </row>
    <row r="19" spans="1:11" ht="10.5" customHeight="1">
      <c r="A19" s="118"/>
      <c r="B19" s="103" t="s">
        <v>25</v>
      </c>
      <c r="C19" s="103">
        <v>1467</v>
      </c>
      <c r="D19" s="103" t="str">
        <f t="shared" si="2"/>
        <v>4-16mm dia</v>
      </c>
      <c r="E19" s="103" t="str">
        <f t="shared" si="3"/>
        <v>4-16mm dia</v>
      </c>
      <c r="F19" s="101">
        <f t="shared" ref="F19:F47" si="4">ROUND(4*(J19+K19),0)</f>
        <v>1608</v>
      </c>
      <c r="G19" s="102">
        <f t="shared" ref="G19:G47" si="5">IF(F19&lt;C19,1,0)</f>
        <v>0</v>
      </c>
      <c r="H19">
        <v>16</v>
      </c>
      <c r="I19">
        <v>16</v>
      </c>
      <c r="J19">
        <f t="shared" ref="J19:J47" si="6">PI()*H19^2/4</f>
        <v>201.06192982974699</v>
      </c>
      <c r="K19">
        <f t="shared" ref="K19:K47" si="7">PI()*I19^2/4</f>
        <v>201.06192982974699</v>
      </c>
    </row>
    <row r="20" spans="1:11" ht="13.5" customHeight="1">
      <c r="A20" s="118"/>
      <c r="B20" s="103" t="s">
        <v>26</v>
      </c>
      <c r="C20" s="103">
        <v>1440</v>
      </c>
      <c r="D20" s="103" t="str">
        <f t="shared" si="2"/>
        <v>4-16mm dia</v>
      </c>
      <c r="E20" s="103" t="str">
        <f t="shared" si="3"/>
        <v>4-16mm dia</v>
      </c>
      <c r="F20" s="101">
        <f t="shared" si="4"/>
        <v>1608</v>
      </c>
      <c r="G20" s="102">
        <f t="shared" si="5"/>
        <v>0</v>
      </c>
      <c r="H20">
        <v>16</v>
      </c>
      <c r="I20">
        <v>16</v>
      </c>
      <c r="J20">
        <f t="shared" si="6"/>
        <v>201.06192982974699</v>
      </c>
      <c r="K20">
        <f t="shared" si="7"/>
        <v>201.06192982974699</v>
      </c>
    </row>
    <row r="21" spans="1:11" ht="11.25" customHeight="1">
      <c r="A21" s="118"/>
      <c r="B21" s="103" t="s">
        <v>27</v>
      </c>
      <c r="C21" s="103">
        <v>788</v>
      </c>
      <c r="D21" s="103" t="str">
        <f t="shared" si="2"/>
        <v>4-16mm dia</v>
      </c>
      <c r="E21" s="103" t="str">
        <f t="shared" si="3"/>
        <v>4-16mm dia</v>
      </c>
      <c r="F21" s="101">
        <f t="shared" si="4"/>
        <v>1608</v>
      </c>
      <c r="G21" s="102">
        <f t="shared" si="5"/>
        <v>0</v>
      </c>
      <c r="H21">
        <v>16</v>
      </c>
      <c r="I21">
        <v>16</v>
      </c>
      <c r="J21">
        <f t="shared" si="6"/>
        <v>201.06192982974699</v>
      </c>
      <c r="K21">
        <f t="shared" si="7"/>
        <v>201.06192982974699</v>
      </c>
    </row>
    <row r="22" spans="1:11" ht="10.5" customHeight="1">
      <c r="A22" s="118"/>
      <c r="B22" s="103" t="s">
        <v>28</v>
      </c>
      <c r="C22" s="103">
        <v>1226</v>
      </c>
      <c r="D22" s="103" t="str">
        <f t="shared" si="2"/>
        <v>4-16mm dia</v>
      </c>
      <c r="E22" s="103" t="str">
        <f t="shared" si="3"/>
        <v>4-16mm dia</v>
      </c>
      <c r="F22" s="101">
        <f t="shared" si="4"/>
        <v>1608</v>
      </c>
      <c r="G22" s="102">
        <f t="shared" si="5"/>
        <v>0</v>
      </c>
      <c r="H22">
        <v>16</v>
      </c>
      <c r="I22">
        <v>16</v>
      </c>
      <c r="J22">
        <f t="shared" si="6"/>
        <v>201.06192982974699</v>
      </c>
      <c r="K22">
        <f t="shared" si="7"/>
        <v>201.06192982974699</v>
      </c>
    </row>
    <row r="23" spans="1:11" ht="11.25" customHeight="1">
      <c r="A23" s="118"/>
      <c r="B23" s="103" t="s">
        <v>29</v>
      </c>
      <c r="C23" s="103">
        <v>1549</v>
      </c>
      <c r="D23" s="103" t="str">
        <f t="shared" si="2"/>
        <v>4-16mm dia</v>
      </c>
      <c r="E23" s="103" t="str">
        <f t="shared" si="3"/>
        <v>4-16mm dia</v>
      </c>
      <c r="F23" s="101">
        <f t="shared" si="4"/>
        <v>1608</v>
      </c>
      <c r="G23" s="102">
        <f t="shared" si="5"/>
        <v>0</v>
      </c>
      <c r="H23">
        <v>16</v>
      </c>
      <c r="I23">
        <v>16</v>
      </c>
      <c r="J23">
        <f t="shared" si="6"/>
        <v>201.06192982974699</v>
      </c>
      <c r="K23">
        <f t="shared" si="7"/>
        <v>201.06192982974699</v>
      </c>
    </row>
    <row r="24" spans="1:11" ht="13.5" customHeight="1">
      <c r="A24" s="119"/>
      <c r="B24" s="103" t="s">
        <v>30</v>
      </c>
      <c r="C24" s="103">
        <v>1536</v>
      </c>
      <c r="D24" s="103" t="str">
        <f t="shared" si="2"/>
        <v>4-16mm dia</v>
      </c>
      <c r="E24" s="103" t="str">
        <f t="shared" si="3"/>
        <v>4-16mm dia</v>
      </c>
      <c r="F24" s="101">
        <f t="shared" si="4"/>
        <v>1608</v>
      </c>
      <c r="G24" s="102">
        <f t="shared" si="5"/>
        <v>0</v>
      </c>
      <c r="H24">
        <v>16</v>
      </c>
      <c r="I24">
        <v>16</v>
      </c>
      <c r="J24">
        <f t="shared" si="6"/>
        <v>201.06192982974699</v>
      </c>
      <c r="K24">
        <f t="shared" si="7"/>
        <v>201.06192982974699</v>
      </c>
    </row>
    <row r="25" spans="1:11" ht="12.75" customHeight="1">
      <c r="A25" s="117" t="s">
        <v>31</v>
      </c>
      <c r="B25" s="104" t="s">
        <v>24</v>
      </c>
      <c r="C25" s="104">
        <v>1238</v>
      </c>
      <c r="D25" s="104" t="str">
        <f t="shared" si="2"/>
        <v>4-16mm dia</v>
      </c>
      <c r="E25" s="104" t="str">
        <f t="shared" si="3"/>
        <v>4-16mm dia</v>
      </c>
      <c r="F25" s="105">
        <f t="shared" si="4"/>
        <v>1608</v>
      </c>
      <c r="G25" s="102">
        <f t="shared" si="5"/>
        <v>0</v>
      </c>
      <c r="H25">
        <v>16</v>
      </c>
      <c r="I25">
        <v>16</v>
      </c>
      <c r="J25">
        <f t="shared" si="6"/>
        <v>201.06192982974699</v>
      </c>
      <c r="K25">
        <f t="shared" si="7"/>
        <v>201.06192982974699</v>
      </c>
    </row>
    <row r="26" spans="1:11" ht="13.5" customHeight="1">
      <c r="A26" s="118"/>
      <c r="B26" s="103" t="s">
        <v>25</v>
      </c>
      <c r="C26" s="103">
        <v>1331</v>
      </c>
      <c r="D26" s="103" t="str">
        <f t="shared" si="2"/>
        <v>4-16mm dia</v>
      </c>
      <c r="E26" s="103" t="str">
        <f t="shared" si="3"/>
        <v>4-16mm dia</v>
      </c>
      <c r="F26" s="101">
        <f t="shared" si="4"/>
        <v>1608</v>
      </c>
      <c r="G26" s="102">
        <f t="shared" si="5"/>
        <v>0</v>
      </c>
      <c r="H26">
        <v>16</v>
      </c>
      <c r="I26">
        <v>16</v>
      </c>
      <c r="J26">
        <f t="shared" si="6"/>
        <v>201.06192982974699</v>
      </c>
      <c r="K26">
        <f t="shared" si="7"/>
        <v>201.06192982974699</v>
      </c>
    </row>
    <row r="27" spans="1:11" ht="13.5" customHeight="1">
      <c r="A27" s="118"/>
      <c r="B27" s="103" t="s">
        <v>26</v>
      </c>
      <c r="C27" s="103">
        <v>1255</v>
      </c>
      <c r="D27" s="103" t="str">
        <f t="shared" si="2"/>
        <v>4-16mm dia</v>
      </c>
      <c r="E27" s="103" t="str">
        <f t="shared" si="3"/>
        <v>4-16mm dia</v>
      </c>
      <c r="F27" s="101">
        <f t="shared" si="4"/>
        <v>1608</v>
      </c>
      <c r="G27" s="102">
        <f t="shared" si="5"/>
        <v>0</v>
      </c>
      <c r="H27">
        <v>16</v>
      </c>
      <c r="I27">
        <v>16</v>
      </c>
      <c r="J27">
        <f t="shared" si="6"/>
        <v>201.06192982974699</v>
      </c>
      <c r="K27">
        <f t="shared" si="7"/>
        <v>201.06192982974699</v>
      </c>
    </row>
    <row r="28" spans="1:11" ht="12.75" customHeight="1">
      <c r="A28" s="118"/>
      <c r="B28" s="103" t="s">
        <v>27</v>
      </c>
      <c r="C28" s="103">
        <v>995</v>
      </c>
      <c r="D28" s="103" t="str">
        <f t="shared" ref="D28:D34" si="8">IF(H28=20,"4-20mm dia","4-16mm dia")</f>
        <v>4-16mm dia</v>
      </c>
      <c r="E28" s="103" t="str">
        <f>IF(I28=20,"4-20mm dia","4-12mm dia")</f>
        <v>4-12mm dia</v>
      </c>
      <c r="F28" s="101">
        <f t="shared" si="4"/>
        <v>1257</v>
      </c>
      <c r="G28" s="102">
        <f t="shared" si="5"/>
        <v>0</v>
      </c>
      <c r="H28">
        <v>16</v>
      </c>
      <c r="I28">
        <v>12</v>
      </c>
      <c r="J28">
        <f t="shared" si="6"/>
        <v>201.06192982974699</v>
      </c>
      <c r="K28">
        <f t="shared" si="7"/>
        <v>113.09733552923301</v>
      </c>
    </row>
    <row r="29" spans="1:11" ht="12.75" customHeight="1">
      <c r="A29" s="118"/>
      <c r="B29" s="103" t="s">
        <v>28</v>
      </c>
      <c r="C29" s="103">
        <v>1227</v>
      </c>
      <c r="D29" s="103" t="str">
        <f t="shared" si="8"/>
        <v>4-16mm dia</v>
      </c>
      <c r="E29" s="103" t="str">
        <f>IF(I29=20,"4-20mm dia","4-16mm dia")</f>
        <v>4-16mm dia</v>
      </c>
      <c r="F29" s="101">
        <f t="shared" si="4"/>
        <v>1608</v>
      </c>
      <c r="G29" s="102">
        <f t="shared" si="5"/>
        <v>0</v>
      </c>
      <c r="H29">
        <v>16</v>
      </c>
      <c r="I29">
        <v>16</v>
      </c>
      <c r="J29">
        <f t="shared" si="6"/>
        <v>201.06192982974699</v>
      </c>
      <c r="K29">
        <f t="shared" si="7"/>
        <v>201.06192982974699</v>
      </c>
    </row>
    <row r="30" spans="1:11" ht="13.5" customHeight="1">
      <c r="A30" s="118"/>
      <c r="B30" s="103" t="s">
        <v>29</v>
      </c>
      <c r="C30" s="103">
        <v>1056</v>
      </c>
      <c r="D30" s="103" t="str">
        <f t="shared" si="8"/>
        <v>4-16mm dia</v>
      </c>
      <c r="E30" s="103" t="str">
        <f t="shared" ref="E30:E47" si="9">IF(I30=20,"4-20mm dia","4-12mm dia")</f>
        <v>4-12mm dia</v>
      </c>
      <c r="F30" s="101">
        <f t="shared" si="4"/>
        <v>1257</v>
      </c>
      <c r="G30" s="102">
        <f t="shared" si="5"/>
        <v>0</v>
      </c>
      <c r="H30">
        <v>16</v>
      </c>
      <c r="I30">
        <v>12</v>
      </c>
      <c r="J30">
        <f t="shared" si="6"/>
        <v>201.06192982974699</v>
      </c>
      <c r="K30">
        <f t="shared" si="7"/>
        <v>113.09733552923301</v>
      </c>
    </row>
    <row r="31" spans="1:11" ht="11.25" customHeight="1">
      <c r="A31" s="119"/>
      <c r="B31" s="106" t="s">
        <v>30</v>
      </c>
      <c r="C31" s="106">
        <v>1009</v>
      </c>
      <c r="D31" s="106" t="str">
        <f t="shared" si="8"/>
        <v>4-16mm dia</v>
      </c>
      <c r="E31" s="103" t="str">
        <f t="shared" si="9"/>
        <v>4-12mm dia</v>
      </c>
      <c r="F31" s="107">
        <f t="shared" si="4"/>
        <v>1257</v>
      </c>
      <c r="G31" s="102">
        <f t="shared" si="5"/>
        <v>0</v>
      </c>
      <c r="H31">
        <v>16</v>
      </c>
      <c r="I31">
        <v>12</v>
      </c>
      <c r="J31">
        <f t="shared" si="6"/>
        <v>201.06192982974699</v>
      </c>
      <c r="K31">
        <f t="shared" si="7"/>
        <v>113.09733552923301</v>
      </c>
    </row>
    <row r="32" spans="1:11" ht="12" customHeight="1">
      <c r="A32" s="117" t="s">
        <v>32</v>
      </c>
      <c r="B32" s="104" t="s">
        <v>24</v>
      </c>
      <c r="C32" s="104">
        <v>846</v>
      </c>
      <c r="D32" s="104" t="str">
        <f t="shared" si="8"/>
        <v>4-16mm dia</v>
      </c>
      <c r="E32" s="103" t="str">
        <f t="shared" si="9"/>
        <v>4-12mm dia</v>
      </c>
      <c r="F32" s="105">
        <f t="shared" si="4"/>
        <v>1257</v>
      </c>
      <c r="G32" s="102">
        <f t="shared" si="5"/>
        <v>0</v>
      </c>
      <c r="H32">
        <v>16</v>
      </c>
      <c r="I32">
        <v>12</v>
      </c>
      <c r="J32">
        <f t="shared" si="6"/>
        <v>201.06192982974699</v>
      </c>
      <c r="K32">
        <f t="shared" si="7"/>
        <v>113.09733552923301</v>
      </c>
    </row>
    <row r="33" spans="1:11" ht="12" customHeight="1">
      <c r="A33" s="118"/>
      <c r="B33" s="103" t="s">
        <v>25</v>
      </c>
      <c r="C33" s="103">
        <v>963</v>
      </c>
      <c r="D33" s="103" t="str">
        <f t="shared" si="8"/>
        <v>4-16mm dia</v>
      </c>
      <c r="E33" s="103" t="str">
        <f t="shared" si="9"/>
        <v>4-12mm dia</v>
      </c>
      <c r="F33" s="101">
        <f t="shared" si="4"/>
        <v>1257</v>
      </c>
      <c r="G33" s="102">
        <f t="shared" si="5"/>
        <v>0</v>
      </c>
      <c r="H33">
        <v>16</v>
      </c>
      <c r="I33">
        <v>12</v>
      </c>
      <c r="J33">
        <f t="shared" si="6"/>
        <v>201.06192982974699</v>
      </c>
      <c r="K33">
        <f t="shared" si="7"/>
        <v>113.09733552923301</v>
      </c>
    </row>
    <row r="34" spans="1:11" ht="12" customHeight="1">
      <c r="A34" s="118"/>
      <c r="B34" s="103" t="s">
        <v>26</v>
      </c>
      <c r="C34" s="103">
        <v>807</v>
      </c>
      <c r="D34" s="103" t="str">
        <f t="shared" si="8"/>
        <v>4-16mm dia</v>
      </c>
      <c r="E34" s="103" t="str">
        <f t="shared" si="9"/>
        <v>4-12mm dia</v>
      </c>
      <c r="F34" s="101">
        <f t="shared" si="4"/>
        <v>1257</v>
      </c>
      <c r="G34" s="102">
        <f t="shared" si="5"/>
        <v>0</v>
      </c>
      <c r="H34">
        <v>16</v>
      </c>
      <c r="I34">
        <v>12</v>
      </c>
      <c r="J34">
        <f t="shared" si="6"/>
        <v>201.06192982974699</v>
      </c>
      <c r="K34">
        <f t="shared" si="7"/>
        <v>113.09733552923301</v>
      </c>
    </row>
    <row r="35" spans="1:11" ht="11.25" customHeight="1">
      <c r="A35" s="118"/>
      <c r="B35" s="103" t="s">
        <v>27</v>
      </c>
      <c r="C35" s="103">
        <v>788</v>
      </c>
      <c r="D35" s="103" t="str">
        <f>IF(H35=20,"4-20mm dia","4-12mm dia")</f>
        <v>4-12mm dia</v>
      </c>
      <c r="E35" s="103" t="str">
        <f t="shared" si="9"/>
        <v>4-12mm dia</v>
      </c>
      <c r="F35" s="101">
        <f t="shared" si="4"/>
        <v>905</v>
      </c>
      <c r="G35" s="102">
        <f t="shared" si="5"/>
        <v>0</v>
      </c>
      <c r="H35">
        <v>12</v>
      </c>
      <c r="I35">
        <v>12</v>
      </c>
      <c r="J35">
        <f t="shared" si="6"/>
        <v>113.09733552923301</v>
      </c>
      <c r="K35">
        <f t="shared" si="7"/>
        <v>113.09733552923301</v>
      </c>
    </row>
    <row r="36" spans="1:11" ht="11.25" customHeight="1">
      <c r="A36" s="118"/>
      <c r="B36" s="103" t="s">
        <v>28</v>
      </c>
      <c r="C36" s="103">
        <v>960</v>
      </c>
      <c r="D36" s="103" t="str">
        <f>IF(H36=20,"4-20mm dia","4-16mm dia")</f>
        <v>4-16mm dia</v>
      </c>
      <c r="E36" s="103" t="str">
        <f t="shared" si="9"/>
        <v>4-12mm dia</v>
      </c>
      <c r="F36" s="101">
        <f t="shared" si="4"/>
        <v>1257</v>
      </c>
      <c r="G36" s="102">
        <f t="shared" si="5"/>
        <v>0</v>
      </c>
      <c r="H36">
        <v>16</v>
      </c>
      <c r="I36">
        <v>12</v>
      </c>
      <c r="J36">
        <f t="shared" si="6"/>
        <v>201.06192982974699</v>
      </c>
      <c r="K36">
        <f t="shared" si="7"/>
        <v>113.09733552923301</v>
      </c>
    </row>
    <row r="37" spans="1:11" ht="12" customHeight="1">
      <c r="A37" s="118"/>
      <c r="B37" s="103" t="s">
        <v>29</v>
      </c>
      <c r="C37" s="103">
        <v>756</v>
      </c>
      <c r="D37" s="103" t="str">
        <f t="shared" ref="D37:D46" si="10">IF(H37=20,"4-20mm dia","4-12mm dia")</f>
        <v>4-12mm dia</v>
      </c>
      <c r="E37" s="103" t="str">
        <f t="shared" si="9"/>
        <v>4-12mm dia</v>
      </c>
      <c r="F37" s="101">
        <f t="shared" si="4"/>
        <v>905</v>
      </c>
      <c r="G37" s="102">
        <f t="shared" si="5"/>
        <v>0</v>
      </c>
      <c r="H37">
        <v>12</v>
      </c>
      <c r="I37">
        <v>12</v>
      </c>
      <c r="J37">
        <f t="shared" si="6"/>
        <v>113.09733552923301</v>
      </c>
      <c r="K37">
        <f t="shared" si="7"/>
        <v>113.09733552923301</v>
      </c>
    </row>
    <row r="38" spans="1:11" ht="12.75" customHeight="1">
      <c r="A38" s="119"/>
      <c r="B38" s="106" t="s">
        <v>30</v>
      </c>
      <c r="C38" s="106">
        <v>744</v>
      </c>
      <c r="D38" s="103" t="str">
        <f t="shared" si="10"/>
        <v>4-12mm dia</v>
      </c>
      <c r="E38" s="103" t="str">
        <f t="shared" si="9"/>
        <v>4-12mm dia</v>
      </c>
      <c r="F38" s="107">
        <f t="shared" si="4"/>
        <v>905</v>
      </c>
      <c r="G38" s="102">
        <f t="shared" si="5"/>
        <v>0</v>
      </c>
      <c r="H38">
        <v>12</v>
      </c>
      <c r="I38">
        <v>12</v>
      </c>
      <c r="J38">
        <f t="shared" si="6"/>
        <v>113.09733552923301</v>
      </c>
      <c r="K38">
        <f t="shared" si="7"/>
        <v>113.09733552923301</v>
      </c>
    </row>
    <row r="39" spans="1:11" ht="13.5" customHeight="1">
      <c r="A39" s="117" t="s">
        <v>33</v>
      </c>
      <c r="B39" s="104" t="s">
        <v>24</v>
      </c>
      <c r="C39" s="104">
        <v>720</v>
      </c>
      <c r="D39" s="103" t="str">
        <f t="shared" si="10"/>
        <v>4-12mm dia</v>
      </c>
      <c r="E39" s="103" t="str">
        <f t="shared" si="9"/>
        <v>4-12mm dia</v>
      </c>
      <c r="F39" s="105">
        <f t="shared" si="4"/>
        <v>905</v>
      </c>
      <c r="G39" s="102">
        <f t="shared" si="5"/>
        <v>0</v>
      </c>
      <c r="H39">
        <v>12</v>
      </c>
      <c r="I39">
        <v>12</v>
      </c>
      <c r="J39">
        <f t="shared" si="6"/>
        <v>113.09733552923301</v>
      </c>
      <c r="K39">
        <f t="shared" si="7"/>
        <v>113.09733552923301</v>
      </c>
    </row>
    <row r="40" spans="1:11" ht="12" customHeight="1">
      <c r="A40" s="118"/>
      <c r="B40" s="103" t="s">
        <v>25</v>
      </c>
      <c r="C40" s="103">
        <v>738</v>
      </c>
      <c r="D40" s="103" t="str">
        <f t="shared" si="10"/>
        <v>4-12mm dia</v>
      </c>
      <c r="E40" s="103" t="str">
        <f t="shared" si="9"/>
        <v>4-12mm dia</v>
      </c>
      <c r="F40" s="101">
        <f t="shared" si="4"/>
        <v>905</v>
      </c>
      <c r="G40" s="102">
        <f t="shared" si="5"/>
        <v>0</v>
      </c>
      <c r="H40">
        <v>12</v>
      </c>
      <c r="I40">
        <v>12</v>
      </c>
      <c r="J40">
        <f t="shared" si="6"/>
        <v>113.09733552923301</v>
      </c>
      <c r="K40">
        <f t="shared" si="7"/>
        <v>113.09733552923301</v>
      </c>
    </row>
    <row r="41" spans="1:11" ht="11.25" customHeight="1">
      <c r="A41" s="118"/>
      <c r="B41" s="103" t="s">
        <v>26</v>
      </c>
      <c r="C41" s="103">
        <v>720</v>
      </c>
      <c r="D41" s="103" t="str">
        <f t="shared" si="10"/>
        <v>4-12mm dia</v>
      </c>
      <c r="E41" s="103" t="str">
        <f t="shared" si="9"/>
        <v>4-12mm dia</v>
      </c>
      <c r="F41" s="101">
        <f t="shared" si="4"/>
        <v>905</v>
      </c>
      <c r="G41" s="102">
        <f t="shared" si="5"/>
        <v>0</v>
      </c>
      <c r="H41">
        <v>12</v>
      </c>
      <c r="I41">
        <v>12</v>
      </c>
      <c r="J41">
        <f t="shared" si="6"/>
        <v>113.09733552923301</v>
      </c>
      <c r="K41">
        <f t="shared" si="7"/>
        <v>113.09733552923301</v>
      </c>
    </row>
    <row r="42" spans="1:11" ht="12" customHeight="1">
      <c r="A42" s="118"/>
      <c r="B42" s="103" t="s">
        <v>27</v>
      </c>
      <c r="C42" s="103">
        <v>720</v>
      </c>
      <c r="D42" s="103" t="str">
        <f t="shared" si="10"/>
        <v>4-12mm dia</v>
      </c>
      <c r="E42" s="103" t="str">
        <f t="shared" si="9"/>
        <v>4-12mm dia</v>
      </c>
      <c r="F42" s="101">
        <f t="shared" si="4"/>
        <v>905</v>
      </c>
      <c r="G42" s="102">
        <f t="shared" si="5"/>
        <v>0</v>
      </c>
      <c r="H42">
        <v>12</v>
      </c>
      <c r="I42">
        <v>12</v>
      </c>
      <c r="J42">
        <f t="shared" si="6"/>
        <v>113.09733552923301</v>
      </c>
      <c r="K42">
        <f t="shared" si="7"/>
        <v>113.09733552923301</v>
      </c>
    </row>
    <row r="43" spans="1:11" ht="13.5" customHeight="1">
      <c r="A43" s="118"/>
      <c r="B43" s="103" t="s">
        <v>28</v>
      </c>
      <c r="C43" s="103">
        <v>738</v>
      </c>
      <c r="D43" s="103" t="str">
        <f t="shared" si="10"/>
        <v>4-12mm dia</v>
      </c>
      <c r="E43" s="103" t="str">
        <f t="shared" si="9"/>
        <v>4-12mm dia</v>
      </c>
      <c r="F43" s="101">
        <f t="shared" si="4"/>
        <v>905</v>
      </c>
      <c r="G43" s="102">
        <f t="shared" si="5"/>
        <v>0</v>
      </c>
      <c r="H43">
        <v>12</v>
      </c>
      <c r="I43">
        <v>12</v>
      </c>
      <c r="J43">
        <f t="shared" si="6"/>
        <v>113.09733552923301</v>
      </c>
      <c r="K43">
        <f t="shared" si="7"/>
        <v>113.09733552923301</v>
      </c>
    </row>
    <row r="44" spans="1:11" ht="12" customHeight="1">
      <c r="A44" s="118"/>
      <c r="B44" s="103" t="s">
        <v>29</v>
      </c>
      <c r="C44" s="103">
        <v>720</v>
      </c>
      <c r="D44" s="103" t="str">
        <f t="shared" si="10"/>
        <v>4-12mm dia</v>
      </c>
      <c r="E44" s="103" t="str">
        <f t="shared" si="9"/>
        <v>4-12mm dia</v>
      </c>
      <c r="F44" s="101">
        <f t="shared" si="4"/>
        <v>905</v>
      </c>
      <c r="G44" s="102">
        <f t="shared" si="5"/>
        <v>0</v>
      </c>
      <c r="H44">
        <v>12</v>
      </c>
      <c r="I44">
        <v>12</v>
      </c>
      <c r="J44">
        <f t="shared" si="6"/>
        <v>113.09733552923301</v>
      </c>
      <c r="K44">
        <f t="shared" si="7"/>
        <v>113.09733552923301</v>
      </c>
    </row>
    <row r="45" spans="1:11" ht="12" customHeight="1">
      <c r="A45" s="119"/>
      <c r="B45" s="106" t="s">
        <v>30</v>
      </c>
      <c r="C45" s="106">
        <v>720</v>
      </c>
      <c r="D45" s="103" t="str">
        <f t="shared" si="10"/>
        <v>4-12mm dia</v>
      </c>
      <c r="E45" s="106" t="str">
        <f t="shared" si="9"/>
        <v>4-12mm dia</v>
      </c>
      <c r="F45" s="107">
        <f t="shared" si="4"/>
        <v>905</v>
      </c>
      <c r="G45" s="102"/>
      <c r="H45">
        <v>12</v>
      </c>
      <c r="I45">
        <v>12</v>
      </c>
      <c r="J45">
        <f t="shared" si="6"/>
        <v>113.09733552923301</v>
      </c>
      <c r="K45">
        <f t="shared" si="7"/>
        <v>113.09733552923301</v>
      </c>
    </row>
    <row r="46" spans="1:11" ht="13.5" customHeight="1">
      <c r="A46" s="117" t="s">
        <v>34</v>
      </c>
      <c r="B46" s="104" t="s">
        <v>27</v>
      </c>
      <c r="C46" s="108">
        <v>720</v>
      </c>
      <c r="D46" s="108" t="str">
        <f t="shared" si="10"/>
        <v>4-12mm dia</v>
      </c>
      <c r="E46" s="108" t="str">
        <f t="shared" si="9"/>
        <v>4-12mm dia</v>
      </c>
      <c r="F46" s="109">
        <f t="shared" si="4"/>
        <v>905</v>
      </c>
      <c r="G46" s="102">
        <f t="shared" si="5"/>
        <v>0</v>
      </c>
      <c r="H46">
        <v>12</v>
      </c>
      <c r="I46">
        <v>12</v>
      </c>
      <c r="J46">
        <f t="shared" si="6"/>
        <v>113.09733552923301</v>
      </c>
      <c r="K46">
        <f t="shared" si="7"/>
        <v>113.09733552923301</v>
      </c>
    </row>
    <row r="47" spans="1:11" ht="12" customHeight="1">
      <c r="A47" s="118"/>
      <c r="B47" s="103" t="s">
        <v>28</v>
      </c>
      <c r="C47" s="103">
        <v>720</v>
      </c>
      <c r="D47" s="103" t="str">
        <f t="shared" ref="D47" si="11">IF(H47=20,"4-20mm dia","4-12mm dia")</f>
        <v>4-12mm dia</v>
      </c>
      <c r="E47" s="103" t="str">
        <f t="shared" si="9"/>
        <v>4-12mm dia</v>
      </c>
      <c r="F47" s="101">
        <f t="shared" si="4"/>
        <v>905</v>
      </c>
      <c r="G47" s="102">
        <f t="shared" si="5"/>
        <v>0</v>
      </c>
      <c r="H47">
        <v>12</v>
      </c>
      <c r="I47">
        <v>12</v>
      </c>
      <c r="J47">
        <f t="shared" si="6"/>
        <v>113.09733552923301</v>
      </c>
      <c r="K47">
        <f t="shared" si="7"/>
        <v>113.09733552923301</v>
      </c>
    </row>
    <row r="48" spans="1:11">
      <c r="A48" s="118"/>
      <c r="B48" s="103" t="s">
        <v>29</v>
      </c>
      <c r="C48" s="103">
        <v>720</v>
      </c>
      <c r="D48" s="103" t="str">
        <f t="shared" ref="D48:D49" si="12">IF(H48=20,"4-20mm dia","4-12mm dia")</f>
        <v>4-12mm dia</v>
      </c>
      <c r="E48" s="103" t="str">
        <f t="shared" ref="E48:E49" si="13">IF(I48=20,"4-20mm dia","4-12mm dia")</f>
        <v>4-12mm dia</v>
      </c>
      <c r="F48" s="101">
        <f t="shared" ref="F48:F49" si="14">ROUND(4*(J48+K48),0)</f>
        <v>905</v>
      </c>
      <c r="G48" s="102">
        <f t="shared" ref="G48:G49" si="15">IF(F48&lt;C48,1,0)</f>
        <v>0</v>
      </c>
      <c r="H48">
        <v>12</v>
      </c>
      <c r="I48">
        <v>12</v>
      </c>
      <c r="J48">
        <f t="shared" ref="J48:J49" si="16">PI()*H48^2/4</f>
        <v>113.09733552923301</v>
      </c>
      <c r="K48">
        <f t="shared" ref="K48:K49" si="17">PI()*I48^2/4</f>
        <v>113.09733552923301</v>
      </c>
    </row>
    <row r="49" spans="1:11">
      <c r="A49" s="120"/>
      <c r="B49" s="103" t="s">
        <v>30</v>
      </c>
      <c r="C49" s="103">
        <v>720</v>
      </c>
      <c r="D49" s="103" t="str">
        <f t="shared" si="12"/>
        <v>4-12mm dia</v>
      </c>
      <c r="E49" s="103" t="str">
        <f t="shared" si="13"/>
        <v>4-12mm dia</v>
      </c>
      <c r="F49" s="101">
        <f t="shared" si="14"/>
        <v>905</v>
      </c>
      <c r="G49" s="102">
        <f t="shared" si="15"/>
        <v>0</v>
      </c>
      <c r="H49">
        <v>12</v>
      </c>
      <c r="I49">
        <v>12</v>
      </c>
      <c r="J49">
        <f t="shared" si="16"/>
        <v>113.09733552923301</v>
      </c>
      <c r="K49">
        <f t="shared" si="17"/>
        <v>113.09733552923301</v>
      </c>
    </row>
    <row r="50" spans="1:11">
      <c r="D50" t="s">
        <v>35</v>
      </c>
    </row>
    <row r="52" spans="1:11">
      <c r="A52" t="s">
        <v>36</v>
      </c>
    </row>
    <row r="54" spans="1:11">
      <c r="A54">
        <v>1</v>
      </c>
      <c r="B54" t="s">
        <v>37</v>
      </c>
    </row>
  </sheetData>
  <mergeCells count="10">
    <mergeCell ref="A32:A38"/>
    <mergeCell ref="A39:A45"/>
    <mergeCell ref="A46:A49"/>
    <mergeCell ref="B15:B17"/>
    <mergeCell ref="C15:C17"/>
    <mergeCell ref="D15:F15"/>
    <mergeCell ref="D16:E16"/>
    <mergeCell ref="A15:A17"/>
    <mergeCell ref="A18:A24"/>
    <mergeCell ref="A25:A3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AA57"/>
  <sheetViews>
    <sheetView topLeftCell="A43" zoomScale="70" zoomScaleNormal="70" workbookViewId="0">
      <selection activeCell="H19" sqref="H19"/>
    </sheetView>
  </sheetViews>
  <sheetFormatPr defaultColWidth="9.140625" defaultRowHeight="15"/>
  <cols>
    <col min="1" max="1" width="11" style="71" customWidth="1"/>
    <col min="2" max="2" width="9.140625" style="71"/>
    <col min="3" max="3" width="13.7109375" style="71" customWidth="1"/>
    <col min="4" max="4" width="13" style="72" customWidth="1"/>
    <col min="5" max="5" width="15" style="71" customWidth="1"/>
    <col min="6" max="6" width="11" style="71" customWidth="1"/>
    <col min="7" max="7" width="14" style="71" customWidth="1"/>
    <col min="8" max="8" width="9.140625" style="71" customWidth="1"/>
    <col min="9" max="9" width="15.85546875" style="71" customWidth="1"/>
    <col min="10" max="10" width="9.140625" style="71" customWidth="1"/>
    <col min="11" max="11" width="4.42578125" style="71" customWidth="1"/>
    <col min="12" max="12" width="7.140625" style="71" customWidth="1"/>
    <col min="13" max="13" width="6.85546875" style="71" customWidth="1"/>
    <col min="14" max="14" width="8.7109375" style="71" customWidth="1"/>
    <col min="15" max="15" width="8.5703125" style="71" customWidth="1"/>
    <col min="16" max="16" width="8.140625" style="71" customWidth="1"/>
    <col min="17" max="17" width="7.140625" style="71" customWidth="1"/>
    <col min="18" max="18" width="8.28515625" style="71" customWidth="1"/>
    <col min="19" max="19" width="11.28515625" style="71" customWidth="1"/>
    <col min="20" max="20" width="7.7109375" style="71" customWidth="1"/>
    <col min="21" max="21" width="9.28515625" style="71" customWidth="1"/>
    <col min="22" max="24" width="9.140625" style="71"/>
    <col min="25" max="25" width="7.85546875" style="71" customWidth="1"/>
    <col min="26" max="26" width="2.28515625" style="71" hidden="1" customWidth="1"/>
    <col min="27" max="27" width="7.42578125" style="71" hidden="1" customWidth="1"/>
    <col min="28" max="28" width="9.140625" style="71" customWidth="1"/>
    <col min="29" max="16384" width="9.140625" style="71"/>
  </cols>
  <sheetData>
    <row r="1" spans="1:13">
      <c r="A1" s="73" t="s">
        <v>38</v>
      </c>
    </row>
    <row r="3" spans="1:13">
      <c r="A3" s="71" t="s">
        <v>39</v>
      </c>
    </row>
    <row r="4" spans="1:13">
      <c r="B4" s="71">
        <f>230*350</f>
        <v>80500</v>
      </c>
      <c r="C4" s="71" t="s">
        <v>40</v>
      </c>
      <c r="K4" s="71" t="s">
        <v>1</v>
      </c>
      <c r="L4" s="71" t="s">
        <v>2</v>
      </c>
    </row>
    <row r="5" spans="1:13">
      <c r="K5" s="71">
        <v>6</v>
      </c>
      <c r="L5" s="90">
        <f>PI()*K5^2/4</f>
        <v>28.274333882308099</v>
      </c>
    </row>
    <row r="6" spans="1:13">
      <c r="A6" s="71" t="s">
        <v>41</v>
      </c>
      <c r="K6" s="71">
        <v>8</v>
      </c>
      <c r="L6" s="90">
        <f t="shared" ref="L6:L13" si="0">PI()*K6^2/4</f>
        <v>50.265482457436697</v>
      </c>
    </row>
    <row r="7" spans="1:13">
      <c r="A7" s="71" t="s">
        <v>42</v>
      </c>
      <c r="K7" s="71">
        <v>10</v>
      </c>
      <c r="L7" s="90">
        <f t="shared" si="0"/>
        <v>78.539816339744803</v>
      </c>
    </row>
    <row r="8" spans="1:13">
      <c r="A8" s="71" t="s">
        <v>43</v>
      </c>
      <c r="F8" s="71">
        <f>300-30-16/2</f>
        <v>262</v>
      </c>
      <c r="G8" s="71" t="s">
        <v>44</v>
      </c>
      <c r="K8" s="71">
        <v>12</v>
      </c>
      <c r="L8" s="90">
        <f t="shared" si="0"/>
        <v>113.09733552923301</v>
      </c>
      <c r="M8" s="71">
        <f>L8*4</f>
        <v>452.38934211692998</v>
      </c>
    </row>
    <row r="9" spans="1:13">
      <c r="K9" s="71">
        <v>16</v>
      </c>
      <c r="L9" s="90">
        <f t="shared" si="0"/>
        <v>201.06192982974699</v>
      </c>
      <c r="M9" s="71">
        <f t="shared" ref="M9:M13" si="1">L9*4</f>
        <v>804.24771931898704</v>
      </c>
    </row>
    <row r="10" spans="1:13">
      <c r="B10" s="71" t="s">
        <v>8</v>
      </c>
      <c r="C10" s="71" t="s">
        <v>45</v>
      </c>
      <c r="E10" s="71" t="s">
        <v>46</v>
      </c>
      <c r="K10" s="71">
        <v>20</v>
      </c>
      <c r="L10" s="90">
        <f t="shared" si="0"/>
        <v>314.15926535897898</v>
      </c>
      <c r="M10" s="71">
        <f t="shared" si="1"/>
        <v>1256.63706143592</v>
      </c>
    </row>
    <row r="11" spans="1:13">
      <c r="C11" s="71">
        <f>0.85*230*F8/415</f>
        <v>123.424096385542</v>
      </c>
      <c r="K11" s="71">
        <v>22</v>
      </c>
      <c r="L11" s="90">
        <f t="shared" si="0"/>
        <v>380.13271108436498</v>
      </c>
      <c r="M11" s="71">
        <f t="shared" si="1"/>
        <v>1520.5308443374599</v>
      </c>
    </row>
    <row r="12" spans="1:13">
      <c r="C12" s="71">
        <f>ROUND(C11,0)</f>
        <v>123</v>
      </c>
      <c r="D12" s="72" t="s">
        <v>40</v>
      </c>
      <c r="K12" s="71">
        <v>24</v>
      </c>
      <c r="L12" s="90">
        <f t="shared" si="0"/>
        <v>452.38934211692998</v>
      </c>
      <c r="M12" s="71">
        <f t="shared" si="1"/>
        <v>1809.5573684677199</v>
      </c>
    </row>
    <row r="13" spans="1:13">
      <c r="K13" s="71">
        <v>25</v>
      </c>
      <c r="L13" s="90">
        <f t="shared" si="0"/>
        <v>490.87385212340502</v>
      </c>
      <c r="M13" s="71">
        <f t="shared" si="1"/>
        <v>1963.4954084936201</v>
      </c>
    </row>
    <row r="15" spans="1:13">
      <c r="A15" s="71" t="s">
        <v>47</v>
      </c>
    </row>
    <row r="16" spans="1:13">
      <c r="B16" s="71" t="s">
        <v>12</v>
      </c>
      <c r="C16" s="71" t="s">
        <v>48</v>
      </c>
      <c r="E16" s="71" t="s">
        <v>46</v>
      </c>
    </row>
    <row r="17" spans="1:6">
      <c r="C17" s="71">
        <f>B4*4%</f>
        <v>3220</v>
      </c>
      <c r="D17" s="72" t="s">
        <v>49</v>
      </c>
    </row>
    <row r="19" spans="1:6">
      <c r="A19" s="71" t="s">
        <v>50</v>
      </c>
    </row>
    <row r="21" spans="1:6">
      <c r="C21" s="71" t="s">
        <v>51</v>
      </c>
      <c r="E21" s="71" t="s">
        <v>52</v>
      </c>
    </row>
    <row r="22" spans="1:6" ht="48" customHeight="1">
      <c r="A22" s="74" t="s">
        <v>14</v>
      </c>
      <c r="B22" s="75" t="s">
        <v>53</v>
      </c>
      <c r="C22" s="76" t="s">
        <v>54</v>
      </c>
      <c r="D22" s="77" t="s">
        <v>55</v>
      </c>
      <c r="E22" s="76" t="s">
        <v>54</v>
      </c>
      <c r="F22" s="77" t="s">
        <v>55</v>
      </c>
    </row>
    <row r="23" spans="1:6">
      <c r="A23" s="78" t="s">
        <v>56</v>
      </c>
      <c r="B23" s="79" t="s">
        <v>57</v>
      </c>
      <c r="C23" s="79">
        <v>609</v>
      </c>
      <c r="D23" s="80">
        <v>418</v>
      </c>
      <c r="E23" s="79">
        <v>581</v>
      </c>
      <c r="F23" s="80">
        <v>301</v>
      </c>
    </row>
    <row r="24" spans="1:6">
      <c r="A24" s="81"/>
      <c r="B24" s="82" t="s">
        <v>58</v>
      </c>
      <c r="C24" s="82">
        <v>579</v>
      </c>
      <c r="D24" s="83">
        <v>256</v>
      </c>
      <c r="E24" s="82">
        <v>623</v>
      </c>
      <c r="F24" s="83">
        <v>298</v>
      </c>
    </row>
    <row r="25" spans="1:6">
      <c r="A25" s="81" t="s">
        <v>59</v>
      </c>
      <c r="B25" s="82" t="s">
        <v>57</v>
      </c>
      <c r="C25" s="82">
        <v>569</v>
      </c>
      <c r="D25" s="83">
        <v>402</v>
      </c>
      <c r="E25" s="82">
        <v>575</v>
      </c>
      <c r="F25" s="83">
        <v>409</v>
      </c>
    </row>
    <row r="26" spans="1:6">
      <c r="A26" s="81"/>
      <c r="B26" s="82" t="s">
        <v>58</v>
      </c>
      <c r="C26" s="82">
        <v>538</v>
      </c>
      <c r="D26" s="83">
        <v>249</v>
      </c>
      <c r="E26" s="82">
        <v>602</v>
      </c>
      <c r="F26" s="83">
        <v>348</v>
      </c>
    </row>
    <row r="27" spans="1:6">
      <c r="A27" s="81" t="s">
        <v>60</v>
      </c>
      <c r="B27" s="82" t="s">
        <v>57</v>
      </c>
      <c r="C27" s="82">
        <v>261</v>
      </c>
      <c r="D27" s="83">
        <v>286</v>
      </c>
      <c r="E27" s="82">
        <v>580</v>
      </c>
      <c r="F27" s="83">
        <v>305</v>
      </c>
    </row>
    <row r="28" spans="1:6">
      <c r="A28" s="81"/>
      <c r="B28" s="82" t="s">
        <v>58</v>
      </c>
      <c r="C28" s="82">
        <v>402</v>
      </c>
      <c r="D28" s="83">
        <v>190</v>
      </c>
      <c r="E28" s="82">
        <v>449</v>
      </c>
      <c r="F28" s="83">
        <v>294</v>
      </c>
    </row>
    <row r="29" spans="1:6">
      <c r="A29" s="81" t="s">
        <v>61</v>
      </c>
      <c r="B29" s="82" t="s">
        <v>57</v>
      </c>
      <c r="C29" s="82">
        <v>189</v>
      </c>
      <c r="D29" s="83">
        <v>189</v>
      </c>
      <c r="E29" s="82">
        <v>435</v>
      </c>
      <c r="F29" s="83">
        <v>189</v>
      </c>
    </row>
    <row r="30" spans="1:6">
      <c r="A30" s="81"/>
      <c r="B30" s="82" t="s">
        <v>58</v>
      </c>
      <c r="C30" s="82">
        <v>228</v>
      </c>
      <c r="D30" s="83">
        <v>189</v>
      </c>
      <c r="E30" s="82">
        <v>238</v>
      </c>
      <c r="F30" s="83">
        <v>238</v>
      </c>
    </row>
    <row r="31" spans="1:6">
      <c r="A31" s="81" t="s">
        <v>62</v>
      </c>
      <c r="B31" s="82" t="s">
        <v>57</v>
      </c>
      <c r="C31" s="82">
        <v>189</v>
      </c>
      <c r="D31" s="83">
        <v>189</v>
      </c>
      <c r="E31" s="82">
        <v>189</v>
      </c>
      <c r="F31" s="83">
        <v>189</v>
      </c>
    </row>
    <row r="32" spans="1:6">
      <c r="A32" s="84"/>
      <c r="B32" s="82" t="s">
        <v>58</v>
      </c>
      <c r="C32" s="85">
        <v>189</v>
      </c>
      <c r="D32" s="86">
        <v>189</v>
      </c>
      <c r="E32" s="85">
        <v>189</v>
      </c>
      <c r="F32" s="86">
        <v>189</v>
      </c>
    </row>
    <row r="33" spans="1:21">
      <c r="L33" s="91" t="s">
        <v>63</v>
      </c>
      <c r="M33" s="92"/>
      <c r="N33" s="93"/>
      <c r="O33" s="91" t="s">
        <v>64</v>
      </c>
      <c r="P33" s="92"/>
      <c r="Q33" s="93"/>
      <c r="R33" s="91" t="s">
        <v>65</v>
      </c>
      <c r="S33" s="93"/>
      <c r="T33" s="91" t="s">
        <v>66</v>
      </c>
      <c r="U33" s="93"/>
    </row>
    <row r="34" spans="1:21" ht="30" customHeight="1">
      <c r="A34" s="71" t="s">
        <v>67</v>
      </c>
      <c r="L34" s="94" t="s">
        <v>68</v>
      </c>
      <c r="M34" s="95" t="s">
        <v>69</v>
      </c>
      <c r="N34" s="96" t="s">
        <v>70</v>
      </c>
      <c r="O34" s="94" t="s">
        <v>68</v>
      </c>
      <c r="P34" s="95" t="s">
        <v>69</v>
      </c>
      <c r="Q34" s="96" t="s">
        <v>70</v>
      </c>
      <c r="R34" s="94" t="s">
        <v>68</v>
      </c>
      <c r="S34" s="96" t="s">
        <v>69</v>
      </c>
      <c r="T34" s="94" t="s">
        <v>68</v>
      </c>
      <c r="U34" s="96" t="s">
        <v>69</v>
      </c>
    </row>
    <row r="35" spans="1:21">
      <c r="L35" s="94"/>
      <c r="M35" s="95"/>
      <c r="N35" s="96"/>
      <c r="O35" s="94"/>
      <c r="P35" s="95"/>
      <c r="Q35" s="96"/>
      <c r="R35" s="94"/>
      <c r="S35" s="96"/>
      <c r="T35" s="94"/>
      <c r="U35" s="96"/>
    </row>
    <row r="36" spans="1:21">
      <c r="C36" s="125" t="s">
        <v>51</v>
      </c>
      <c r="D36" s="125"/>
      <c r="E36" s="125"/>
      <c r="F36" s="125"/>
      <c r="G36" s="125" t="s">
        <v>71</v>
      </c>
      <c r="H36" s="125"/>
      <c r="I36" s="125"/>
      <c r="J36" s="125"/>
      <c r="K36" s="90"/>
      <c r="L36" s="94"/>
      <c r="M36" s="95"/>
      <c r="N36" s="96"/>
      <c r="O36" s="94"/>
      <c r="P36" s="95"/>
      <c r="Q36" s="96"/>
      <c r="R36" s="94"/>
      <c r="S36" s="96"/>
      <c r="T36" s="94"/>
      <c r="U36" s="96"/>
    </row>
    <row r="37" spans="1:21">
      <c r="A37" s="87" t="s">
        <v>14</v>
      </c>
      <c r="B37" s="87" t="s">
        <v>53</v>
      </c>
      <c r="C37" s="126" t="s">
        <v>72</v>
      </c>
      <c r="D37" s="126"/>
      <c r="E37" s="126" t="s">
        <v>73</v>
      </c>
      <c r="F37" s="126"/>
      <c r="G37" s="126" t="s">
        <v>72</v>
      </c>
      <c r="H37" s="126"/>
      <c r="I37" s="126" t="s">
        <v>73</v>
      </c>
      <c r="J37" s="126"/>
      <c r="K37" s="90"/>
      <c r="L37" s="94"/>
      <c r="M37" s="95"/>
      <c r="N37" s="96"/>
      <c r="O37" s="94"/>
      <c r="P37" s="95"/>
      <c r="Q37" s="96"/>
      <c r="R37" s="94"/>
      <c r="S37" s="96"/>
      <c r="T37" s="94"/>
      <c r="U37" s="96"/>
    </row>
    <row r="38" spans="1:21">
      <c r="A38" s="87"/>
      <c r="B38" s="87"/>
      <c r="C38" s="87" t="s">
        <v>74</v>
      </c>
      <c r="D38" s="88" t="s">
        <v>2</v>
      </c>
      <c r="E38" s="87" t="s">
        <v>74</v>
      </c>
      <c r="F38" s="87" t="s">
        <v>2</v>
      </c>
      <c r="G38" s="87" t="s">
        <v>74</v>
      </c>
      <c r="H38" s="88" t="s">
        <v>2</v>
      </c>
      <c r="I38" s="87" t="s">
        <v>74</v>
      </c>
      <c r="J38" s="87" t="s">
        <v>2</v>
      </c>
      <c r="L38" s="94"/>
      <c r="M38" s="95"/>
      <c r="N38" s="96"/>
      <c r="O38" s="94"/>
      <c r="P38" s="95"/>
      <c r="Q38" s="96"/>
      <c r="R38" s="94"/>
      <c r="S38" s="96"/>
      <c r="T38" s="94"/>
      <c r="U38" s="96"/>
    </row>
    <row r="39" spans="1:21" ht="30">
      <c r="A39" s="127" t="s">
        <v>75</v>
      </c>
      <c r="B39" s="87" t="s">
        <v>57</v>
      </c>
      <c r="C39" s="89" t="s">
        <v>76</v>
      </c>
      <c r="D39" s="88">
        <f>ROUND(2*PI()*16^2/4+PI()*12^2/4,0)</f>
        <v>515</v>
      </c>
      <c r="E39" s="89" t="s">
        <v>76</v>
      </c>
      <c r="F39" s="88">
        <f>ROUND(2*PI()*16^2/4+PI()*12^2/4,0)</f>
        <v>515</v>
      </c>
      <c r="G39" s="89" t="s">
        <v>76</v>
      </c>
      <c r="H39" s="88">
        <f>ROUND(2*PI()*16^2/4+PI()*12^2/4,0)</f>
        <v>515</v>
      </c>
      <c r="I39" s="89" t="s">
        <v>76</v>
      </c>
      <c r="J39" s="88">
        <f>ROUND(2*PI()*16^2/4+PI()*12^2/4,0)</f>
        <v>515</v>
      </c>
      <c r="L39" s="94"/>
      <c r="M39" s="95"/>
      <c r="N39" s="96"/>
      <c r="O39" s="94"/>
      <c r="P39" s="95"/>
      <c r="Q39" s="96"/>
      <c r="R39" s="94"/>
      <c r="S39" s="96"/>
      <c r="T39" s="94"/>
      <c r="U39" s="96"/>
    </row>
    <row r="40" spans="1:21" ht="30">
      <c r="A40" s="127"/>
      <c r="B40" s="87" t="s">
        <v>58</v>
      </c>
      <c r="C40" s="89" t="s">
        <v>76</v>
      </c>
      <c r="D40" s="88">
        <f t="shared" ref="D40:J42" si="2">ROUND(2*PI()*16^2/4+PI()*12^2/4,0)</f>
        <v>515</v>
      </c>
      <c r="E40" s="89" t="s">
        <v>76</v>
      </c>
      <c r="F40" s="88">
        <f t="shared" si="2"/>
        <v>515</v>
      </c>
      <c r="G40" s="89" t="s">
        <v>76</v>
      </c>
      <c r="H40" s="88">
        <f t="shared" si="2"/>
        <v>515</v>
      </c>
      <c r="I40" s="89" t="s">
        <v>76</v>
      </c>
      <c r="J40" s="88">
        <f t="shared" si="2"/>
        <v>515</v>
      </c>
      <c r="L40" s="94"/>
      <c r="M40" s="95"/>
      <c r="N40" s="96"/>
      <c r="O40" s="94"/>
      <c r="P40" s="95"/>
      <c r="Q40" s="96"/>
      <c r="R40" s="94"/>
      <c r="S40" s="96"/>
      <c r="T40" s="94"/>
      <c r="U40" s="96"/>
    </row>
    <row r="41" spans="1:21" ht="30">
      <c r="A41" s="127" t="s">
        <v>77</v>
      </c>
      <c r="B41" s="87" t="s">
        <v>57</v>
      </c>
      <c r="C41" s="89" t="s">
        <v>76</v>
      </c>
      <c r="D41" s="88">
        <f t="shared" si="2"/>
        <v>515</v>
      </c>
      <c r="E41" s="89" t="s">
        <v>76</v>
      </c>
      <c r="F41" s="88">
        <f t="shared" si="2"/>
        <v>515</v>
      </c>
      <c r="G41" s="89" t="s">
        <v>76</v>
      </c>
      <c r="H41" s="88">
        <f t="shared" si="2"/>
        <v>515</v>
      </c>
      <c r="I41" s="89" t="s">
        <v>76</v>
      </c>
      <c r="J41" s="88">
        <f t="shared" si="2"/>
        <v>515</v>
      </c>
      <c r="L41" s="94"/>
      <c r="M41" s="95"/>
      <c r="N41" s="96"/>
      <c r="O41" s="94"/>
      <c r="P41" s="95"/>
      <c r="Q41" s="96"/>
      <c r="R41" s="94"/>
      <c r="S41" s="96"/>
      <c r="T41" s="94"/>
      <c r="U41" s="96"/>
    </row>
    <row r="42" spans="1:21" ht="57.75" customHeight="1">
      <c r="A42" s="127"/>
      <c r="B42" s="87" t="s">
        <v>58</v>
      </c>
      <c r="C42" s="89" t="s">
        <v>76</v>
      </c>
      <c r="D42" s="88">
        <f t="shared" si="2"/>
        <v>515</v>
      </c>
      <c r="E42" s="89" t="s">
        <v>76</v>
      </c>
      <c r="F42" s="88">
        <f t="shared" si="2"/>
        <v>515</v>
      </c>
      <c r="G42" s="89" t="s">
        <v>76</v>
      </c>
      <c r="H42" s="88">
        <f t="shared" si="2"/>
        <v>515</v>
      </c>
      <c r="I42" s="89" t="s">
        <v>76</v>
      </c>
      <c r="J42" s="88">
        <f t="shared" si="2"/>
        <v>515</v>
      </c>
      <c r="L42" s="94"/>
      <c r="M42" s="95"/>
      <c r="N42" s="96"/>
      <c r="O42" s="94"/>
      <c r="P42" s="95"/>
      <c r="Q42" s="96"/>
      <c r="R42" s="94"/>
      <c r="S42" s="96"/>
      <c r="T42" s="94"/>
      <c r="U42" s="96"/>
    </row>
    <row r="43" spans="1:21" ht="48" customHeight="1">
      <c r="A43" s="126" t="s">
        <v>78</v>
      </c>
      <c r="B43" s="87" t="s">
        <v>57</v>
      </c>
      <c r="C43" s="89" t="s">
        <v>79</v>
      </c>
      <c r="D43" s="89">
        <f>ROUND(PI()*L43*16^2/4+PI()*12^2/4*M43+PI()*20^2/4*N43,0)</f>
        <v>804</v>
      </c>
      <c r="E43" s="89" t="s">
        <v>76</v>
      </c>
      <c r="F43" s="89">
        <f>ROUND(PI()*O43*16^2/4+PI()*12^2/4*P43+PI()*20^2/4*Q43,0)</f>
        <v>515</v>
      </c>
      <c r="G43" s="89" t="s">
        <v>79</v>
      </c>
      <c r="H43" s="89">
        <f>ROUND(PI()*R43*16^2/4+PI()*12^2/4*S43,0)</f>
        <v>716</v>
      </c>
      <c r="I43" s="89" t="s">
        <v>76</v>
      </c>
      <c r="J43" s="89">
        <f>ROUND(PI()*T43*16^2/4+PI()*12^2/4*U43,0)</f>
        <v>515</v>
      </c>
      <c r="L43" s="94">
        <v>4</v>
      </c>
      <c r="M43" s="95"/>
      <c r="N43" s="96"/>
      <c r="O43" s="94">
        <v>2</v>
      </c>
      <c r="P43" s="95">
        <v>1</v>
      </c>
      <c r="Q43" s="96"/>
      <c r="R43" s="94">
        <v>3</v>
      </c>
      <c r="S43" s="96">
        <v>1</v>
      </c>
      <c r="T43" s="94">
        <v>2</v>
      </c>
      <c r="U43" s="96">
        <v>1</v>
      </c>
    </row>
    <row r="44" spans="1:21" ht="38.25" customHeight="1">
      <c r="A44" s="126"/>
      <c r="B44" s="87" t="s">
        <v>58</v>
      </c>
      <c r="C44" s="89" t="s">
        <v>80</v>
      </c>
      <c r="D44" s="89">
        <f t="shared" ref="D44:D52" si="3">ROUND(PI()*L44*16^2/4+PI()*12^2/4*M44+PI()*20^2/4*N44,0)</f>
        <v>603</v>
      </c>
      <c r="E44" s="89" t="s">
        <v>80</v>
      </c>
      <c r="F44" s="89">
        <f t="shared" ref="F44:F52" si="4">ROUND(PI()*O44*16^2/4+PI()*12^2/4*P44+PI()*20^2/4*Q44,0)</f>
        <v>603</v>
      </c>
      <c r="G44" s="89" t="s">
        <v>80</v>
      </c>
      <c r="H44" s="89">
        <f>ROUND(PI()*R44*16^2/4+PI()*12^2/4*S44,0)</f>
        <v>603</v>
      </c>
      <c r="I44" s="89" t="s">
        <v>80</v>
      </c>
      <c r="J44" s="89">
        <f t="shared" ref="J44:J52" si="5">ROUND(PI()*T44*16^2/4+PI()*12^2/4*U44,0)</f>
        <v>603</v>
      </c>
      <c r="L44" s="94">
        <v>3</v>
      </c>
      <c r="M44" s="95"/>
      <c r="N44" s="96"/>
      <c r="O44" s="94">
        <v>3</v>
      </c>
      <c r="P44" s="95"/>
      <c r="Q44" s="96"/>
      <c r="R44" s="94">
        <v>3</v>
      </c>
      <c r="S44" s="96"/>
      <c r="T44" s="94">
        <v>3</v>
      </c>
      <c r="U44" s="96"/>
    </row>
    <row r="45" spans="1:21" ht="42.75" customHeight="1">
      <c r="A45" s="126" t="s">
        <v>81</v>
      </c>
      <c r="B45" s="87" t="s">
        <v>57</v>
      </c>
      <c r="C45" s="89" t="s">
        <v>82</v>
      </c>
      <c r="D45" s="89">
        <f t="shared" si="3"/>
        <v>603</v>
      </c>
      <c r="E45" s="89" t="s">
        <v>83</v>
      </c>
      <c r="F45" s="89">
        <f t="shared" si="4"/>
        <v>402</v>
      </c>
      <c r="G45" s="89" t="s">
        <v>82</v>
      </c>
      <c r="H45" s="89">
        <f t="shared" ref="H45:H52" si="6">ROUND(PI()*R45*16^2/4+PI()*12^2/4*S45,0)</f>
        <v>603</v>
      </c>
      <c r="I45" s="89" t="s">
        <v>83</v>
      </c>
      <c r="J45" s="89">
        <f t="shared" si="5"/>
        <v>402</v>
      </c>
      <c r="L45" s="94">
        <v>3</v>
      </c>
      <c r="M45" s="95"/>
      <c r="N45" s="96"/>
      <c r="O45" s="94">
        <v>2</v>
      </c>
      <c r="P45" s="95"/>
      <c r="Q45" s="96"/>
      <c r="R45" s="94">
        <v>3</v>
      </c>
      <c r="S45" s="96"/>
      <c r="T45" s="94">
        <v>2</v>
      </c>
      <c r="U45" s="96"/>
    </row>
    <row r="46" spans="1:21" ht="46.5" customHeight="1">
      <c r="A46" s="126"/>
      <c r="B46" s="87" t="s">
        <v>58</v>
      </c>
      <c r="C46" s="89" t="s">
        <v>80</v>
      </c>
      <c r="D46" s="89">
        <f t="shared" si="3"/>
        <v>603</v>
      </c>
      <c r="E46" s="89" t="s">
        <v>80</v>
      </c>
      <c r="F46" s="89">
        <f t="shared" si="4"/>
        <v>603</v>
      </c>
      <c r="G46" s="89" t="s">
        <v>80</v>
      </c>
      <c r="H46" s="89">
        <f t="shared" si="6"/>
        <v>603</v>
      </c>
      <c r="I46" s="89" t="s">
        <v>80</v>
      </c>
      <c r="J46" s="89">
        <f t="shared" si="5"/>
        <v>603</v>
      </c>
      <c r="L46" s="94">
        <v>3</v>
      </c>
      <c r="M46" s="95"/>
      <c r="N46" s="96"/>
      <c r="O46" s="94">
        <v>3</v>
      </c>
      <c r="P46" s="95"/>
      <c r="Q46" s="96"/>
      <c r="R46" s="94">
        <v>3</v>
      </c>
      <c r="S46" s="96"/>
      <c r="T46" s="94">
        <v>3</v>
      </c>
      <c r="U46" s="96"/>
    </row>
    <row r="47" spans="1:21" ht="30">
      <c r="A47" s="126" t="s">
        <v>84</v>
      </c>
      <c r="B47" s="87" t="s">
        <v>57</v>
      </c>
      <c r="C47" s="89" t="s">
        <v>85</v>
      </c>
      <c r="D47" s="89">
        <f t="shared" si="3"/>
        <v>427</v>
      </c>
      <c r="E47" s="89" t="s">
        <v>86</v>
      </c>
      <c r="F47" s="89">
        <f t="shared" si="4"/>
        <v>339</v>
      </c>
      <c r="G47" s="89" t="s">
        <v>85</v>
      </c>
      <c r="H47" s="89">
        <f t="shared" si="6"/>
        <v>427</v>
      </c>
      <c r="I47" s="89" t="s">
        <v>86</v>
      </c>
      <c r="J47" s="89">
        <f t="shared" si="5"/>
        <v>339</v>
      </c>
      <c r="L47" s="94">
        <v>1</v>
      </c>
      <c r="M47" s="95">
        <v>2</v>
      </c>
      <c r="N47" s="96"/>
      <c r="O47" s="94"/>
      <c r="P47" s="95">
        <v>3</v>
      </c>
      <c r="Q47" s="96"/>
      <c r="R47" s="94">
        <v>1</v>
      </c>
      <c r="S47" s="96">
        <v>2</v>
      </c>
      <c r="T47" s="94"/>
      <c r="U47" s="96">
        <v>3</v>
      </c>
    </row>
    <row r="48" spans="1:21" ht="30">
      <c r="A48" s="126"/>
      <c r="B48" s="87" t="s">
        <v>58</v>
      </c>
      <c r="C48" s="89" t="s">
        <v>87</v>
      </c>
      <c r="D48" s="89">
        <f t="shared" si="3"/>
        <v>427</v>
      </c>
      <c r="E48" s="89" t="s">
        <v>76</v>
      </c>
      <c r="F48" s="89">
        <f t="shared" si="4"/>
        <v>427</v>
      </c>
      <c r="G48" s="89" t="s">
        <v>87</v>
      </c>
      <c r="H48" s="89">
        <f t="shared" si="6"/>
        <v>427</v>
      </c>
      <c r="I48" s="89" t="s">
        <v>76</v>
      </c>
      <c r="J48" s="89">
        <f t="shared" si="5"/>
        <v>427</v>
      </c>
      <c r="L48" s="94">
        <v>1</v>
      </c>
      <c r="M48" s="95">
        <v>2</v>
      </c>
      <c r="N48" s="96"/>
      <c r="O48" s="94">
        <v>1</v>
      </c>
      <c r="P48" s="95">
        <v>2</v>
      </c>
      <c r="Q48" s="96"/>
      <c r="R48" s="94">
        <v>1</v>
      </c>
      <c r="S48" s="96">
        <v>2</v>
      </c>
      <c r="T48" s="94">
        <v>1</v>
      </c>
      <c r="U48" s="96">
        <v>2</v>
      </c>
    </row>
    <row r="49" spans="1:21" ht="30">
      <c r="A49" s="126" t="s">
        <v>88</v>
      </c>
      <c r="B49" s="87" t="s">
        <v>57</v>
      </c>
      <c r="C49" s="89" t="s">
        <v>89</v>
      </c>
      <c r="D49" s="89">
        <f t="shared" si="3"/>
        <v>339</v>
      </c>
      <c r="E49" s="89" t="s">
        <v>90</v>
      </c>
      <c r="F49" s="89">
        <f t="shared" si="4"/>
        <v>226</v>
      </c>
      <c r="G49" s="89" t="s">
        <v>89</v>
      </c>
      <c r="H49" s="89">
        <f t="shared" si="6"/>
        <v>339</v>
      </c>
      <c r="I49" s="89" t="s">
        <v>90</v>
      </c>
      <c r="J49" s="89">
        <f t="shared" si="5"/>
        <v>226</v>
      </c>
      <c r="L49" s="94"/>
      <c r="M49" s="95">
        <v>3</v>
      </c>
      <c r="N49" s="96"/>
      <c r="O49" s="94"/>
      <c r="P49" s="95">
        <v>2</v>
      </c>
      <c r="Q49" s="96"/>
      <c r="R49" s="94"/>
      <c r="S49" s="96">
        <v>3</v>
      </c>
      <c r="T49" s="94"/>
      <c r="U49" s="96">
        <v>2</v>
      </c>
    </row>
    <row r="50" spans="1:21" ht="32.25" customHeight="1">
      <c r="A50" s="126"/>
      <c r="B50" s="87" t="s">
        <v>58</v>
      </c>
      <c r="C50" s="89" t="s">
        <v>90</v>
      </c>
      <c r="D50" s="89">
        <f t="shared" si="3"/>
        <v>402</v>
      </c>
      <c r="E50" s="89" t="s">
        <v>83</v>
      </c>
      <c r="F50" s="89">
        <f t="shared" si="4"/>
        <v>402</v>
      </c>
      <c r="G50" s="89" t="s">
        <v>90</v>
      </c>
      <c r="H50" s="89">
        <f t="shared" si="6"/>
        <v>402</v>
      </c>
      <c r="I50" s="89" t="s">
        <v>83</v>
      </c>
      <c r="J50" s="89">
        <f t="shared" si="5"/>
        <v>402</v>
      </c>
      <c r="L50" s="94">
        <v>2</v>
      </c>
      <c r="M50" s="95"/>
      <c r="N50" s="96"/>
      <c r="O50" s="94">
        <v>2</v>
      </c>
      <c r="P50" s="95"/>
      <c r="Q50" s="96"/>
      <c r="R50" s="94">
        <v>2</v>
      </c>
      <c r="S50" s="96"/>
      <c r="T50" s="94">
        <v>2</v>
      </c>
      <c r="U50" s="96"/>
    </row>
    <row r="51" spans="1:21" ht="33" customHeight="1">
      <c r="A51" s="126" t="s">
        <v>91</v>
      </c>
      <c r="B51" s="87" t="s">
        <v>57</v>
      </c>
      <c r="C51" s="89" t="s">
        <v>90</v>
      </c>
      <c r="D51" s="89">
        <f t="shared" si="3"/>
        <v>226</v>
      </c>
      <c r="E51" s="89" t="s">
        <v>90</v>
      </c>
      <c r="F51" s="89">
        <f t="shared" si="4"/>
        <v>226</v>
      </c>
      <c r="G51" s="89" t="s">
        <v>90</v>
      </c>
      <c r="H51" s="89">
        <f t="shared" si="6"/>
        <v>226</v>
      </c>
      <c r="I51" s="89" t="s">
        <v>90</v>
      </c>
      <c r="J51" s="89">
        <f t="shared" si="5"/>
        <v>226</v>
      </c>
      <c r="L51" s="94"/>
      <c r="M51" s="95">
        <v>2</v>
      </c>
      <c r="N51" s="96"/>
      <c r="O51" s="94"/>
      <c r="P51" s="95">
        <v>2</v>
      </c>
      <c r="Q51" s="96"/>
      <c r="R51" s="94"/>
      <c r="S51" s="96">
        <v>2</v>
      </c>
      <c r="T51" s="94"/>
      <c r="U51" s="96">
        <v>2</v>
      </c>
    </row>
    <row r="52" spans="1:21" ht="44.25" customHeight="1">
      <c r="A52" s="126"/>
      <c r="B52" s="87" t="s">
        <v>58</v>
      </c>
      <c r="C52" s="89" t="s">
        <v>90</v>
      </c>
      <c r="D52" s="89">
        <f t="shared" si="3"/>
        <v>226</v>
      </c>
      <c r="E52" s="89" t="s">
        <v>90</v>
      </c>
      <c r="F52" s="89">
        <f t="shared" si="4"/>
        <v>226</v>
      </c>
      <c r="G52" s="89" t="s">
        <v>90</v>
      </c>
      <c r="H52" s="89">
        <f t="shared" si="6"/>
        <v>226</v>
      </c>
      <c r="I52" s="89" t="s">
        <v>90</v>
      </c>
      <c r="J52" s="89">
        <f t="shared" si="5"/>
        <v>226</v>
      </c>
      <c r="L52" s="97"/>
      <c r="M52" s="98">
        <v>2</v>
      </c>
      <c r="N52" s="99"/>
      <c r="O52" s="97"/>
      <c r="P52" s="98">
        <v>2</v>
      </c>
      <c r="Q52" s="99"/>
      <c r="R52" s="97"/>
      <c r="S52" s="99">
        <v>2</v>
      </c>
      <c r="T52" s="97"/>
      <c r="U52" s="99">
        <v>2</v>
      </c>
    </row>
    <row r="54" spans="1:21">
      <c r="A54" s="71" t="s">
        <v>92</v>
      </c>
    </row>
    <row r="56" spans="1:21">
      <c r="A56" s="71" t="s">
        <v>93</v>
      </c>
    </row>
    <row r="57" spans="1:21">
      <c r="B57" s="71" t="s">
        <v>94</v>
      </c>
    </row>
  </sheetData>
  <mergeCells count="13">
    <mergeCell ref="A49:A50"/>
    <mergeCell ref="A51:A52"/>
    <mergeCell ref="A39:A40"/>
    <mergeCell ref="A41:A42"/>
    <mergeCell ref="A43:A44"/>
    <mergeCell ref="A45:A46"/>
    <mergeCell ref="A47:A48"/>
    <mergeCell ref="C36:F36"/>
    <mergeCell ref="G36:J36"/>
    <mergeCell ref="C37:D37"/>
    <mergeCell ref="E37:F37"/>
    <mergeCell ref="G37:H37"/>
    <mergeCell ref="I37:J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2:I77"/>
  <sheetViews>
    <sheetView topLeftCell="A19" workbookViewId="0">
      <selection activeCell="A6" sqref="A6:G78"/>
    </sheetView>
  </sheetViews>
  <sheetFormatPr defaultColWidth="9" defaultRowHeight="15"/>
  <cols>
    <col min="1" max="1" width="14.42578125" customWidth="1"/>
    <col min="5" max="5" width="3.140625" customWidth="1"/>
    <col min="6" max="6" width="32.28515625" customWidth="1"/>
  </cols>
  <sheetData>
    <row r="2" spans="1:6">
      <c r="A2" t="s">
        <v>95</v>
      </c>
    </row>
    <row r="3" spans="1:6">
      <c r="A3" t="s">
        <v>96</v>
      </c>
    </row>
    <row r="6" spans="1:6">
      <c r="F6" s="66" t="s">
        <v>97</v>
      </c>
    </row>
    <row r="7" spans="1:6">
      <c r="A7" t="s">
        <v>98</v>
      </c>
      <c r="E7">
        <v>1</v>
      </c>
      <c r="F7" t="s">
        <v>99</v>
      </c>
    </row>
    <row r="8" spans="1:6">
      <c r="E8">
        <v>2</v>
      </c>
      <c r="F8" t="s">
        <v>100</v>
      </c>
    </row>
    <row r="9" spans="1:6">
      <c r="A9" s="66" t="s">
        <v>101</v>
      </c>
      <c r="E9">
        <v>3</v>
      </c>
      <c r="F9" t="s">
        <v>102</v>
      </c>
    </row>
    <row r="10" spans="1:6">
      <c r="E10">
        <v>4</v>
      </c>
      <c r="F10" t="s">
        <v>103</v>
      </c>
    </row>
    <row r="11" spans="1:6">
      <c r="A11" t="s">
        <v>104</v>
      </c>
      <c r="B11" s="67">
        <v>20</v>
      </c>
      <c r="C11" t="s">
        <v>105</v>
      </c>
      <c r="E11">
        <v>5</v>
      </c>
      <c r="F11" t="s">
        <v>106</v>
      </c>
    </row>
    <row r="12" spans="1:6">
      <c r="A12" t="s">
        <v>107</v>
      </c>
      <c r="B12" s="67">
        <v>500</v>
      </c>
      <c r="E12">
        <v>6</v>
      </c>
      <c r="F12" t="s">
        <v>108</v>
      </c>
    </row>
    <row r="13" spans="1:6">
      <c r="A13" t="s">
        <v>109</v>
      </c>
      <c r="B13" s="67">
        <v>25</v>
      </c>
      <c r="C13" t="s">
        <v>110</v>
      </c>
      <c r="E13">
        <v>7</v>
      </c>
      <c r="F13" t="s">
        <v>111</v>
      </c>
    </row>
    <row r="14" spans="1:6">
      <c r="A14" t="s">
        <v>112</v>
      </c>
      <c r="B14" s="67">
        <v>25</v>
      </c>
      <c r="C14" t="s">
        <v>44</v>
      </c>
      <c r="E14">
        <v>8</v>
      </c>
      <c r="F14" t="s">
        <v>113</v>
      </c>
    </row>
    <row r="15" spans="1:6">
      <c r="E15">
        <v>9</v>
      </c>
      <c r="F15" t="s">
        <v>114</v>
      </c>
    </row>
    <row r="17" spans="1:9">
      <c r="A17" s="66" t="s">
        <v>115</v>
      </c>
      <c r="F17" s="66" t="s">
        <v>116</v>
      </c>
    </row>
    <row r="18" spans="1:9">
      <c r="F18" t="s">
        <v>117</v>
      </c>
      <c r="G18">
        <f>LARGE(B19:B20,1)</f>
        <v>2.6419999999999999</v>
      </c>
    </row>
    <row r="19" spans="1:9">
      <c r="A19" t="s">
        <v>118</v>
      </c>
      <c r="B19" s="67">
        <f>ROUND(I19/3.281,3)</f>
        <v>2.234</v>
      </c>
      <c r="C19" t="s">
        <v>119</v>
      </c>
      <c r="F19" t="s">
        <v>120</v>
      </c>
      <c r="G19">
        <f>SMALL(B19:B20,1)</f>
        <v>2.234</v>
      </c>
      <c r="I19">
        <v>7.33</v>
      </c>
    </row>
    <row r="20" spans="1:9">
      <c r="A20" t="s">
        <v>121</v>
      </c>
      <c r="B20" s="67">
        <f>ROUND(I20/3.281,3)</f>
        <v>2.6419999999999999</v>
      </c>
      <c r="C20" t="s">
        <v>119</v>
      </c>
      <c r="F20" t="s">
        <v>122</v>
      </c>
      <c r="G20">
        <f>G18/G19</f>
        <v>1.18263205013429</v>
      </c>
      <c r="I20">
        <v>8.6669999999999998</v>
      </c>
    </row>
    <row r="21" spans="1:9">
      <c r="A21" t="s">
        <v>123</v>
      </c>
      <c r="B21" s="67">
        <v>125</v>
      </c>
      <c r="F21" t="s">
        <v>116</v>
      </c>
      <c r="G21" s="67">
        <v>8</v>
      </c>
    </row>
    <row r="22" spans="1:9">
      <c r="A22" t="s">
        <v>124</v>
      </c>
      <c r="B22">
        <f>B21-B14</f>
        <v>100</v>
      </c>
    </row>
    <row r="24" spans="1:9">
      <c r="A24" s="66" t="s">
        <v>125</v>
      </c>
      <c r="F24" s="66" t="s">
        <v>126</v>
      </c>
    </row>
    <row r="25" spans="1:9">
      <c r="A25" s="68" t="s">
        <v>127</v>
      </c>
      <c r="F25" t="s">
        <v>128</v>
      </c>
    </row>
    <row r="26" spans="1:9">
      <c r="A26" t="s">
        <v>129</v>
      </c>
      <c r="B26">
        <f>B21/1000*B13</f>
        <v>3.125</v>
      </c>
      <c r="C26" t="s">
        <v>130</v>
      </c>
      <c r="F26" s="69" t="s">
        <v>131</v>
      </c>
    </row>
    <row r="27" spans="1:9">
      <c r="A27" t="s">
        <v>132</v>
      </c>
      <c r="B27" s="67">
        <f>0.05*24</f>
        <v>1.2</v>
      </c>
      <c r="F27" t="s">
        <v>133</v>
      </c>
      <c r="G27">
        <v>5.1999999999999998E-2</v>
      </c>
    </row>
    <row r="28" spans="1:9">
      <c r="A28" t="s">
        <v>134</v>
      </c>
      <c r="B28" s="67">
        <v>0.5</v>
      </c>
      <c r="F28" t="s">
        <v>135</v>
      </c>
      <c r="G28">
        <v>4.2999999999999997E-2</v>
      </c>
    </row>
    <row r="29" spans="1:9">
      <c r="A29" t="s">
        <v>136</v>
      </c>
      <c r="B29" s="67">
        <v>0.2</v>
      </c>
      <c r="F29" t="s">
        <v>137</v>
      </c>
    </row>
    <row r="30" spans="1:9">
      <c r="A30" s="32" t="s">
        <v>138</v>
      </c>
      <c r="B30">
        <f>SUM(B26:B29)</f>
        <v>5.0250000000000004</v>
      </c>
      <c r="F30" t="s">
        <v>133</v>
      </c>
      <c r="G30">
        <v>6.9800000000000001E-2</v>
      </c>
      <c r="H30">
        <f>71-64</f>
        <v>7</v>
      </c>
    </row>
    <row r="31" spans="1:9">
      <c r="F31" t="s">
        <v>135</v>
      </c>
      <c r="G31">
        <v>0</v>
      </c>
    </row>
    <row r="32" spans="1:9">
      <c r="A32" t="s">
        <v>139</v>
      </c>
    </row>
    <row r="33" spans="1:7">
      <c r="A33" t="s">
        <v>140</v>
      </c>
      <c r="B33" s="67">
        <v>3</v>
      </c>
      <c r="F33" s="66" t="s">
        <v>141</v>
      </c>
    </row>
    <row r="34" spans="1:7">
      <c r="A34" s="68"/>
      <c r="F34" t="s">
        <v>142</v>
      </c>
      <c r="G34">
        <f>G19/B22*1000</f>
        <v>22.34</v>
      </c>
    </row>
    <row r="35" spans="1:7">
      <c r="A35" t="s">
        <v>143</v>
      </c>
      <c r="F35" t="s">
        <v>144</v>
      </c>
    </row>
    <row r="36" spans="1:7">
      <c r="B36">
        <f>1.5*(B33+B30)</f>
        <v>12.0375</v>
      </c>
      <c r="F36" t="s">
        <v>145</v>
      </c>
    </row>
    <row r="37" spans="1:7">
      <c r="F37" t="s">
        <v>146</v>
      </c>
    </row>
    <row r="38" spans="1:7">
      <c r="F38" t="s">
        <v>147</v>
      </c>
    </row>
    <row r="40" spans="1:7">
      <c r="A40" s="32" t="s">
        <v>148</v>
      </c>
      <c r="D40" s="32" t="s">
        <v>149</v>
      </c>
    </row>
    <row r="41" spans="1:7">
      <c r="A41" s="68" t="s">
        <v>150</v>
      </c>
      <c r="D41" t="s">
        <v>151</v>
      </c>
    </row>
    <row r="42" spans="1:7">
      <c r="A42" t="s">
        <v>152</v>
      </c>
      <c r="B42">
        <f>G27*B36*B19^2</f>
        <v>3.1239637182000002</v>
      </c>
      <c r="C42" t="s">
        <v>153</v>
      </c>
      <c r="D42" t="s">
        <v>154</v>
      </c>
      <c r="E42" t="s">
        <v>155</v>
      </c>
      <c r="F42" t="s">
        <v>156</v>
      </c>
    </row>
    <row r="43" spans="1:7">
      <c r="A43" s="70" t="s">
        <v>157</v>
      </c>
      <c r="B43">
        <f>B12/B11</f>
        <v>25</v>
      </c>
      <c r="D43" t="s">
        <v>158</v>
      </c>
    </row>
    <row r="44" spans="1:7">
      <c r="A44" t="s">
        <v>159</v>
      </c>
      <c r="B44">
        <v>100</v>
      </c>
    </row>
    <row r="45" spans="1:7">
      <c r="A45" t="s">
        <v>160</v>
      </c>
      <c r="B45">
        <f>B42/(0.87*415)</f>
        <v>8.6524407095970104E-3</v>
      </c>
    </row>
    <row r="46" spans="1:7">
      <c r="A46" t="s">
        <v>161</v>
      </c>
      <c r="B46">
        <f>($B$11/(2*$B$12))*(1-SQRT(1-(4.6*B42*10^6)/($B$11*1000*$B$22^2)))*1000*$B$22</f>
        <v>73.190373200922707</v>
      </c>
      <c r="C46" t="s">
        <v>162</v>
      </c>
    </row>
    <row r="47" spans="1:7">
      <c r="A47" t="s">
        <v>163</v>
      </c>
      <c r="B47" t="s">
        <v>164</v>
      </c>
    </row>
    <row r="48" spans="1:7">
      <c r="A48" t="s">
        <v>165</v>
      </c>
      <c r="B48">
        <f>((PI()*8^2/4)/B46)*1000</f>
        <v>686.77723939796795</v>
      </c>
    </row>
    <row r="49" spans="1:5">
      <c r="A49" t="s">
        <v>166</v>
      </c>
      <c r="B49">
        <v>150</v>
      </c>
    </row>
    <row r="50" spans="1:5">
      <c r="A50" t="s">
        <v>167</v>
      </c>
      <c r="B50" t="s">
        <v>168</v>
      </c>
      <c r="C50" t="s">
        <v>169</v>
      </c>
      <c r="D50">
        <v>150</v>
      </c>
      <c r="E50" t="s">
        <v>170</v>
      </c>
    </row>
    <row r="52" spans="1:5">
      <c r="A52" s="68" t="s">
        <v>171</v>
      </c>
    </row>
    <row r="53" spans="1:5">
      <c r="A53" t="s">
        <v>172</v>
      </c>
      <c r="B53">
        <f>G28*B36*B20^2</f>
        <v>3.61302013845</v>
      </c>
      <c r="C53" t="s">
        <v>153</v>
      </c>
    </row>
    <row r="54" spans="1:5">
      <c r="A54" t="s">
        <v>159</v>
      </c>
      <c r="B54">
        <v>100</v>
      </c>
    </row>
    <row r="55" spans="1:5">
      <c r="A55" t="s">
        <v>161</v>
      </c>
      <c r="B55">
        <f>($B$11/(2*$B$12))*(1-SQRT(1-(4.6*B53*10^6)/($B$11*1000*$B$22^2)))*1000*$B$22</f>
        <v>84.9015306615171</v>
      </c>
    </row>
    <row r="56" spans="1:5">
      <c r="A56" t="s">
        <v>163</v>
      </c>
      <c r="B56" t="s">
        <v>164</v>
      </c>
    </row>
    <row r="57" spans="1:5">
      <c r="A57" t="s">
        <v>165</v>
      </c>
      <c r="B57">
        <f>((PI()*8^2/4)/B55)*1000</f>
        <v>592.04447865414397</v>
      </c>
    </row>
    <row r="58" spans="1:5">
      <c r="A58" t="s">
        <v>166</v>
      </c>
      <c r="B58">
        <v>150</v>
      </c>
    </row>
    <row r="59" spans="1:5">
      <c r="A59" t="s">
        <v>167</v>
      </c>
      <c r="B59" t="s">
        <v>168</v>
      </c>
      <c r="C59" t="s">
        <v>169</v>
      </c>
      <c r="D59">
        <v>150</v>
      </c>
      <c r="E59" t="s">
        <v>170</v>
      </c>
    </row>
    <row r="61" spans="1:5">
      <c r="A61" s="68" t="s">
        <v>173</v>
      </c>
    </row>
    <row r="62" spans="1:5">
      <c r="A62" t="s">
        <v>152</v>
      </c>
      <c r="B62">
        <f>G30*B36*B19^2</f>
        <v>4.1933205294300002</v>
      </c>
      <c r="C62" t="s">
        <v>153</v>
      </c>
    </row>
    <row r="63" spans="1:5">
      <c r="A63" t="s">
        <v>159</v>
      </c>
      <c r="B63">
        <v>100</v>
      </c>
    </row>
    <row r="64" spans="1:5">
      <c r="A64" t="s">
        <v>161</v>
      </c>
      <c r="B64">
        <f>($B$11/(2*$B$12))*(1-SQRT(1-(4.6*B62*10^6)/($B$11*1000*$B$22^2)))*1000*$B$22</f>
        <v>98.891241592832898</v>
      </c>
    </row>
    <row r="65" spans="1:5">
      <c r="A65" t="s">
        <v>163</v>
      </c>
      <c r="B65" t="s">
        <v>164</v>
      </c>
    </row>
    <row r="66" spans="1:5">
      <c r="A66" t="s">
        <v>165</v>
      </c>
      <c r="B66">
        <f>((PI()*8^2/4)/B64)*1000</f>
        <v>508.29053865453398</v>
      </c>
    </row>
    <row r="67" spans="1:5">
      <c r="A67" t="s">
        <v>166</v>
      </c>
      <c r="B67">
        <v>150</v>
      </c>
    </row>
    <row r="68" spans="1:5">
      <c r="A68" t="s">
        <v>167</v>
      </c>
      <c r="B68" t="s">
        <v>168</v>
      </c>
      <c r="C68" t="s">
        <v>169</v>
      </c>
      <c r="D68">
        <v>150</v>
      </c>
      <c r="E68" t="s">
        <v>170</v>
      </c>
    </row>
    <row r="70" spans="1:5">
      <c r="A70" s="68" t="s">
        <v>174</v>
      </c>
    </row>
    <row r="71" spans="1:5">
      <c r="A71" t="s">
        <v>152</v>
      </c>
      <c r="B71">
        <f>G31*B36*B20^2</f>
        <v>0</v>
      </c>
      <c r="C71" t="s">
        <v>153</v>
      </c>
    </row>
    <row r="72" spans="1:5">
      <c r="A72" t="s">
        <v>159</v>
      </c>
      <c r="B72">
        <v>100</v>
      </c>
    </row>
    <row r="73" spans="1:5">
      <c r="A73" t="s">
        <v>161</v>
      </c>
      <c r="B73">
        <f>($B$11/(2*$B$12))*(1-SQRT(1-(4.6*B71*10^6)/($B$11*1000*$B$22^2)))*1000*$B$22</f>
        <v>0</v>
      </c>
    </row>
    <row r="74" spans="1:5">
      <c r="A74" t="s">
        <v>163</v>
      </c>
      <c r="B74" t="s">
        <v>164</v>
      </c>
    </row>
    <row r="75" spans="1:5">
      <c r="A75" t="s">
        <v>165</v>
      </c>
      <c r="B75" t="e">
        <f>((PI()*8^2/4)/B73)*1000</f>
        <v>#DIV/0!</v>
      </c>
    </row>
    <row r="76" spans="1:5">
      <c r="A76" t="s">
        <v>166</v>
      </c>
      <c r="B76">
        <v>150</v>
      </c>
    </row>
    <row r="77" spans="1:5">
      <c r="A77" t="s">
        <v>167</v>
      </c>
      <c r="B77" t="s">
        <v>168</v>
      </c>
      <c r="C77" t="s">
        <v>169</v>
      </c>
      <c r="D77">
        <v>150</v>
      </c>
      <c r="E77" t="s">
        <v>170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O75"/>
  <sheetViews>
    <sheetView tabSelected="1" view="pageBreakPreview" zoomScale="120" workbookViewId="0">
      <selection activeCell="D3" sqref="D3"/>
    </sheetView>
  </sheetViews>
  <sheetFormatPr defaultColWidth="9" defaultRowHeight="15"/>
  <cols>
    <col min="1" max="1" width="9.140625" customWidth="1"/>
    <col min="2" max="2" width="15.28515625" customWidth="1"/>
    <col min="3" max="3" width="9.85546875" customWidth="1"/>
    <col min="6" max="6" width="16.7109375" style="34" customWidth="1"/>
    <col min="7" max="7" width="5.42578125" customWidth="1"/>
    <col min="8" max="8" width="15.140625" customWidth="1"/>
    <col min="9" max="9" width="12.7109375" hidden="1" customWidth="1"/>
    <col min="10" max="10" width="9.42578125" customWidth="1"/>
    <col min="14" max="14" width="16" customWidth="1"/>
    <col min="15" max="15" width="12.28515625" customWidth="1"/>
  </cols>
  <sheetData>
    <row r="1" spans="1:15" ht="21" customHeight="1">
      <c r="A1" s="128" t="s">
        <v>175</v>
      </c>
      <c r="B1" s="128"/>
      <c r="C1" s="128"/>
      <c r="D1" s="128"/>
      <c r="E1" s="128"/>
      <c r="F1" s="128"/>
      <c r="G1" s="128"/>
      <c r="H1" s="128"/>
      <c r="I1" s="128"/>
    </row>
    <row r="2" spans="1:15" ht="30">
      <c r="A2" s="58" t="s">
        <v>176</v>
      </c>
      <c r="B2" s="59"/>
      <c r="C2" s="59"/>
      <c r="D2" s="60">
        <v>433</v>
      </c>
      <c r="E2" s="61" t="s">
        <v>177</v>
      </c>
      <c r="F2" s="62" t="s">
        <v>178</v>
      </c>
      <c r="G2" s="59">
        <f>7.5/3.281</f>
        <v>2.2858884486437101</v>
      </c>
      <c r="H2" s="129" t="s">
        <v>179</v>
      </c>
      <c r="I2" s="59"/>
      <c r="J2" s="33"/>
      <c r="L2" s="23" t="s">
        <v>180</v>
      </c>
      <c r="M2" s="23" t="s">
        <v>181</v>
      </c>
      <c r="N2" s="23" t="s">
        <v>182</v>
      </c>
      <c r="O2" s="24" t="s">
        <v>183</v>
      </c>
    </row>
    <row r="3" spans="1:15">
      <c r="A3" s="63" t="s">
        <v>184</v>
      </c>
      <c r="B3" s="59"/>
      <c r="C3" s="59"/>
      <c r="D3" s="60">
        <v>810.6</v>
      </c>
      <c r="E3" s="61" t="s">
        <v>177</v>
      </c>
      <c r="F3" s="62" t="s">
        <v>185</v>
      </c>
      <c r="G3" s="59">
        <v>0.2</v>
      </c>
      <c r="H3" s="129"/>
      <c r="I3" s="59"/>
      <c r="J3" s="33"/>
      <c r="L3" s="8"/>
      <c r="M3" s="8"/>
      <c r="N3" s="8" t="s">
        <v>186</v>
      </c>
      <c r="O3" s="8" t="s">
        <v>186</v>
      </c>
    </row>
    <row r="4" spans="1:15">
      <c r="A4" s="63" t="s">
        <v>187</v>
      </c>
      <c r="B4" s="59"/>
      <c r="C4" s="59"/>
      <c r="D4" s="59">
        <v>355.6</v>
      </c>
      <c r="E4" s="61" t="s">
        <v>44</v>
      </c>
      <c r="F4" s="62" t="s">
        <v>188</v>
      </c>
      <c r="G4" s="59">
        <f>SUM(G2:G3)</f>
        <v>2.4858884486437098</v>
      </c>
      <c r="H4" s="129"/>
      <c r="I4" s="59"/>
      <c r="J4" s="33"/>
      <c r="L4" s="26">
        <v>1</v>
      </c>
      <c r="M4" s="8" t="s">
        <v>26</v>
      </c>
      <c r="N4" s="26">
        <v>590.072</v>
      </c>
      <c r="O4" s="40">
        <f>N4/1.5</f>
        <v>393.38133333333298</v>
      </c>
    </row>
    <row r="5" spans="1:15">
      <c r="A5" s="63" t="s">
        <v>189</v>
      </c>
      <c r="B5" s="59"/>
      <c r="C5" s="59"/>
      <c r="D5" s="59">
        <v>355.6</v>
      </c>
      <c r="E5" s="61" t="s">
        <v>44</v>
      </c>
      <c r="F5" s="62"/>
      <c r="G5" s="59"/>
      <c r="H5" s="59"/>
      <c r="I5" s="59"/>
      <c r="J5" s="33"/>
      <c r="L5" s="26">
        <v>4</v>
      </c>
      <c r="M5" s="8" t="s">
        <v>27</v>
      </c>
      <c r="N5" s="26">
        <v>521.02499999999998</v>
      </c>
      <c r="O5" s="40">
        <f>N5/1.5</f>
        <v>347.35</v>
      </c>
    </row>
    <row r="6" spans="1:15">
      <c r="A6" s="63" t="s">
        <v>190</v>
      </c>
      <c r="B6" s="59"/>
      <c r="C6" s="59"/>
      <c r="D6" s="59">
        <v>150</v>
      </c>
      <c r="E6" s="61" t="s">
        <v>191</v>
      </c>
      <c r="F6" s="62"/>
      <c r="G6" s="59"/>
      <c r="H6" s="129" t="s">
        <v>192</v>
      </c>
      <c r="I6" s="59"/>
      <c r="J6" s="33"/>
      <c r="L6" s="26">
        <v>3</v>
      </c>
      <c r="M6" s="8" t="s">
        <v>29</v>
      </c>
      <c r="N6" s="26">
        <v>524.81200000000001</v>
      </c>
      <c r="O6" s="40">
        <f t="shared" ref="O6:O10" si="0">N6/1.5</f>
        <v>349.874666666667</v>
      </c>
    </row>
    <row r="7" spans="1:15">
      <c r="A7" s="63"/>
      <c r="B7" s="59"/>
      <c r="C7" s="59"/>
      <c r="D7" s="59"/>
      <c r="E7" s="59"/>
      <c r="F7" s="62"/>
      <c r="G7" s="59"/>
      <c r="H7" s="129"/>
      <c r="I7" s="59"/>
      <c r="J7" s="33"/>
      <c r="L7" s="26">
        <v>2</v>
      </c>
      <c r="M7" s="8" t="s">
        <v>24</v>
      </c>
      <c r="N7" s="26">
        <v>646.53499999999997</v>
      </c>
      <c r="O7" s="40">
        <f t="shared" si="0"/>
        <v>431.02333333333303</v>
      </c>
    </row>
    <row r="8" spans="1:15">
      <c r="A8" s="63"/>
      <c r="B8" s="59"/>
      <c r="C8" s="59"/>
      <c r="D8" s="59"/>
      <c r="E8" s="59"/>
      <c r="F8" s="62" t="s">
        <v>193</v>
      </c>
      <c r="G8" s="59">
        <f>0.15</f>
        <v>0.15</v>
      </c>
      <c r="H8" s="129"/>
      <c r="I8" s="59"/>
      <c r="J8" s="33"/>
      <c r="L8" s="26">
        <v>5</v>
      </c>
      <c r="M8" s="8" t="s">
        <v>30</v>
      </c>
      <c r="N8" s="26">
        <v>517.58500000000004</v>
      </c>
      <c r="O8" s="40">
        <f t="shared" si="0"/>
        <v>345.05666666666701</v>
      </c>
    </row>
    <row r="9" spans="1:15">
      <c r="A9" s="63" t="s">
        <v>194</v>
      </c>
      <c r="B9" s="59"/>
      <c r="C9" s="59"/>
      <c r="D9" s="59"/>
      <c r="E9" s="59"/>
      <c r="F9" s="62"/>
      <c r="G9" s="59"/>
      <c r="H9" s="43"/>
      <c r="I9" s="59"/>
      <c r="J9" s="33"/>
      <c r="L9" s="26">
        <v>6</v>
      </c>
      <c r="M9" s="8" t="s">
        <v>28</v>
      </c>
      <c r="N9" s="26">
        <v>406.97399999999999</v>
      </c>
      <c r="O9" s="40">
        <f t="shared" si="0"/>
        <v>271.31599999999997</v>
      </c>
    </row>
    <row r="10" spans="1:15">
      <c r="A10" s="32" t="s">
        <v>195</v>
      </c>
      <c r="B10" s="33"/>
      <c r="C10" s="33"/>
      <c r="D10" s="33"/>
      <c r="E10" s="33"/>
      <c r="F10" s="36"/>
      <c r="G10" s="33"/>
      <c r="H10" s="33"/>
      <c r="I10" s="33"/>
      <c r="J10" s="33"/>
      <c r="L10" s="26">
        <v>7</v>
      </c>
      <c r="M10" s="8" t="s">
        <v>25</v>
      </c>
      <c r="N10" s="26">
        <v>570.80700000000002</v>
      </c>
      <c r="O10" s="40">
        <f t="shared" si="0"/>
        <v>380.53800000000001</v>
      </c>
    </row>
    <row r="11" spans="1:15">
      <c r="A11" s="33" t="s">
        <v>196</v>
      </c>
      <c r="B11" s="33"/>
      <c r="C11" s="33"/>
      <c r="D11" s="33"/>
      <c r="E11" s="33"/>
      <c r="F11" s="36"/>
      <c r="G11" s="33"/>
      <c r="H11" s="33"/>
      <c r="I11" s="33"/>
      <c r="J11" s="33"/>
      <c r="L11" s="26"/>
      <c r="M11" s="8"/>
      <c r="N11" s="26"/>
      <c r="O11" s="40"/>
    </row>
    <row r="12" spans="1:15">
      <c r="A12" s="33"/>
      <c r="B12" s="35" t="s">
        <v>197</v>
      </c>
      <c r="C12" s="33" t="s">
        <v>198</v>
      </c>
      <c r="D12" s="33"/>
      <c r="E12" s="33"/>
      <c r="F12" s="36"/>
      <c r="G12" s="33"/>
      <c r="H12" s="33"/>
      <c r="I12" s="33"/>
      <c r="J12" s="33"/>
      <c r="L12" s="26"/>
      <c r="M12" s="8"/>
      <c r="N12" s="26"/>
      <c r="O12" s="40"/>
    </row>
    <row r="13" spans="1:15">
      <c r="A13" s="33"/>
      <c r="B13" s="33"/>
      <c r="C13" s="36">
        <f>(D2*G3+D3*G4)/(D2+D3)</f>
        <v>1.6899816472101894</v>
      </c>
      <c r="D13" s="33" t="s">
        <v>119</v>
      </c>
      <c r="E13" s="33"/>
      <c r="F13" s="36"/>
      <c r="G13" s="33"/>
      <c r="H13" s="33"/>
      <c r="I13" s="33"/>
      <c r="J13" s="33"/>
    </row>
    <row r="14" spans="1:15">
      <c r="A14" s="33" t="s">
        <v>199</v>
      </c>
      <c r="B14" s="33"/>
      <c r="C14" s="33" t="s">
        <v>200</v>
      </c>
      <c r="D14" s="33"/>
      <c r="E14" s="33"/>
      <c r="F14" s="36"/>
      <c r="G14" s="33"/>
      <c r="H14" s="33"/>
      <c r="I14" s="33"/>
      <c r="J14" s="33"/>
    </row>
    <row r="15" spans="1:15">
      <c r="A15" s="33"/>
      <c r="B15" s="33"/>
      <c r="C15" s="33">
        <f>2*C13</f>
        <v>3.3799632944203788</v>
      </c>
      <c r="D15" s="33" t="s">
        <v>119</v>
      </c>
      <c r="E15" s="33"/>
      <c r="F15" s="36"/>
      <c r="G15" s="33"/>
      <c r="H15" s="33"/>
      <c r="I15" s="33"/>
      <c r="J15" s="33"/>
    </row>
    <row r="16" spans="1:15">
      <c r="A16" s="33"/>
      <c r="B16" s="33" t="s">
        <v>201</v>
      </c>
      <c r="C16" s="33">
        <v>4.5</v>
      </c>
      <c r="D16" s="33" t="s">
        <v>119</v>
      </c>
      <c r="E16" s="33"/>
      <c r="F16" s="36"/>
      <c r="G16" s="33"/>
      <c r="H16" s="33"/>
      <c r="I16" s="33"/>
      <c r="J16" s="33"/>
      <c r="K16">
        <f>1100000*0.7+37000</f>
        <v>807000</v>
      </c>
      <c r="N16">
        <v>617.53</v>
      </c>
    </row>
    <row r="17" spans="1:14">
      <c r="A17" s="33"/>
      <c r="B17" s="33"/>
      <c r="C17" s="33"/>
      <c r="D17" s="33"/>
      <c r="E17" s="33"/>
      <c r="F17" s="36"/>
      <c r="G17" s="33"/>
      <c r="H17" s="33"/>
      <c r="I17" s="33"/>
      <c r="J17" s="33"/>
      <c r="K17">
        <f>K16*3</f>
        <v>2421000</v>
      </c>
      <c r="N17">
        <f>N16/1.5</f>
        <v>411.68666666666701</v>
      </c>
    </row>
    <row r="18" spans="1:14">
      <c r="A18" s="33" t="s">
        <v>202</v>
      </c>
      <c r="B18" s="33"/>
      <c r="C18" s="33"/>
      <c r="D18" s="33"/>
      <c r="E18" s="33"/>
      <c r="F18" s="36"/>
      <c r="G18" s="33"/>
      <c r="H18" s="33"/>
      <c r="I18" s="33"/>
      <c r="J18" s="33"/>
      <c r="K18">
        <f>K17*0.7</f>
        <v>1694700</v>
      </c>
    </row>
    <row r="19" spans="1:14" ht="13.9" customHeight="1">
      <c r="A19" s="33"/>
      <c r="B19" s="33" t="s">
        <v>203</v>
      </c>
      <c r="C19" s="33" t="s">
        <v>204</v>
      </c>
      <c r="D19" s="33" t="s">
        <v>205</v>
      </c>
      <c r="E19" s="33"/>
      <c r="F19" s="36"/>
      <c r="G19" s="33"/>
      <c r="H19" s="33"/>
      <c r="I19" s="33"/>
      <c r="J19" s="33"/>
    </row>
    <row r="20" spans="1:14">
      <c r="A20" s="33"/>
      <c r="B20" s="33"/>
      <c r="C20" s="33"/>
      <c r="D20" s="33">
        <f>(D2+D3)*1.05</f>
        <v>1305.78</v>
      </c>
      <c r="E20" s="33" t="s">
        <v>177</v>
      </c>
      <c r="F20" s="36"/>
      <c r="G20" s="33"/>
      <c r="H20" s="33"/>
      <c r="I20" s="33"/>
      <c r="J20" s="33"/>
    </row>
    <row r="21" spans="1:14">
      <c r="A21" s="33"/>
      <c r="B21" s="33" t="s">
        <v>206</v>
      </c>
      <c r="C21" s="33"/>
      <c r="D21" s="33" t="s">
        <v>207</v>
      </c>
      <c r="E21" s="33"/>
      <c r="F21" s="36"/>
      <c r="G21" s="33"/>
      <c r="H21" s="33"/>
      <c r="I21" s="33"/>
      <c r="J21" s="33"/>
    </row>
    <row r="22" spans="1:14">
      <c r="A22" s="33"/>
      <c r="B22" s="33"/>
      <c r="C22" s="33"/>
      <c r="D22" s="33">
        <f>D20/(C16*D6)</f>
        <v>1.9344888888888889</v>
      </c>
      <c r="E22" s="33" t="s">
        <v>119</v>
      </c>
      <c r="F22" s="36"/>
      <c r="G22" s="33"/>
      <c r="H22" s="33"/>
      <c r="I22" s="33"/>
      <c r="J22" s="33"/>
    </row>
    <row r="23" spans="1:14">
      <c r="A23" s="33"/>
      <c r="B23" s="33" t="s">
        <v>17</v>
      </c>
      <c r="C23" s="33">
        <v>2.2999999999999998</v>
      </c>
      <c r="D23" s="33" t="s">
        <v>208</v>
      </c>
      <c r="E23" s="33"/>
      <c r="F23" s="36"/>
      <c r="G23" s="33"/>
      <c r="H23" s="33"/>
      <c r="I23" s="33"/>
      <c r="J23" s="33"/>
    </row>
    <row r="24" spans="1:14">
      <c r="A24" s="33"/>
      <c r="B24" s="33"/>
      <c r="C24" s="33"/>
      <c r="D24" s="33"/>
      <c r="E24" s="33"/>
      <c r="F24" s="36"/>
      <c r="G24" s="33"/>
      <c r="H24" s="33"/>
      <c r="I24" s="33"/>
      <c r="J24" s="33"/>
    </row>
    <row r="25" spans="1:14">
      <c r="A25" s="32" t="s">
        <v>209</v>
      </c>
      <c r="B25" s="33"/>
      <c r="C25" s="33"/>
      <c r="D25" s="33"/>
      <c r="E25" s="33"/>
      <c r="F25" s="36"/>
      <c r="G25" s="33"/>
      <c r="H25" s="33"/>
      <c r="I25" s="33"/>
      <c r="J25" s="33"/>
    </row>
    <row r="26" spans="1:14">
      <c r="A26" s="33"/>
      <c r="B26" s="33" t="s">
        <v>210</v>
      </c>
      <c r="C26" s="33"/>
      <c r="D26" s="33"/>
      <c r="E26" s="33">
        <f>1.5*D2</f>
        <v>649.5</v>
      </c>
      <c r="F26" s="36" t="s">
        <v>177</v>
      </c>
      <c r="G26" s="33"/>
      <c r="H26" s="33"/>
      <c r="I26" s="33"/>
      <c r="J26" s="33"/>
    </row>
    <row r="27" spans="1:14">
      <c r="A27" s="33"/>
      <c r="B27" s="33" t="s">
        <v>211</v>
      </c>
      <c r="C27" s="33"/>
      <c r="D27" s="33"/>
      <c r="E27" s="33">
        <f>1.5*D3</f>
        <v>1215.9000000000001</v>
      </c>
      <c r="F27" s="36" t="s">
        <v>177</v>
      </c>
      <c r="G27" s="33"/>
      <c r="H27" s="33"/>
      <c r="I27" s="33"/>
      <c r="J27" s="33"/>
    </row>
    <row r="28" spans="1:14">
      <c r="A28" s="33"/>
      <c r="B28" s="33" t="s">
        <v>212</v>
      </c>
      <c r="C28" s="33"/>
      <c r="D28" s="33"/>
      <c r="E28" s="33" t="s">
        <v>213</v>
      </c>
      <c r="F28" s="36"/>
      <c r="G28" s="33"/>
      <c r="H28" s="33"/>
      <c r="I28" s="33"/>
      <c r="J28" s="33"/>
    </row>
    <row r="29" spans="1:14">
      <c r="A29" s="33"/>
      <c r="B29" s="33"/>
      <c r="C29" s="33"/>
      <c r="D29" s="33"/>
      <c r="E29" s="33">
        <f>(E26+E27)/(C16*C23)</f>
        <v>180.23188405797103</v>
      </c>
      <c r="F29" s="36" t="s">
        <v>191</v>
      </c>
      <c r="G29" s="33"/>
      <c r="H29" s="33"/>
      <c r="I29" s="33"/>
      <c r="J29" s="33"/>
    </row>
    <row r="30" spans="1:14">
      <c r="A30" s="33"/>
      <c r="B30" s="33" t="s">
        <v>214</v>
      </c>
      <c r="C30" s="33"/>
      <c r="D30" s="33"/>
      <c r="E30" s="33"/>
      <c r="F30" s="36">
        <f>E29*C23</f>
        <v>414.53333333333336</v>
      </c>
      <c r="G30" s="33" t="s">
        <v>215</v>
      </c>
      <c r="H30" s="33"/>
      <c r="I30" s="33"/>
      <c r="J30" s="33"/>
    </row>
    <row r="31" spans="1:14">
      <c r="A31" s="33"/>
      <c r="B31" s="33"/>
      <c r="C31" s="33"/>
      <c r="D31" s="33"/>
      <c r="E31" s="33"/>
      <c r="F31" s="36"/>
      <c r="G31" s="33"/>
      <c r="H31" s="33"/>
      <c r="I31" s="33"/>
      <c r="J31" s="33"/>
    </row>
    <row r="32" spans="1:14">
      <c r="A32" s="33"/>
      <c r="B32" s="33" t="s">
        <v>216</v>
      </c>
      <c r="C32" s="33"/>
      <c r="D32" s="33"/>
      <c r="E32" s="33"/>
      <c r="F32" s="36"/>
      <c r="G32" s="33"/>
      <c r="H32" s="33"/>
      <c r="I32" s="33"/>
      <c r="J32" s="33"/>
    </row>
    <row r="33" spans="1:10">
      <c r="A33" s="33"/>
      <c r="B33" s="33"/>
      <c r="C33" s="33"/>
      <c r="D33" s="33" t="s">
        <v>217</v>
      </c>
      <c r="E33" s="33" t="s">
        <v>218</v>
      </c>
      <c r="F33" s="36"/>
      <c r="G33" s="33"/>
      <c r="H33" s="33"/>
      <c r="I33" s="33"/>
      <c r="J33" s="33"/>
    </row>
    <row r="34" spans="1:10">
      <c r="A34" s="33"/>
      <c r="B34" s="33"/>
      <c r="C34" s="33" t="s">
        <v>219</v>
      </c>
      <c r="D34" s="33"/>
      <c r="E34" s="33">
        <f>(-G3*F30)</f>
        <v>-82.90666666666668</v>
      </c>
      <c r="F34" s="36" t="s">
        <v>177</v>
      </c>
      <c r="G34" s="33"/>
      <c r="H34" s="33"/>
      <c r="I34" s="33"/>
      <c r="J34" s="33"/>
    </row>
    <row r="35" spans="1:10">
      <c r="A35" s="33"/>
      <c r="B35" s="33"/>
      <c r="C35" s="33"/>
      <c r="D35" s="33" t="s">
        <v>220</v>
      </c>
      <c r="E35" s="33" t="s">
        <v>221</v>
      </c>
      <c r="F35" s="36"/>
      <c r="G35" s="33"/>
      <c r="H35" s="33"/>
      <c r="I35" s="33"/>
      <c r="J35" s="33"/>
    </row>
    <row r="36" spans="1:10">
      <c r="A36" s="33"/>
      <c r="B36" s="33"/>
      <c r="C36" s="33" t="s">
        <v>222</v>
      </c>
      <c r="D36" s="33"/>
      <c r="E36" s="33">
        <f>E34+E26</f>
        <v>566.59333333333336</v>
      </c>
      <c r="F36" s="36" t="s">
        <v>177</v>
      </c>
      <c r="G36" s="33"/>
      <c r="H36" s="33"/>
      <c r="I36" s="33"/>
      <c r="J36" s="33"/>
    </row>
    <row r="37" spans="1:10">
      <c r="A37" s="33"/>
      <c r="B37" s="33" t="s">
        <v>223</v>
      </c>
      <c r="C37" s="33"/>
      <c r="D37" s="33"/>
      <c r="E37" s="33"/>
      <c r="F37" s="36"/>
      <c r="G37" s="33"/>
      <c r="H37" s="33"/>
      <c r="I37" s="33"/>
      <c r="J37" s="33"/>
    </row>
    <row r="38" spans="1:10">
      <c r="A38" s="33"/>
      <c r="B38" s="33"/>
      <c r="C38" s="33"/>
      <c r="D38" s="33" t="s">
        <v>217</v>
      </c>
      <c r="E38" s="33" t="s">
        <v>218</v>
      </c>
      <c r="F38" s="36"/>
      <c r="G38" s="33"/>
      <c r="H38" s="33"/>
      <c r="I38" s="33"/>
      <c r="J38" s="33"/>
    </row>
    <row r="39" spans="1:10">
      <c r="A39" s="33"/>
      <c r="B39" s="33"/>
      <c r="C39" s="33" t="s">
        <v>219</v>
      </c>
      <c r="D39" s="33"/>
      <c r="E39" s="33">
        <f>E41-D3*1.5</f>
        <v>-1153.72</v>
      </c>
      <c r="F39" s="36" t="s">
        <v>177</v>
      </c>
      <c r="G39" s="33"/>
      <c r="H39" s="33"/>
      <c r="I39" s="33"/>
      <c r="J39" s="33"/>
    </row>
    <row r="40" spans="1:10">
      <c r="A40" s="33"/>
      <c r="B40" s="33"/>
      <c r="C40" s="33"/>
      <c r="D40" s="33" t="s">
        <v>220</v>
      </c>
      <c r="E40" s="33" t="s">
        <v>224</v>
      </c>
      <c r="F40" s="36"/>
      <c r="G40" s="33"/>
      <c r="H40" s="33"/>
      <c r="I40" s="33"/>
      <c r="J40" s="33"/>
    </row>
    <row r="41" spans="1:10">
      <c r="A41" s="33"/>
      <c r="B41" s="33"/>
      <c r="C41" s="33" t="s">
        <v>222</v>
      </c>
      <c r="D41" s="33"/>
      <c r="E41" s="33">
        <f>F30*G8</f>
        <v>62.18</v>
      </c>
      <c r="F41" s="36" t="s">
        <v>177</v>
      </c>
      <c r="G41" s="33"/>
      <c r="H41" s="33"/>
      <c r="I41" s="33"/>
      <c r="J41" s="33"/>
    </row>
    <row r="42" spans="1:10">
      <c r="A42" s="33"/>
      <c r="B42" s="33"/>
      <c r="C42" s="33"/>
      <c r="D42" s="33"/>
      <c r="E42" s="33"/>
      <c r="F42" s="36"/>
      <c r="G42" s="33"/>
      <c r="H42" s="33"/>
      <c r="I42" s="33"/>
      <c r="J42" s="33"/>
    </row>
    <row r="43" spans="1:10">
      <c r="A43" s="33"/>
      <c r="B43" s="33" t="s">
        <v>225</v>
      </c>
      <c r="C43" s="33"/>
      <c r="D43" s="33"/>
      <c r="E43" s="33"/>
      <c r="F43" s="36"/>
      <c r="G43" s="33"/>
      <c r="H43" s="33"/>
      <c r="I43" s="33"/>
      <c r="J43" s="33"/>
    </row>
    <row r="44" spans="1:10">
      <c r="A44" s="33"/>
      <c r="B44" s="33"/>
      <c r="C44" s="35" t="s">
        <v>226</v>
      </c>
      <c r="D44" s="33">
        <f>(E36*G2)/(E36-(E39))</f>
        <v>0.75286817270412076</v>
      </c>
      <c r="E44" s="33"/>
      <c r="F44" s="36"/>
      <c r="G44" s="33"/>
      <c r="H44" s="33"/>
      <c r="I44" s="33"/>
      <c r="J44" s="33"/>
    </row>
    <row r="45" spans="1:10">
      <c r="A45" s="33"/>
      <c r="B45" s="33" t="s">
        <v>227</v>
      </c>
      <c r="C45" s="33"/>
      <c r="D45" s="33"/>
      <c r="E45" s="33"/>
      <c r="F45" s="36"/>
      <c r="G45" s="33"/>
      <c r="H45" s="33"/>
      <c r="I45" s="33"/>
      <c r="J45" s="33"/>
    </row>
    <row r="46" spans="1:10">
      <c r="A46" s="35" t="s">
        <v>228</v>
      </c>
      <c r="B46" s="33" t="s">
        <v>229</v>
      </c>
      <c r="C46" s="33"/>
      <c r="D46" s="36"/>
      <c r="E46" s="33"/>
      <c r="F46" s="33"/>
      <c r="G46" s="33"/>
      <c r="H46" s="33"/>
      <c r="I46" s="33"/>
      <c r="J46" s="33"/>
    </row>
    <row r="47" spans="1:10">
      <c r="A47" s="33"/>
      <c r="B47" s="33"/>
      <c r="C47" s="33">
        <f>(F30*(G3+D44)^2)/2-D44*E26</f>
        <v>-300.79850091108028</v>
      </c>
      <c r="D47" s="33" t="s">
        <v>153</v>
      </c>
      <c r="E47" s="33"/>
      <c r="F47" s="36"/>
      <c r="G47" s="33"/>
      <c r="H47" s="33"/>
      <c r="I47" s="33"/>
      <c r="J47" s="33"/>
    </row>
    <row r="48" spans="1:10">
      <c r="A48" s="33"/>
      <c r="B48" s="33" t="s">
        <v>230</v>
      </c>
      <c r="C48" s="33"/>
      <c r="D48" s="33"/>
      <c r="E48" s="33"/>
      <c r="F48" s="36"/>
      <c r="G48" s="33"/>
      <c r="H48" s="33"/>
      <c r="I48" s="33"/>
      <c r="J48" s="33"/>
    </row>
    <row r="49" spans="1:10">
      <c r="A49" s="35" t="s">
        <v>228</v>
      </c>
      <c r="B49" s="33" t="s">
        <v>231</v>
      </c>
      <c r="C49" s="33"/>
      <c r="D49" s="36"/>
      <c r="E49" s="33"/>
      <c r="F49" s="33"/>
      <c r="G49" s="33"/>
      <c r="H49" s="33"/>
      <c r="I49" s="33"/>
      <c r="J49" s="33"/>
    </row>
    <row r="50" spans="1:10">
      <c r="A50" s="33"/>
      <c r="B50" s="33"/>
      <c r="C50" s="33">
        <f>(F30*(G8+D44)^2)/2-D44*E27</f>
        <v>-746.45464825694171</v>
      </c>
      <c r="D50" s="33" t="s">
        <v>153</v>
      </c>
      <c r="E50" s="33"/>
      <c r="F50" s="36"/>
      <c r="G50" s="33"/>
      <c r="H50" s="33"/>
      <c r="I50" s="33"/>
      <c r="J50" s="33"/>
    </row>
    <row r="51" spans="1:10">
      <c r="A51" s="33"/>
      <c r="B51" s="33"/>
      <c r="C51" s="33"/>
      <c r="D51" s="33"/>
      <c r="E51" s="33"/>
      <c r="F51" s="36"/>
      <c r="G51" s="33"/>
      <c r="H51" s="33"/>
      <c r="I51" s="33"/>
      <c r="J51" s="33"/>
    </row>
    <row r="52" spans="1:10">
      <c r="A52" s="33"/>
      <c r="B52" s="33" t="s">
        <v>232</v>
      </c>
      <c r="C52" s="33"/>
      <c r="D52" s="33"/>
      <c r="E52" s="36"/>
      <c r="F52" s="33"/>
      <c r="G52" s="33"/>
      <c r="H52" s="33"/>
      <c r="I52" s="33"/>
      <c r="J52" s="33"/>
    </row>
    <row r="53" spans="1:10">
      <c r="A53" s="33"/>
      <c r="B53" s="35" t="s">
        <v>233</v>
      </c>
      <c r="C53" s="33" t="s">
        <v>234</v>
      </c>
      <c r="D53" s="33"/>
      <c r="E53" s="33"/>
      <c r="F53" s="36"/>
      <c r="G53" s="33"/>
      <c r="H53" s="33"/>
      <c r="I53" s="33"/>
      <c r="J53" s="33"/>
    </row>
    <row r="54" spans="1:10">
      <c r="A54" s="33"/>
      <c r="B54" s="35" t="s">
        <v>235</v>
      </c>
      <c r="C54" s="33">
        <f>-(C47*10^6)/(0.138*20*C23*1000)</f>
        <v>47384.766999225001</v>
      </c>
      <c r="D54" s="33"/>
      <c r="E54" s="33"/>
      <c r="F54" s="36"/>
      <c r="G54" s="33"/>
      <c r="H54" s="33"/>
      <c r="I54" s="33"/>
      <c r="J54" s="33"/>
    </row>
    <row r="55" spans="1:10">
      <c r="A55" s="33"/>
      <c r="B55" s="35" t="s">
        <v>236</v>
      </c>
      <c r="C55" s="33">
        <f>SQRT(C54)</f>
        <v>217.68042401471246</v>
      </c>
      <c r="D55" s="33" t="s">
        <v>44</v>
      </c>
      <c r="E55" s="33"/>
      <c r="F55" s="36"/>
      <c r="G55" s="33"/>
      <c r="H55" s="33"/>
      <c r="I55" s="33"/>
    </row>
    <row r="56" spans="1:10">
      <c r="A56" s="33"/>
      <c r="B56" s="64"/>
      <c r="C56" s="33">
        <v>350</v>
      </c>
      <c r="D56" s="33" t="s">
        <v>44</v>
      </c>
      <c r="E56" s="33"/>
      <c r="F56" s="36"/>
      <c r="G56" s="33"/>
      <c r="H56" s="33"/>
      <c r="I56" s="33"/>
      <c r="J56" s="33"/>
    </row>
    <row r="57" spans="1:10">
      <c r="A57" s="33"/>
      <c r="B57" s="33" t="s">
        <v>237</v>
      </c>
      <c r="C57" s="33"/>
      <c r="D57" s="33"/>
      <c r="E57" s="33"/>
      <c r="F57" s="36"/>
      <c r="G57" s="33"/>
      <c r="H57" s="33"/>
      <c r="I57" s="33"/>
      <c r="J57" s="33"/>
    </row>
    <row r="58" spans="1:10">
      <c r="A58" s="32" t="s">
        <v>238</v>
      </c>
      <c r="B58" s="33"/>
      <c r="C58" s="33"/>
      <c r="D58" s="33"/>
      <c r="E58" s="33"/>
      <c r="F58" s="36"/>
      <c r="G58" s="33"/>
      <c r="H58" s="33"/>
      <c r="I58" s="33"/>
    </row>
    <row r="59" spans="1:10">
      <c r="A59" s="33"/>
      <c r="B59" s="35" t="s">
        <v>228</v>
      </c>
      <c r="C59" s="33" t="s">
        <v>239</v>
      </c>
      <c r="D59" s="33"/>
      <c r="E59" s="33"/>
      <c r="F59" s="36"/>
      <c r="G59" s="33"/>
      <c r="H59" s="33"/>
      <c r="I59" s="33"/>
      <c r="J59" s="33"/>
    </row>
    <row r="60" spans="1:10">
      <c r="A60" s="33"/>
      <c r="B60" s="33" t="s">
        <v>240</v>
      </c>
      <c r="C60" s="33"/>
      <c r="D60" s="33"/>
      <c r="E60" s="33"/>
      <c r="F60" s="36"/>
      <c r="G60" s="33"/>
      <c r="H60" s="33"/>
      <c r="I60" s="33"/>
      <c r="J60" s="33"/>
    </row>
    <row r="61" spans="1:10">
      <c r="A61" s="33"/>
      <c r="B61" s="35" t="s">
        <v>241</v>
      </c>
      <c r="C61" s="36">
        <f>((C23*1000*C56*15)-SQRT((C23*1000*C56*15)^2-4*500*-((C47*10^6)*15*1000*C23)/(0.87*500)))/(2*500)</f>
        <v>2170.821117415011</v>
      </c>
      <c r="D61" s="33" t="s">
        <v>242</v>
      </c>
      <c r="E61" s="33"/>
      <c r="F61" s="36"/>
      <c r="G61" s="33"/>
      <c r="H61" s="33"/>
      <c r="I61" s="33"/>
      <c r="J61" s="33"/>
    </row>
    <row r="62" spans="1:10">
      <c r="A62" s="65"/>
      <c r="B62" s="65" t="s">
        <v>243</v>
      </c>
      <c r="C62" s="36"/>
      <c r="D62" s="33"/>
      <c r="E62" s="33"/>
      <c r="F62" s="36"/>
      <c r="G62" s="33"/>
      <c r="H62" s="33"/>
      <c r="I62" s="33"/>
      <c r="J62" s="33"/>
    </row>
    <row r="63" spans="1:10">
      <c r="A63" s="65"/>
      <c r="B63" s="35" t="s">
        <v>244</v>
      </c>
      <c r="C63" s="36">
        <f>C61/113</f>
        <v>19.210806348805406</v>
      </c>
      <c r="D63" s="33">
        <v>18</v>
      </c>
      <c r="E63" s="33" t="s">
        <v>245</v>
      </c>
      <c r="F63" s="36"/>
      <c r="G63" s="33"/>
      <c r="H63" s="33"/>
      <c r="I63" s="33"/>
      <c r="J63" s="33"/>
    </row>
    <row r="64" spans="1:10">
      <c r="A64" s="65"/>
      <c r="B64" s="65" t="s">
        <v>246</v>
      </c>
      <c r="C64" s="36">
        <f>(C23*1000/D63)*2</f>
        <v>255.55555555555554</v>
      </c>
      <c r="D64" s="33"/>
      <c r="E64" s="33"/>
      <c r="F64" s="36"/>
      <c r="G64" s="33"/>
      <c r="H64" s="33"/>
      <c r="I64" s="33"/>
      <c r="J64" s="33"/>
    </row>
    <row r="65" spans="1:10">
      <c r="A65" s="65"/>
      <c r="B65" s="65" t="s">
        <v>247</v>
      </c>
      <c r="C65" s="36"/>
      <c r="D65" s="33"/>
      <c r="E65" s="33"/>
      <c r="F65" s="36"/>
      <c r="G65" s="33"/>
      <c r="H65" s="33"/>
      <c r="I65" s="33"/>
      <c r="J65" s="33"/>
    </row>
    <row r="66" spans="1:10">
      <c r="A66" s="33"/>
      <c r="B66" s="33"/>
      <c r="C66" s="33"/>
      <c r="D66" s="33"/>
      <c r="E66" s="35" t="s">
        <v>248</v>
      </c>
      <c r="F66" s="36"/>
      <c r="G66" s="33"/>
      <c r="H66" s="33"/>
      <c r="I66" s="33"/>
      <c r="J66" s="33"/>
    </row>
    <row r="67" spans="1:10" ht="14.25" customHeight="1">
      <c r="A67" s="32"/>
      <c r="B67" s="33"/>
      <c r="C67" s="33"/>
      <c r="D67" s="33"/>
      <c r="E67" s="33"/>
      <c r="F67" s="36"/>
      <c r="G67" s="33"/>
      <c r="H67" s="33"/>
      <c r="I67" s="33"/>
      <c r="J67" s="33"/>
    </row>
    <row r="68" spans="1:10">
      <c r="A68" s="33"/>
      <c r="B68" s="35"/>
      <c r="C68" s="33"/>
      <c r="D68" s="33"/>
      <c r="E68" s="33"/>
      <c r="F68" s="36"/>
      <c r="G68" s="33"/>
      <c r="H68" s="33"/>
      <c r="I68" s="33"/>
      <c r="J68" s="33"/>
    </row>
    <row r="69" spans="1:10">
      <c r="A69" s="33"/>
      <c r="B69" s="33"/>
      <c r="C69" s="33"/>
      <c r="D69" s="33"/>
      <c r="E69" s="33"/>
      <c r="F69" s="36"/>
      <c r="G69" s="33"/>
      <c r="H69" s="33"/>
      <c r="I69" s="33"/>
      <c r="J69" s="33"/>
    </row>
    <row r="70" spans="1:10">
      <c r="A70" s="33"/>
      <c r="B70" s="35"/>
      <c r="C70" s="36"/>
      <c r="D70" s="33"/>
      <c r="E70" s="33"/>
      <c r="F70" s="36"/>
      <c r="G70" s="33"/>
      <c r="H70" s="33"/>
      <c r="I70" s="33"/>
      <c r="J70" s="33"/>
    </row>
    <row r="71" spans="1:10">
      <c r="A71" s="65"/>
      <c r="B71" s="65"/>
      <c r="C71" s="36"/>
      <c r="D71" s="33"/>
      <c r="E71" s="33"/>
      <c r="F71" s="36"/>
      <c r="G71" s="33"/>
      <c r="H71" s="33"/>
      <c r="I71" s="33"/>
      <c r="J71" s="33"/>
    </row>
    <row r="72" spans="1:10">
      <c r="A72" s="65"/>
      <c r="B72" s="35"/>
      <c r="C72" s="36"/>
      <c r="D72" s="33"/>
      <c r="E72" s="33"/>
      <c r="F72" s="36"/>
      <c r="G72" s="33"/>
      <c r="H72" s="33"/>
      <c r="I72" s="33"/>
      <c r="J72" s="33"/>
    </row>
    <row r="73" spans="1:10">
      <c r="A73" s="65"/>
      <c r="B73" s="65"/>
      <c r="C73" s="36"/>
      <c r="D73" s="33"/>
      <c r="E73" s="33"/>
      <c r="F73" s="36"/>
      <c r="G73" s="33"/>
      <c r="H73" s="33"/>
      <c r="I73" s="33"/>
      <c r="J73" s="33"/>
    </row>
    <row r="74" spans="1:10">
      <c r="A74" s="65"/>
      <c r="B74" s="65"/>
      <c r="C74" s="36"/>
      <c r="D74" s="33"/>
      <c r="E74" s="33"/>
      <c r="F74" s="36"/>
      <c r="G74" s="33"/>
      <c r="H74" s="33"/>
      <c r="I74" s="33"/>
      <c r="J74" s="33"/>
    </row>
    <row r="75" spans="1:10">
      <c r="A75" s="33"/>
      <c r="B75" s="33"/>
      <c r="C75" s="33"/>
      <c r="D75" s="33"/>
      <c r="E75" s="35"/>
      <c r="F75" s="36"/>
      <c r="G75" s="33"/>
      <c r="H75" s="33"/>
      <c r="I75" s="33"/>
      <c r="J75" s="33"/>
    </row>
  </sheetData>
  <mergeCells count="3">
    <mergeCell ref="A1:I1"/>
    <mergeCell ref="H2:H4"/>
    <mergeCell ref="H6:H8"/>
  </mergeCells>
  <pageMargins left="0.7" right="0.7" top="0.75" bottom="0.75" header="0.3" footer="0.3"/>
  <pageSetup scale="86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N130"/>
  <sheetViews>
    <sheetView view="pageBreakPreview" zoomScale="130" workbookViewId="0">
      <selection activeCell="D7" sqref="D7"/>
    </sheetView>
  </sheetViews>
  <sheetFormatPr defaultColWidth="9" defaultRowHeight="15"/>
  <cols>
    <col min="1" max="1" width="37.28515625" customWidth="1"/>
    <col min="2" max="2" width="10.5703125" style="22" customWidth="1"/>
  </cols>
  <sheetData>
    <row r="1" spans="1:6">
      <c r="A1" s="129" t="s">
        <v>249</v>
      </c>
      <c r="B1" s="129"/>
      <c r="C1" s="129"/>
      <c r="D1" s="129"/>
      <c r="E1" s="129"/>
      <c r="F1" s="129"/>
    </row>
    <row r="2" spans="1:6">
      <c r="A2" s="31" t="s">
        <v>250</v>
      </c>
      <c r="B2" s="45">
        <v>25</v>
      </c>
      <c r="C2" s="44" t="s">
        <v>191</v>
      </c>
      <c r="D2" s="44"/>
      <c r="E2" s="44"/>
      <c r="F2" s="44"/>
    </row>
    <row r="3" spans="1:6">
      <c r="A3" s="31" t="s">
        <v>251</v>
      </c>
      <c r="B3" s="46">
        <v>1.07</v>
      </c>
      <c r="C3" t="s">
        <v>119</v>
      </c>
      <c r="F3">
        <f>3.5/3.281</f>
        <v>1.0667479427004001</v>
      </c>
    </row>
    <row r="4" spans="1:6">
      <c r="A4" s="31" t="s">
        <v>252</v>
      </c>
      <c r="B4" s="47">
        <v>2.4500000000000002</v>
      </c>
      <c r="C4" s="48" t="s">
        <v>119</v>
      </c>
      <c r="F4">
        <f>8/3.281</f>
        <v>2.4382810118866201</v>
      </c>
    </row>
    <row r="5" spans="1:6">
      <c r="A5" s="31" t="s">
        <v>253</v>
      </c>
      <c r="B5" s="47">
        <v>0.2</v>
      </c>
      <c r="C5" s="48" t="s">
        <v>119</v>
      </c>
      <c r="F5">
        <f>8*25.4</f>
        <v>203.2</v>
      </c>
    </row>
    <row r="6" spans="1:6">
      <c r="A6" s="31" t="s">
        <v>254</v>
      </c>
      <c r="B6" s="47">
        <v>0.254</v>
      </c>
      <c r="C6" s="48"/>
      <c r="F6">
        <f>10*25.4</f>
        <v>254</v>
      </c>
    </row>
    <row r="7" spans="1:6">
      <c r="A7" s="31" t="s">
        <v>255</v>
      </c>
      <c r="B7" s="49">
        <v>12</v>
      </c>
      <c r="C7" s="48"/>
    </row>
    <row r="8" spans="1:6">
      <c r="A8" s="31" t="s">
        <v>256</v>
      </c>
      <c r="B8" s="47">
        <v>10</v>
      </c>
      <c r="C8" s="48"/>
    </row>
    <row r="9" spans="1:6">
      <c r="B9" s="50"/>
      <c r="C9" s="48"/>
    </row>
    <row r="10" spans="1:6">
      <c r="A10" s="32" t="s">
        <v>257</v>
      </c>
      <c r="B10" s="50"/>
      <c r="C10" s="48"/>
    </row>
    <row r="11" spans="1:6">
      <c r="A11" s="31" t="s">
        <v>258</v>
      </c>
      <c r="B11" s="130" t="s">
        <v>259</v>
      </c>
      <c r="C11" s="130"/>
      <c r="D11" s="130"/>
      <c r="E11" s="130"/>
    </row>
    <row r="12" spans="1:6">
      <c r="A12" s="31" t="s">
        <v>260</v>
      </c>
      <c r="B12" s="50">
        <f>7.5/3.281</f>
        <v>2.2858884486437101</v>
      </c>
      <c r="C12" s="48" t="s">
        <v>119</v>
      </c>
      <c r="F12">
        <f>5/3.281</f>
        <v>1.5239256324291399</v>
      </c>
    </row>
    <row r="13" spans="1:6">
      <c r="A13" s="31" t="s">
        <v>261</v>
      </c>
      <c r="B13" s="131" t="s">
        <v>262</v>
      </c>
      <c r="C13" s="131"/>
      <c r="D13" s="131"/>
      <c r="E13" s="131"/>
      <c r="F13">
        <f>8.8/3.281</f>
        <v>2.6821091130752799</v>
      </c>
    </row>
    <row r="14" spans="1:6">
      <c r="A14" s="31" t="s">
        <v>260</v>
      </c>
      <c r="B14" s="50">
        <f>(B12/(20*1.46))*1000</f>
        <v>78.283850980948799</v>
      </c>
      <c r="C14" s="48" t="s">
        <v>44</v>
      </c>
      <c r="D14" s="48"/>
    </row>
    <row r="15" spans="1:6">
      <c r="A15" t="s">
        <v>263</v>
      </c>
      <c r="B15" s="50"/>
      <c r="C15" s="48"/>
    </row>
    <row r="16" spans="1:6">
      <c r="A16" s="31" t="s">
        <v>236</v>
      </c>
      <c r="B16" s="51">
        <v>100</v>
      </c>
      <c r="C16" s="48" t="s">
        <v>44</v>
      </c>
    </row>
    <row r="17" spans="1:3">
      <c r="A17" s="31" t="s">
        <v>264</v>
      </c>
      <c r="B17" s="51">
        <f>B16+25</f>
        <v>125</v>
      </c>
      <c r="C17" s="48" t="s">
        <v>44</v>
      </c>
    </row>
    <row r="18" spans="1:3">
      <c r="A18" s="31"/>
      <c r="B18" s="50"/>
      <c r="C18" s="48"/>
    </row>
    <row r="19" spans="1:3">
      <c r="A19" s="32" t="s">
        <v>265</v>
      </c>
      <c r="B19" s="50"/>
      <c r="C19" s="48"/>
    </row>
    <row r="20" spans="1:3" ht="30">
      <c r="A20" s="52" t="s">
        <v>266</v>
      </c>
      <c r="B20" s="50" t="s">
        <v>267</v>
      </c>
      <c r="C20" s="48"/>
    </row>
    <row r="21" spans="1:3">
      <c r="A21" s="31" t="s">
        <v>260</v>
      </c>
      <c r="B21" s="22">
        <f>B17*B2*SQRT(1+((B5*B5)/(0.254*0.254)))/1000</f>
        <v>3.9774771664208499</v>
      </c>
      <c r="C21" t="s">
        <v>215</v>
      </c>
    </row>
    <row r="23" spans="1:3">
      <c r="A23" t="s">
        <v>268</v>
      </c>
      <c r="B23" s="22" t="s">
        <v>269</v>
      </c>
    </row>
    <row r="24" spans="1:3">
      <c r="B24" s="22">
        <f>12.5*B5</f>
        <v>2.5</v>
      </c>
      <c r="C24" t="s">
        <v>215</v>
      </c>
    </row>
    <row r="26" spans="1:3">
      <c r="A26" s="31" t="s">
        <v>270</v>
      </c>
      <c r="B26" s="22">
        <f>B21+B24</f>
        <v>6.4774771664208499</v>
      </c>
      <c r="C26" t="s">
        <v>215</v>
      </c>
    </row>
    <row r="27" spans="1:3">
      <c r="A27" s="31" t="s">
        <v>271</v>
      </c>
      <c r="B27" s="22">
        <v>3</v>
      </c>
      <c r="C27" t="s">
        <v>215</v>
      </c>
    </row>
    <row r="28" spans="1:3">
      <c r="A28" s="31" t="s">
        <v>272</v>
      </c>
      <c r="B28" s="22">
        <f>B26+B27</f>
        <v>9.4774771664208508</v>
      </c>
      <c r="C28" t="s">
        <v>215</v>
      </c>
    </row>
    <row r="29" spans="1:3">
      <c r="A29" s="31" t="s">
        <v>273</v>
      </c>
      <c r="B29" s="22">
        <f>B28*1.5</f>
        <v>14.216215749631299</v>
      </c>
      <c r="C29" t="s">
        <v>215</v>
      </c>
    </row>
    <row r="30" spans="1:3">
      <c r="A30" t="s">
        <v>274</v>
      </c>
    </row>
    <row r="31" spans="1:3">
      <c r="A31" s="31" t="s">
        <v>275</v>
      </c>
      <c r="B31" s="22">
        <f>B2*B17*1/1000</f>
        <v>3.125</v>
      </c>
      <c r="C31" t="s">
        <v>215</v>
      </c>
    </row>
    <row r="32" spans="1:3">
      <c r="A32" s="31" t="s">
        <v>276</v>
      </c>
      <c r="B32" s="22">
        <v>3</v>
      </c>
      <c r="C32" t="s">
        <v>215</v>
      </c>
    </row>
    <row r="33" spans="1:14">
      <c r="A33" s="31" t="s">
        <v>277</v>
      </c>
      <c r="B33" s="22">
        <f>B31+B32</f>
        <v>6.125</v>
      </c>
      <c r="C33" t="s">
        <v>215</v>
      </c>
    </row>
    <row r="34" spans="1:14">
      <c r="A34" s="31" t="s">
        <v>278</v>
      </c>
      <c r="B34" s="22">
        <f>B33*1.5</f>
        <v>9.1875</v>
      </c>
      <c r="C34" t="s">
        <v>215</v>
      </c>
    </row>
    <row r="36" spans="1:14">
      <c r="A36" s="32" t="s">
        <v>279</v>
      </c>
    </row>
    <row r="37" spans="1:14">
      <c r="A37" s="31" t="s">
        <v>280</v>
      </c>
      <c r="B37" s="22">
        <f>9.2*(0.8+1.06)+14.2*1.27-B38</f>
        <v>17.836738019169299</v>
      </c>
      <c r="C37" t="s">
        <v>177</v>
      </c>
      <c r="F37">
        <f>(2*12+7)*25.4</f>
        <v>787.4</v>
      </c>
      <c r="G37">
        <f>(4*12+2)*25.4</f>
        <v>1270</v>
      </c>
    </row>
    <row r="38" spans="1:14">
      <c r="A38" s="31" t="s">
        <v>281</v>
      </c>
      <c r="B38" s="22">
        <f>(9.2*0.8*0.8/2+14.2*1.27*(1.27/2+0.8)+9.2*1.06*(0.8+1.27+1.06/2))/3.13</f>
        <v>17.309261980830701</v>
      </c>
      <c r="C38" t="s">
        <v>177</v>
      </c>
      <c r="G38">
        <f>0.8+1.27+1.06</f>
        <v>3.13</v>
      </c>
    </row>
    <row r="39" spans="1:14">
      <c r="A39" s="31" t="s">
        <v>282</v>
      </c>
      <c r="B39" s="22">
        <f>17.8*3.13/2-9.2*0.8*(0.765+0.8)/2-14.2*0.765^2/2</f>
        <v>17.942702499999999</v>
      </c>
      <c r="C39" t="s">
        <v>283</v>
      </c>
    </row>
    <row r="40" spans="1:14" ht="30">
      <c r="A40" s="53" t="s">
        <v>284</v>
      </c>
      <c r="B40" s="22" t="s">
        <v>285</v>
      </c>
    </row>
    <row r="41" spans="1:14">
      <c r="A41" s="31" t="s">
        <v>260</v>
      </c>
      <c r="B41" s="22">
        <f>0.138*20*1000*B16*B16/1000000</f>
        <v>27.6</v>
      </c>
      <c r="C41" t="s">
        <v>283</v>
      </c>
      <c r="D41" t="s">
        <v>286</v>
      </c>
    </row>
    <row r="42" spans="1:14">
      <c r="A42" t="s">
        <v>287</v>
      </c>
    </row>
    <row r="44" spans="1:14">
      <c r="A44" s="32" t="s">
        <v>288</v>
      </c>
      <c r="H44" s="8" t="s">
        <v>289</v>
      </c>
      <c r="I44" s="8" t="s">
        <v>290</v>
      </c>
      <c r="J44" s="8" t="s">
        <v>291</v>
      </c>
      <c r="K44" s="8" t="s">
        <v>292</v>
      </c>
      <c r="L44" s="8" t="s">
        <v>246</v>
      </c>
      <c r="M44" s="8" t="s">
        <v>293</v>
      </c>
      <c r="N44" s="8"/>
    </row>
    <row r="45" spans="1:14">
      <c r="A45" s="31" t="s">
        <v>294</v>
      </c>
      <c r="B45" s="22" t="s">
        <v>295</v>
      </c>
      <c r="H45" s="8">
        <v>1</v>
      </c>
      <c r="I45" s="8">
        <f>B16/(500/(20*1000))</f>
        <v>4000</v>
      </c>
      <c r="J45" s="8">
        <f>((B39*1000000)/(0.87*500))/(500/(20*1000))</f>
        <v>1649903.67816092</v>
      </c>
      <c r="K45" s="8">
        <f>(I45-(SQRT((I45*I45)-(4*J45))))/(2*H45)</f>
        <v>466.997611926491</v>
      </c>
      <c r="L45" s="8">
        <f>(B57/K45)*1000</f>
        <v>168.180338258577</v>
      </c>
      <c r="M45" s="8">
        <v>155</v>
      </c>
      <c r="N45" s="8">
        <f>1000/(M45/B48)</f>
        <v>506.708492514483</v>
      </c>
    </row>
    <row r="46" spans="1:14">
      <c r="A46" s="31" t="s">
        <v>296</v>
      </c>
      <c r="H46" s="8"/>
      <c r="I46" s="8"/>
      <c r="J46" s="8"/>
      <c r="K46" s="8"/>
      <c r="L46" s="8"/>
      <c r="M46" s="8"/>
      <c r="N46" s="8"/>
    </row>
    <row r="47" spans="1:14">
      <c r="A47" s="31" t="s">
        <v>241</v>
      </c>
      <c r="B47" s="22">
        <f>(20/2/500)*(1-SQRT(1-B39*10^6*4.6/(20*B17^2*1000)))*B17*1000</f>
        <v>355.40881051888999</v>
      </c>
      <c r="C47" t="s">
        <v>40</v>
      </c>
      <c r="H47" s="8"/>
      <c r="I47" s="8"/>
      <c r="J47" s="8"/>
      <c r="K47" s="8"/>
      <c r="L47" s="8"/>
      <c r="M47" s="8"/>
      <c r="N47" s="8"/>
    </row>
    <row r="48" spans="1:14">
      <c r="A48" s="31" t="s">
        <v>297</v>
      </c>
      <c r="B48" s="22">
        <f>PI()*(10*10)*(1/4)</f>
        <v>78.539816339744803</v>
      </c>
      <c r="C48" t="s">
        <v>298</v>
      </c>
      <c r="H48" s="8"/>
      <c r="I48" s="8"/>
      <c r="J48" s="8"/>
      <c r="K48" s="8"/>
      <c r="L48" s="8"/>
      <c r="M48" s="8"/>
      <c r="N48" s="8"/>
    </row>
    <row r="49" spans="1:14">
      <c r="A49" s="31" t="s">
        <v>299</v>
      </c>
      <c r="B49" s="22" t="s">
        <v>300</v>
      </c>
      <c r="F49">
        <f>7*25.4</f>
        <v>177.8</v>
      </c>
      <c r="H49" s="8"/>
      <c r="I49" s="8"/>
      <c r="J49" s="8"/>
      <c r="K49" s="8"/>
      <c r="L49" s="8"/>
      <c r="M49" s="8"/>
      <c r="N49" s="8"/>
    </row>
    <row r="50" spans="1:14">
      <c r="B50" s="22">
        <f>(B48/B47)*1000</f>
        <v>220.98443824473</v>
      </c>
      <c r="C50" t="s">
        <v>44</v>
      </c>
      <c r="H50" s="8"/>
      <c r="I50" s="8"/>
      <c r="J50" s="8"/>
      <c r="K50" s="8"/>
      <c r="L50" s="8"/>
      <c r="M50" s="8"/>
      <c r="N50" s="8"/>
    </row>
    <row r="51" spans="1:14">
      <c r="A51" t="s">
        <v>301</v>
      </c>
      <c r="H51" s="8"/>
      <c r="I51" s="8"/>
      <c r="J51" s="8"/>
      <c r="K51" s="8"/>
      <c r="L51" s="8"/>
      <c r="M51" s="8"/>
      <c r="N51" s="8"/>
    </row>
    <row r="52" spans="1:14">
      <c r="A52" t="s">
        <v>302</v>
      </c>
      <c r="B52" s="22">
        <f>(B48/150)*1000</f>
        <v>523.59877559829897</v>
      </c>
      <c r="C52" t="s">
        <v>40</v>
      </c>
      <c r="H52" s="8"/>
      <c r="I52" s="8"/>
      <c r="J52" s="8"/>
      <c r="K52" s="8"/>
      <c r="L52" s="8"/>
      <c r="M52" s="8"/>
      <c r="N52" s="8"/>
    </row>
    <row r="53" spans="1:14">
      <c r="A53" s="54" t="s">
        <v>303</v>
      </c>
      <c r="B53" s="55">
        <v>150</v>
      </c>
      <c r="C53" s="32" t="s">
        <v>170</v>
      </c>
      <c r="D53" s="32"/>
      <c r="E53" s="32"/>
      <c r="F53" s="32"/>
    </row>
    <row r="55" spans="1:14">
      <c r="A55" s="31" t="s">
        <v>304</v>
      </c>
      <c r="B55" s="22" t="s">
        <v>305</v>
      </c>
    </row>
    <row r="56" spans="1:14">
      <c r="A56" s="31" t="s">
        <v>260</v>
      </c>
      <c r="B56" s="22">
        <f>(0.12/100)*1000*125</f>
        <v>150</v>
      </c>
      <c r="C56" t="s">
        <v>298</v>
      </c>
    </row>
    <row r="57" spans="1:14">
      <c r="A57" s="31" t="s">
        <v>306</v>
      </c>
      <c r="B57" s="22">
        <f>B48</f>
        <v>78.539816339744803</v>
      </c>
      <c r="C57" t="s">
        <v>40</v>
      </c>
    </row>
    <row r="58" spans="1:14">
      <c r="A58" s="31" t="s">
        <v>307</v>
      </c>
      <c r="B58" s="22">
        <f>(B57/B56)*1000</f>
        <v>523.59877559829897</v>
      </c>
      <c r="C58" t="s">
        <v>44</v>
      </c>
    </row>
    <row r="59" spans="1:14">
      <c r="A59" s="31" t="s">
        <v>308</v>
      </c>
    </row>
    <row r="60" spans="1:14">
      <c r="A60" s="31" t="s">
        <v>309</v>
      </c>
      <c r="B60" s="22">
        <f>(B57/200)*1000</f>
        <v>392.699081698724</v>
      </c>
      <c r="F60">
        <v>1</v>
      </c>
    </row>
    <row r="61" spans="1:14" ht="14.25" customHeight="1">
      <c r="A61" s="129" t="s">
        <v>310</v>
      </c>
      <c r="B61" s="129"/>
      <c r="C61" s="129"/>
      <c r="D61" s="129"/>
    </row>
    <row r="63" spans="1:14">
      <c r="A63" s="32" t="s">
        <v>311</v>
      </c>
    </row>
    <row r="64" spans="1:14">
      <c r="A64" s="31" t="s">
        <v>312</v>
      </c>
      <c r="B64" s="22" t="s">
        <v>313</v>
      </c>
    </row>
    <row r="65" spans="1:6">
      <c r="B65" s="22">
        <f>(10*0.84*500)/(4*1.6*1.2)</f>
        <v>546.875</v>
      </c>
      <c r="C65" t="s">
        <v>44</v>
      </c>
    </row>
    <row r="66" spans="1:6">
      <c r="A66" s="129" t="s">
        <v>314</v>
      </c>
      <c r="B66" s="129"/>
      <c r="C66" s="129"/>
      <c r="D66" s="129"/>
      <c r="E66" s="129"/>
      <c r="F66" s="129"/>
    </row>
    <row r="67" spans="1:6">
      <c r="A67" s="129"/>
      <c r="B67" s="129"/>
      <c r="C67" s="129"/>
      <c r="D67" s="129"/>
      <c r="E67" s="129"/>
      <c r="F67" s="129"/>
    </row>
    <row r="69" spans="1:6" s="44" customFormat="1">
      <c r="A69" s="56" t="s">
        <v>315</v>
      </c>
      <c r="B69" s="57"/>
    </row>
    <row r="70" spans="1:6">
      <c r="A70" s="31" t="s">
        <v>258</v>
      </c>
      <c r="B70" s="130" t="s">
        <v>259</v>
      </c>
      <c r="C70" s="130"/>
      <c r="D70" s="130"/>
      <c r="E70" s="130"/>
    </row>
    <row r="71" spans="1:6">
      <c r="A71" s="31" t="s">
        <v>260</v>
      </c>
      <c r="B71" s="50">
        <f>3.63</f>
        <v>3.63</v>
      </c>
      <c r="C71" s="48" t="s">
        <v>119</v>
      </c>
    </row>
    <row r="72" spans="1:6">
      <c r="A72" s="31" t="s">
        <v>261</v>
      </c>
      <c r="B72" s="131" t="s">
        <v>262</v>
      </c>
      <c r="C72" s="131"/>
      <c r="D72" s="131"/>
      <c r="E72" s="131"/>
    </row>
    <row r="73" spans="1:6">
      <c r="A73" s="31" t="s">
        <v>260</v>
      </c>
      <c r="B73" s="50">
        <f>(B71/(20*1.46))*1000</f>
        <v>124.315068493151</v>
      </c>
      <c r="C73" s="48" t="s">
        <v>44</v>
      </c>
      <c r="D73" s="48"/>
    </row>
    <row r="74" spans="1:6">
      <c r="A74" t="s">
        <v>263</v>
      </c>
      <c r="B74" s="50"/>
      <c r="C74" s="48"/>
    </row>
    <row r="75" spans="1:6">
      <c r="A75" s="31" t="s">
        <v>236</v>
      </c>
      <c r="B75" s="51">
        <v>125</v>
      </c>
      <c r="C75" s="48" t="s">
        <v>44</v>
      </c>
    </row>
    <row r="76" spans="1:6">
      <c r="A76" s="31" t="s">
        <v>264</v>
      </c>
      <c r="B76" s="51">
        <f>B75+25</f>
        <v>150</v>
      </c>
      <c r="C76" s="48" t="s">
        <v>44</v>
      </c>
    </row>
    <row r="77" spans="1:6">
      <c r="A77" s="31"/>
      <c r="B77" s="50"/>
      <c r="C77" s="48"/>
    </row>
    <row r="78" spans="1:6">
      <c r="A78" s="32" t="s">
        <v>265</v>
      </c>
      <c r="B78" s="50"/>
      <c r="C78" s="48"/>
    </row>
    <row r="79" spans="1:6" ht="30">
      <c r="A79" s="52" t="s">
        <v>266</v>
      </c>
      <c r="B79" s="50" t="s">
        <v>267</v>
      </c>
      <c r="C79" s="48"/>
    </row>
    <row r="80" spans="1:6">
      <c r="A80" s="31" t="s">
        <v>260</v>
      </c>
      <c r="B80" s="22">
        <f>B76*B2*SQRT(1+((B5*B5)/(0.254*0.254)))/1000</f>
        <v>4.7729725997050201</v>
      </c>
      <c r="C80" t="s">
        <v>215</v>
      </c>
    </row>
    <row r="82" spans="1:3">
      <c r="A82" t="s">
        <v>268</v>
      </c>
      <c r="B82" s="22" t="s">
        <v>269</v>
      </c>
    </row>
    <row r="83" spans="1:3">
      <c r="B83" s="22">
        <f>12.5*B5</f>
        <v>2.5</v>
      </c>
      <c r="C83" t="s">
        <v>215</v>
      </c>
    </row>
    <row r="85" spans="1:3">
      <c r="A85" s="31" t="s">
        <v>270</v>
      </c>
      <c r="B85" s="22">
        <f>B80+B83</f>
        <v>7.2729725997050201</v>
      </c>
      <c r="C85" t="s">
        <v>215</v>
      </c>
    </row>
    <row r="86" spans="1:3">
      <c r="A86" s="31" t="s">
        <v>271</v>
      </c>
      <c r="B86" s="22">
        <v>3</v>
      </c>
      <c r="C86" t="s">
        <v>215</v>
      </c>
    </row>
    <row r="87" spans="1:3">
      <c r="A87" s="31" t="s">
        <v>272</v>
      </c>
      <c r="B87" s="22">
        <f>B85+B86</f>
        <v>10.272972599705</v>
      </c>
      <c r="C87" t="s">
        <v>215</v>
      </c>
    </row>
    <row r="88" spans="1:3">
      <c r="A88" s="31" t="s">
        <v>273</v>
      </c>
      <c r="B88" s="22">
        <f>B87*1.5</f>
        <v>15.409458899557499</v>
      </c>
      <c r="C88" t="s">
        <v>215</v>
      </c>
    </row>
    <row r="90" spans="1:3">
      <c r="A90" t="s">
        <v>274</v>
      </c>
    </row>
    <row r="91" spans="1:3">
      <c r="A91" s="31" t="s">
        <v>275</v>
      </c>
      <c r="B91" s="22">
        <f>B2*B76*1/1000</f>
        <v>3.75</v>
      </c>
      <c r="C91" t="s">
        <v>215</v>
      </c>
    </row>
    <row r="92" spans="1:3">
      <c r="A92" s="31" t="s">
        <v>276</v>
      </c>
      <c r="B92" s="22">
        <v>3</v>
      </c>
      <c r="C92" t="s">
        <v>215</v>
      </c>
    </row>
    <row r="93" spans="1:3">
      <c r="A93" s="31" t="s">
        <v>277</v>
      </c>
      <c r="B93" s="22">
        <f>B91+B92</f>
        <v>6.75</v>
      </c>
      <c r="C93" t="s">
        <v>215</v>
      </c>
    </row>
    <row r="94" spans="1:3">
      <c r="A94" s="31" t="s">
        <v>278</v>
      </c>
      <c r="B94" s="22">
        <f>B93*1.5</f>
        <v>10.125</v>
      </c>
      <c r="C94" t="s">
        <v>215</v>
      </c>
    </row>
    <row r="96" spans="1:3">
      <c r="A96" s="32" t="s">
        <v>279</v>
      </c>
    </row>
    <row r="97" spans="1:4">
      <c r="A97" s="31" t="s">
        <v>281</v>
      </c>
      <c r="B97" s="22">
        <v>31.77</v>
      </c>
      <c r="C97" t="s">
        <v>177</v>
      </c>
    </row>
    <row r="98" spans="1:4">
      <c r="A98" s="31" t="s">
        <v>316</v>
      </c>
      <c r="B98" s="22">
        <v>34.08</v>
      </c>
      <c r="C98" t="s">
        <v>177</v>
      </c>
    </row>
    <row r="99" spans="1:4">
      <c r="A99" s="31" t="s">
        <v>282</v>
      </c>
      <c r="B99" s="22">
        <v>32.335999999999999</v>
      </c>
      <c r="C99" t="s">
        <v>283</v>
      </c>
    </row>
    <row r="100" spans="1:4" ht="30">
      <c r="A100" s="53" t="s">
        <v>284</v>
      </c>
      <c r="B100" s="22" t="s">
        <v>285</v>
      </c>
    </row>
    <row r="101" spans="1:4">
      <c r="A101" s="31" t="s">
        <v>260</v>
      </c>
      <c r="B101" s="22">
        <f>0.138*20*1000*B75*B75/1000000</f>
        <v>43.125</v>
      </c>
      <c r="C101" t="s">
        <v>283</v>
      </c>
      <c r="D101" t="s">
        <v>317</v>
      </c>
    </row>
    <row r="102" spans="1:4">
      <c r="A102" t="s">
        <v>287</v>
      </c>
    </row>
    <row r="104" spans="1:4">
      <c r="A104" s="32" t="s">
        <v>288</v>
      </c>
    </row>
    <row r="105" spans="1:4">
      <c r="A105" s="31" t="s">
        <v>294</v>
      </c>
      <c r="B105" s="22" t="s">
        <v>295</v>
      </c>
    </row>
    <row r="106" spans="1:4">
      <c r="A106" s="31" t="s">
        <v>296</v>
      </c>
    </row>
    <row r="107" spans="1:4">
      <c r="A107" s="31" t="s">
        <v>241</v>
      </c>
      <c r="B107" s="22">
        <v>426.35399999999998</v>
      </c>
      <c r="C107" t="s">
        <v>40</v>
      </c>
    </row>
    <row r="109" spans="1:4">
      <c r="A109" s="31" t="s">
        <v>297</v>
      </c>
      <c r="B109" s="22">
        <f>B48</f>
        <v>78.539816339744803</v>
      </c>
      <c r="C109" t="s">
        <v>298</v>
      </c>
    </row>
    <row r="111" spans="1:4">
      <c r="A111" s="31" t="s">
        <v>299</v>
      </c>
      <c r="B111" s="22" t="s">
        <v>300</v>
      </c>
    </row>
    <row r="112" spans="1:4">
      <c r="B112" s="22">
        <f>(B109/B107)*1000</f>
        <v>184.21268790663399</v>
      </c>
      <c r="C112" t="s">
        <v>44</v>
      </c>
    </row>
    <row r="113" spans="1:6">
      <c r="A113" t="s">
        <v>318</v>
      </c>
    </row>
    <row r="114" spans="1:6">
      <c r="A114" t="s">
        <v>302</v>
      </c>
      <c r="B114" s="22">
        <f>(B109/115)*1000</f>
        <v>682.95492469343299</v>
      </c>
      <c r="C114" t="s">
        <v>40</v>
      </c>
    </row>
    <row r="116" spans="1:6">
      <c r="A116" s="54" t="s">
        <v>303</v>
      </c>
      <c r="B116" s="55">
        <f>115</f>
        <v>115</v>
      </c>
      <c r="C116" s="32" t="s">
        <v>170</v>
      </c>
    </row>
    <row r="117" spans="1:6">
      <c r="E117">
        <f>10*10*22/(7*4)</f>
        <v>78.571428571428598</v>
      </c>
    </row>
    <row r="118" spans="1:6">
      <c r="A118" s="31" t="s">
        <v>304</v>
      </c>
      <c r="B118" s="22" t="s">
        <v>305</v>
      </c>
    </row>
    <row r="119" spans="1:6">
      <c r="B119" s="22">
        <f>(0.12/100)*1000*B76</f>
        <v>180</v>
      </c>
      <c r="C119" t="s">
        <v>298</v>
      </c>
    </row>
    <row r="120" spans="1:6">
      <c r="A120" s="31" t="s">
        <v>306</v>
      </c>
      <c r="B120" s="22">
        <f>B48</f>
        <v>78.539816339744803</v>
      </c>
      <c r="C120" t="s">
        <v>40</v>
      </c>
    </row>
    <row r="121" spans="1:6">
      <c r="A121" s="31" t="s">
        <v>307</v>
      </c>
      <c r="B121" s="22">
        <f>(B120/B119)*1000</f>
        <v>436.33231299858198</v>
      </c>
      <c r="C121" t="s">
        <v>44</v>
      </c>
    </row>
    <row r="122" spans="1:6">
      <c r="A122" s="31" t="s">
        <v>308</v>
      </c>
    </row>
    <row r="123" spans="1:6">
      <c r="A123" s="31" t="s">
        <v>309</v>
      </c>
      <c r="B123" s="22">
        <f>(B120/200)*1000</f>
        <v>392.699081698724</v>
      </c>
      <c r="F123">
        <v>1</v>
      </c>
    </row>
    <row r="124" spans="1:6">
      <c r="A124" s="129" t="s">
        <v>310</v>
      </c>
      <c r="B124" s="129"/>
      <c r="C124" s="129"/>
      <c r="D124" s="129"/>
    </row>
    <row r="126" spans="1:6">
      <c r="A126" s="32" t="s">
        <v>311</v>
      </c>
    </row>
    <row r="127" spans="1:6">
      <c r="A127" s="31" t="s">
        <v>312</v>
      </c>
      <c r="B127" s="22" t="s">
        <v>313</v>
      </c>
    </row>
    <row r="128" spans="1:6">
      <c r="B128" s="22">
        <f>(8*0.84*500)/(4*1.6*1.2)</f>
        <v>437.5</v>
      </c>
      <c r="C128" t="s">
        <v>44</v>
      </c>
    </row>
    <row r="129" spans="1:6">
      <c r="A129" s="129" t="s">
        <v>319</v>
      </c>
      <c r="B129" s="129"/>
      <c r="C129" s="129"/>
      <c r="D129" s="129"/>
      <c r="E129" s="129"/>
      <c r="F129" s="129"/>
    </row>
    <row r="130" spans="1:6">
      <c r="A130" s="129"/>
      <c r="B130" s="129"/>
      <c r="C130" s="129"/>
      <c r="D130" s="129"/>
      <c r="E130" s="129"/>
      <c r="F130" s="129"/>
    </row>
  </sheetData>
  <mergeCells count="9">
    <mergeCell ref="B72:E72"/>
    <mergeCell ref="A124:D124"/>
    <mergeCell ref="A129:F130"/>
    <mergeCell ref="A66:F67"/>
    <mergeCell ref="A1:F1"/>
    <mergeCell ref="B11:E11"/>
    <mergeCell ref="B13:E13"/>
    <mergeCell ref="A61:D61"/>
    <mergeCell ref="B70:E7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O90"/>
  <sheetViews>
    <sheetView topLeftCell="A23" workbookViewId="0">
      <selection activeCell="G36" sqref="G36"/>
    </sheetView>
  </sheetViews>
  <sheetFormatPr defaultColWidth="9" defaultRowHeight="15"/>
  <cols>
    <col min="4" max="4" width="11" customWidth="1"/>
    <col min="7" max="7" width="23.7109375" customWidth="1"/>
  </cols>
  <sheetData>
    <row r="1" spans="1:14" hidden="1"/>
    <row r="2" spans="1:14" hidden="1">
      <c r="A2" t="s">
        <v>320</v>
      </c>
    </row>
    <row r="3" spans="1:14" hidden="1">
      <c r="A3" s="17" t="s">
        <v>321</v>
      </c>
      <c r="B3" s="17"/>
      <c r="C3" t="s">
        <v>322</v>
      </c>
      <c r="E3" s="18">
        <v>450.26100000000002</v>
      </c>
    </row>
    <row r="4" spans="1:14" hidden="1">
      <c r="A4" s="17">
        <v>11</v>
      </c>
      <c r="B4" s="17"/>
      <c r="C4" t="s">
        <v>26</v>
      </c>
      <c r="E4" s="18">
        <v>555.96</v>
      </c>
    </row>
    <row r="5" spans="1:14" hidden="1">
      <c r="A5" s="17">
        <v>12</v>
      </c>
      <c r="B5" s="17"/>
      <c r="C5" t="s">
        <v>24</v>
      </c>
      <c r="E5" s="18">
        <v>241.989</v>
      </c>
    </row>
    <row r="6" spans="1:14" hidden="1">
      <c r="A6" s="17">
        <v>13</v>
      </c>
      <c r="B6" s="17"/>
      <c r="C6" t="s">
        <v>29</v>
      </c>
      <c r="E6" s="18">
        <v>632.76400000000001</v>
      </c>
    </row>
    <row r="7" spans="1:14" hidden="1">
      <c r="A7" s="17">
        <v>14</v>
      </c>
      <c r="B7" s="17"/>
      <c r="C7" t="s">
        <v>27</v>
      </c>
      <c r="E7" s="18">
        <v>757.83900000000006</v>
      </c>
    </row>
    <row r="8" spans="1:14" hidden="1">
      <c r="A8" s="17">
        <v>15</v>
      </c>
      <c r="B8" s="17"/>
      <c r="C8" t="s">
        <v>323</v>
      </c>
      <c r="E8" s="18">
        <v>425.81400000000002</v>
      </c>
    </row>
    <row r="9" spans="1:14" hidden="1">
      <c r="A9" s="17">
        <v>16</v>
      </c>
      <c r="B9" s="17"/>
      <c r="C9" t="s">
        <v>30</v>
      </c>
      <c r="E9" s="18">
        <v>379.06299999999999</v>
      </c>
    </row>
    <row r="10" spans="1:14" hidden="1">
      <c r="A10" s="17">
        <v>17</v>
      </c>
      <c r="B10" s="17"/>
      <c r="C10" t="s">
        <v>28</v>
      </c>
      <c r="E10" s="18">
        <v>508.23200000000003</v>
      </c>
    </row>
    <row r="11" spans="1:14" hidden="1">
      <c r="A11" s="19">
        <v>18</v>
      </c>
      <c r="B11" s="19"/>
      <c r="C11" t="s">
        <v>25</v>
      </c>
      <c r="E11" s="20">
        <v>314.64400000000001</v>
      </c>
    </row>
    <row r="12" spans="1:14" hidden="1">
      <c r="A12" s="21"/>
      <c r="B12" s="21"/>
      <c r="C12" s="21"/>
      <c r="D12" s="21"/>
      <c r="E12" s="21"/>
    </row>
    <row r="13" spans="1:14" ht="21">
      <c r="A13" s="132" t="s">
        <v>324</v>
      </c>
      <c r="B13" s="132"/>
      <c r="C13" s="132"/>
      <c r="D13" s="132"/>
      <c r="E13" s="132"/>
      <c r="F13" s="132"/>
      <c r="G13" s="132"/>
      <c r="H13" s="132"/>
      <c r="I13" s="132"/>
      <c r="J13" s="132"/>
    </row>
    <row r="14" spans="1:14">
      <c r="G14" s="22"/>
    </row>
    <row r="15" spans="1:14" ht="60">
      <c r="A15" s="23" t="s">
        <v>180</v>
      </c>
      <c r="B15" s="23" t="s">
        <v>181</v>
      </c>
      <c r="C15" s="133" t="s">
        <v>182</v>
      </c>
      <c r="D15" s="133"/>
      <c r="E15" s="133"/>
      <c r="F15" s="133"/>
      <c r="G15" s="24" t="s">
        <v>183</v>
      </c>
      <c r="H15" s="25"/>
      <c r="I15" s="25"/>
      <c r="J15" s="39"/>
      <c r="K15" s="23" t="s">
        <v>180</v>
      </c>
      <c r="L15" s="23" t="s">
        <v>181</v>
      </c>
      <c r="M15" s="23" t="s">
        <v>182</v>
      </c>
      <c r="N15" s="24" t="s">
        <v>183</v>
      </c>
    </row>
    <row r="16" spans="1:14">
      <c r="A16" s="26" t="s">
        <v>321</v>
      </c>
      <c r="B16" s="8" t="s">
        <v>24</v>
      </c>
      <c r="C16" s="134">
        <v>450.26100000000002</v>
      </c>
      <c r="D16" s="134"/>
      <c r="E16" s="134"/>
      <c r="F16" s="134"/>
      <c r="G16" s="27">
        <f>C16/1.5</f>
        <v>300.17399999999998</v>
      </c>
      <c r="K16" s="8"/>
      <c r="L16" s="8"/>
      <c r="M16" s="8" t="s">
        <v>186</v>
      </c>
      <c r="N16" s="8" t="s">
        <v>186</v>
      </c>
    </row>
    <row r="17" spans="1:14">
      <c r="A17" s="26">
        <v>11</v>
      </c>
      <c r="B17" s="8" t="s">
        <v>323</v>
      </c>
      <c r="C17" s="134">
        <v>555.96</v>
      </c>
      <c r="D17" s="134"/>
      <c r="E17" s="134"/>
      <c r="F17" s="134"/>
      <c r="G17" s="27">
        <f t="shared" ref="G17:G24" si="0">C17/1.5</f>
        <v>370.64</v>
      </c>
      <c r="K17" s="26" t="s">
        <v>321</v>
      </c>
      <c r="L17" s="8" t="s">
        <v>24</v>
      </c>
      <c r="M17" s="26">
        <v>450.26100000000002</v>
      </c>
      <c r="N17" s="40">
        <f>M17/1.5</f>
        <v>300.17399999999998</v>
      </c>
    </row>
    <row r="18" spans="1:14">
      <c r="A18" s="26">
        <v>12</v>
      </c>
      <c r="B18" s="8" t="s">
        <v>25</v>
      </c>
      <c r="C18" s="134">
        <v>241.989</v>
      </c>
      <c r="D18" s="134"/>
      <c r="E18" s="134"/>
      <c r="F18" s="134"/>
      <c r="G18" s="27">
        <f t="shared" si="0"/>
        <v>161.32599999999999</v>
      </c>
      <c r="K18" s="26">
        <v>11</v>
      </c>
      <c r="L18" s="8" t="s">
        <v>323</v>
      </c>
      <c r="M18" s="26">
        <v>555.96</v>
      </c>
      <c r="N18" s="40">
        <f t="shared" ref="N18:N25" si="1">M18/1.5</f>
        <v>370.64</v>
      </c>
    </row>
    <row r="19" spans="1:14">
      <c r="A19" s="26">
        <v>13</v>
      </c>
      <c r="B19" s="8" t="s">
        <v>26</v>
      </c>
      <c r="C19" s="134">
        <v>632.76400000000001</v>
      </c>
      <c r="D19" s="134"/>
      <c r="E19" s="134"/>
      <c r="F19" s="134"/>
      <c r="G19" s="27">
        <f t="shared" si="0"/>
        <v>421.84266666666701</v>
      </c>
      <c r="K19" s="26">
        <v>12</v>
      </c>
      <c r="L19" s="8" t="s">
        <v>25</v>
      </c>
      <c r="M19" s="26">
        <v>241.989</v>
      </c>
      <c r="N19" s="40">
        <f t="shared" si="1"/>
        <v>161.32599999999999</v>
      </c>
    </row>
    <row r="20" spans="1:14">
      <c r="A20" s="26">
        <v>14</v>
      </c>
      <c r="B20" s="8" t="s">
        <v>27</v>
      </c>
      <c r="C20" s="134">
        <v>757.83900000000006</v>
      </c>
      <c r="D20" s="134"/>
      <c r="E20" s="134"/>
      <c r="F20" s="134"/>
      <c r="G20" s="27">
        <f t="shared" si="0"/>
        <v>505.226</v>
      </c>
      <c r="K20" s="26">
        <v>13</v>
      </c>
      <c r="L20" s="8" t="s">
        <v>26</v>
      </c>
      <c r="M20" s="26">
        <v>632.76400000000001</v>
      </c>
      <c r="N20" s="40">
        <f t="shared" si="1"/>
        <v>421.84266666666701</v>
      </c>
    </row>
    <row r="21" spans="1:14">
      <c r="A21" s="26">
        <v>15</v>
      </c>
      <c r="B21" s="8" t="s">
        <v>28</v>
      </c>
      <c r="C21" s="134">
        <v>425.81400000000002</v>
      </c>
      <c r="D21" s="134"/>
      <c r="E21" s="134"/>
      <c r="F21" s="134"/>
      <c r="G21" s="27">
        <f t="shared" si="0"/>
        <v>283.87599999999998</v>
      </c>
      <c r="K21" s="26">
        <v>14</v>
      </c>
      <c r="L21" s="8" t="s">
        <v>27</v>
      </c>
      <c r="M21" s="26">
        <v>757.83900000000006</v>
      </c>
      <c r="N21" s="40">
        <f t="shared" si="1"/>
        <v>505.226</v>
      </c>
    </row>
    <row r="22" spans="1:14">
      <c r="A22" s="26">
        <v>16</v>
      </c>
      <c r="B22" s="8" t="s">
        <v>322</v>
      </c>
      <c r="C22" s="134">
        <v>379.06299999999999</v>
      </c>
      <c r="D22" s="134"/>
      <c r="E22" s="134"/>
      <c r="F22" s="134"/>
      <c r="G22" s="27">
        <f t="shared" si="0"/>
        <v>252.708666666667</v>
      </c>
      <c r="K22" s="26">
        <v>15</v>
      </c>
      <c r="L22" s="8" t="s">
        <v>28</v>
      </c>
      <c r="M22" s="26">
        <v>425.81400000000002</v>
      </c>
      <c r="N22" s="40">
        <f t="shared" si="1"/>
        <v>283.87599999999998</v>
      </c>
    </row>
    <row r="23" spans="1:14">
      <c r="A23" s="26">
        <v>17</v>
      </c>
      <c r="B23" s="8" t="s">
        <v>29</v>
      </c>
      <c r="C23" s="134">
        <v>508.23200000000003</v>
      </c>
      <c r="D23" s="134"/>
      <c r="E23" s="134"/>
      <c r="F23" s="134"/>
      <c r="G23" s="27">
        <f t="shared" si="0"/>
        <v>338.82133333333297</v>
      </c>
      <c r="K23" s="26">
        <v>16</v>
      </c>
      <c r="L23" s="8" t="s">
        <v>322</v>
      </c>
      <c r="M23" s="26">
        <v>379.06299999999999</v>
      </c>
      <c r="N23" s="40">
        <f t="shared" si="1"/>
        <v>252.708666666667</v>
      </c>
    </row>
    <row r="24" spans="1:14">
      <c r="A24" s="26">
        <v>18</v>
      </c>
      <c r="B24" s="8" t="s">
        <v>30</v>
      </c>
      <c r="C24" s="134">
        <v>314.64400000000001</v>
      </c>
      <c r="D24" s="134"/>
      <c r="E24" s="134"/>
      <c r="F24" s="134"/>
      <c r="G24" s="27">
        <f t="shared" si="0"/>
        <v>209.762666666667</v>
      </c>
      <c r="K24" s="26">
        <v>17</v>
      </c>
      <c r="L24" s="8" t="s">
        <v>29</v>
      </c>
      <c r="M24" s="26">
        <v>508.23200000000003</v>
      </c>
      <c r="N24" s="40">
        <f t="shared" si="1"/>
        <v>338.82133333333297</v>
      </c>
    </row>
    <row r="25" spans="1:14">
      <c r="A25" s="28" t="s">
        <v>325</v>
      </c>
      <c r="B25" s="29"/>
      <c r="C25" s="21"/>
      <c r="D25" s="21"/>
      <c r="E25" s="21"/>
      <c r="F25" s="21"/>
      <c r="G25" s="30"/>
      <c r="K25" s="26">
        <v>18</v>
      </c>
      <c r="L25" s="8" t="s">
        <v>30</v>
      </c>
      <c r="M25" s="26">
        <v>314.64400000000001</v>
      </c>
      <c r="N25" s="40">
        <f t="shared" si="1"/>
        <v>209.762666666667</v>
      </c>
    </row>
    <row r="26" spans="1:14">
      <c r="A26" t="s">
        <v>326</v>
      </c>
      <c r="G26" s="22"/>
    </row>
    <row r="27" spans="1:14">
      <c r="A27" s="135" t="s">
        <v>327</v>
      </c>
      <c r="B27" s="135"/>
      <c r="C27" s="135"/>
      <c r="D27" s="135"/>
      <c r="E27" s="22">
        <f>M23</f>
        <v>379.06299999999999</v>
      </c>
      <c r="F27" t="s">
        <v>177</v>
      </c>
      <c r="G27" s="22"/>
    </row>
    <row r="28" spans="1:14">
      <c r="A28" s="135" t="s">
        <v>328</v>
      </c>
      <c r="B28" s="135"/>
      <c r="C28" s="135"/>
      <c r="D28" s="135"/>
      <c r="E28">
        <v>150</v>
      </c>
      <c r="F28" t="s">
        <v>191</v>
      </c>
      <c r="G28" s="22"/>
      <c r="J28" s="32"/>
    </row>
    <row r="29" spans="1:14">
      <c r="A29" s="135" t="s">
        <v>329</v>
      </c>
      <c r="B29" s="135"/>
      <c r="C29" s="135"/>
      <c r="D29" s="135"/>
      <c r="E29">
        <v>305</v>
      </c>
      <c r="F29" t="s">
        <v>44</v>
      </c>
      <c r="G29" s="22"/>
      <c r="J29" s="32"/>
    </row>
    <row r="30" spans="1:14">
      <c r="A30" s="135" t="s">
        <v>330</v>
      </c>
      <c r="B30" s="135"/>
      <c r="C30" s="135"/>
      <c r="D30" s="135"/>
      <c r="E30">
        <v>305</v>
      </c>
      <c r="F30" t="s">
        <v>44</v>
      </c>
      <c r="G30" s="22"/>
      <c r="J30" s="32"/>
    </row>
    <row r="31" spans="1:14">
      <c r="D31" s="31" t="s">
        <v>331</v>
      </c>
      <c r="E31">
        <v>20</v>
      </c>
      <c r="F31" t="s">
        <v>332</v>
      </c>
      <c r="G31" s="22"/>
      <c r="J31" s="32"/>
    </row>
    <row r="32" spans="1:14">
      <c r="D32" s="31" t="s">
        <v>333</v>
      </c>
      <c r="E32">
        <v>500</v>
      </c>
      <c r="F32" t="s">
        <v>332</v>
      </c>
      <c r="G32" s="22"/>
      <c r="J32" s="32"/>
    </row>
    <row r="33" spans="1:10">
      <c r="G33" s="22"/>
      <c r="J33" s="32"/>
    </row>
    <row r="34" spans="1:10">
      <c r="A34" s="32" t="s">
        <v>334</v>
      </c>
      <c r="B34" s="32"/>
      <c r="G34" s="22"/>
      <c r="J34" s="32"/>
    </row>
    <row r="35" spans="1:10">
      <c r="C35" s="31" t="s">
        <v>335</v>
      </c>
      <c r="D35" s="31">
        <f>E27/1.5</f>
        <v>252.708666666667</v>
      </c>
      <c r="E35" t="s">
        <v>177</v>
      </c>
      <c r="G35" s="22"/>
    </row>
    <row r="36" spans="1:10">
      <c r="C36" t="s">
        <v>336</v>
      </c>
      <c r="E36" t="s">
        <v>337</v>
      </c>
      <c r="G36" s="22"/>
      <c r="J36" s="32"/>
    </row>
    <row r="37" spans="1:10">
      <c r="E37">
        <f>(10/100)*D35</f>
        <v>25.270866666666699</v>
      </c>
      <c r="F37" t="s">
        <v>177</v>
      </c>
      <c r="G37" s="22"/>
      <c r="J37" s="32"/>
    </row>
    <row r="38" spans="1:10">
      <c r="C38" s="135" t="s">
        <v>338</v>
      </c>
      <c r="D38" s="135"/>
      <c r="E38">
        <f>D35+E37</f>
        <v>277.97953333333299</v>
      </c>
      <c r="F38" t="s">
        <v>177</v>
      </c>
      <c r="G38" s="22"/>
      <c r="J38" s="32"/>
    </row>
    <row r="39" spans="1:10">
      <c r="G39" s="22"/>
      <c r="J39" s="32"/>
    </row>
    <row r="40" spans="1:10">
      <c r="A40" s="32" t="s">
        <v>339</v>
      </c>
      <c r="B40" s="32"/>
      <c r="D40" s="32"/>
      <c r="G40" s="22"/>
      <c r="J40" s="32"/>
    </row>
    <row r="41" spans="1:10">
      <c r="A41" s="32"/>
      <c r="B41" s="32"/>
      <c r="C41" s="31" t="s">
        <v>340</v>
      </c>
      <c r="D41" s="33" t="s">
        <v>341</v>
      </c>
      <c r="G41" s="22"/>
      <c r="J41" s="32"/>
    </row>
    <row r="42" spans="1:10">
      <c r="A42" s="32"/>
      <c r="B42" s="32"/>
      <c r="C42" s="31" t="s">
        <v>260</v>
      </c>
      <c r="D42" s="33">
        <f>E38/E28</f>
        <v>1.8531968888888899</v>
      </c>
      <c r="E42" t="s">
        <v>342</v>
      </c>
      <c r="G42" s="22"/>
      <c r="J42" s="32"/>
    </row>
    <row r="43" spans="1:10">
      <c r="A43" s="33" t="s">
        <v>343</v>
      </c>
      <c r="B43" s="33"/>
      <c r="C43" s="33"/>
      <c r="D43" s="33"/>
      <c r="E43" s="34">
        <v>2</v>
      </c>
      <c r="F43" t="s">
        <v>119</v>
      </c>
      <c r="G43" s="22"/>
      <c r="J43" s="32"/>
    </row>
    <row r="44" spans="1:10">
      <c r="A44" s="32"/>
      <c r="B44" s="32"/>
      <c r="D44" s="32"/>
      <c r="G44" s="22"/>
      <c r="J44" s="32"/>
    </row>
    <row r="45" spans="1:10">
      <c r="A45" s="33" t="s">
        <v>344</v>
      </c>
      <c r="B45" s="33"/>
      <c r="D45" s="32"/>
      <c r="G45" s="22"/>
      <c r="J45" s="32"/>
    </row>
    <row r="46" spans="1:10">
      <c r="A46" s="136" t="s">
        <v>199</v>
      </c>
      <c r="B46" s="136"/>
      <c r="C46" s="136"/>
      <c r="D46" s="136"/>
      <c r="E46">
        <v>2</v>
      </c>
      <c r="F46" t="s">
        <v>119</v>
      </c>
      <c r="G46" s="22"/>
      <c r="J46" s="32"/>
    </row>
    <row r="47" spans="1:10">
      <c r="A47" s="136" t="s">
        <v>345</v>
      </c>
      <c r="B47" s="136"/>
      <c r="C47" s="136"/>
      <c r="D47" s="136"/>
      <c r="E47">
        <v>2</v>
      </c>
      <c r="F47" t="s">
        <v>119</v>
      </c>
      <c r="G47" s="22"/>
      <c r="J47" s="32"/>
    </row>
    <row r="48" spans="1:10">
      <c r="A48" s="32"/>
      <c r="B48" s="32"/>
      <c r="D48" s="32"/>
      <c r="G48" s="22"/>
      <c r="J48" s="32"/>
    </row>
    <row r="49" spans="1:15">
      <c r="A49" s="33" t="s">
        <v>346</v>
      </c>
      <c r="B49" s="33"/>
      <c r="C49" s="33"/>
      <c r="D49" s="33" t="s">
        <v>347</v>
      </c>
      <c r="G49" s="22"/>
      <c r="J49" s="32"/>
    </row>
    <row r="50" spans="1:15">
      <c r="A50" s="33"/>
      <c r="B50" s="33"/>
      <c r="C50" s="31" t="s">
        <v>260</v>
      </c>
      <c r="D50" s="36">
        <f>(0.3+((E46-0.3)/8))*1000</f>
        <v>512.5</v>
      </c>
      <c r="E50" t="s">
        <v>44</v>
      </c>
      <c r="G50" s="22"/>
      <c r="J50" s="32"/>
      <c r="K50" s="21" t="s">
        <v>289</v>
      </c>
      <c r="L50" s="21" t="s">
        <v>290</v>
      </c>
      <c r="M50" s="21" t="s">
        <v>291</v>
      </c>
      <c r="N50" s="21" t="s">
        <v>292</v>
      </c>
      <c r="O50" s="21"/>
    </row>
    <row r="51" spans="1:15">
      <c r="A51" s="32"/>
      <c r="B51" s="32"/>
      <c r="C51" s="31" t="s">
        <v>348</v>
      </c>
      <c r="D51">
        <v>550</v>
      </c>
      <c r="E51" t="s">
        <v>44</v>
      </c>
      <c r="G51" s="22"/>
      <c r="J51" s="32"/>
      <c r="K51" s="21">
        <v>1</v>
      </c>
      <c r="L51" s="21">
        <f>D59/(E32/(E31*D51))</f>
        <v>5060</v>
      </c>
      <c r="M51" s="21">
        <f>((E55*1000000)/(0.87*E32))/(E32/(E31*D51))</f>
        <v>3462762.2902298798</v>
      </c>
      <c r="N51" s="21">
        <f>(L51-(SQRT((L51*L51)-(4*M51))))/(2*K51)</f>
        <v>815.90032093518096</v>
      </c>
      <c r="O51" s="21"/>
    </row>
    <row r="52" spans="1:15">
      <c r="A52" s="32" t="s">
        <v>349</v>
      </c>
      <c r="B52" s="32"/>
      <c r="E52" s="33"/>
      <c r="F52" s="33"/>
      <c r="G52" s="22"/>
      <c r="J52" s="32"/>
      <c r="K52" s="21"/>
      <c r="L52" s="21"/>
      <c r="M52" s="21"/>
      <c r="N52" s="21"/>
      <c r="O52" s="21"/>
    </row>
    <row r="53" spans="1:15">
      <c r="A53" s="32"/>
      <c r="B53" s="32"/>
      <c r="C53" s="31" t="s">
        <v>260</v>
      </c>
      <c r="D53" s="33">
        <f>E27/(E46*E47)</f>
        <v>94.765749999999997</v>
      </c>
      <c r="E53" s="33" t="s">
        <v>191</v>
      </c>
      <c r="F53" s="33"/>
      <c r="G53" s="22"/>
      <c r="J53" s="32"/>
      <c r="K53" s="21"/>
      <c r="L53" s="21"/>
      <c r="M53" s="21"/>
      <c r="N53" s="21"/>
      <c r="O53" s="21"/>
    </row>
    <row r="54" spans="1:15">
      <c r="A54" s="32"/>
      <c r="B54" s="32"/>
      <c r="D54" s="33"/>
      <c r="E54" s="33"/>
      <c r="F54" s="33"/>
      <c r="G54" s="22"/>
      <c r="J54" s="32"/>
      <c r="K54" s="21"/>
      <c r="L54" s="21"/>
      <c r="M54" s="21"/>
      <c r="N54" s="21"/>
      <c r="O54" s="21"/>
    </row>
    <row r="55" spans="1:15">
      <c r="A55" s="32" t="s">
        <v>350</v>
      </c>
      <c r="B55" s="32"/>
      <c r="D55" s="32"/>
      <c r="E55">
        <f>D53*E46*(((E46-0.3)/2)*((E47-0.3)/2))/2</f>
        <v>68.468254375000001</v>
      </c>
      <c r="F55" t="s">
        <v>283</v>
      </c>
      <c r="G55" s="22"/>
      <c r="J55" s="32"/>
      <c r="K55" s="21"/>
      <c r="L55" s="21"/>
      <c r="M55" s="21"/>
      <c r="N55" s="21"/>
      <c r="O55" s="21"/>
    </row>
    <row r="56" spans="1:15">
      <c r="A56" s="32"/>
      <c r="B56" s="32"/>
      <c r="D56" s="32"/>
      <c r="G56" s="22"/>
      <c r="J56" s="32"/>
      <c r="K56" s="21"/>
      <c r="L56" s="21"/>
      <c r="M56" s="21"/>
      <c r="N56" s="21"/>
      <c r="O56" s="21"/>
    </row>
    <row r="57" spans="1:15" ht="17.25">
      <c r="A57" s="32"/>
      <c r="B57" s="32"/>
      <c r="C57" s="32" t="s">
        <v>351</v>
      </c>
      <c r="D57" s="37" t="s">
        <v>352</v>
      </c>
      <c r="E57" s="33"/>
      <c r="F57" s="33"/>
      <c r="G57" s="22"/>
      <c r="J57" s="32"/>
      <c r="K57" s="21"/>
      <c r="L57" s="21"/>
      <c r="M57" s="21"/>
      <c r="N57" s="21"/>
      <c r="O57" s="21"/>
    </row>
    <row r="58" spans="1:15">
      <c r="A58" s="32"/>
      <c r="B58" s="32"/>
      <c r="C58" s="31" t="s">
        <v>260</v>
      </c>
      <c r="D58" s="33">
        <f>SQRT((E55*1000000)/(0.138*E31*500))</f>
        <v>222.74352310074801</v>
      </c>
      <c r="E58" s="33" t="s">
        <v>44</v>
      </c>
      <c r="G58" s="22"/>
      <c r="J58" s="32"/>
      <c r="K58" s="21"/>
      <c r="L58" s="21"/>
      <c r="M58" s="21"/>
      <c r="N58" s="21"/>
      <c r="O58" s="21"/>
    </row>
    <row r="59" spans="1:15">
      <c r="A59" s="32"/>
      <c r="B59" s="32"/>
      <c r="C59" s="31" t="s">
        <v>348</v>
      </c>
      <c r="D59">
        <v>230</v>
      </c>
      <c r="E59" t="s">
        <v>44</v>
      </c>
      <c r="G59" s="22"/>
      <c r="J59" s="32"/>
      <c r="K59" s="21"/>
      <c r="L59" s="21"/>
      <c r="M59" s="21"/>
      <c r="N59" s="21"/>
      <c r="O59" s="21"/>
    </row>
    <row r="60" spans="1:15">
      <c r="A60" s="32"/>
      <c r="B60" s="32"/>
      <c r="C60" t="s">
        <v>353</v>
      </c>
      <c r="D60" s="33">
        <v>300</v>
      </c>
      <c r="E60" t="s">
        <v>44</v>
      </c>
      <c r="G60" s="22"/>
      <c r="J60" s="32"/>
    </row>
    <row r="61" spans="1:15">
      <c r="A61" s="32"/>
      <c r="B61" s="32"/>
      <c r="D61" s="33"/>
      <c r="G61" s="22"/>
      <c r="J61" s="32"/>
    </row>
    <row r="62" spans="1:15">
      <c r="A62" s="32" t="s">
        <v>354</v>
      </c>
      <c r="B62" s="32"/>
      <c r="D62" s="32"/>
      <c r="G62" s="22"/>
      <c r="J62" s="32"/>
    </row>
    <row r="63" spans="1:15">
      <c r="A63" s="32"/>
      <c r="B63" s="32"/>
      <c r="C63" s="31" t="s">
        <v>355</v>
      </c>
      <c r="D63" s="33" t="s">
        <v>356</v>
      </c>
      <c r="E63" s="33"/>
      <c r="F63" s="33"/>
      <c r="G63" s="38"/>
      <c r="J63" s="32"/>
    </row>
    <row r="64" spans="1:15">
      <c r="A64" s="32" t="s">
        <v>357</v>
      </c>
      <c r="B64" s="32"/>
      <c r="C64" s="31"/>
      <c r="D64" s="33"/>
      <c r="E64" s="33"/>
      <c r="F64" s="33"/>
      <c r="G64" s="38"/>
      <c r="J64" s="32"/>
    </row>
    <row r="65" spans="1:10">
      <c r="A65" s="32" t="s">
        <v>358</v>
      </c>
      <c r="B65" s="32"/>
      <c r="C65" s="31">
        <v>500</v>
      </c>
      <c r="D65" s="33"/>
      <c r="E65" s="33"/>
      <c r="F65" s="33"/>
      <c r="G65" s="38"/>
      <c r="J65" s="32"/>
    </row>
    <row r="66" spans="1:10">
      <c r="A66" s="32" t="s">
        <v>359</v>
      </c>
      <c r="B66" s="32"/>
      <c r="C66" s="31">
        <f>E46*1000*D59*15</f>
        <v>6900000</v>
      </c>
      <c r="D66" s="33"/>
      <c r="E66" s="33"/>
      <c r="F66" s="33"/>
      <c r="G66" s="38"/>
      <c r="J66" s="32"/>
    </row>
    <row r="67" spans="1:10">
      <c r="A67" s="32" t="s">
        <v>360</v>
      </c>
      <c r="B67" s="32"/>
      <c r="C67" s="31"/>
      <c r="D67" s="33">
        <f>E55*1000000*15*1000*E46/(0.87*500)</f>
        <v>4721948577.5862103</v>
      </c>
      <c r="E67" s="33"/>
      <c r="F67" s="33"/>
      <c r="G67" s="38"/>
      <c r="J67" s="32"/>
    </row>
    <row r="68" spans="1:10">
      <c r="A68" s="32" t="s">
        <v>361</v>
      </c>
      <c r="B68" s="32"/>
      <c r="C68" s="31"/>
      <c r="D68" s="33"/>
      <c r="E68" s="33">
        <f>-(-C66+SQRT(C66^2-4*C65*D67))/(2*C65)</f>
        <v>722.12796791422704</v>
      </c>
      <c r="F68" s="33"/>
      <c r="G68" s="38"/>
      <c r="J68" s="32"/>
    </row>
    <row r="69" spans="1:10">
      <c r="A69" s="32"/>
      <c r="B69" s="32"/>
      <c r="C69" s="31"/>
      <c r="D69" s="33"/>
      <c r="E69" s="33"/>
      <c r="F69" s="33"/>
      <c r="G69" s="38"/>
      <c r="J69" s="32"/>
    </row>
    <row r="70" spans="1:10">
      <c r="A70" s="32"/>
      <c r="B70" s="32"/>
      <c r="C70" t="s">
        <v>362</v>
      </c>
      <c r="D70" s="32"/>
      <c r="G70" s="22"/>
      <c r="J70" s="32"/>
    </row>
    <row r="71" spans="1:10">
      <c r="A71" t="s">
        <v>363</v>
      </c>
      <c r="C71" s="33"/>
      <c r="D71" s="33"/>
      <c r="E71" s="33"/>
      <c r="F71" s="33"/>
      <c r="G71" s="38"/>
      <c r="J71" s="32"/>
    </row>
    <row r="72" spans="1:10">
      <c r="A72" s="32"/>
      <c r="B72" s="32"/>
      <c r="C72" s="32"/>
      <c r="D72" t="s">
        <v>299</v>
      </c>
      <c r="E72" t="s">
        <v>364</v>
      </c>
      <c r="F72" s="33"/>
      <c r="G72" s="38"/>
      <c r="J72" s="32"/>
    </row>
    <row r="73" spans="1:10">
      <c r="A73" s="32"/>
      <c r="B73" s="32"/>
      <c r="C73" s="32"/>
      <c r="D73" s="31" t="s">
        <v>260</v>
      </c>
      <c r="E73">
        <f>(E46*1000)/(E68/113)</f>
        <v>312.96392058151599</v>
      </c>
      <c r="F73" t="s">
        <v>44</v>
      </c>
      <c r="G73" s="38"/>
      <c r="J73" s="32"/>
    </row>
    <row r="74" spans="1:10">
      <c r="A74" s="32"/>
      <c r="B74" s="32"/>
      <c r="C74" s="32"/>
      <c r="D74" t="s">
        <v>365</v>
      </c>
      <c r="E74" s="32"/>
      <c r="G74" s="22"/>
      <c r="J74" s="32"/>
    </row>
    <row r="75" spans="1:10">
      <c r="A75" s="32"/>
      <c r="B75" s="32"/>
      <c r="C75" s="32"/>
      <c r="D75" s="41" t="s">
        <v>309</v>
      </c>
      <c r="F75" s="42">
        <f>14*113</f>
        <v>1582</v>
      </c>
      <c r="G75" t="s">
        <v>162</v>
      </c>
      <c r="H75" t="s">
        <v>40</v>
      </c>
      <c r="J75" s="32"/>
    </row>
    <row r="76" spans="1:10">
      <c r="A76" s="32"/>
      <c r="B76" s="32"/>
      <c r="C76" s="33" t="s">
        <v>366</v>
      </c>
      <c r="D76" s="33"/>
      <c r="E76" s="33"/>
      <c r="F76" s="33"/>
      <c r="G76" s="38"/>
      <c r="J76" s="32"/>
    </row>
    <row r="77" spans="1:10">
      <c r="A77" s="32"/>
      <c r="B77" s="32"/>
      <c r="C77" s="33"/>
      <c r="D77" s="31" t="s">
        <v>260</v>
      </c>
      <c r="E77">
        <f>(F75/(E46*1000*D59))*100</f>
        <v>0.34391304347826102</v>
      </c>
      <c r="F77" s="33" t="s">
        <v>367</v>
      </c>
      <c r="G77" s="38"/>
      <c r="J77" s="32"/>
    </row>
    <row r="78" spans="1:10">
      <c r="A78" s="129" t="s">
        <v>368</v>
      </c>
      <c r="B78" s="129"/>
      <c r="C78" s="129"/>
      <c r="D78" s="129"/>
      <c r="E78" s="129"/>
      <c r="F78" s="129"/>
      <c r="G78" s="129"/>
      <c r="H78" s="129"/>
      <c r="I78" s="129"/>
      <c r="J78" s="129"/>
    </row>
    <row r="79" spans="1:10">
      <c r="A79" s="32"/>
      <c r="B79" s="32"/>
      <c r="D79" s="32"/>
      <c r="G79" s="22"/>
      <c r="J79" s="32"/>
    </row>
    <row r="80" spans="1:10">
      <c r="A80" s="32"/>
      <c r="B80" s="32"/>
      <c r="D80" s="32"/>
      <c r="G80" s="22"/>
      <c r="J80" s="32"/>
    </row>
    <row r="81" spans="1:10">
      <c r="A81" s="32"/>
      <c r="B81" s="32"/>
      <c r="D81" s="32"/>
      <c r="G81" s="22"/>
      <c r="J81" s="32"/>
    </row>
    <row r="82" spans="1:10">
      <c r="A82" s="32"/>
      <c r="B82" s="32"/>
      <c r="D82" s="32"/>
      <c r="G82" s="22"/>
      <c r="J82" s="32"/>
    </row>
    <row r="83" spans="1:10">
      <c r="A83" s="32"/>
      <c r="B83" s="32"/>
      <c r="D83" s="32"/>
      <c r="G83" s="22"/>
      <c r="J83" s="32"/>
    </row>
    <row r="84" spans="1:10">
      <c r="G84" s="22"/>
    </row>
    <row r="85" spans="1:10">
      <c r="G85" s="22"/>
    </row>
    <row r="86" spans="1:10">
      <c r="G86" s="22"/>
    </row>
    <row r="87" spans="1:10">
      <c r="G87" s="22"/>
    </row>
    <row r="88" spans="1:10">
      <c r="G88" s="22"/>
    </row>
    <row r="89" spans="1:10">
      <c r="G89" s="22"/>
    </row>
    <row r="90" spans="1:10">
      <c r="A90" s="32"/>
      <c r="B90" s="32"/>
      <c r="G90" s="22"/>
    </row>
  </sheetData>
  <mergeCells count="19">
    <mergeCell ref="C38:D38"/>
    <mergeCell ref="A46:D46"/>
    <mergeCell ref="A47:D47"/>
    <mergeCell ref="A78:J78"/>
    <mergeCell ref="C24:F24"/>
    <mergeCell ref="A27:D27"/>
    <mergeCell ref="A28:D28"/>
    <mergeCell ref="A29:D29"/>
    <mergeCell ref="A30:D30"/>
    <mergeCell ref="C19:F19"/>
    <mergeCell ref="C20:F20"/>
    <mergeCell ref="C21:F21"/>
    <mergeCell ref="C22:F22"/>
    <mergeCell ref="C23:F23"/>
    <mergeCell ref="A13:J13"/>
    <mergeCell ref="C15:F15"/>
    <mergeCell ref="C16:F16"/>
    <mergeCell ref="C17:F17"/>
    <mergeCell ref="C18:F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L6"/>
  <sheetViews>
    <sheetView workbookViewId="0">
      <selection activeCell="L6" sqref="L6"/>
    </sheetView>
  </sheetViews>
  <sheetFormatPr defaultColWidth="9" defaultRowHeight="15"/>
  <cols>
    <col min="1" max="1" width="4.28515625" customWidth="1"/>
    <col min="2" max="2" width="5.140625" customWidth="1"/>
    <col min="3" max="3" width="5.140625" hidden="1" customWidth="1"/>
    <col min="4" max="4" width="4.42578125" customWidth="1"/>
    <col min="5" max="5" width="4.85546875" customWidth="1"/>
    <col min="6" max="6" width="5.5703125" customWidth="1"/>
    <col min="7" max="7" width="4.5703125" customWidth="1"/>
    <col min="8" max="8" width="5.28515625" customWidth="1"/>
    <col min="9" max="9" width="4.5703125" customWidth="1"/>
    <col min="10" max="10" width="4.85546875" customWidth="1"/>
    <col min="11" max="11" width="5" customWidth="1"/>
  </cols>
  <sheetData>
    <row r="2" spans="1:12">
      <c r="A2" s="137" t="s">
        <v>369</v>
      </c>
      <c r="B2" s="138"/>
      <c r="C2" s="1"/>
      <c r="D2" s="137" t="s">
        <v>370</v>
      </c>
      <c r="E2" s="139"/>
      <c r="F2" s="140" t="s">
        <v>371</v>
      </c>
      <c r="G2" s="141"/>
      <c r="H2" s="137" t="s">
        <v>372</v>
      </c>
      <c r="I2" s="139"/>
      <c r="J2" s="140" t="s">
        <v>373</v>
      </c>
      <c r="K2" s="139"/>
    </row>
    <row r="3" spans="1:12">
      <c r="A3" s="2">
        <v>11</v>
      </c>
      <c r="B3" s="3">
        <v>0</v>
      </c>
      <c r="C3" s="4">
        <f>A3*12+B3</f>
        <v>132</v>
      </c>
      <c r="D3" s="2">
        <f>TRUNC(($C3*0.1)/12)</f>
        <v>1</v>
      </c>
      <c r="E3" s="5">
        <f>ROUND(($C3*0.1-$D3*12),0)</f>
        <v>1</v>
      </c>
      <c r="F3" s="6">
        <f>TRUNC(($C3*0.15)/12)</f>
        <v>1</v>
      </c>
      <c r="G3" s="4">
        <f>ROUND(($C3*0.15-F3*12),0)</f>
        <v>8</v>
      </c>
      <c r="H3" s="2">
        <f>TRUNC(($C3*0.25)/12)</f>
        <v>2</v>
      </c>
      <c r="I3" s="5">
        <f>ROUND(($C3*0.25-H3*12),0)</f>
        <v>9</v>
      </c>
      <c r="J3" s="6">
        <f>TRUNC(($C3*0.3)/12)</f>
        <v>3</v>
      </c>
      <c r="K3" s="5">
        <f>ROUND(($C3*0.3-J3*12),0)</f>
        <v>4</v>
      </c>
    </row>
    <row r="4" spans="1:12">
      <c r="A4" s="7">
        <v>8</v>
      </c>
      <c r="B4" s="8">
        <v>6</v>
      </c>
      <c r="C4" s="9">
        <f t="shared" ref="C4:C6" si="0">A4*12+B4</f>
        <v>102</v>
      </c>
      <c r="D4" s="7">
        <f t="shared" ref="D4:D6" si="1">TRUNC(($C4*0.1)/12)</f>
        <v>0</v>
      </c>
      <c r="E4" s="10">
        <f t="shared" ref="E4:E6" si="2">ROUND(($C4*0.1-$D4*12),0)</f>
        <v>10</v>
      </c>
      <c r="F4" s="11">
        <f t="shared" ref="F4:F6" si="3">TRUNC(($C4*0.15)/12)</f>
        <v>1</v>
      </c>
      <c r="G4" s="9">
        <f t="shared" ref="G4:G6" si="4">ROUND(($C4*0.15-F4*12),0)</f>
        <v>3</v>
      </c>
      <c r="H4" s="7">
        <f t="shared" ref="H4:H6" si="5">TRUNC(($C4*0.25)/12)</f>
        <v>2</v>
      </c>
      <c r="I4" s="10">
        <f t="shared" ref="I4:I6" si="6">ROUND(($C4*0.25-H4*12),0)</f>
        <v>2</v>
      </c>
      <c r="J4" s="11">
        <f t="shared" ref="J4:J6" si="7">TRUNC(($C4*0.3)/12)</f>
        <v>2</v>
      </c>
      <c r="K4" s="10">
        <f t="shared" ref="K4:K6" si="8">ROUND(($C4*0.3-J4*12),0)</f>
        <v>7</v>
      </c>
    </row>
    <row r="5" spans="1:12">
      <c r="A5" s="7">
        <v>12</v>
      </c>
      <c r="B5" s="8">
        <v>5</v>
      </c>
      <c r="C5" s="9">
        <f t="shared" si="0"/>
        <v>149</v>
      </c>
      <c r="D5" s="7">
        <f t="shared" si="1"/>
        <v>1</v>
      </c>
      <c r="E5" s="10">
        <f t="shared" si="2"/>
        <v>3</v>
      </c>
      <c r="F5" s="11">
        <f t="shared" si="3"/>
        <v>1</v>
      </c>
      <c r="G5" s="9">
        <f t="shared" si="4"/>
        <v>10</v>
      </c>
      <c r="H5" s="7">
        <f t="shared" si="5"/>
        <v>3</v>
      </c>
      <c r="I5" s="10">
        <f t="shared" si="6"/>
        <v>1</v>
      </c>
      <c r="J5" s="11">
        <f t="shared" si="7"/>
        <v>3</v>
      </c>
      <c r="K5" s="10">
        <f t="shared" si="8"/>
        <v>9</v>
      </c>
    </row>
    <row r="6" spans="1:12">
      <c r="A6" s="12">
        <v>7</v>
      </c>
      <c r="B6" s="13">
        <v>5</v>
      </c>
      <c r="C6" s="14">
        <f t="shared" si="0"/>
        <v>89</v>
      </c>
      <c r="D6" s="12">
        <f t="shared" si="1"/>
        <v>0</v>
      </c>
      <c r="E6" s="15">
        <f t="shared" si="2"/>
        <v>9</v>
      </c>
      <c r="F6" s="16">
        <f t="shared" si="3"/>
        <v>1</v>
      </c>
      <c r="G6" s="14">
        <f t="shared" si="4"/>
        <v>1</v>
      </c>
      <c r="H6" s="12">
        <f t="shared" si="5"/>
        <v>1</v>
      </c>
      <c r="I6" s="15">
        <f t="shared" si="6"/>
        <v>10</v>
      </c>
      <c r="J6" s="16">
        <f t="shared" si="7"/>
        <v>2</v>
      </c>
      <c r="K6" s="15">
        <f t="shared" si="8"/>
        <v>3</v>
      </c>
      <c r="L6" t="s">
        <v>374</v>
      </c>
    </row>
  </sheetData>
  <mergeCells count="5"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COlumn</vt:lpstr>
      <vt:lpstr>Beam</vt:lpstr>
      <vt:lpstr>Slab</vt:lpstr>
      <vt:lpstr>Footing</vt:lpstr>
      <vt:lpstr>Staricase</vt:lpstr>
      <vt:lpstr>Sheet1</vt:lpstr>
      <vt:lpstr>Sheet2</vt:lpstr>
      <vt:lpstr>Footing!Print_Area</vt:lpstr>
      <vt:lpstr>Staricase!Print_Area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Ramsor</cp:lastModifiedBy>
  <dcterms:created xsi:type="dcterms:W3CDTF">2006-09-16T00:00:00Z</dcterms:created>
  <dcterms:modified xsi:type="dcterms:W3CDTF">2026-05-31T09:56:38Z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A33EE46AB2554DF293596C98C2DECB24_12</vt:lpwstr>
  </property>
  <property fmtid="{D5CDD505-2E9C-101B-9397-08002B2CF9AE}" pid="3" name="KSOProductBuildVer">
    <vt:lpwstr>1033-12.2.0.21931</vt:lpwstr>
  </property>
</Properties>
</file>